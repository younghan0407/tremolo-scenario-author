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" sheetId="1" r:id="rId5"/>
    <sheet state="visible" name="문서버전" sheetId="2" r:id="rId6"/>
    <sheet state="visible" name="Summary" sheetId="3" r:id="rId7"/>
    <sheet state="visible" name="VIOLA(4.0)_신규변경" sheetId="4" r:id="rId8"/>
    <sheet state="visible" name="권한_체크리스트(K8s)" sheetId="5" r:id="rId9"/>
    <sheet state="visible" name="권한_체크리스트(CICD)" sheetId="6" r:id="rId10"/>
    <sheet state="hidden" name="수정" sheetId="7" r:id="rId11"/>
    <sheet state="hidden" name="기획 문의" sheetId="8" r:id="rId12"/>
  </sheets>
  <definedNames>
    <definedName hidden="1" localSheetId="3" name="_xlnm._FilterDatabase">'VIOLA(4.0)_신규변경'!$A$1:$V$3524</definedName>
  </definedNames>
  <calcPr/>
</workbook>
</file>

<file path=xl/sharedStrings.xml><?xml version="1.0" encoding="utf-8"?>
<sst xmlns="http://schemas.openxmlformats.org/spreadsheetml/2006/main" count="64880" uniqueCount="10500">
  <si>
    <t xml:space="preserve"> </t>
  </si>
  <si>
    <t>No</t>
  </si>
  <si>
    <t>변경이력관리</t>
  </si>
  <si>
    <t>솔루션</t>
  </si>
  <si>
    <t>▶︎ 요약</t>
  </si>
  <si>
    <t>변경일</t>
  </si>
  <si>
    <t>프로젝트명</t>
  </si>
  <si>
    <t>버전명</t>
  </si>
  <si>
    <t xml:space="preserve"> 내부솔루션 VIOLA V4.0 검증</t>
  </si>
  <si>
    <t>내부솔루션(VIOLA) 4.0</t>
  </si>
  <si>
    <t>기능테스트 ID</t>
  </si>
  <si>
    <t>요구사항 ID</t>
  </si>
  <si>
    <t xml:space="preserve">    변경내역</t>
  </si>
  <si>
    <t>기능 ID</t>
  </si>
  <si>
    <t>화면 ID</t>
  </si>
  <si>
    <t>우선순위</t>
  </si>
  <si>
    <t>구분</t>
  </si>
  <si>
    <t>변경 인원</t>
  </si>
  <si>
    <t>비고</t>
  </si>
  <si>
    <t>1 Depth</t>
  </si>
  <si>
    <t>2 Depth</t>
  </si>
  <si>
    <t>3 Depth</t>
  </si>
  <si>
    <t>4 Depth</t>
  </si>
  <si>
    <t>5 Depth</t>
  </si>
  <si>
    <t>검증 환경</t>
  </si>
  <si>
    <t>사전조건</t>
  </si>
  <si>
    <t>테스트 데이터</t>
  </si>
  <si>
    <t>절차</t>
  </si>
  <si>
    <t>예상 결과</t>
  </si>
  <si>
    <t>실제 결과</t>
  </si>
  <si>
    <t>수행자</t>
  </si>
  <si>
    <t>수행일자</t>
  </si>
  <si>
    <t>Jira</t>
  </si>
  <si>
    <t>검증 버전</t>
  </si>
  <si>
    <t>V4.0</t>
  </si>
  <si>
    <t>검증 솔루션</t>
  </si>
  <si>
    <t>VIOLA</t>
  </si>
  <si>
    <t>검증 일정</t>
  </si>
  <si>
    <t>기능 테스트 케이스</t>
  </si>
  <si>
    <t>배포일</t>
  </si>
  <si>
    <t>작성일 : 26.09.01</t>
  </si>
  <si>
    <t>VIOLA_K8S</t>
  </si>
  <si>
    <t>Figma URL</t>
  </si>
  <si>
    <t>TC_VIO_001</t>
  </si>
  <si>
    <t/>
  </si>
  <si>
    <r>
      <rPr>
        <rFont val="Arial"/>
        <color rgb="FF1155CC"/>
        <sz val="9.0"/>
        <u/>
      </rPr>
      <t>K8s</t>
    </r>
    <r>
      <rPr>
        <rFont val="Arial"/>
        <sz val="9.0"/>
      </rPr>
      <t xml:space="preserve"> / </t>
    </r>
    <r>
      <rPr>
        <rFont val="Arial"/>
        <color rgb="FF1155CC"/>
        <sz val="9.0"/>
        <u/>
      </rPr>
      <t>CICD</t>
    </r>
  </si>
  <si>
    <t>VIOE-00_00_00</t>
  </si>
  <si>
    <t>P3</t>
  </si>
  <si>
    <t>표시</t>
  </si>
  <si>
    <t>공통 정의</t>
  </si>
  <si>
    <t>레이아웃 정의</t>
  </si>
  <si>
    <t>상세</t>
  </si>
  <si>
    <t>-</t>
  </si>
  <si>
    <t>VIOLA 로그인 후 레이아웃이 적용된 화면 진입</t>
  </si>
  <si>
    <t>1. 화면 상단 GNB 영역 확인</t>
  </si>
  <si>
    <t>GNB 영역 구성 확인</t>
  </si>
  <si>
    <t>PASS</t>
  </si>
  <si>
    <t>김미지</t>
  </si>
  <si>
    <t xml:space="preserve">▶︎ 단위테스트 현황 </t>
  </si>
  <si>
    <t>TC_VIO_002</t>
  </si>
  <si>
    <t>테스트 결과</t>
  </si>
  <si>
    <t>레이아웃 적용 화면 진입 직후 상태</t>
  </si>
  <si>
    <t>1. LNB 영역의 메뉴 목록 확인</t>
  </si>
  <si>
    <t>메뉴 `대시보드`·`기본 설정`·`워크플로우`·`서비스 카탈로그`·`모니터링` 5종 표출</t>
  </si>
  <si>
    <t xml:space="preserve">Testcase </t>
  </si>
  <si>
    <t>수행률</t>
  </si>
  <si>
    <t>TC_VIO_003</t>
  </si>
  <si>
    <t>성공률</t>
  </si>
  <si>
    <t>1. LNB 메뉴 목록을 Menu Structure 정의와 대조</t>
  </si>
  <si>
    <t>LNB 메뉴 구성 확인
ㄴ 기획 미정의 항목 — PASS/FAIL 판정 대신 실측 상태를 `실제 결과`에 기재</t>
  </si>
  <si>
    <t>TC_VIO_004</t>
  </si>
  <si>
    <t>FAIL</t>
  </si>
  <si>
    <t>N/A</t>
  </si>
  <si>
    <t>N/T</t>
  </si>
  <si>
    <t>레이아웃 적용 화면 최초 진입 상태</t>
  </si>
  <si>
    <t>1. LNB 상위 메뉴의 펼침 상태 확인</t>
  </si>
  <si>
    <t>전체 메뉴 닫힘 상태로 표출</t>
  </si>
  <si>
    <t>VIOLA_K8s</t>
  </si>
  <si>
    <t>TC_VIO_005</t>
  </si>
  <si>
    <t>1. 테넌트 네비게이터 선택 후 LNB 확인</t>
  </si>
  <si>
    <t>`대시보드` 메뉴 선택 상태로 표출</t>
  </si>
  <si>
    <t>TC_VIO_006</t>
  </si>
  <si>
    <t>1. 하위 메뉴 보유 메뉴의 chevron 표기 확인</t>
  </si>
  <si>
    <t>`기본 설정`·`워크플로우`·`서비스 카탈로그`·`모니터링` 우측에 chevron `˅` 표출</t>
  </si>
  <si>
    <t>TC_VIO_007</t>
  </si>
  <si>
    <t>P4</t>
  </si>
  <si>
    <t>부수</t>
  </si>
  <si>
    <t>LNB 전체 메뉴 닫힘 상태</t>
  </si>
  <si>
    <t>1. 하위 메뉴가 없는 `대시보드` 메뉴 클릭</t>
  </si>
  <si>
    <t>chevron 미표기로 하위 메뉴 펼침 미발생</t>
  </si>
  <si>
    <t>TC_VIO_008</t>
  </si>
  <si>
    <t>인터랙션</t>
  </si>
  <si>
    <t>1. 상위 메뉴 `기본 설정` 클릭</t>
  </si>
  <si>
    <t>`기본 설정` 하위 메뉴 펼침</t>
  </si>
  <si>
    <t>TC_VIO_009</t>
  </si>
  <si>
    <t>엣지</t>
  </si>
  <si>
    <t>상위 메뉴 `기본 설정` 하위 메뉴가 펼쳐진 상태</t>
  </si>
  <si>
    <t>1. 상위 메뉴 `기본 설정` 재클릭</t>
  </si>
  <si>
    <t>기본 설정' 하위 메뉴 닫힘</t>
  </si>
  <si>
    <t>TC_VIO_010</t>
  </si>
  <si>
    <t>1. 다른 상위 메뉴 `워크플로우` 클릭</t>
  </si>
  <si>
    <t xml:space="preserve">두 상위 메뉴의 펼침 상태 확인
</t>
  </si>
  <si>
    <t>TC_VIO_011</t>
  </si>
  <si>
    <t>복수 상위 메뉴의 하위 메뉴가 펼쳐진 상태</t>
  </si>
  <si>
    <t>1. 하위 메뉴가 없는 메뉴 진입</t>
  </si>
  <si>
    <t>진입한 메뉴 외 전체 메뉴 닫힘</t>
  </si>
  <si>
    <t>TC_VIO_012</t>
  </si>
  <si>
    <t>상위 메뉴 하위의 하위 메뉴 없는 메뉴에 진입한 상태</t>
  </si>
  <si>
    <t>1. 진입한 메뉴의 상위 메뉴 펼침 상태 확인</t>
  </si>
  <si>
    <t>진입한 메뉴의 상위 메뉴만 펼침 상태 유지</t>
  </si>
  <si>
    <t>TC_VIO_013</t>
  </si>
  <si>
    <t>P1</t>
  </si>
  <si>
    <t>정상</t>
  </si>
  <si>
    <t>해당 메뉴 화면이 Contents 영역에 표출</t>
  </si>
  <si>
    <t>TC_VIO_014</t>
  </si>
  <si>
    <t>1. LNB 최상단 워드마크 확인</t>
  </si>
  <si>
    <t>`OKESTRO` 워드마크(아이콘 + 텍스트) 표출</t>
  </si>
  <si>
    <t>TC_VIO_015</t>
  </si>
  <si>
    <t>1. LNB 상단 `VIOLA` 배너 확인</t>
  </si>
  <si>
    <t>연녹색 배경 + 원형 패턴 그래픽의 `VIOLA` 배너 표출</t>
  </si>
  <si>
    <t>TC_VIO_025</t>
  </si>
  <si>
    <t>클러스터가 선택된 상태로 화면 진입</t>
  </si>
  <si>
    <t>1. 상단 바 테넌트 네비게이터 표기 확인</t>
  </si>
  <si>
    <t>선택한 클러스터 이름 표출</t>
  </si>
  <si>
    <t>TC_VIO_026</t>
  </si>
  <si>
    <t>VIOLA_CICD</t>
  </si>
  <si>
    <t>상단 바 테넌트 네비게이터가 표출된 상태</t>
  </si>
  <si>
    <t>1. 상단 바 테넌트 네비게이터 클릭</t>
  </si>
  <si>
    <t>테넌트 네비게이터 팝오버 표출</t>
  </si>
  <si>
    <t>TC_VIO_029</t>
  </si>
  <si>
    <t>1. 상단 바 `모니터링 현황` 버튼 확인</t>
  </si>
  <si>
    <t>라인 차트 아이콘 + 라벨 `모니터링 현황` 의 박스형 버튼 표출</t>
  </si>
  <si>
    <t>TC_VIO_030</t>
  </si>
  <si>
    <t>1. `모니터링 현황` 버튼의 활성 상태 확인</t>
  </si>
  <si>
    <t>버튼 항상 활성 상태로 표출</t>
  </si>
  <si>
    <t>TC_VIO_031</t>
  </si>
  <si>
    <t>모니터링 현황 정보 내 장애가 발생한 상태</t>
  </si>
  <si>
    <t>1. 상단 바 `모니터링 현황` 버튼의 알림 효과 확인</t>
  </si>
  <si>
    <t>시각적 알림 효과 표출
ㄴ 효과 형태(색·애니메이션·배지) 기획 미정의 — 형태는 실측 상태를 `실제 결과`에 기재</t>
  </si>
  <si>
    <t>TC_VIO_033</t>
  </si>
  <si>
    <t>상단 바 `모니터링 현황` 버튼이 표출된 상태</t>
  </si>
  <si>
    <t>1. `모니터링 현황` 버튼 클릭</t>
  </si>
  <si>
    <t>오버레이 팝업 표출</t>
  </si>
  <si>
    <t>TC_VIO_037</t>
  </si>
  <si>
    <t>테넌트 네비게이터 팝오버</t>
  </si>
  <si>
    <t>테넌트 네비게이터 팝오버가 표출된 상태</t>
  </si>
  <si>
    <t>1. 팝오버 상단 라벨 확인</t>
  </si>
  <si>
    <t>라벨 `클러스터 선택` 표출</t>
  </si>
  <si>
    <t>TC_VIO_038</t>
  </si>
  <si>
    <t>1. 팝오버 검색 입력 필드 확인</t>
  </si>
  <si>
    <t>돋보기 아이콘과 placeholder 텍스트 표출</t>
  </si>
  <si>
    <t>TC_VIO_039</t>
  </si>
  <si>
    <t>1. 팝오버 상단 그룹 헤더 확인</t>
  </si>
  <si>
    <t>그룹 헤더 `즐겨찾기` 표출</t>
  </si>
  <si>
    <t>총합</t>
  </si>
  <si>
    <t>TC_VIO_040</t>
  </si>
  <si>
    <t>1. 팝오버 하단 그룹 헤더 확인</t>
  </si>
  <si>
    <t>그룹 헤더 `전체` 표출</t>
  </si>
  <si>
    <t>TC_VIO_041</t>
  </si>
  <si>
    <t>1. 그룹 사이 구분선 확인</t>
  </si>
  <si>
    <t>그룹 사이 수평 구분선 1개 표출</t>
  </si>
  <si>
    <t>TC_VIO_042</t>
  </si>
  <si>
    <t>1. `즐겨찾기` 그룹 항목의 북마크 아이콘 확인</t>
  </si>
  <si>
    <t>녹색 채움 북마크 아이콘 표출</t>
  </si>
  <si>
    <t>* 6/8 18:00 기준</t>
  </si>
  <si>
    <t>TC_VIO_043</t>
  </si>
  <si>
    <t>1. `전체` 그룹 항목의 북마크 아이콘 확인</t>
  </si>
  <si>
    <t>outline 북마크 아이콘 표출</t>
  </si>
  <si>
    <t>TC_VIO_044</t>
  </si>
  <si>
    <t>팝오버에서 클러스터 1건이 선택된 상태</t>
  </si>
  <si>
    <t xml:space="preserve">▶︎ 심각도별 테스트 현황 </t>
  </si>
  <si>
    <t>1. 선택 항목 행의 표기 확인</t>
  </si>
  <si>
    <t>연녹색 배경과 우측 녹색 체크 `✓` 표출</t>
  </si>
  <si>
    <t>TC_VIO_046</t>
  </si>
  <si>
    <t>1. 그룹 헤더 우측 정렬 토글 `↑↓` 클릭</t>
  </si>
  <si>
    <t>항목 정렬 상태 확인
 ㄴ "멀티 클러스터 대시보드"는 최상단 고정</t>
  </si>
  <si>
    <t>TC_VIO_047</t>
  </si>
  <si>
    <t>팝오버 그룹이 펼쳐진 상태</t>
  </si>
  <si>
    <t>1. 그룹 헤더 우측 접기 chevron `˅` 클릭</t>
  </si>
  <si>
    <t>그룹 접힘 상태 확인</t>
  </si>
  <si>
    <t>TC_VIO_048</t>
  </si>
  <si>
    <t>1. 팝오버 우하단 최우측 버튼 확인</t>
  </si>
  <si>
    <t>녹색 채움 `확인` 버튼 표출</t>
  </si>
  <si>
    <t>심각도</t>
  </si>
  <si>
    <t>TC_VIO_049</t>
  </si>
  <si>
    <t>1. 팝오버 우하단 버튼 확인</t>
  </si>
  <si>
    <t>텍스트 버튼 `취소` 표출</t>
  </si>
  <si>
    <t>TC_VIO_050</t>
  </si>
  <si>
    <t>1. `확인` 클릭</t>
  </si>
  <si>
    <t>팝오버 닫힘 및 해당 클러스터 대시보드로 이동</t>
  </si>
  <si>
    <t>TC_VIO_051</t>
  </si>
  <si>
    <t>1. `취소` 클릭</t>
  </si>
  <si>
    <t>팝오버 닫힘</t>
  </si>
  <si>
    <t>범례</t>
  </si>
  <si>
    <t>O</t>
  </si>
  <si>
    <t>TC_VIO_052</t>
  </si>
  <si>
    <t>기능 제공</t>
  </si>
  <si>
    <t>P2</t>
  </si>
  <si>
    <t>비정상</t>
  </si>
  <si>
    <t>1. 검색 필드에 일치 항목이 없는 문자열 입력</t>
  </si>
  <si>
    <t>▵</t>
  </si>
  <si>
    <t>검색 목록 없음</t>
  </si>
  <si>
    <t>일부 기능 제한</t>
  </si>
  <si>
    <t>ROLE</t>
  </si>
  <si>
    <t>TC_VIO_056</t>
  </si>
  <si>
    <t>VIOE-00_00_09</t>
  </si>
  <si>
    <t>모니터링 현황 팝업</t>
  </si>
  <si>
    <t>`모니터링 현황` 버튼이 표출된 화면 진입 상태</t>
  </si>
  <si>
    <t>관리자</t>
  </si>
  <si>
    <t>1. 화면 우상단 `모니터링 현황` 버튼 클릭</t>
  </si>
  <si>
    <t>`모니터링 현황` 팝업 표출</t>
  </si>
  <si>
    <t>TC_VIO_057</t>
  </si>
  <si>
    <t>`모니터링 현황` 팝업이 호출된 상태</t>
  </si>
  <si>
    <t>1. 팝업과 배경 화면의 레이어 순서 확인</t>
  </si>
  <si>
    <t>팝업이 화면 최상단 레이어로 표출</t>
  </si>
  <si>
    <t>TC_VIO_058</t>
  </si>
  <si>
    <t>모니터링 현황 정보 내 장애가 없는 화면 진입 상태</t>
  </si>
  <si>
    <t>1. 화면 우상단 `모니터링 현황` 버튼 표기 확인</t>
  </si>
  <si>
    <t>녹색 외곽선과 연녹색 배경의 버튼에 라인 차트 아이콘·라벨 `모니터링 현황` 표출</t>
  </si>
  <si>
    <t>미제공</t>
  </si>
  <si>
    <t>메뉴 제공X</t>
  </si>
  <si>
    <t>TC_VIO_059</t>
  </si>
  <si>
    <t>자원</t>
  </si>
  <si>
    <t>1. 화면 우상단 `모니터링 현황` 버튼 status 확인</t>
  </si>
  <si>
    <t>VIOLA(솔루션)</t>
  </si>
  <si>
    <t>버튼 status가 warning status로 변경되어 시각적 알림 효과 표출</t>
  </si>
  <si>
    <t>클러스터</t>
  </si>
  <si>
    <t>네임스페이스</t>
  </si>
  <si>
    <t>TC_VIO_060</t>
  </si>
  <si>
    <t>모니터링 현황 정보 내 장애로 버튼이 warning status인 상태</t>
  </si>
  <si>
    <t>1. warning status 버튼의 표기 확인</t>
  </si>
  <si>
    <t>진한 빨강 채움과 빨간 glow 배경에 흰색 아이콘·라벨 표출
ㄴ glow 효과의 애니메이션 여부 기획 미정의 — 해당 부분은 실측 상태를 `실제 결과`에 기재</t>
  </si>
  <si>
    <t>TC_VIO_061</t>
  </si>
  <si>
    <t>warning 이벤트만 존재하고 네트워크·로그 통계는 정상인 상태</t>
  </si>
  <si>
    <t>이벤트 탭 조건은 버튼 status에 미반영 — 기본 상태 유지</t>
  </si>
  <si>
    <t>이벤트 탭</t>
  </si>
  <si>
    <t>TC_VIO_062</t>
  </si>
  <si>
    <t>버튼 status 기본 상태 유지</t>
  </si>
  <si>
    <t>TC_VIO_063</t>
  </si>
  <si>
    <t>네트워크 탭</t>
  </si>
  <si>
    <t>네트워크 장애가 존재하는 상태</t>
  </si>
  <si>
    <t>버튼 status가 warning status로 변경</t>
  </si>
  <si>
    <t>▵
 (노드별 네트워크 미제공)</t>
  </si>
  <si>
    <t>TC_VIO_064</t>
  </si>
  <si>
    <t>로그 통계 탭</t>
  </si>
  <si>
    <t>모든 네트워크가 정상이고 미확인 `리소스 상태 이상 감지` 건이 없는 상태</t>
  </si>
  <si>
    <t>버튼 status 기본 상태로 표출</t>
  </si>
  <si>
    <t>▵
 (운영/보안/노드 로그 미제공)</t>
  </si>
  <si>
    <t>TC_VIO_065</t>
  </si>
  <si>
    <t>확인하지 않은 `리소스 상태 이상 감지` 건이 존재하는 상태</t>
  </si>
  <si>
    <t>알람 이력 탭</t>
  </si>
  <si>
    <t>TC_VIO_066</t>
  </si>
  <si>
    <t>네트워크는 정상이고 미확인 `리소스 상태 이상 감지` 건으로 버튼이 warning status인 상태</t>
  </si>
  <si>
    <t>1. 팝업 탭 `로그 통계` 진입</t>
  </si>
  <si>
    <t>버튼 status가 기본 상태로 전환</t>
  </si>
  <si>
    <t>대시보드</t>
  </si>
  <si>
    <t>TC_VIO_067</t>
  </si>
  <si>
    <t>멀티 클러스터 대시보드 조회</t>
  </si>
  <si>
    <t>▵
 (테넌트 네비게이터 &gt; '멀티 클러스터' 선택 시만)</t>
  </si>
  <si>
    <t>네트워크 장애와 미확인 `리소스 상태 이상 감지` 건이 동시에 존재하는 상태</t>
  </si>
  <si>
    <t>1. 탭 `로그 통계` 진입 후 `모니터링 현황` 버튼 status 확인</t>
  </si>
  <si>
    <t>두 조건 동시 성립 시의 버튼 status 확인
ㄴ 기획 미정의 항목 — PASS/FAIL 판정 대신 실측 상태를 `실제 결과`에 기재</t>
  </si>
  <si>
    <t>TC_VIO_068</t>
  </si>
  <si>
    <t>단일 클러스터 대시보드 조회</t>
  </si>
  <si>
    <t>`모니터링 현황` 팝업이 표출된 상태</t>
  </si>
  <si>
    <t>▵
 (네임스페이스 전체 현황 미제공)</t>
  </si>
  <si>
    <t>1. 팝업 타이틀 클릭 후 Drag &amp;Drop 으로 위치 이동</t>
  </si>
  <si>
    <t>팝업 위치 이동</t>
  </si>
  <si>
    <t>클러스터 관리</t>
  </si>
  <si>
    <t>클러스터설정</t>
  </si>
  <si>
    <t>클러스터 조회</t>
  </si>
  <si>
    <t>TC_VIO_069</t>
  </si>
  <si>
    <t>▵
 ([진행 현황]탭 미제공)</t>
  </si>
  <si>
    <t>1. 팝업 상하 크기 조절 시도</t>
  </si>
  <si>
    <t>팝업 상하 크기 조절 가능
ㄴ 리사이즈 핸들 위치·최소·최대 크기 기획 미정의 — 해당 부분은 실측 상태를 `실제 결과`에 기재</t>
  </si>
  <si>
    <t>클러스터 수정
 - 작업 : 노드 스케일링, GPU설정, 업그레이드, 노드 삭제
 - 수정 (연결 정보 수정)</t>
  </si>
  <si>
    <t>TC_VIO_070</t>
  </si>
  <si>
    <t>X</t>
  </si>
  <si>
    <t>1. 팝업 좌우 크기 조절 시도</t>
  </si>
  <si>
    <t>좌우 크기 조절 가능 여부 확인
ㄴ 기획 미정의 항목 — PASS/FAIL 판정 대신 실측 상태를 `실제 결과`에 기재</t>
  </si>
  <si>
    <t>클러스터 연결/생성/삭제/해제</t>
  </si>
  <si>
    <t>TC_VIO_071</t>
  </si>
  <si>
    <t>1. 팝업 탭 바의 탭 구성 확인</t>
  </si>
  <si>
    <t>탭 `이벤트`·`네트워크`·`로그 통계` 3종이 순서대로 표출</t>
  </si>
  <si>
    <t>노드 관리</t>
  </si>
  <si>
    <t>노드 조회</t>
  </si>
  <si>
    <t>TC_VIO_072</t>
  </si>
  <si>
    <t>`모니터링 현황` 팝업의 특정 탭이 활성화된 상태</t>
  </si>
  <si>
    <t>1. 활성 탭의 시각 표기 확인</t>
  </si>
  <si>
    <t>활성 탭이 녹색 텍스트와 녹색 하단 밑줄로 표출</t>
  </si>
  <si>
    <t>노드 수정 
 : YAML 수정, 레이블 설정, 무중단 노드스케일링, 사양 변경</t>
  </si>
  <si>
    <t>TC_VIO_073</t>
  </si>
  <si>
    <t>네임스페이스 관리</t>
  </si>
  <si>
    <t>경고 아이콘이 표출된 탭이 1개인 상태</t>
  </si>
  <si>
    <t>네임스페이스 조회</t>
  </si>
  <si>
    <t>▵
 ('클러스터 롤 바인딩' 정보 미제공)</t>
  </si>
  <si>
    <t>1. `모니터링 현황` 팝업 호출</t>
  </si>
  <si>
    <t>경고 아이콘이 표출된 탭으로 auto-focusing</t>
  </si>
  <si>
    <t>네임스페이스 생성/삭제</t>
  </si>
  <si>
    <t>TC_VIO_074</t>
  </si>
  <si>
    <t>네임스페이스 수정 
 : YAML 수정, istio injection 설정</t>
  </si>
  <si>
    <t>경고 아이콘이 표출된 탭이 2개 이상인 상태</t>
  </si>
  <si>
    <t>tab 순서에 따라 auto-focusing</t>
  </si>
  <si>
    <t>백업 통합 관리</t>
  </si>
  <si>
    <t>TC_VIO_075</t>
  </si>
  <si>
    <t>백업/백업 스케줄</t>
  </si>
  <si>
    <t>조회</t>
  </si>
  <si>
    <t>경고 아이콘이 표출된 탭이 없는 상태</t>
  </si>
  <si>
    <t>Default 활성 탭 확인
ㄴ 기획 미정의 항목 — PASS/FAIL 판정 대신 실측 상태를 `실제 결과`에 기재</t>
  </si>
  <si>
    <t>TC_VIO_076</t>
  </si>
  <si>
    <t>생성/삭제</t>
  </si>
  <si>
    <t>1. 비활성 탭 `네트워크` 클릭</t>
  </si>
  <si>
    <t>`네트워크` 탭으로 전환</t>
  </si>
  <si>
    <t>TC_VIO_077</t>
  </si>
  <si>
    <t>복원</t>
  </si>
  <si>
    <t>복원 조회</t>
  </si>
  <si>
    <t>이벤트·네트워크·로그 통계에 각각 알림이 존재하는 상태</t>
  </si>
  <si>
    <t>1. 탭 라벨 우측의 알림 표식 확인</t>
  </si>
  <si>
    <t>탭 라벨 우측에 원형 dot 표출 (`이벤트`·`로그 통계` 주황 / `네트워크` 빨강)</t>
  </si>
  <si>
    <t>복원 생성</t>
  </si>
  <si>
    <t>TC_VIO_078</t>
  </si>
  <si>
    <t>삭제 이력</t>
  </si>
  <si>
    <t>1. 팝업 좌상단 타이틀 확인</t>
  </si>
  <si>
    <t>타이틀 `모니터링 현황` 표출</t>
  </si>
  <si>
    <t>리소스 쿼터 설정</t>
  </si>
  <si>
    <t>TC_VIO_079</t>
  </si>
  <si>
    <t>리소스 쿼터 조회</t>
  </si>
  <si>
    <t>1. 팝업 우상단 닫기 버튼 확인</t>
  </si>
  <si>
    <t>닫기 버튼 `✕` 표출</t>
  </si>
  <si>
    <t>리소스 쿼터 생성/수정/삭제</t>
  </si>
  <si>
    <t>TC_VIO_080</t>
  </si>
  <si>
    <t>임계치 설정</t>
  </si>
  <si>
    <t>임계치 설정 조회</t>
  </si>
  <si>
    <t>1. 팝업 우상단 `✕` 클릭</t>
  </si>
  <si>
    <t>△
 (GPU 임계치 불가)</t>
  </si>
  <si>
    <t>클릭 후 팝업 상태 확인
ㄴ 기획 미정의 항목 — PASS/FAIL 판정 대신 실측 상태를 `실제 결과`에 기재</t>
  </si>
  <si>
    <t>VIOLA CI/CD</t>
  </si>
  <si>
    <t>임계치 설정 생성/수정/삭제</t>
  </si>
  <si>
    <t>TC_VIO_081</t>
  </si>
  <si>
    <t>1. 팝업 우상단 고정 버튼 확인</t>
  </si>
  <si>
    <t>타이틀 우측에 pin 아이콘 형태의 고정 버튼 표출</t>
  </si>
  <si>
    <t>이미지 저장소</t>
  </si>
  <si>
    <t>TC_VIO_082</t>
  </si>
  <si>
    <t>이미지 저장소 조회</t>
  </si>
  <si>
    <t>개발자</t>
  </si>
  <si>
    <t>`모니터링 현황` 팝업에서 고정 버튼을 클릭한 상태</t>
  </si>
  <si>
    <t>1. 백그라운드 화면에서 LNB 메뉴 이동</t>
  </si>
  <si>
    <t>팝업 미종료 상태로 유지</t>
  </si>
  <si>
    <t>이미지 저장소 등록</t>
  </si>
  <si>
    <t>리드 개발자</t>
  </si>
  <si>
    <t>TC_VIO_083</t>
  </si>
  <si>
    <t>엔지니어</t>
  </si>
  <si>
    <t>이미지 저장소 등록 해제</t>
  </si>
  <si>
    <t>`모니터링 현황` 팝업이 고정된 상태</t>
  </si>
  <si>
    <t>1. 고정 버튼 재클릭
2. 백그라운드 화면에서 LNB 메뉴 이동</t>
  </si>
  <si>
    <t>고정 기능 해제 후 화면 이동 시 팝업 종료</t>
  </si>
  <si>
    <t>▵ (본인 등록만)</t>
  </si>
  <si>
    <t>프로젝트</t>
  </si>
  <si>
    <t>TC_VIO_084</t>
  </si>
  <si>
    <t>프로젝트 조회</t>
  </si>
  <si>
    <t>1. 고정 버튼의 활성 상태 표기 확인</t>
  </si>
  <si>
    <t>고정 상태의 시각 표기 확인
ㄴ 기획 미정의 항목 — PASS/FAIL 판정 대신 실측 상태를 `실제 결과`에 기재</t>
  </si>
  <si>
    <r>
      <rPr>
        <rFont val="Arial"/>
        <b/>
        <color theme="1"/>
        <sz val="9.0"/>
      </rPr>
      <t>1. 테스트 이슈 (테스트 환경 및 개발 이슈)</t>
    </r>
    <r>
      <rPr>
        <rFont val="Arial"/>
        <b val="0"/>
        <color theme="1"/>
        <sz val="9.0"/>
      </rPr>
      <t xml:space="preserve">
</t>
    </r>
    <r>
      <rPr>
        <rFont val="Arial"/>
        <b/>
        <color theme="1"/>
        <sz val="9.0"/>
      </rPr>
      <t xml:space="preserve">
2. 주요 결함
</t>
    </r>
    <r>
      <rPr>
        <rFont val="Arial"/>
        <b val="0"/>
        <color theme="1"/>
        <sz val="9.0"/>
      </rPr>
      <t xml:space="preserve">
</t>
    </r>
    <r>
      <rPr>
        <rFont val="Arial"/>
        <b/>
        <color theme="1"/>
        <sz val="9.0"/>
      </rPr>
      <t xml:space="preserve">
3. 특이사항
</t>
    </r>
  </si>
  <si>
    <t>프로젝트 생성/수정/삭제</t>
  </si>
  <si>
    <t>O
 (기본 이미지저장소 포함)</t>
  </si>
  <si>
    <t>TC_VIO_085</t>
  </si>
  <si>
    <t>이미지</t>
  </si>
  <si>
    <t>이미지 조회</t>
  </si>
  <si>
    <t>1. 팝업 탭 바 우측의 일시 표기 확인</t>
  </si>
  <si>
    <t>팝업 호출 일시 표출
ㄴ 기획서 UI가 더미 `YYYY-MM-DD hh:mm:ss` 표기 — 실 값은 실측 상태를 `실제 결과`에 기재</t>
  </si>
  <si>
    <t>아티팩트</t>
  </si>
  <si>
    <t>아티팩트 조회</t>
  </si>
  <si>
    <t>VIOLA CI/CD(솔루션)</t>
  </si>
  <si>
    <t>TC_VIO_086</t>
  </si>
  <si>
    <t>이미지 태그 설정/삭제</t>
  </si>
  <si>
    <t>1. 팝업 탭 바 우측의 새로고침 아이콘 확인</t>
  </si>
  <si>
    <t>이미지 취약점 검사</t>
  </si>
  <si>
    <t>새로고침 아이콘 `⟳` 표출</t>
  </si>
  <si>
    <t>보안 및 권한 관리</t>
  </si>
  <si>
    <t>TC_VIO_087</t>
  </si>
  <si>
    <t>서비스 어카운트</t>
  </si>
  <si>
    <t>서비스 어카운트 조회</t>
  </si>
  <si>
    <t>1. 새로고침 아이콘 `⟳` 클릭</t>
  </si>
  <si>
    <t>클릭 시점 기준 최근 1시간 데이터로 새로고침</t>
  </si>
  <si>
    <t>서비스 어카운트 생성/수정/삭제 
 - kubeconfig 발급 포함</t>
  </si>
  <si>
    <t>TC_VIO_088</t>
  </si>
  <si>
    <t>롤</t>
  </si>
  <si>
    <t>`모니터링 현황` 팝업에서 새로고침을 수행한 상태</t>
  </si>
  <si>
    <t>롤 조회</t>
  </si>
  <si>
    <t>파이프라인 설정</t>
  </si>
  <si>
    <t>1. 팝업 탭 바 우측 일시 표기의 갱신 여부 확인</t>
  </si>
  <si>
    <t>새로고침 후 일시 표기 확인
ㄴ 기획 미정의 항목 — PASS/FAIL 판정 대신 실측 상태를 `실제 결과`에 기재</t>
  </si>
  <si>
    <t>롤 생성/수정/삭제</t>
  </si>
  <si>
    <t>클러스터롤</t>
  </si>
  <si>
    <t>TC_VIO_089</t>
  </si>
  <si>
    <t>클러스터롤 조회</t>
  </si>
  <si>
    <t>모니터링 현황 팝업 이벤트 탭</t>
  </si>
  <si>
    <t>1. 탭 `이벤트` 진입</t>
  </si>
  <si>
    <t>클러스터롤 생성/수정/삭제</t>
  </si>
  <si>
    <t>이벤트 현황과 이벤트 메시지 영역 표출</t>
  </si>
  <si>
    <t>빌드 관리</t>
  </si>
  <si>
    <t>워크플로우</t>
  </si>
  <si>
    <t>빌드 조회</t>
  </si>
  <si>
    <t>TC_VIO_090</t>
  </si>
  <si>
    <t>워크로드</t>
  </si>
  <si>
    <t>워크로드 조회</t>
  </si>
  <si>
    <t>warning 이벤트가 발생한 상태</t>
  </si>
  <si>
    <t>1. 탭 `이벤트` 의 아이콘 표기 확인</t>
  </si>
  <si>
    <t>워크로드 생성/수정/삭제</t>
  </si>
  <si>
    <t>탭 내 `WARNING` 아이콘 표출</t>
  </si>
  <si>
    <t>네트워크</t>
  </si>
  <si>
    <t>서비스/인그레스/네트워크 폴리시/서비스메시</t>
  </si>
  <si>
    <t>TC_VIO_091</t>
  </si>
  <si>
    <t>O
 * 다른 사용자의 빌드 자원
 조회/실행 가능</t>
  </si>
  <si>
    <t>O
 * 다른 사용자의 빌드 자원
 조회/실행/수정/삭제 가능</t>
  </si>
  <si>
    <t>`이벤트` 탭 진입 상태</t>
  </si>
  <si>
    <t>생성/수정/삭제</t>
  </si>
  <si>
    <t>1. 이벤트 현황 차트 확인</t>
  </si>
  <si>
    <t>이벤트 타임라인이 누적 세로 막대 차트로 표출</t>
  </si>
  <si>
    <t>TC_VIO_092</t>
  </si>
  <si>
    <t>빌드 실행</t>
  </si>
  <si>
    <t>게이트웨이 API</t>
  </si>
  <si>
    <t>권한 있는 클러스터가 복수 존재하는 `이벤트` 탭 진입 상태</t>
  </si>
  <si>
    <t>1. 이벤트 타임라인의 집계 범위 확인</t>
  </si>
  <si>
    <t>최근 1시간동안 권한 있는 클러스터 전체에서 발생한 이벤트로 집계</t>
  </si>
  <si>
    <t>HTTP라우트/게이트웨이 조회</t>
  </si>
  <si>
    <t>TC_VIO_093</t>
  </si>
  <si>
    <t>빌드 생성/수정/삭제</t>
  </si>
  <si>
    <t>HTTP라우트/게이트웨이 생성/수정/삭제</t>
  </si>
  <si>
    <t>권한 없는 클러스터에서 이벤트가 발생한 상태</t>
  </si>
  <si>
    <t>1. 이벤트 타임라인의 해당 클러스터 이벤트 포함 여부 확인</t>
  </si>
  <si>
    <t>게이트웨이클래스 조회</t>
  </si>
  <si>
    <t>권한 없는 클러스터의 이벤트 미집계</t>
  </si>
  <si>
    <t>게이트웨이클래스 생성/수정/삭제</t>
  </si>
  <si>
    <t>TC_VIO_094</t>
  </si>
  <si>
    <t>테스트 관리</t>
  </si>
  <si>
    <t>스토리지</t>
  </si>
  <si>
    <t>테스트 조회</t>
  </si>
  <si>
    <t>1. 이벤트 현황 차트의 x축 확인</t>
  </si>
  <si>
    <t>x축이 10분 단위로 표출</t>
  </si>
  <si>
    <t>PV/스토리지클래스</t>
  </si>
  <si>
    <t>TC_VIO_095</t>
  </si>
  <si>
    <t>O
 * 다른 사용자의 테스트 자원
 조회/실행 가능</t>
  </si>
  <si>
    <t>1. 이벤트 현황 차트의 y축 확인</t>
  </si>
  <si>
    <t>O
 * 다른 사용자의 테스트 자원
 조회/실행/수정/삭제 가능</t>
  </si>
  <si>
    <t>y축 라벨 `단위 (회)` 와 눈금 표출
ㄴ 기획서 UI가 더미 눈금 `0/4/8/12/16/20` 표기 — 실 값은 실측 상태를 `실제 결과`에 기재</t>
  </si>
  <si>
    <t>PVC</t>
  </si>
  <si>
    <t>PVC 조회</t>
  </si>
  <si>
    <t>테스트 실행</t>
  </si>
  <si>
    <t>PVC 생성/수정/삭제</t>
  </si>
  <si>
    <t>TC_VIO_096</t>
  </si>
  <si>
    <t>카탈로그 관리</t>
  </si>
  <si>
    <t>테스트 생성/수정/삭제</t>
  </si>
  <si>
    <t>1. segment 구성 확인</t>
  </si>
  <si>
    <t>segment `전체`·`WARNING`·`NORMAL` 3종 표출</t>
  </si>
  <si>
    <t>카탈로그 허브 (탭)</t>
  </si>
  <si>
    <t>서비스 카탈로그 조회</t>
  </si>
  <si>
    <t>TC_VIO_097</t>
  </si>
  <si>
    <t>HelmChart/YAML 생성/수정/삭제</t>
  </si>
  <si>
    <t>1. 각 segment의 통계값 확인</t>
  </si>
  <si>
    <t>segment별 이벤트 통계값 표출
ㄴ 기획서 UI가 더미 건수 `전체 6`·`WARNING 3`·`NORMAL 3` 표기 — 실 값은 실측 상태를 `실제 결과`에 기재</t>
  </si>
  <si>
    <t>배포 관리</t>
  </si>
  <si>
    <t>HelmChart/YAML 실행</t>
  </si>
  <si>
    <t>배포 조회</t>
  </si>
  <si>
    <t>TC_VIO_098</t>
  </si>
  <si>
    <t>O
 * 다른 사용자의 배포 자원
 조회/실행 가능</t>
  </si>
  <si>
    <t>O
 * 다른 사용자의 배포 자원
 조회/실행/수정/삭제 가능</t>
  </si>
  <si>
    <t>VIOLA 컴포넌트 설치 
 : GPU Operator, nfs-csi</t>
  </si>
  <si>
    <t>WARNING·NORMAL 이벤트가 모두 존재하는 `이벤트` 탭 진입 상태</t>
  </si>
  <si>
    <t>1. segment `WARNING` 클릭</t>
  </si>
  <si>
    <t>배포 실행/재실행/재배포</t>
  </si>
  <si>
    <t>설치 목록 (탭)</t>
  </si>
  <si>
    <t>`WARNING` 유형 이벤트 메시지만 필터링되어 표출</t>
  </si>
  <si>
    <t>배포 생성/수정/삭제</t>
  </si>
  <si>
    <t>TC_VIO_099</t>
  </si>
  <si>
    <t>VIOLA 컴포넌트 롤백/수정/삭제</t>
  </si>
  <si>
    <t>segment `전체` 가 선택된 `이벤트` 탭 진입 상태</t>
  </si>
  <si>
    <t>1. 선택된 segment의 시각 표기 확인</t>
  </si>
  <si>
    <t>선택 segment가 흰색 칩 배경과 녹색 글자로 표출</t>
  </si>
  <si>
    <t>파이프라인
 관리</t>
  </si>
  <si>
    <t>파이프라인 조회</t>
  </si>
  <si>
    <t>HelmChart 롤백/수정/삭제</t>
  </si>
  <si>
    <t>O
 * 다른 사용자의 파이프라인
 조회/실행 가능</t>
  </si>
  <si>
    <t>O
 * 다른 사용자의 파이프라인
 조회/실행/중단/수정/삭제 가능</t>
  </si>
  <si>
    <t>TC_VIO_100</t>
  </si>
  <si>
    <t>모니터링</t>
  </si>
  <si>
    <t>파이프라인 실행/중단</t>
  </si>
  <si>
    <t>통합 모니터링</t>
  </si>
  <si>
    <t>`이벤트` 탭에 이벤트가 존재하는 상태</t>
  </si>
  <si>
    <t>1. 이벤트 메시지 목록 확인</t>
  </si>
  <si>
    <t>이벤트 메시지 카드 목록 표출</t>
  </si>
  <si>
    <t>▵
 ([노드뷰] 미제공)</t>
  </si>
  <si>
    <t>파이프라인 생성/수정/삭제</t>
  </si>
  <si>
    <t>통합 로그 조회</t>
  </si>
  <si>
    <t>TC_VIO_101</t>
  </si>
  <si>
    <t>이벤트</t>
  </si>
  <si>
    <t>1. 이벤트 메시지 카드의 icon 확인</t>
  </si>
  <si>
    <t>`WARNING`·`NORMAL` 구분 icon 표출</t>
  </si>
  <si>
    <t>트래픽 모니터링</t>
  </si>
  <si>
    <t>TC_VIO_102</t>
  </si>
  <si>
    <t>GPU 대시보드</t>
  </si>
  <si>
    <t>템플릿 관리</t>
  </si>
  <si>
    <t>1. 이벤트 메시지 카드의 title 표기 확인</t>
  </si>
  <si>
    <t>title이 대괄호로 감싼 `{리소스 유형}` 과 `{리소스 이름}` 조합 형식으로 표출
ㄴ 기획서 UI가 더미 리소스명 `kube-proxy-vxj98` 표기 — 실 값은 실측 상태를 `실제 결과`에 기재</t>
  </si>
  <si>
    <t>외부 알람 설정</t>
  </si>
  <si>
    <t>▵
 (조회만 가능)</t>
  </si>
  <si>
    <t>템플릿 조회</t>
  </si>
  <si>
    <t>O
 * 공유 옵션이 off 인 경우 
 다른 사용자가 생성한 템플릿 
 조회 불가능</t>
  </si>
  <si>
    <t>TC_VIO_103</t>
  </si>
  <si>
    <t>O
 * 공유 옵션이 off 여도 
 다른 사용자가 생성한 템플릿 
 조회 가능</t>
  </si>
  <si>
    <t>상세 화면이 존재하는 리소스의 이벤트 메시지가 표출된 상태</t>
  </si>
  <si>
    <t>1. 이벤트 메시지 title 클릭</t>
  </si>
  <si>
    <t>해당 리소스 상세 화면으로 이동</t>
  </si>
  <si>
    <t>TC_VIO_104</t>
  </si>
  <si>
    <t>템플릿 생성/수정/삭제</t>
  </si>
  <si>
    <t>O
 * 다른 사용자가 생성한 템플릿
 수정/삭제 가능</t>
  </si>
  <si>
    <t>상세 화면이 없는 리소스의 이벤트 메시지가 표출된 상태</t>
  </si>
  <si>
    <t>1. 이벤트 메시지 title의 링크 제공 여부 확인</t>
  </si>
  <si>
    <t>링크 미제공</t>
  </si>
  <si>
    <t>저장소 관리</t>
  </si>
  <si>
    <t>TC_VIO_105</t>
  </si>
  <si>
    <t>소스 코드
 저장소</t>
  </si>
  <si>
    <t>WARNING·NORMAL 이벤트 메시지가 모두 표출된 상태</t>
  </si>
  <si>
    <t>1. 두 카드 title의 밑줄 표기 대조</t>
  </si>
  <si>
    <t>title 밑줄 표기 확인
ㄴ 기획 미정의 항목 — PASS/FAIL 판정 대신 실측 상태를 `실제 결과`에 기재</t>
  </si>
  <si>
    <t>소스 코드 저장소 조회</t>
  </si>
  <si>
    <t>TC_VIO_106</t>
  </si>
  <si>
    <t>O
 * 다른 사용자가 등록한 저장소
 조회/수정/등록 해제 가능</t>
  </si>
  <si>
    <t>1. 이벤트 메시지 카드의 발생 시간 표기 확인</t>
  </si>
  <si>
    <t>발생 시간이 `{n}분 전` 형식으로 표출
ㄴ 기획서 UI가 더미 `1분 전`·`24분 전` 표기 — 실 값은 실측 상태를 `실제 결과`에 기재</t>
  </si>
  <si>
    <t>소스 코드 저장소 수정</t>
  </si>
  <si>
    <t>TC_VIO_107</t>
  </si>
  <si>
    <t>1. 이벤트 메시지 카드의 본문 확인</t>
  </si>
  <si>
    <t>이벤트 메시지 본문 표출
ㄴ 기획서 UI가 더미 메시지 문구 표기 — 실 값은 실측 상태를 `실제 결과`에 기재</t>
  </si>
  <si>
    <t>TC_VIO_108</t>
  </si>
  <si>
    <t>소스 코드 저장소 등록/해제</t>
  </si>
  <si>
    <t>1. 이벤트 메시지 카드의 발생 위치 표기 확인</t>
  </si>
  <si>
    <t>발생 위치에 `클러스터` 와 `네임스페이스` 값 표출
ㄴ 기획서 UI가 더미 `Cluster1`·`kube-system` 표기 — 실 값은 실측 상태를 `실제 결과`에 기재</t>
  </si>
  <si>
    <t>이미지
 저장소</t>
  </si>
  <si>
    <t>TC_VIO_109</t>
  </si>
  <si>
    <t>WARNING 이벤트 메시지가 표출된 상태</t>
  </si>
  <si>
    <t>1. WARNING 메시지 카드의 시각 표기 확인</t>
  </si>
  <si>
    <t>연주황 배경과 주황 삼각 경고 아이콘으로 표출</t>
  </si>
  <si>
    <t>TC_VIO_110</t>
  </si>
  <si>
    <t>NORMAL 이벤트 메시지가 표출된 상태</t>
  </si>
  <si>
    <t>1. NORMAL 메시지 카드의 시각 표기 확인</t>
  </si>
  <si>
    <t>흰색 배경과 녹색 원형 아이콘으로 표출</t>
  </si>
  <si>
    <t>▵
 * 본인이 등록한 저장소만
 등록 해제 가능</t>
  </si>
  <si>
    <t>TC_VIO_111</t>
  </si>
  <si>
    <t>팝업 본문 높이를 넘는 이벤트 메시지가 존재하는 상태</t>
  </si>
  <si>
    <t>O
 (기본 이미지 저장소 포함)</t>
  </si>
  <si>
    <t>1. 이벤트 메시지 목록 영역의 스크롤바 확인</t>
  </si>
  <si>
    <t>목록 영역 우측에 세로 스크롤바 표출</t>
  </si>
  <si>
    <t>애플리케이션</t>
  </si>
  <si>
    <t>TC_VIO_112</t>
  </si>
  <si>
    <t>토폴로지</t>
  </si>
  <si>
    <t>토폴로지 조회</t>
  </si>
  <si>
    <t>최근 1시간 이벤트가 0건인 상태</t>
  </si>
  <si>
    <t>O
 * 다른 사용자의 토폴로지
 조회/수정/삭제 가능</t>
  </si>
  <si>
    <t>이벤트 0건 상태 확인
ㄴ 기획 미정의 항목 — PASS/FAIL 판정 대신 실측 상태를 `실제 결과`에 기재</t>
  </si>
  <si>
    <t>토폴로지 생성/수정/삭제</t>
  </si>
  <si>
    <t>성능 모니터링</t>
  </si>
  <si>
    <t>TC_VIO_113</t>
  </si>
  <si>
    <t>성능 모니터링 조회</t>
  </si>
  <si>
    <t>O
 * 다른 사용자의 성능 모니터링
 조회 가능</t>
  </si>
  <si>
    <t>서비스
 카탈로그</t>
  </si>
  <si>
    <t>1. 이벤트 현황 차트 막대의 색상 규칙 확인</t>
  </si>
  <si>
    <t>차트 색상 규칙 확인
ㄴ 기획 미정의 항목 — PASS/FAIL 판정 대신 실측 상태를 `실제 결과`에 기재</t>
  </si>
  <si>
    <t>카탈로그
 허브 (탭)</t>
  </si>
  <si>
    <t>TC_VIO_114</t>
  </si>
  <si>
    <t>모니터링 현황 팝업 네트워크 탭</t>
  </si>
  <si>
    <t>1. 탭 `네트워크` 진입</t>
  </si>
  <si>
    <t>클러스터 트래픽 현황 목록 표출</t>
  </si>
  <si>
    <t>▵
 * 본인이 생성한 경우에만 가능</t>
  </si>
  <si>
    <t>TC_VIO_115</t>
  </si>
  <si>
    <t>권한 있는 클러스터가 복수 존재하는 상태</t>
  </si>
  <si>
    <t>1. `네트워크` 탭의 클러스터 목록 확인</t>
  </si>
  <si>
    <t>권한 있는 클러스터의 트래픽 현황 표출</t>
  </si>
  <si>
    <t>VIOLA 컴포넌트 설치</t>
  </si>
  <si>
    <t>TC_VIO_116</t>
  </si>
  <si>
    <t>설치 목록 조회</t>
  </si>
  <si>
    <t>권한 없는 클러스터가 존재하는 상태</t>
  </si>
  <si>
    <t>1. `네트워크` 탭 목록의 해당 클러스터 포함 여부 확인</t>
  </si>
  <si>
    <t>권한 없는 클러스터 미표출</t>
  </si>
  <si>
    <t>HelmChart 롤백/수정/삭제
 (VIOLA 컴포넌트 제외)</t>
  </si>
  <si>
    <t>TC_VIO_117</t>
  </si>
  <si>
    <t>실행 이력</t>
  </si>
  <si>
    <t>네트워크 오류가 발생한 클러스터가 존재하는 상태</t>
  </si>
  <si>
    <t>1. 탭 `네트워크` 의 아이콘 표기 확인</t>
  </si>
  <si>
    <t>탭 내 `ERROR` 아이콘 표출</t>
  </si>
  <si>
    <t>계정의 빌드/테스트/배포/파이프라인
 실행 이력 조회</t>
  </si>
  <si>
    <t>TC_VIO_118</t>
  </si>
  <si>
    <t>O
 * 다른 사용자의 실행 이력 표출</t>
  </si>
  <si>
    <t>`네트워크` 탭 진입 상태</t>
  </si>
  <si>
    <t>1. 정렬필터의 옵션 확인</t>
  </si>
  <si>
    <t>정렬 옵션 `이름 오름차순`·`이름 내림차순`·`상태 심각도순` 3종 표출</t>
  </si>
  <si>
    <t>사용자가 접근 가능한 자원의
 실행 액션에 대한 알람 발송</t>
  </si>
  <si>
    <t>O
 * 다른 사용자가 생성한 알람
 조회/수정/삭제 가능</t>
  </si>
  <si>
    <t>TC_VIO_119</t>
  </si>
  <si>
    <t>메뉴 관리</t>
  </si>
  <si>
    <t>`네트워크` 탭 최초 진입 상태</t>
  </si>
  <si>
    <t>LNB 메뉴 표출 여부, 표출 순서 설정</t>
  </si>
  <si>
    <t>1. 정렬필터의 기본 선택값 확인</t>
  </si>
  <si>
    <t>기본값 `이름 오름차순` 선택 상태로 표출</t>
  </si>
  <si>
    <t>TC_VIO_120</t>
  </si>
  <si>
    <t>오류·정상 클러스터가 함께 존재하는 `네트워크` 탭 진입 상태</t>
  </si>
  <si>
    <t>1. 정렬필터 `상태 심각도순` 선택</t>
  </si>
  <si>
    <t>오류 클러스터가 정상 클러스터보다 앞에 정렬</t>
  </si>
  <si>
    <t>TC_VIO_121</t>
  </si>
  <si>
    <t>동일 상태값 클러스터가 복수 존재하고 `상태 심각도순` 이 선택된 상태</t>
  </si>
  <si>
    <t>1. 동일 상태값 클러스터 간의 정렬 순서 확인</t>
  </si>
  <si>
    <t>클러스터 이름 기준 오름차순으로 정렬</t>
  </si>
  <si>
    <t>TC_VIO_122</t>
  </si>
  <si>
    <t>클러스터가 복수 존재하는 `네트워크` 탭 진입 상태</t>
  </si>
  <si>
    <t>1. 정렬필터 `이름 내림차순` 선택</t>
  </si>
  <si>
    <t>클러스터 이름 기준 내림차순 정렬</t>
  </si>
  <si>
    <t>TC_VIO_123</t>
  </si>
  <si>
    <t>1. 클러스터 카드의 이름 표기 확인</t>
  </si>
  <si>
    <t>클러스터 이름 표출
ㄴ 기획서 UI가 더미 `ClusterName` 표기 — 실 값은 실측 상태를 `실제 결과`에 기재</t>
  </si>
  <si>
    <t>TC_VIO_124</t>
  </si>
  <si>
    <t>클러스터 상세 진입 권한이 있는 `네트워크` 탭 진입 상태</t>
  </si>
  <si>
    <t>1. 클러스터 이름 클릭</t>
  </si>
  <si>
    <t>클러스터 상세 네트워크 화면으로 전환</t>
  </si>
  <si>
    <t>TC_VIO_125</t>
  </si>
  <si>
    <t>해당 클러스터에 `네임스페이스 관리` 권한만 존재하는 상태</t>
  </si>
  <si>
    <t>`권한 없음` 팝업 표출 후 상세 화면 진입 불가</t>
  </si>
  <si>
    <t>TC_VIO_126</t>
  </si>
  <si>
    <t>`권한 없음` 팝업이 표출된 상태</t>
  </si>
  <si>
    <t>1. `권한 없음` 팝업의 문구·구성 확인</t>
  </si>
  <si>
    <t>팝업 문구·구성 확인
ㄴ 기획 미정의 항목 — PASS/FAIL 판정 대신 실측 상태를 `실제 결과`에 기재</t>
  </si>
  <si>
    <t>TC_VIO_127</t>
  </si>
  <si>
    <t>1. 클러스터 카드의 트래픽 정보 확인</t>
  </si>
  <si>
    <t>현재 네트워크 트래픽 IN/OUT 정보 표출</t>
  </si>
  <si>
    <t>TC_VIO_128</t>
  </si>
  <si>
    <t>1. 클러스터 카드의 네트워크 상태 정보 확인</t>
  </si>
  <si>
    <t>네트워크 상태 정보 표출</t>
  </si>
  <si>
    <t>TC_VIO_129</t>
  </si>
  <si>
    <t>네트워크 장애가 발생한 클러스터가 존재하는 상태</t>
  </si>
  <si>
    <t>1. 장애 클러스터 카드의 아이콘·배경 확인</t>
  </si>
  <si>
    <t>클러스터 아이콘 우상단 아이콘 표시와 백그라운드 컬러 변경으로 장애 강조 표출</t>
  </si>
  <si>
    <t>TC_VIO_130</t>
  </si>
  <si>
    <t>1. 장애 클러스터 카드의 시각 표기 확인</t>
  </si>
  <si>
    <t>빨간 테두리·연분홍 배경·빨간 정육면체 아이콘과 우상단 빨간 원형 `!` 배지 표출</t>
  </si>
  <si>
    <t>TC_VIO_131</t>
  </si>
  <si>
    <t>1. 클러스터 카드의 트래픽 애니메이션 확인</t>
  </si>
  <si>
    <t>네트워크 IN/OUT 트래픽 애니메이션 표출</t>
  </si>
  <si>
    <t>TC_VIO_132</t>
  </si>
  <si>
    <t>트래픽양이 서로 다른 클러스터가 복수 존재하는 상태</t>
  </si>
  <si>
    <t>1. 클러스터별 트래픽 선의 line weight 비교</t>
  </si>
  <si>
    <t>트래픽양에 비례하여 line weight 자동 조절
ㄴ 비례 계수·범위 기획 미정의 — 해당 부분은 실측 상태를 `실제 결과`에 기재</t>
  </si>
  <si>
    <t>TC_VIO_133</t>
  </si>
  <si>
    <t>정상·오류 클러스터가 함께 존재하는 상태</t>
  </si>
  <si>
    <t>1. 트래픽 선의 컬러 구분 확인</t>
  </si>
  <si>
    <t>네트워크 상태에 따라 컬러 구분 표출</t>
  </si>
  <si>
    <t>TC_VIO_134</t>
  </si>
  <si>
    <t>네트워크 IN/OUT 값이 모두 존재하는 클러스터가 표출된 상태</t>
  </si>
  <si>
    <t>1. 해당 클러스터의 트래픽 선 컬러 확인</t>
  </si>
  <si>
    <t>정상 상태의 Blue 컬러로 표출</t>
  </si>
  <si>
    <t>TC_VIO_135</t>
  </si>
  <si>
    <t>네트워크 IN 또는 OUT 값이 없는 클러스터가 표출된 상태</t>
  </si>
  <si>
    <t>오류 상태의 Red 컬러로 표출</t>
  </si>
  <si>
    <t>TC_VIO_136</t>
  </si>
  <si>
    <t>1. 클러스터 카드의 트래픽양 단위 확인</t>
  </si>
  <si>
    <t>트래픽양이 `In {n} KBps`·`Out {n} KBps` 형식으로 표출
ㄴ 기획서 UI가 더미 `{n}` 표기 — 실 값은 실측 상태를 `실제 결과`에 기재</t>
  </si>
  <si>
    <t>TC_VIO_137</t>
  </si>
  <si>
    <t>1. 클러스터 카드의 `타임라인` 영역 확인</t>
  </si>
  <si>
    <t>`타임라인` 영역 표출</t>
  </si>
  <si>
    <t>TC_VIO_138</t>
  </si>
  <si>
    <t>1. `타임라인`의 기본 펼침 상태 확인</t>
  </si>
  <si>
    <t>`타임라인` 접힘 상태로 표출</t>
  </si>
  <si>
    <t>TC_VIO_139</t>
  </si>
  <si>
    <t>타임라인이 접힘 상태인 클러스터 카드가 표출된 상태</t>
  </si>
  <si>
    <t>1. `타임라인` 클릭</t>
  </si>
  <si>
    <t>타임라인 펼침</t>
  </si>
  <si>
    <t>TC_VIO_140</t>
  </si>
  <si>
    <t>클러스터 카드의 타임라인이 펼쳐진 상태</t>
  </si>
  <si>
    <t>1. 타임라인 그래프의 집계 범위 확인</t>
  </si>
  <si>
    <t>최근 1시간 동안의 클러스터 IN/OUT 트래픽 사용량 그래프 표출</t>
  </si>
  <si>
    <t>TC_VIO_141</t>
  </si>
  <si>
    <t>1. 타임라인 그래프의 y축 단위 확인</t>
  </si>
  <si>
    <t>단위 `KBps` 표출</t>
  </si>
  <si>
    <t>TC_VIO_142</t>
  </si>
  <si>
    <t>1. 타임라인 그래프의 범례 확인</t>
  </si>
  <si>
    <t>범례 `IN`·`OUT` 표출</t>
  </si>
  <si>
    <t>TC_VIO_143</t>
  </si>
  <si>
    <t>1. 타임라인 그래프의 x축 확인</t>
  </si>
  <si>
    <t>x축이 10분 단위축으로 표출</t>
  </si>
  <si>
    <t>TC_VIO_144</t>
  </si>
  <si>
    <t>네트워크가 정상인 클러스터가 표출된 상태</t>
  </si>
  <si>
    <t>1. 정상 클러스터 카드의 시각 표기 확인</t>
  </si>
  <si>
    <t>흰색 배경·하늘색 정육면체 아이콘·하늘색 곡선 트래픽 선 표출</t>
  </si>
  <si>
    <t>TC_VIO_145</t>
  </si>
  <si>
    <t>권한 있는 클러스터가 0건인 상태</t>
  </si>
  <si>
    <t>클러스터 0건 상태 확인
ㄴ 기획 미정의 항목 — PASS/FAIL 판정 대신 실측 상태를 `실제 결과`에 기재</t>
  </si>
  <si>
    <t>TC_VIO_146</t>
  </si>
  <si>
    <t>정렬필터를 `상태 심각도순` 으로 변경한 상태</t>
  </si>
  <si>
    <t>1. 다른 탭 이동 후 탭 `네트워크` 재진입</t>
  </si>
  <si>
    <t>정렬 설정 유지 여부 확인
ㄴ 기획 미정의 항목 — PASS/FAIL 판정 대신 실측 상태를 `실제 결과`에 기재</t>
  </si>
  <si>
    <t>TC_VIO_147</t>
  </si>
  <si>
    <t>모니터링 현황 팝업 클러스터 상세 네트워크</t>
  </si>
  <si>
    <t>`네트워크` 탭에서 클러스터 이름을 클릭한 상태</t>
  </si>
  <si>
    <t>1. 클러스터 상세 네트워크 뷰 확인</t>
  </si>
  <si>
    <t>클러스터 상세 네트워크 뷰 표출</t>
  </si>
  <si>
    <t>TC_VIO_148</t>
  </si>
  <si>
    <t>클러스터 상세 네트워크 뷰 진입 상태</t>
  </si>
  <si>
    <t>1. 뷰 좌상단의 버튼 확인</t>
  </si>
  <si>
    <t>뒤로 가기 버튼 `←` 표출</t>
  </si>
  <si>
    <t>TC_VIO_149</t>
  </si>
  <si>
    <t>1. 뒤로 가기 버튼 `←` 클릭</t>
  </si>
  <si>
    <t>전체 클러스터 네트워크 화면으로 전환</t>
  </si>
  <si>
    <t>TC_VIO_150</t>
  </si>
  <si>
    <t>특정 클러스터의 상세 네트워크 뷰 진입 상태</t>
  </si>
  <si>
    <t>1. 뷰 상단의 클러스터 이름 확인</t>
  </si>
  <si>
    <t>선택한 클러스터 이름 표출
ㄴ 기획서 UI가 더미 `ClusterName` 표기 — 실 값은 실측 상태를 `실제 결과`에 기재</t>
  </si>
  <si>
    <t>TC_VIO_151</t>
  </si>
  <si>
    <t>1. IN/OUT 총량 영역 확인</t>
  </si>
  <si>
    <t>`Network Inbound total`·`Network Outbound total` 총량 표출
ㄴ 기획서 UI가 더미 `383 KB/s` 표기 — 실 값은 실측 상태를 `실제 결과`에 기재</t>
  </si>
  <si>
    <t>TC_VIO_152</t>
  </si>
  <si>
    <t>1. IN/OUT 총량의 단위 표기 확인</t>
  </si>
  <si>
    <t>총량 단위 표기 확인
ㄴ 기획 미정의 항목 — PASS/FAIL 판정 대신 실측 상태를 `실제 결과`에 기재</t>
  </si>
  <si>
    <t>TC_VIO_153</t>
  </si>
  <si>
    <t>1. `노드별 트래픽` 섹션 확인</t>
  </si>
  <si>
    <t>`노드별 트래픽` 섹션과 노드 카드 목록 표출</t>
  </si>
  <si>
    <t>TC_VIO_154</t>
  </si>
  <si>
    <t>1. 노드 카드의 상세 표기 형태를 기획서 `3항` 정의와 대조</t>
  </si>
  <si>
    <t>노드 카드의 상세 표기 형태 확인
ㄴ 기획 미정의 항목 — PASS/FAIL 판정 대신 실측 상태를 `실제 결과`에 기재</t>
  </si>
  <si>
    <t>TC_VIO_155</t>
  </si>
  <si>
    <t>정상 상태 노드가 존재하는 클러스터 상세 네트워크 뷰 진입 상태</t>
  </si>
  <si>
    <t>1. 정상 노드 카드의 시각 표기 확인</t>
  </si>
  <si>
    <t>하늘색 서버형 아이콘과 하늘색 트래픽 선 표출
ㄴ 기획서 UI가 더미 `NodeName` 표기 — 실 값은 실측 상태를 `실제 결과`에 기재</t>
  </si>
  <si>
    <t>TC_VIO_156</t>
  </si>
  <si>
    <t>장애 상태 노드가 존재하는 클러스터 상세 네트워크 뷰 진입 상태</t>
  </si>
  <si>
    <t>1. 장애 노드 카드 아이콘 우상단의 배지 표기 확인</t>
  </si>
  <si>
    <t>장애 노드 카드의 배지 표기 확인
ㄴ 기획 미정의 항목 — PASS/FAIL 판정 대신 실측 상태를 `실제 결과`에 기재</t>
  </si>
  <si>
    <t>TC_VIO_157</t>
  </si>
  <si>
    <t>1. `노드별 트래픽` 정렬 드롭다운 확인</t>
  </si>
  <si>
    <t>정렬 드롭다운 표출
ㄴ 정렬 옵션 구성 기획 미정의 — 해당 부분은 실측 상태를 `실제 결과`에 기재</t>
  </si>
  <si>
    <t>TC_VIO_158</t>
  </si>
  <si>
    <t>1. 노드 카드의 타임라인 기본 상태 확인</t>
  </si>
  <si>
    <t>노드 카드 타임라인이 접힘 상태로 표출</t>
  </si>
  <si>
    <t>TC_VIO_159</t>
  </si>
  <si>
    <t>모니터링 현황 팝업 로그 통계 탭</t>
  </si>
  <si>
    <t>1. 탭 `로그 통계` 진입</t>
  </si>
  <si>
    <t>로그 발생 현황과 상태 변경 이력 영역 표출</t>
  </si>
  <si>
    <t>TC_VIO_160</t>
  </si>
  <si>
    <t>`파드 및 노드 상태 변경 이력` 알림이 존재하는 상태</t>
  </si>
  <si>
    <t>질문 영역</t>
  </si>
  <si>
    <t>1. 탭 `로그 통계` 의 아이콘 표기 확인</t>
  </si>
  <si>
    <t>TC_VIO_161</t>
  </si>
  <si>
    <t>답변 내용</t>
  </si>
  <si>
    <t>1</t>
  </si>
  <si>
    <t>권한 있는 클러스터가 복수 존재하는 `로그 통계` 탭 진입 상태</t>
  </si>
  <si>
    <t>1. 로그 통계 데이터의 집계 범위 확인</t>
  </si>
  <si>
    <t>최근 1시간 기준 권한 있는 모든 클러스터 데이터로 집계</t>
  </si>
  <si>
    <t>TC_VIO_162</t>
  </si>
  <si>
    <t>질문 팀/파트</t>
  </si>
  <si>
    <t>권한 없는 클러스터의 로그가 존재하는 상태</t>
  </si>
  <si>
    <t>화면ID</t>
  </si>
  <si>
    <t>GNB 영역 구성 확인
ㄴ 기획 미정의 항목 — PASS/FAIL 판정 대신 실측 상태를 `실제 결과`에 기재</t>
  </si>
  <si>
    <t>구분 (기능명)</t>
  </si>
  <si>
    <t>[DESC 머리] GNB 영역은 Boot Factory 참고</t>
  </si>
  <si>
    <t>[정책 예외] 문서 기본=변경 / 이 화면=신규 [확인 불가] U-2 GNB 상세 정의가 타 제품(Boot Factory) 기획서로 위임 — 해당 기획서 확인 필요</t>
  </si>
  <si>
    <t>2</t>
  </si>
  <si>
    <t>1. 로그 통계의 해당 클러스터 데이터 포함 여부 확인</t>
  </si>
  <si>
    <t>권한 없는 클러스터 데이터 미집계</t>
  </si>
  <si>
    <t>문의 내용</t>
  </si>
  <si>
    <t>문의자</t>
  </si>
  <si>
    <t>답변자</t>
  </si>
  <si>
    <t>TC_VIO_163</t>
  </si>
  <si>
    <t>`로그 통계` 탭 진입 상태</t>
  </si>
  <si>
    <t>1. 로그 통계 상세 표기를 통합 로그 조회 화면 정의와 대조</t>
  </si>
  <si>
    <t>상세 표기 형태 확인
ㄴ 기획 미정의 항목 — PASS/FAIL 판정 대신 실측 상태를 `실제 결과`에 기재</t>
  </si>
  <si>
    <t>품질팀</t>
  </si>
  <si>
    <t>[DESC 1항] [UI] p15 LNB 영역 메뉴 목록</t>
  </si>
  <si>
    <t>[정책 예외] 문서 기본=변경 / 이 화면=신규</t>
  </si>
  <si>
    <t>VIO-02_01_01-04</t>
  </si>
  <si>
    <t>TC_VIO_164</t>
  </si>
  <si>
    <t>클러스터 생성(1/3)</t>
  </si>
  <si>
    <t>3</t>
  </si>
  <si>
    <t>쿠버네티스 엔진 버전이 "솔루션 버전별 상이" 기재되어 있음
 -&gt; 4.0 에 클러스터 지원버전 변경점이 있는지 문의</t>
  </si>
  <si>
    <t>1. 로그 발생 현황 영역 확인</t>
  </si>
  <si>
    <t>로그 발생 현황 영역 표출
ㄴ 내부 표기·동작(통합 로그 조회 정의 위임) 기획 미정의 — 해당 부분은 실측 상태를 `실제 결과`에 기재</t>
  </si>
  <si>
    <t>TC_VIO_165</t>
  </si>
  <si>
    <t>[DESC 1항-1] [공통 DESC C19] VIOLA LNB 메뉴 제공(Menu Structure 참고)</t>
  </si>
  <si>
    <t>[정책 예외] 문서 기본=변경 / 이 화면=신규 [확인 불가] U-12 메뉴 트리 원문이 Menu Structure(p9) 위임 — 이 화면 근거로 확정 불가, 기획 확인 필요</t>
  </si>
  <si>
    <t>4</t>
  </si>
  <si>
    <t>1. 리소스 상태 이상 감지 영역 확인</t>
  </si>
  <si>
    <t>리소스 상태 이상 감지 영역 표출
ㄴ 내부 표기·동작(통합 로그 조회 정의 위임) 기획 미정의 — 해당 부분은 실측 상태를 `실제 결과`에 기재</t>
  </si>
  <si>
    <t>[DESC 1항-2] `Default : 전체 닫힘`</t>
  </si>
  <si>
    <t>5</t>
  </si>
  <si>
    <t>VIO-02_01_01-14</t>
  </si>
  <si>
    <t>클러스터 생성(2/3) - 기존 노드 사용</t>
  </si>
  <si>
    <t>기존 노드 사용 옵션은 컨트롤 플레인, 워커 노드의 IP 구성 시 기존에 생성했던 노드의 IP 를 작성하는건지?</t>
  </si>
  <si>
    <t>TC_VIO_166</t>
  </si>
  <si>
    <t>1. LNB 메뉴의 선택 상태 확인</t>
  </si>
  <si>
    <t>[DESC 1항-2-a] 대시보드 메뉴 선택된 상태</t>
  </si>
  <si>
    <t>6</t>
  </si>
  <si>
    <t>1. 로그 발생 현황 우측 `전체보기` 클릭</t>
  </si>
  <si>
    <t>통합 로그 조회 화면(VIOE-04_05_01)이 새 창으로 실행</t>
  </si>
  <si>
    <t>VIO-02_01_01-11</t>
  </si>
  <si>
    <t>엔진 업그레이드 팝업(1/2)</t>
  </si>
  <si>
    <t>현재 버전이 미지원 버전으로 설정되었을 경우"엔진 업그레이드 팝업 &gt; 생성된 클러스터만 제공하는 기능으로 1.31,1.32,1.33 으로 생성 가능함
현재 버전이 미지원 버전을 가진 클러스터를 어떻게 만들 수 있는지?</t>
  </si>
  <si>
    <t>[UI] p15 LNB 메뉴 chevron 표기 4종</t>
  </si>
  <si>
    <t>7</t>
  </si>
  <si>
    <t>TC_VIO_167</t>
  </si>
  <si>
    <t>VIO-04_06_02</t>
  </si>
  <si>
    <t>모니터링 &gt; 외부 알람 설정</t>
  </si>
  <si>
    <t>클러스터 이상 감지버튼은 구분이 표출되지 않는지
 - 구분에 메트릭, 이벤트, 로그 구분 TAG 로만 표출이라고 기획서에 정의되어 있음</t>
  </si>
  <si>
    <t>[UI] p15 대시보드 chevron 미표기 [DESC 1항-4] 하위 메뉴 없는 메뉴</t>
  </si>
  <si>
    <t>8</t>
  </si>
  <si>
    <t>1. 로그 발생 현황 섹션의 제목 확인</t>
  </si>
  <si>
    <t>섹션 제목 `최근 1시간 유형별 로그 발생 현황` 표출</t>
  </si>
  <si>
    <t>[DESC 1항-3] 상위 메뉴 클릭 시, 하위 메뉴 펼침</t>
  </si>
  <si>
    <t>9</t>
  </si>
  <si>
    <t>TC_VIO_168</t>
  </si>
  <si>
    <t>재클릭 후 하위 메뉴 상태 확인
ㄴ 기획 미정의 항목 — PASS/FAIL 판정 대신 실측 상태를 `실제 결과`에 기재</t>
  </si>
  <si>
    <t>1. `전체보기` 링크의 표기 확인</t>
  </si>
  <si>
    <t>[확인 불가 기반] [DESC 1항-3] 펼침만 규정, 접힘 미규정</t>
  </si>
  <si>
    <t>녹색 밑줄 텍스트와 외부 링크 아이콘으로 표출</t>
  </si>
  <si>
    <t>[정책 예외] 문서 기본=변경 / 이 화면=신규 [확인 불가] U-11 상위 메뉴 재클릭 시 접힘 여부 미정의 — 기획 확인 필요</t>
  </si>
  <si>
    <t>10</t>
  </si>
  <si>
    <t>두 상위 메뉴의 펼침 상태 확인
ㄴ 기획 미정의 항목 — PASS/FAIL 판정 대신 실측 상태를 `실제 결과`에 기재</t>
  </si>
  <si>
    <t>[확인 불가 기반] [DESC 1항-3] 동시 펼침 허용 개수 미규정</t>
  </si>
  <si>
    <t>[정책 예외] 문서 기본=변경 / 이 화면=신규 [확인 불가] U-11 동시 펼침 허용 개수 미정의 — 기획 확인 필요</t>
  </si>
  <si>
    <t>11</t>
  </si>
  <si>
    <t>TC_VIO_169</t>
  </si>
  <si>
    <t>[DESC 1항-4-a] 진입한 메뉴 외 전체 메뉴 닫힘</t>
  </si>
  <si>
    <t>[정책 예외] 문서 기본=변경 / 이 화면=신규 [확인 불가] 대상 리프 메뉴는 Menu Structure(p9) 확인 필요</t>
  </si>
  <si>
    <t>12</t>
  </si>
  <si>
    <t>1. 로그 발생 현황 차트 확인</t>
  </si>
  <si>
    <t>유형별 꺾은선 그래프와 `hh:mm` x축으로 구성된 차트 표출
ㄴ 기획서 UI가 더미 축 라벨 `Y-label 1`~`Y-label 4`·`hh:mm` 표기 — 실 값은 실측 상태를 `실제 결과`에 기재</t>
  </si>
  <si>
    <t>[DESC 1항-4-a-1] 진입한 메뉴의 상위 메뉴만 펼침 상태 유지</t>
  </si>
  <si>
    <t>13</t>
  </si>
  <si>
    <t>TC_VIO_170</t>
  </si>
  <si>
    <t>[DESC 1항-4-b] 해당 메뉴 화면 Contents 영역에 표시</t>
  </si>
  <si>
    <t>14</t>
  </si>
  <si>
    <t>1. 로그 유형 범례와 집계 건수 확인</t>
  </si>
  <si>
    <t>로그 유형 `이벤트`·`애플리케이션 로그`·`노드 로그`·`운영 로그`·`보안 로그` 5종의 색 칩과 건수 표출
ㄴ 기획서 UI가 더미 건수 `nnn` 표기 — 실 값은 실측 상태를 `실제 결과`에 기재</t>
  </si>
  <si>
    <t>[UI] p15 LNB 최상단 워드마크</t>
  </si>
  <si>
    <t>[정책 예외] 문서 기본=변경 / 이 화면=신규 [확인 불가] Description 미정의 요소 — GNB 위임 범위 포함 여부 기획 확인 필요</t>
  </si>
  <si>
    <t>15</t>
  </si>
  <si>
    <t>TC_VIO_171</t>
  </si>
  <si>
    <t>[UI] p15 LNB 배너</t>
  </si>
  <si>
    <t>1. 상태 변경 이력 섹션의 제목과 건수 확인</t>
  </si>
  <si>
    <t>16</t>
  </si>
  <si>
    <t>TC_VIO_016</t>
  </si>
  <si>
    <t>섹션 제목 `파드 및 노드 상태 변경 이력` 과 건수 표출
ㄴ 기획서 UI가 더미 건수 `1` 표기 — 실 값은 실측 상태를 `실제 결과`에 기재</t>
  </si>
  <si>
    <t>1. LNB 하단 `알림` 항목 확인</t>
  </si>
  <si>
    <t>종 아이콘 + 라벨 `알림` 표출
ㄴ 빨간 dot 배지 노출 조건 기획 미정의 — 배지 상태는 실측 상태를 `실제 결과`에 기재</t>
  </si>
  <si>
    <t>[UI] p15 LNB 하단 알림 — 콜아웃 1 점선 박스 밖</t>
  </si>
  <si>
    <t>[정책 예외] 문서 기본=변경 / 이 화면=신규 [확인 불가] U-10 동작·dot 배지 노출 조건 미정의 — 기획 확인 필요</t>
  </si>
  <si>
    <t>17</t>
  </si>
  <si>
    <t>TC_VIO_172</t>
  </si>
  <si>
    <t>TC_VIO_017</t>
  </si>
  <si>
    <t>1. LNB 하단 `프로필` 항목 확인</t>
  </si>
  <si>
    <t>사람 아이콘 + 라벨 `프로필` 표출</t>
  </si>
  <si>
    <t>[UI] p15 LNB 하단 프로필 — 콜아웃 1 점선 박스 밖</t>
  </si>
  <si>
    <t>[정책 예외] 문서 기본=변경 / 이 화면=신규 [확인 불가] U-10 동작 미정의 — 기획 확인 필요</t>
  </si>
  <si>
    <t>상태 변경 이력이 존재하는 `로그 통계` 탭 진입 상태</t>
  </si>
  <si>
    <t>18</t>
  </si>
  <si>
    <t>1. 상태 변경 이력 카드의 시각 표기 확인</t>
  </si>
  <si>
    <t>TC_VIO_018</t>
  </si>
  <si>
    <t>연주황 배경·주황 삼각 경고 아이콘과 밑줄 처리된 title 표출
ㄴ 기획서 UI가 더미 리소스명 `kube-proxy-vxj98` 표기 — 실 값은 실측 상태를 `실제 결과`에 기재</t>
  </si>
  <si>
    <t>1. LNB 최하단 접기 버튼 확인</t>
  </si>
  <si>
    <t>사이드바 접기 아이콘 버튼 `|&lt;` 표출</t>
  </si>
  <si>
    <t>[UI] p15 LNB 최하단 접기 버튼 — 콜아웃 1 점선 박스 밖</t>
  </si>
  <si>
    <t>19</t>
  </si>
  <si>
    <t>TC_VIO_173</t>
  </si>
  <si>
    <t>TC_VIO_019</t>
  </si>
  <si>
    <t>LNB가 펼쳐진 기본 상태</t>
  </si>
  <si>
    <t>1. LNB 최하단 접기 버튼 `|&lt;` 클릭</t>
  </si>
  <si>
    <t>클릭 후 LNB 영역 상태 확인
ㄴ 기획 미정의 항목 — PASS/FAIL 판정 대신 실측 상태를 `실제 결과`에 기재</t>
  </si>
  <si>
    <t>Loki가 연결되지 않은 클러스터가 존재하는 상태</t>
  </si>
  <si>
    <t>[확인 불가 기반] [UI] p15 접기 버튼 동작</t>
  </si>
  <si>
    <t>1. 탭 `로그 통계` 상단 영역 확인</t>
  </si>
  <si>
    <t>[정책 예외] 문서 기본=변경 / 이 화면=신규 [확인 불가] U-10 접기 버튼 클릭 동작 미정의 — 기획 확인 필요</t>
  </si>
  <si>
    <t>Loki 미연결 알림 배너의 노출 여부 확인
ㄴ 기획 미정의 항목 — PASS/FAIL 판정 대신 실측 상태를 `실제 결과`에 기재</t>
  </si>
  <si>
    <t>20</t>
  </si>
  <si>
    <t>TC_VIO_020</t>
  </si>
  <si>
    <t>1. 상단 바 브레드크럼 경로 확인</t>
  </si>
  <si>
    <t>브레드크럼 경로가 구분자 ` / ` 로 연결되어 표출</t>
  </si>
  <si>
    <t>[UI] p15 브레드크럼 `{1depth} / {2depth} / Previous page / Current page`</t>
  </si>
  <si>
    <t>[정책 예외] 문서 기본=변경 / 이 화면=신규 [확인 불가] U-1 브레드크럼이 플레이스홀더 토큰으로 표기 — 실 depth 값 기획 확인 필요</t>
  </si>
  <si>
    <t>21</t>
  </si>
  <si>
    <t>TC_VIO_174</t>
  </si>
  <si>
    <t>TC_VIO_021</t>
  </si>
  <si>
    <t>특정 메뉴 화면이 Contents 영역에 표출된 상태</t>
  </si>
  <si>
    <t>1. 브레드크럼과 Contents 영역 화면 경로 대조</t>
  </si>
  <si>
    <t>Contents 영역 화면에 해당하는 브레드크럼 표출</t>
  </si>
  <si>
    <t>Loki 미연결 알림 배너가 노출된 상태</t>
  </si>
  <si>
    <t>[DESC 2항-2] Contents 영역(5항)에 해당하는 브레드크럼 표시</t>
  </si>
  <si>
    <t>1. 배너의 `연결 확인 &gt;` 클릭</t>
  </si>
  <si>
    <t>22</t>
  </si>
  <si>
    <t>클릭 후 이동처 확인
ㄴ 기획 미정의 항목 — PASS/FAIL 판정 대신 실측 상태를 `실제 결과`에 기재</t>
  </si>
  <si>
    <t>TC_VIO_022</t>
  </si>
  <si>
    <t>1. 브레드크럼 표기를 Breadcrumbs 공통 정책과 대조</t>
  </si>
  <si>
    <t>브레드크럼 표기 상태 확인
ㄴ 기획 미정의 항목 — PASS/FAIL 판정 대신 실측 상태를 `실제 결과`에 기재</t>
  </si>
  <si>
    <t>[DESC 2항-1] Breadcrumbs 공통 정책에 따름</t>
  </si>
  <si>
    <t>[정책 예외] 문서 기본=변경 / 이 화면=신규 [확인 불가] U-3 공통 정책의 원문 위치가 기획서에 미명시 — 대상 페이지 확인 필요</t>
  </si>
  <si>
    <t>TC_VIO_175</t>
  </si>
  <si>
    <t>23</t>
  </si>
  <si>
    <t>TC_VIO_023</t>
  </si>
  <si>
    <t>1. 브레드크럼의 플레이스홀더 토큰 잔존 여부 확인</t>
  </si>
  <si>
    <t>플레이스홀더 토큰 `{1depth}`·`{2depth}` 미노출</t>
  </si>
  <si>
    <t>[UI] p15 브레드크럼 플레이스홀더 표기 [DESC 2항-2]</t>
  </si>
  <si>
    <t>1. 배너 우측 `✕` 클릭</t>
  </si>
  <si>
    <t>[정책 예외] 문서 기본=변경 / 이 화면=신규 [확인 불가] U-1 치환 후 실 depth 값이 이 화면에 없음 — 확정값 확인 필요</t>
  </si>
  <si>
    <t>배너 닫힘 후 재노출 정책 확인
ㄴ 기획 미정의 항목 — PASS/FAIL 판정 대신 실측 상태를 `실제 결과`에 기재</t>
  </si>
  <si>
    <t>24</t>
  </si>
  <si>
    <t>TC_VIO_024</t>
  </si>
  <si>
    <t>브레드크럼에 상위 경로가 표출된 상태</t>
  </si>
  <si>
    <t>1. 브레드크럼 상위 depth 클릭</t>
  </si>
  <si>
    <t>클릭 후 화면 이동 여부 확인
ㄴ 기획 미정의 항목 — PASS/FAIL 판정 대신 실측 상태를 `실제 결과`에 기재</t>
  </si>
  <si>
    <t>[확인 불가 기반] [DESC 2항] 각 depth 클릭 동작 미규정</t>
  </si>
  <si>
    <t>[정책 예외] 문서 기본=변경 / 이 화면=신규 [확인 불가] U-13 브레드크럼 depth 클릭 시 이동 여부 미정의 — 기획 확인 필요</t>
  </si>
  <si>
    <t>TC_VIO_176</t>
  </si>
  <si>
    <t>25</t>
  </si>
  <si>
    <t>최근 1시간 로그가 0건인 상태</t>
  </si>
  <si>
    <t>[DESC 3항] [DESC 3항-1] 테넌트 네비게이터에서 선택한 클러스터 이름 표출 [UI] p15 `Cluster name`</t>
  </si>
  <si>
    <t>로그 0건 상태 확인
ㄴ 기획 미정의 항목 — PASS/FAIL 판정 대신 실측 상태를 `실제 결과`에 기재</t>
  </si>
  <si>
    <t>26</t>
  </si>
  <si>
    <t>TC_VIO_177</t>
  </si>
  <si>
    <t>[DESC 3항-2] 클릭 시, 테넌트 네비게이터 팝오버 호출 (3-1 참고)</t>
  </si>
  <si>
    <t>VIOE-04_06_01</t>
  </si>
  <si>
    <t>27</t>
  </si>
  <si>
    <t>TC_VIO_027</t>
  </si>
  <si>
    <t>외부 알람 목록</t>
  </si>
  <si>
    <t>목록</t>
  </si>
  <si>
    <t>1. 팝오버 세부 동작을 Navigator 공통 정책과 대조</t>
  </si>
  <si>
    <t>팝오버 세부 동작 상태 확인
ㄴ 기획 미정의 항목 — PASS/FAIL 판정 대신 실측 상태를 `실제 결과`에 기재</t>
  </si>
  <si>
    <t>[DESC 3항-2-a] 세부 동작은 Navigator 공통 정책에 따름</t>
  </si>
  <si>
    <t>외부 알람 목록 화면 진입 상태</t>
  </si>
  <si>
    <t>28</t>
  </si>
  <si>
    <t>TC_VIO_028</t>
  </si>
  <si>
    <t>1. 화면 상단 좌측 Breadcrumb 확인</t>
  </si>
  <si>
    <t>1. 팝오버 Options 및 Flow를 테넌트 네비게이터 팝업 정의와 대조</t>
  </si>
  <si>
    <t>테넌트 네비게이터 팝업(VIOE-00_00_05) 정의와 동일한 Options·Flow 표출</t>
  </si>
  <si>
    <t>`모니터링 / 외부 알람 설정` 2단 Breadcrumb 표출
ㄴ 최하위 `외부 알람 설정` 볼드 표기</t>
  </si>
  <si>
    <t>[DESC 3항-2-b] [강조] [공통 DESC C15] Options 및 Flow는 테넌트 네비게이터 팝업과 동일하게 제공 (v1추가 - 26.07.14)</t>
  </si>
  <si>
    <t>[정책 예외] 문서 기본=변경 / 이 화면=신규 [확인 불가] U-4 정의처 VIOE-00_00_05(p11)가 이번 분석 범위 밖 — 대조 시 해당 기획서 원문 확인 필요</t>
  </si>
  <si>
    <t>권혁호</t>
  </si>
  <si>
    <t>29</t>
  </si>
  <si>
    <t>[DESC 4항] [강조] [스티커] `모니터링 현황` 버튼 추가 (v1추가 - 26.06.09)</t>
  </si>
  <si>
    <t>TC_VIO_178</t>
  </si>
  <si>
    <t>30</t>
  </si>
  <si>
    <t>1. 페이지 헤더 영역의 타이틀 확인</t>
  </si>
  <si>
    <t>페이지 타이틀 `외부 알람 설정` 표출</t>
  </si>
  <si>
    <t>[DESC 4항-1] [강조] 항상 활성화</t>
  </si>
  <si>
    <t>[정책 예외] 문서 기본=변경 / 이 화면=신규 [확인 불가] U-6 비활성 조건·권한별 차이 미정의 — 기획 확인 필요</t>
  </si>
  <si>
    <t>31</t>
  </si>
  <si>
    <t>TC_VIO_179</t>
  </si>
  <si>
    <t>[DESC 4항-2] [강조] 모니터링 현황 정보 내 장애 발생 시 시각적 알림 효과 제공</t>
  </si>
  <si>
    <t>[정책 예외] 문서 기본=변경 / 이 화면=신규 [확인 불가] U-5 알림 효과의 구체 형태·장애 판정 기준 미정의 — 기획 확인 필요</t>
  </si>
  <si>
    <t>32</t>
  </si>
  <si>
    <t>TC_VIO_032</t>
  </si>
  <si>
    <t>1. 페이지 타이틀 하단 서브타이틀 영역 확인</t>
  </si>
  <si>
    <t>서브타이틀 텍스트 표출
ㄴ 기획서 UI가 더미 `Subtitle` 표기 — 실 문구는 실측 상태를 `실제 결과`에 기재</t>
  </si>
  <si>
    <t>1. 시각적 알림 효과를 VIOE-00_00_08 정의와 대조</t>
  </si>
  <si>
    <t>VIOE-00_00_08 정의와 동일한 시각적 알림 효과 표출</t>
  </si>
  <si>
    <t>[DESC 4항-2-a] [강조] [공통 DESC C16] 상세 정의는 VIOE-00_00_08 참고</t>
  </si>
  <si>
    <t>[정책 예외] 문서 기본=변경 / 이 화면=신규 [확인 불가] U-5 정의처 VIOE-00_00_08(p165)이 이번 분석 범위 밖 — 대조 시 해당 기획서 원문 확인 필요</t>
  </si>
  <si>
    <t>33</t>
  </si>
  <si>
    <t>VQ-589</t>
  </si>
  <si>
    <t>오버레이 팝업(VIOE-00_00_08) 표출</t>
  </si>
  <si>
    <t>[DESC 4항-3] [강조] 클릭 시, 오버레이 팝업 제공 (VIOE-00_00_08 참고)</t>
  </si>
  <si>
    <t>[정책 예외] 문서 기본=변경 / 이 화면=신규 [확인 불가] U-5 오버레이 팝업 내용이 이번 분석 범위 밖 — 해당 기획서 확인 필요</t>
  </si>
  <si>
    <t>34</t>
  </si>
  <si>
    <t>TC_VIO_034</t>
  </si>
  <si>
    <t>1. 화면 중앙 Contents 영역 확인</t>
  </si>
  <si>
    <t>흰 배경 영역과 라벨 `Contents 영역` 표출</t>
  </si>
  <si>
    <t>[DESC 5항] [UI] p15 콜아웃 5 Contents 영역</t>
  </si>
  <si>
    <t>35</t>
  </si>
  <si>
    <t>TC_VIO_035</t>
  </si>
  <si>
    <t>1. Contents 영역 내용을 해당 화면 기획서 정의와 대조</t>
  </si>
  <si>
    <t>Contents 영역 내용 확인
ㄴ 기획 미정의 항목 — PASS/FAIL 판정 대신 실측 상태를 `실제 결과`에 기재</t>
  </si>
  <si>
    <t>[DESC 5항-1] 각 화면 정의</t>
  </si>
  <si>
    <t>[정책 예외] 문서 기본=변경 / 이 화면=신규 [확인 불가] 각 화면 정의가 개별 화면 기획서로 위임 — 이 화면 근거로 확정 불가</t>
  </si>
  <si>
    <t>36</t>
  </si>
  <si>
    <t>TC_VIO_036</t>
  </si>
  <si>
    <t>Contents 영역 높이를 넘는 내용이 표출된 상태</t>
  </si>
  <si>
    <t>1. Contents 영역 스크롤 동작 확인</t>
  </si>
  <si>
    <t>스크롤 동작 상태 확인
ㄴ 기획 미정의 항목 — PASS/FAIL 판정 대신 실측 상태를 `실제 결과`에 기재</t>
  </si>
  <si>
    <t>[확인 불가 기반] [DESC 5항] 영역 스크롤 정책 미규정</t>
  </si>
  <si>
    <t>[정책 예외] 문서 기본=변경 / 이 화면=신규 [확인 불가] U-14 Contents 영역 스크롤 정책 미정의 — 기획 확인 필요</t>
  </si>
  <si>
    <t>37</t>
  </si>
  <si>
    <t>[UI] p15 콜아웃 3-1 팝오버 라벨</t>
  </si>
  <si>
    <t>38</t>
  </si>
  <si>
    <t>돋보기 아이콘과 placeholder 텍스트 표출
ㄴ 기획서 UI가 더미 `Placeholder` 표기 — 실 문구는 실측 상태를 `실제 결과`에 기재</t>
  </si>
  <si>
    <t>[UI] p15 콜아웃 3-1 검색 입력</t>
  </si>
  <si>
    <t>[정책 예외] 문서 기본=변경 / 이 화면=신규 [확인 불가] U-7 placeholder 확정 문구 미정의(UI 더미 표기) — 확정값 확인 필요</t>
  </si>
  <si>
    <t>[K8s] 외부 알람 설정 메뉴 subtitle 문구 기획서와 상이함</t>
  </si>
  <si>
    <t>39</t>
  </si>
  <si>
    <t>[UI] p15 콜아웃 3-1 즐겨찾기 그룹 헤더</t>
  </si>
  <si>
    <t>40</t>
  </si>
  <si>
    <t>TC_VIO_180</t>
  </si>
  <si>
    <t>[UI] p15 콜아웃 3-1 전체 그룹 헤더</t>
  </si>
  <si>
    <t>1. 좌측 LNB `모니터링` 하위 메뉴 상태 확인</t>
  </si>
  <si>
    <t>`외부 알람 설정` 메뉴가 선택 상태로 표출</t>
  </si>
  <si>
    <t>41</t>
  </si>
  <si>
    <t>[UI] p15 콜아웃 3-1 그룹 구분선</t>
  </si>
  <si>
    <t>42</t>
  </si>
  <si>
    <t>TC_VIO_181</t>
  </si>
  <si>
    <t>1. 화면 우상단 클러스터 선택기 확인</t>
  </si>
  <si>
    <t>클러스터 선택기와 교체 아이콘 표출</t>
  </si>
  <si>
    <t>[UI] p15 콜아웃 3-1 즐겨찾기 등록 상태 아이콘</t>
  </si>
  <si>
    <t>43</t>
  </si>
  <si>
    <t>[UI] p15 콜아웃 3-1 미등록 상태 아이콘</t>
  </si>
  <si>
    <t>TC_VIO_182</t>
  </si>
  <si>
    <t>44</t>
  </si>
  <si>
    <t>1. 화면 우상단 최우측 버튼 확인</t>
  </si>
  <si>
    <t>아이콘과 라벨 `모니터링 현황` 버튼 표출</t>
  </si>
  <si>
    <t>TC_VIO_183</t>
  </si>
  <si>
    <t>외부 알람이 1건 이상 등록된 상태</t>
  </si>
  <si>
    <t>1. LNB `모니터링` &gt; `외부 알람 설정` 진입</t>
  </si>
  <si>
    <t>[UI] p15 콜아웃 3-1 선택 상태 표기</t>
  </si>
  <si>
    <t>외부 알람 목록 테이블 표출</t>
  </si>
  <si>
    <t>45</t>
  </si>
  <si>
    <t>TC_VIO_045</t>
  </si>
  <si>
    <t>1. 그룹별 항목 라벨과 건수 확인</t>
  </si>
  <si>
    <t>항목 목록 표출
ㄴ 기획서 UI가 더미 `Option` 표기 — 실 라벨·건수는 실측 상태를 `실제 결과`에 기재</t>
  </si>
  <si>
    <t>TC_VIO_184</t>
  </si>
  <si>
    <t>[UI] p15 콜아웃 3-1 항목 라벨 더미 표기(즐겨찾기 1 · 전체 7)</t>
  </si>
  <si>
    <t>[정책 예외] 문서 기본=변경 / 이 화면=신규 [확인 불가] U-9 항목 라벨·건수가 더미 값 — 실 데이터 정의 확인 필요</t>
  </si>
  <si>
    <t>46</t>
  </si>
  <si>
    <t>1. 목록 영역의 조회 동작·구성 확인</t>
  </si>
  <si>
    <t>Table 조회형 공통 정책에 따른 목록 제공 확인</t>
  </si>
  <si>
    <t>항목 정렬 상태 확인
ㄴ 기획 미정의 항목 — PASS/FAIL 판정 대신 실측 상태를 `실제 결과`에 기재</t>
  </si>
  <si>
    <t>[확인 불가 기반] [UI] p15 콜아웃 3-1 정렬 토글</t>
  </si>
  <si>
    <t>[정책 예외] 문서 기본=변경 / 이 화면=신규 [확인 불가] U-8 정렬 기준·기본 방향 미정의 — 기획 확인 필요</t>
  </si>
  <si>
    <t>47</t>
  </si>
  <si>
    <t>TC_VIO_185</t>
  </si>
  <si>
    <t>그룹 접힘 상태 확인
ㄴ 기획 미정의 항목 — PASS/FAIL 판정 대신 실측 상태를 `실제 결과`에 기재</t>
  </si>
  <si>
    <t>[확인 불가 기반] [UI] p15 콜아웃 3-1 그룹 접기 chevron</t>
  </si>
  <si>
    <t>[정책 예외] 문서 기본=변경 / 이 화면=신규 [확인 불가] U-8 그룹 접기 동작 미정의 — 기획 확인 필요</t>
  </si>
  <si>
    <t>1. 테이블 헤더 `조건 구성` 컬럼의 정렬 아이콘 유무 확인</t>
  </si>
  <si>
    <t>`조건 구성` 컬럼에 정렬 아이콘 미표출</t>
  </si>
  <si>
    <t>48</t>
  </si>
  <si>
    <t>[UI] p15 콜아웃 3-1 확인 버튼</t>
  </si>
  <si>
    <t>TC_VIO_186</t>
  </si>
  <si>
    <t>49</t>
  </si>
  <si>
    <t>1. 테이블 헤더 `활성화` 컬럼의 정렬 아이콘 유무 확인</t>
  </si>
  <si>
    <t>`활성화` 컬럼에 정렬 아이콘 미표출</t>
  </si>
  <si>
    <t>[UI] p15 콜아웃 3-1 취소 버튼</t>
  </si>
  <si>
    <t>50</t>
  </si>
  <si>
    <t>클릭 후 클러스터 선택 결과 확인
ㄴ 기획 미정의 항목 — PASS/FAIL 판정 대신 실측 상태를 `실제 결과`에 기재</t>
  </si>
  <si>
    <t>TC_VIO_187</t>
  </si>
  <si>
    <t>[공통 DESC C15] [UI] p15 콜아웃 3-1 확인 버튼 — 동작은 VIOE-00_00_05 위임</t>
  </si>
  <si>
    <t>[정책 예외] 문서 기본=변경 / 이 화면=신규 [확인 불가] U-4 확인 동작이 이 페이지에 미정의, 정의처 VIOE-00_00_05가 분석 범위 밖 — 기획 확인 필요</t>
  </si>
  <si>
    <t>51</t>
  </si>
  <si>
    <t>`조건 구성` 값이 서로 다른 알람이 2건 이상 등록되고 정렬이 적용되지 않은 목록 화면 진입 상태</t>
  </si>
  <si>
    <t>1. 테이블 헤더 `조건 구성` 컬럼명 클릭</t>
  </si>
  <si>
    <t>클릭 전후 목록 순서 유지</t>
  </si>
  <si>
    <t>클릭 후 팝오버 상태 확인
ㄴ 기획 미정의 항목 — PASS/FAIL 판정 대신 실측 상태를 `실제 결과`에 기재</t>
  </si>
  <si>
    <t>[공통 DESC C15] [UI] p15 콜아웃 3-1 취소 버튼 — 동작은 VIOE-00_00_05 위임</t>
  </si>
  <si>
    <t>[정책 예외] 문서 기본=변경 / 이 화면=신규 [확인 불가] U-4 취소 동작이 이 페이지에 미정의, 정의처 VIOE-00_00_05가 분석 범위 밖 — 기획 확인 필요</t>
  </si>
  <si>
    <t>52</t>
  </si>
  <si>
    <t>TC_VIO_188</t>
  </si>
  <si>
    <t>0건 상태 표기 확인
ㄴ 기획 미정의 항목 — PASS/FAIL 판정 대신 실측 상태를 `실제 결과`에 기재</t>
  </si>
  <si>
    <t>[확인 불가 기반] [UI] p15 콜아웃 3-1 검색 입력 — 0건 상태 미규정</t>
  </si>
  <si>
    <t>[정책 예외] 문서 기본=변경 / 이 화면=신규 [확인 불가] U-4 검색 매칭 규칙·0건 상태 미정의 — 기획 확인 필요</t>
  </si>
  <si>
    <t>`활성화` 값이 서로 다른 알람이 2건 이상 등록되고 정렬이 적용되지 않은 목록 화면 진입 상태</t>
  </si>
  <si>
    <t>53</t>
  </si>
  <si>
    <t>TC_VIO_053</t>
  </si>
  <si>
    <t>1. 테이블 헤더 `활성화` 컬럼명 클릭</t>
  </si>
  <si>
    <t>해당 컬럼 기준 정렬 적용 확인</t>
  </si>
  <si>
    <t>1. 항목 우측 북마크 아이콘 클릭</t>
  </si>
  <si>
    <t>즐겨찾기 등록·해제 결과 확인
ㄴ 기획 미정의 항목 — PASS/FAIL 판정 대신 실측 상태를 `실제 결과`에 기재</t>
  </si>
  <si>
    <t>VQ-596</t>
  </si>
  <si>
    <t>[확인 불가 기반] [UI] p15 콜아웃 3-1 북마크 아이콘 — 등록·해제 방법 미규정</t>
  </si>
  <si>
    <t>[정책 예외] 문서 기본=변경 / 이 화면=신규 [확인 불가] U-4 즐겨찾기 등록·해제 방법 미정의 — 기획 확인 필요</t>
  </si>
  <si>
    <t>54</t>
  </si>
  <si>
    <t>TC_VIO_054</t>
  </si>
  <si>
    <t>Contents 영역 화면 로딩 중 상태</t>
  </si>
  <si>
    <t>1. Contents 영역 로딩 표기 확인</t>
  </si>
  <si>
    <t>로딩 표기 상태 확인
ㄴ 기획 미정의 항목 — PASS/FAIL 판정 대신 실측 상태를 `실제 결과`에 기재</t>
  </si>
  <si>
    <t>[확인 불가 기반] [DESC 5항] 영역 로딩 상태 미규정</t>
  </si>
  <si>
    <t>[정책 예외] 문서 기본=변경 / 이 화면=신규 [확인 불가] U-14 Contents 영역 로딩 표기 미정의 — 기획 확인 필요</t>
  </si>
  <si>
    <t>55</t>
  </si>
  <si>
    <t>TC_VIO_055</t>
  </si>
  <si>
    <t>Contents 영역에 표출할 내용이 없는 상태</t>
  </si>
  <si>
    <t>1. Contents 영역 빈 상태 표기 확인</t>
  </si>
  <si>
    <t>빈 상태 표기 확인
ㄴ 기획 미정의 항목 — PASS/FAIL 판정 대신 실측 상태를 `실제 결과`에 기재</t>
  </si>
  <si>
    <t>[확인 불가 기반] [DESC 5항] 영역 빈 상태 미규정</t>
  </si>
  <si>
    <t>[정책 예외] 문서 기본=변경 / 이 화면=신규 [확인 불가] U-14 Contents 영역 빈 상태 표기 미정의 — 기획 확인 필요</t>
  </si>
  <si>
    <t>56</t>
  </si>
  <si>
    <t>[K8s] 외부 알람 설정 목록의 "활성화" 컬럼에 sort 적용되어 있지 않음</t>
  </si>
  <si>
    <t>[DESC 머리-1] 화면 우상단 `모니터링 현황` 버튼 클릭 시 팝업</t>
  </si>
  <si>
    <t>57</t>
  </si>
  <si>
    <t>TC_VIO_189</t>
  </si>
  <si>
    <t>[DESC 머리-1-a] 화면 최상단 레이어로 제공</t>
  </si>
  <si>
    <t>58</t>
  </si>
  <si>
    <t>1. 검색 필터에서 `조건 수, 최근 발송일시` 항목 제공 여부 확인</t>
  </si>
  <si>
    <t>`조건 수, 최근 발송일시` 검색 필터 미제공</t>
  </si>
  <si>
    <t>VQ-597</t>
  </si>
  <si>
    <t>[UI] p16 호출 버튼 기본 상태</t>
  </si>
  <si>
    <t>59</t>
  </si>
  <si>
    <t>[DESC 머리-2] [강조] 모니터링 현황 정보 내 장애 발생 시 버튼 status 변경</t>
  </si>
  <si>
    <t>60</t>
  </si>
  <si>
    <t>[UI] p16 warning status 버튼 표기</t>
  </si>
  <si>
    <t>[정책 예외] 문서 기본=변경 / 이 화면=신규 [확인 불가] glow 효과의 애니메이션 여부 미정의 — 기획 확인 필요</t>
  </si>
  <si>
    <t>61</t>
  </si>
  <si>
    <t>[K8s] 외부 알람 설정 목록 &gt; 일부 검색 필터 칼럼명과 상이함</t>
  </si>
  <si>
    <t>[DESC 머리-2-a] [강조] `a. 이벤트 탭 : 영향 없음`</t>
  </si>
  <si>
    <t>62</t>
  </si>
  <si>
    <t>TC_VIO_190</t>
  </si>
  <si>
    <t>[DESC 머리-2-a-1] [강조] warning 이벤트 존재하더라도 버튼 status는 기본 상태 유지</t>
  </si>
  <si>
    <t>1. 테이블 헤더 `작업` 컬럼의 정렬 아이콘 유무 확인</t>
  </si>
  <si>
    <t>`작업` 컬럼에 정렬 아이콘 미표출</t>
  </si>
  <si>
    <t>63</t>
  </si>
  <si>
    <t>[DESC 머리-2-b] [강조] `b. 네트워크 : 네트워크 장애 존재 시 warning status로 변경`</t>
  </si>
  <si>
    <t>TC_VIO_191</t>
  </si>
  <si>
    <t>64</t>
  </si>
  <si>
    <t>[DESC 머리-2-b-1] [강조] 모든 네트워크 정상 상태인 경우에만 기본 상태로 제공</t>
  </si>
  <si>
    <t>1. 테이블 헤더의 컬럼 구성과 순서 확인</t>
  </si>
  <si>
    <t>체크박스 · `이름` · `클러스터` · `대상 리소스` · `조건 구성` · `조건 수` · `활성화` · `최근 발송일시` · `생성일시` · `작업` 순으로 표출</t>
  </si>
  <si>
    <t>65</t>
  </si>
  <si>
    <t>[DESC 머리-2-c] [강조] 확인하지 않은 `리소스 상태 이상 감지` 건이 있는 경우 warning status로 변경</t>
  </si>
  <si>
    <t>[정책 예외] 문서 기본=변경 / 이 화면=신규 [UI↔DESC 불일치] U-8 DESC 머리-2-c: `리소스 상태 이상 감지` / DESC 5항-1·UI: `파드 및 노드 상태 변경 이력` — 동일 대상인지 확인 필요</t>
  </si>
  <si>
    <t>TC_VIO_192</t>
  </si>
  <si>
    <t>66</t>
  </si>
  <si>
    <t>[DESC 머리-2-c-1] [강조] `로그 통계` 탭 진입 시, 기본 상태로 전환 (읽음 처리)</t>
  </si>
  <si>
    <t>1. 테이블 헤더 `대상 리소스` 영역 확인</t>
  </si>
  <si>
    <t>`대상 리소스` 그룹 헤더 하위에 `네임스페이스` · `워크로드` 2컬럼 표출</t>
  </si>
  <si>
    <t>67</t>
  </si>
  <si>
    <t>[확인 불가 기반] [DESC 머리-2-b] [DESC 머리-2-c-1] 조건 동시 성립 시 우선순위 미규정</t>
  </si>
  <si>
    <t>[정책 예외] 문서 기본=변경 / 이 화면=신규 [확인 불가] 네트워크 장애와 로그 통계 조건 동시 성립 시 해제 우선순위 미정의 — 기획 확인 필요</t>
  </si>
  <si>
    <t>TC_VIO_193</t>
  </si>
  <si>
    <t>68</t>
  </si>
  <si>
    <t>1. 정렬 아이콘이 표출되는 컬럼 확인</t>
  </si>
  <si>
    <t>[DESC 머리-3] 타이틀 클릭 후 Drag &amp;Drop으로 위치 이동 가능</t>
  </si>
  <si>
    <t>`이름` · `클러스터` · `네임스페이스` · `워크로드` · `조건 수` · `최근 발송일시` · `생성일시` 7개 컬럼에 정렬 아이콘 표출</t>
  </si>
  <si>
    <t>[정책 예외] 문서 기본=변경 / 이 화면=신규 [확인 불가] U-5 이동 범위 제한 미정의 — 기획 확인 필요</t>
  </si>
  <si>
    <t>69</t>
  </si>
  <si>
    <t>TC_VIO_194</t>
  </si>
  <si>
    <t>[DESC 머리-4] 상하 크기 조절 가능</t>
  </si>
  <si>
    <t>[정책 예외] 문서 기본=변경 / 이 화면=신규 [확인 불가] U-5 리사이즈 핸들 UI·최소·최대 크기 미정의 — 기획 확인 필요</t>
  </si>
  <si>
    <t>70</t>
  </si>
  <si>
    <t>외부 알람이 1건 이상 등록된 목록 화면 진입 상태</t>
  </si>
  <si>
    <t>1. 정렬 아이콘이 표출된 컬럼의 헤더 클릭</t>
  </si>
  <si>
    <t>[확인 불가 기반] [DESC 머리-4] 상하만 규정, 좌우 미규정</t>
  </si>
  <si>
    <t>[정책 예외] 문서 기본=변경 / 이 화면=신규 [확인 불가] U-5 좌우 크기 조절 가능 여부 미정의 — 기획 확인 필요</t>
  </si>
  <si>
    <t>71</t>
  </si>
  <si>
    <t>[DESC 머리-5] `Tabs : 이벤트, 네트워크, 로그 통계`</t>
  </si>
  <si>
    <t>TC_VIO_195</t>
  </si>
  <si>
    <t>72</t>
  </si>
  <si>
    <t>1. 테이블 헤더 `이름` 컬럼 확인</t>
  </si>
  <si>
    <t>[UI] p16 활성 탭 표기</t>
  </si>
  <si>
    <t>`이름` 컬럼이 체크박스 우측 첫 번째 컬럼으로 표출</t>
  </si>
  <si>
    <t>73</t>
  </si>
  <si>
    <t>[DESC 머리-5-a] Default : `경고` 아이콘 표출된 탭으로 auto-focusing — 원문 대괄호는 백틱 치환</t>
  </si>
  <si>
    <t>[정책 예외] 문서 기본=변경 / 이 화면=신규 [확인 불가] U-3 DESC 머리-5-a: `경고` / DESC 3항-1·5항-1: `WARNING` / DESC 4항-2: `ERROR` 세 표기의 관계 미정의 — 기획 확인 필요</t>
  </si>
  <si>
    <t>TC_VIO_196</t>
  </si>
  <si>
    <t>74</t>
  </si>
  <si>
    <t>1. 목록 행의 `이름` 셀 표기 확인</t>
  </si>
  <si>
    <t>[DESC 머리-5-b] `경고` 아이콘 표출된 탭이 2개 이상인 경우, tab 순서에 따라 auto-focusing</t>
  </si>
  <si>
    <t>`이름` 값이 밑줄 링크 형태로 표출</t>
  </si>
  <si>
    <t>[정책 예외] 문서 기본=변경 / 이 화면=신규 [확인 불가] U-4 `tab 순서` 의 정의 미명시 — 기획 확인 필요</t>
  </si>
  <si>
    <t>75</t>
  </si>
  <si>
    <t>[확인 불가 기반] [DESC 머리-5-a] 경고 아이콘 탭 0개일 때 미규정</t>
  </si>
  <si>
    <t>[정책 예외] 문서 기본=변경 / 이 화면=신규 [확인 불가] U-4 경고 아이콘 탭이 0개일 때의 Default 탭 미정의 — 기획 확인 필요</t>
  </si>
  <si>
    <t>TC_VIO_197</t>
  </si>
  <si>
    <t>76</t>
  </si>
  <si>
    <t>[DESC 머리-5] [UI] p16 탭 바 탭 전환</t>
  </si>
  <si>
    <t>1. 목록 행의 `이름` 셀 클릭</t>
  </si>
  <si>
    <t>알람 상세 화면(VIOE-04_06_04)으로 이동</t>
  </si>
  <si>
    <t>77</t>
  </si>
  <si>
    <t>[UI] p16 탭 알림 dot</t>
  </si>
  <si>
    <t>TC_VIO_199</t>
  </si>
  <si>
    <t>[정책 예외] 문서 기본=변경 / 이 화면=신규 [UI↔DESC 불일치] U-3 UI: 원형 dot / DESC 3항-1·4항-2: `WARNING`·`ERROR` 아이콘 — 어느 쪽이 맞는지 확인 필요</t>
  </si>
  <si>
    <t>78</t>
  </si>
  <si>
    <t>1. 테이블 헤더 `클러스터` 컬럼 확인</t>
  </si>
  <si>
    <t>`클러스터` 컬럼이 `이름` 우측에 표출</t>
  </si>
  <si>
    <t>[UI] p16 팝업 타이틀</t>
  </si>
  <si>
    <t>79</t>
  </si>
  <si>
    <t>TC_VIO_200</t>
  </si>
  <si>
    <t>[UI] p16 팝업 닫기 버튼</t>
  </si>
  <si>
    <t>[정책 예외] 문서 기본=변경 / 이 화면=신규 [확인 불가] U-12 닫기 버튼이 Description 미정의 요소 — 기획 확인 필요</t>
  </si>
  <si>
    <t>80</t>
  </si>
  <si>
    <t>1. 목록 행의 `클러스터` 셀 표기 확인</t>
  </si>
  <si>
    <t>해당 알람의 클러스터 이름 표출</t>
  </si>
  <si>
    <t>[확인 불가 기반] [UI] p16 닫기 버튼 동작</t>
  </si>
  <si>
    <t>[정책 예외] 문서 기본=변경 / 이 화면=신규 [확인 불가] U-12 `✕` 클릭 시 동작 미정의(고정 상태 포함) — 기획 확인 필요</t>
  </si>
  <si>
    <t>81</t>
  </si>
  <si>
    <t>TC_VIO_201</t>
  </si>
  <si>
    <t>[DESC 1항] [DESC 1항-1] 팝업 우상단 `고정` 버튼 제공 — 원문 대괄호는 백틱 치환</t>
  </si>
  <si>
    <t>[정책 예외] 문서 기본=변경 / 이 화면=신규 [UI↔DESC 불일치] U-6 UI: pin 아이콘(라벨 없음) / DESC 1항-1: `고정` 버튼 — 표기 확인 필요</t>
  </si>
  <si>
    <t>82</t>
  </si>
  <si>
    <t>1. `대상 리소스` 그룹 헤더 하위 좌측 컬럼 확인</t>
  </si>
  <si>
    <t>`네임스페이스` 컬럼 표출</t>
  </si>
  <si>
    <t>[DESC 1항-2] 클릭 시, 백그라운드 화면 이동(LNB 이동, 상세 화면 진입 등) 시에도 해당 팝업 종료되지 않음</t>
  </si>
  <si>
    <t>83</t>
  </si>
  <si>
    <t>TC_VIO_202</t>
  </si>
  <si>
    <t>[DESC 1항-3] 재클릭 시, 고정 기능 해제 (화면 이동 시 해당 팝업 종료)</t>
  </si>
  <si>
    <t>대상 범위가 `네임스페이스 전체` 인 알람이 존재하는 상태</t>
  </si>
  <si>
    <t>1. 해당 행의 `네임스페이스` 셀 표기 확인</t>
  </si>
  <si>
    <t>84</t>
  </si>
  <si>
    <t>`전체` 표출</t>
  </si>
  <si>
    <t>[확인 불가 기반] [DESC 1항-1] 고정 상태의 시각 표기 미규정</t>
  </si>
  <si>
    <t>[정책 예외] 문서 기본=변경 / 이 화면=신규 [확인 불가] U-6 고정 상태의 활성 스타일·유지 범위 미정의 — 기획 확인 필요</t>
  </si>
  <si>
    <t>TC_VIO_203</t>
  </si>
  <si>
    <t>85</t>
  </si>
  <si>
    <t>특정 네임스페이스를 대상으로 하는 알람이 존재하는 상태</t>
  </si>
  <si>
    <t>[DESC 2항] [DESC 2항-1] 팝업 호출 일시 표시</t>
  </si>
  <si>
    <t>해당 네임스페이스 이름 표출</t>
  </si>
  <si>
    <t>86</t>
  </si>
  <si>
    <t>[UI] p16 새로고침 아이콘</t>
  </si>
  <si>
    <t>TC_VIO_204</t>
  </si>
  <si>
    <t>87</t>
  </si>
  <si>
    <t>대상 범위가 `클러스터 전체` 인 알람이 존재하는 상태</t>
  </si>
  <si>
    <t>[DESC 2항-2] 새로고침 클릭 시, 데이터 새로고침 (클릭 시점 기준 최근 1시간)</t>
  </si>
  <si>
    <t>No-data 마커 `-` 표출</t>
  </si>
  <si>
    <t>88</t>
  </si>
  <si>
    <t>TC_VIO_205</t>
  </si>
  <si>
    <t>[확인 불가 기반] [DESC 2항-1] 새로고침 후 일시 갱신 여부 미규정</t>
  </si>
  <si>
    <t>[정책 예외] 문서 기본=변경 / 이 화면=신규 [확인 불가] 새로고침 후 호출 일시 표기의 갱신 여부 미정의 — 기획 확인 필요</t>
  </si>
  <si>
    <t>89</t>
  </si>
  <si>
    <t>1. `대상 리소스` 그룹 헤더 하위 우측 컬럼 확인</t>
  </si>
  <si>
    <t>`워크로드` 컬럼 표출</t>
  </si>
  <si>
    <t>[DESC 3항] `이벤트` 탭 — 원문 대괄호는 백틱 치환</t>
  </si>
  <si>
    <t>90</t>
  </si>
  <si>
    <t>TC_VIO_206</t>
  </si>
  <si>
    <t>[DESC 3항-1] warning 이벤트 발생 시, 탭 내 `WARNING` 아이콘 제공 (화면 참고)</t>
  </si>
  <si>
    <t>[정책 예외] 문서 기본=변경 / 이 화면=신규 [UI↔DESC 불일치] U-3 UI: 주황 원형 dot / DESC 3항-1: `WARNING` 아이콘 — 표기 확인 필요</t>
  </si>
  <si>
    <t>91</t>
  </si>
  <si>
    <t>특정 리소스 유형 전체를 대상으로 하는 알람이 존재하는 상태</t>
  </si>
  <si>
    <t>1. 해당 행의 `워크로드` 셀 표기 확인</t>
  </si>
  <si>
    <t>`{리소스 유형} 전체` 형태로 표출</t>
  </si>
  <si>
    <t>[DESC 3항-2] 이벤트 현황 [UI] p16 누적 막대 차트</t>
  </si>
  <si>
    <t>92</t>
  </si>
  <si>
    <t>TC_VIO_207</t>
  </si>
  <si>
    <t>[DESC 3항-2-a] `- 최근 1시간동안 권한 있는 클러스터 전체에서 발생한 이벤트 타임라인`</t>
  </si>
  <si>
    <t>93</t>
  </si>
  <si>
    <t>특정 리소스를 대상으로 하는 알람이 존재하는 상태</t>
  </si>
  <si>
    <t>`{리소스 유형} {리소스 이름}` 형태로 표출</t>
  </si>
  <si>
    <t>[DESC 3항-2-a] 집계 권한 범위 — 권한 있는 클러스터 전체</t>
  </si>
  <si>
    <t>94</t>
  </si>
  <si>
    <t>TC_VIO_208</t>
  </si>
  <si>
    <t>[DESC 3항-2-b] `- x축 : 10분 단위`</t>
  </si>
  <si>
    <t>95</t>
  </si>
  <si>
    <t>[UI] p16 이벤트 차트 y축</t>
  </si>
  <si>
    <t>96</t>
  </si>
  <si>
    <t>TC_VIO_209</t>
  </si>
  <si>
    <t>[DESC 3항-3] `segment : 전체 / WARNING / NORMAL`</t>
  </si>
  <si>
    <t>97</t>
  </si>
  <si>
    <t>[DESC 3항-3-a] `- 각 유형 이벤트 통계값 제공 (화면 참고)`</t>
  </si>
  <si>
    <t>98</t>
  </si>
  <si>
    <t>TC_VIO_210</t>
  </si>
  <si>
    <t>[DESC 3항-3-b] `- 클릭 시, 해당되는 이벤트 메시지만 필터링하여 제공`</t>
  </si>
  <si>
    <t>99</t>
  </si>
  <si>
    <t>1. 테이블 헤더 `조건 구성` 컬럼 확인</t>
  </si>
  <si>
    <t>`조건 구성` 컬럼이 `대상 리소스` 우측에 표출</t>
  </si>
  <si>
    <t>[UI] p16 segment 칩 선택 상태</t>
  </si>
  <si>
    <t>TC_VIO_211</t>
  </si>
  <si>
    <t>100</t>
  </si>
  <si>
    <t>`메트릭` 유형 조건이 구성된 알람이 존재하는 상태</t>
  </si>
  <si>
    <t>1. 해당 행의 `조건 구성` 셀 확인</t>
  </si>
  <si>
    <t>`메트릭` 태그 표출</t>
  </si>
  <si>
    <t>[DESC 3항-4] 이벤트 메시지</t>
  </si>
  <si>
    <t>101</t>
  </si>
  <si>
    <t>[DESC 3항-4-a] `a. icon : WARNING / NORMAL`</t>
  </si>
  <si>
    <t>102</t>
  </si>
  <si>
    <t>TC_VIO_212</t>
  </si>
  <si>
    <t>`메트릭(임계치)` 유형 조건이 구성된 알람이 존재하는 상태</t>
  </si>
  <si>
    <t>[DESC 3항-4-b] b. title : `{리소스 유형}` {리소스 이름} — 원문 대괄호는 백틱 치환</t>
  </si>
  <si>
    <t>103</t>
  </si>
  <si>
    <t>`메트릭(임계치)` 태그 표출</t>
  </si>
  <si>
    <t>[DESC 3항-4-b-1] [강조] `- 클릭 시, 해당 리소스 상세 화면으로 이동`</t>
  </si>
  <si>
    <t>TC_VIO_213</t>
  </si>
  <si>
    <t>104</t>
  </si>
  <si>
    <t>`이벤트` 유형 조건이 구성된 알람이 존재하는 상태</t>
  </si>
  <si>
    <t>[DESC 3항-4-b-2] [강조] `- 상세 화면 없는 리소스의 경우, 링크 미제공`</t>
  </si>
  <si>
    <t>[정책 예외] 문서 기본=변경 / 이 화면=신규 [확인 불가] U-7 `상세 화면 없는 리소스` 의 판정 기준·목록 미정의 — 기획 확인 필요</t>
  </si>
  <si>
    <t>`이벤트` 태그 표출</t>
  </si>
  <si>
    <t>105</t>
  </si>
  <si>
    <t>VQ-595 이슈로 인해 테스트 불가</t>
  </si>
  <si>
    <t>[확인 불가 기반] [UI] p16 WARNING 카드 밑줄 없음 / NORMAL 카드 밑줄 있음</t>
  </si>
  <si>
    <t>[정책 예외] 문서 기본=변경 / 이 화면=신규 [UI↔DESC 불일치] U-7 UI: 동일 `Pod` 리소스인데 밑줄 유·무가 갈림 / DESC 3항-4-b-2: 상세 화면 없는 리소스만 링크 미제공 — 어느 쪽이 맞는지 확인 필요</t>
  </si>
  <si>
    <t>TC_VIO_214</t>
  </si>
  <si>
    <t>106</t>
  </si>
  <si>
    <t>`로그` 유형 조건이 구성된 알람이 존재하는 상태</t>
  </si>
  <si>
    <t>[DESC 3항-4-c] `c. 발생 시간 : {n}분 전`</t>
  </si>
  <si>
    <t>`로그` 태그 표출</t>
  </si>
  <si>
    <t>107</t>
  </si>
  <si>
    <t>[DESC 3항-4-d] `d. 이벤트 메시지`</t>
  </si>
  <si>
    <t>108</t>
  </si>
  <si>
    <t>`클러스터 이상 감지` 유형 조건이 구성된 알람이 존재하는 상태</t>
  </si>
  <si>
    <t>[DESC 3항-4-e] `e. 발생 위치 : 클러스터 : {cluster-name} / 네임스페이스 : namespace-name}`</t>
  </si>
  <si>
    <t>[정책 예외] 문서 기본=변경 / 이 화면=신규 [오타 의심] U-9 DESC 3항-4-e 원문 `namespace-name}` 에 여는 중괄호 누락 — 원문 확인 필요</t>
  </si>
  <si>
    <t>`클러스터 상태 이상` 태그 표출</t>
  </si>
  <si>
    <t>109</t>
  </si>
  <si>
    <t>VQ-594</t>
  </si>
  <si>
    <t>[UI] p16 WARNING 메시지 카드 표기</t>
  </si>
  <si>
    <t>110</t>
  </si>
  <si>
    <t>[UI] p16 NORMAL 메시지 카드 표기</t>
  </si>
  <si>
    <t>111</t>
  </si>
  <si>
    <t>[UI] p16 팝업 본문 세로 스크롤바</t>
  </si>
  <si>
    <t>[정책 예외] 문서 기본=변경 / 이 화면=신규 [확인 불가] 스크롤 정책이 Description 미정의 — 기획 확인 필요</t>
  </si>
  <si>
    <t>112</t>
  </si>
  <si>
    <t>[K8s] 알람 조건 "클러스터 이상 감지"로 등록된 알람이 목록에서 "로그" 로 노출되는 현상</t>
  </si>
  <si>
    <t>TC_VIO_215</t>
  </si>
  <si>
    <t>[확인 불가 기반] [DESC 3항-2] 0건 상태 미규정</t>
  </si>
  <si>
    <t>[정책 예외] 문서 기본=변경 / 이 화면=신규 [확인 불가] U-18 각 탭의 0건·로딩·오류 상태 미정의 — 기획 확인 필요 로딩·오류 상태 포함 — 세 상태 모두 기획 미정의</t>
  </si>
  <si>
    <t>113</t>
  </si>
  <si>
    <t>두 개 이상 유형의 조건이 구성된 알람이 존재하는 상태</t>
  </si>
  <si>
    <t>유형별 태그가 각각 별도 태그로 표출</t>
  </si>
  <si>
    <t>[확인 불가 기반] [UI] p16 이벤트 차트 색상(녹색·주황)</t>
  </si>
  <si>
    <t>[정책 예외] 문서 기본=변경 / 이 화면=신규 [확인 불가] U-19 차트 색상의 의미·segment 값과의 대응 미정의 — 기획 확인 필요</t>
  </si>
  <si>
    <t>114</t>
  </si>
  <si>
    <t>TC_VIO_216</t>
  </si>
  <si>
    <t>[DESC 4항] 네트워크</t>
  </si>
  <si>
    <t>115</t>
  </si>
  <si>
    <t>태그가 셀 표출 범위를 초과하는 알람이 존재하는 상태</t>
  </si>
  <si>
    <t>`+N` 오버플로 배지 표출</t>
  </si>
  <si>
    <t>[DESC 4항-1] 권한 있는 클러스터의 트래픽 현황 표출</t>
  </si>
  <si>
    <t>116</t>
  </si>
  <si>
    <t>TC_VIO_217</t>
  </si>
  <si>
    <t>[DESC 4항-1] 표출 권한 범위 — 권한 있는 클러스터</t>
  </si>
  <si>
    <t>117</t>
  </si>
  <si>
    <t>1. 테이블 헤더 `조건 수` 컬럼 확인</t>
  </si>
  <si>
    <t>`조건 수` 컬럼이 `조건 구성` 우측에 표출</t>
  </si>
  <si>
    <t>[DESC 4항-2] 네트워크 오류 발생한 클러스터 존재 시, 탭 내 `ERROR` 아이콘 제공 (화면 참고)</t>
  </si>
  <si>
    <t>[정책 예외] 문서 기본=변경 / 이 화면=신규 [UI↔DESC 불일치] U-3 UI: 빨간 원형 dot / DESC 4항-2: `ERROR` 아이콘 — 표기 확인 필요</t>
  </si>
  <si>
    <t>118</t>
  </si>
  <si>
    <t>TC_VIO_218</t>
  </si>
  <si>
    <t>[DESC 4항-3] [강조] `1. 정렬필터 : 이름 오름차순(Default), 이름 내림차순, 상태 심각도순`</t>
  </si>
  <si>
    <t>119</t>
  </si>
  <si>
    <t>1. 목록 행의 `조건 수` 셀 표기 확인</t>
  </si>
  <si>
    <t>조건 건수가 숫자만으로 표출</t>
  </si>
  <si>
    <t>[DESC 4항-3] [강조] [UI] p16 정렬 드롭다운 Default 값</t>
  </si>
  <si>
    <t>120</t>
  </si>
  <si>
    <t>TC_VIO_219</t>
  </si>
  <si>
    <t>[DESC 4항-3-a] [강조] `- 상태 심각도순 정렬 시 : 오류 &gt; 정상 순 정렬`</t>
  </si>
  <si>
    <t>1. 테이블 헤더 `활성화` 컬럼 확인</t>
  </si>
  <si>
    <t>121</t>
  </si>
  <si>
    <t>`활성화` 컬럼이 `조건 수` 우측에 표출</t>
  </si>
  <si>
    <t>[DESC 4항-3-b] [강조] `(중복 상태값 존재하는 경우, 클러스터 이름 기준 오름차순 정렬)`</t>
  </si>
  <si>
    <t>TC_VIO_220</t>
  </si>
  <si>
    <t>122</t>
  </si>
  <si>
    <t>활성 상태인 알람이 존재하는 상태</t>
  </si>
  <si>
    <t>1. 해당 행의 `활성화` 셀 확인</t>
  </si>
  <si>
    <t>`ON` tag(연초록) 표출</t>
  </si>
  <si>
    <t>[DESC 4항-3] [강조] 정렬필터 `이름 내림차순`</t>
  </si>
  <si>
    <t>123</t>
  </si>
  <si>
    <t>TC_VIO_221</t>
  </si>
  <si>
    <t>[DESC 4항-4] `2. 클러스터 이름`</t>
  </si>
  <si>
    <t>124</t>
  </si>
  <si>
    <t>비활성 상태인 알람이 존재하는 상태</t>
  </si>
  <si>
    <t>`OFF` tag(회색) 표출</t>
  </si>
  <si>
    <t>[DESC 4항-4-a] `- 클릭 시, 클러스터 상세 네트워크 화면으로 전환 (4-1 참고)`</t>
  </si>
  <si>
    <t>125</t>
  </si>
  <si>
    <t>TC_VIO_222</t>
  </si>
  <si>
    <t>[DESC 4항-4-b] [강조] 해당 클러스터에 `네임스페이스 관리` 권한만 존재하는 경우 `권한 없음` 팝업 제공 (상세 화면 진입 불가) — 원문 대괄호는 백틱 치환</t>
  </si>
  <si>
    <t>1. 목록 행의 `활성화` 태그 클릭</t>
  </si>
  <si>
    <t>126</t>
  </si>
  <si>
    <t>목록에서의 직접 토글 불가 확인</t>
  </si>
  <si>
    <t>[확인 불가 기반] [DESC 4항-4-b] 팝업 제공 사실만 규정</t>
  </si>
  <si>
    <t>TC_VIO_223</t>
  </si>
  <si>
    <t>[정책 예외] 문서 기본=변경 / 이 화면=신규 [확인 불가] U-10 `권한 없음` 팝업의 문구·구성·닫기 동작 미정의 — 기획 확인 필요</t>
  </si>
  <si>
    <t>127</t>
  </si>
  <si>
    <t>1. 테이블 헤더 `최근 발송일시` 컬럼 확인</t>
  </si>
  <si>
    <t>`최근 발송일시` 컬럼이 `활성화` 우측에 표출</t>
  </si>
  <si>
    <t>[DESC 4항-5] `3. 현재 네트워크 트래픽 IN/OUT 정보`</t>
  </si>
  <si>
    <t>128</t>
  </si>
  <si>
    <t>TC_VIO_224</t>
  </si>
  <si>
    <t>[DESC 4항-5-a] `a. 네트워크 상태 정보`</t>
  </si>
  <si>
    <t>129</t>
  </si>
  <si>
    <t>발송 이력이 있는 알람이 존재하는 상태</t>
  </si>
  <si>
    <t>1. 해당 행의 `최근 발송일시` 셀 표기 확인</t>
  </si>
  <si>
    <t>마지막 발송일시가 `YYYY-MM-DD` 와 `hh:mm:ss`  표출</t>
  </si>
  <si>
    <t>[DESC 4항-5-a-1] `- 장애 발생 시, 클러스터 아이콘 우상단에 아이콘 표시 및 백그라운드 컬러 변경하여 장애 강조 (화면 참고)`</t>
  </si>
  <si>
    <t>130</t>
  </si>
  <si>
    <t>TC_VIO_225</t>
  </si>
  <si>
    <t>[UI] p16 장애 클러스터 카드 표기</t>
  </si>
  <si>
    <t>발송 이력이 없는 알람이 존재하는 상태</t>
  </si>
  <si>
    <t>131</t>
  </si>
  <si>
    <t>TC_VIO_226</t>
  </si>
  <si>
    <t>[DESC 4항-5-b] `b. 네트워크 IN/OUT 트래픽 애니메이션`</t>
  </si>
  <si>
    <t>132</t>
  </si>
  <si>
    <t>1. 테이블 헤더 `생성일시` 컬럼 확인</t>
  </si>
  <si>
    <t>`생성일시` 컬럼이 `최근 발송일시` 우측에 표출</t>
  </si>
  <si>
    <t>TC_VIO_227</t>
  </si>
  <si>
    <t>1. 목록 행의 `생성일시` 셀 표기 확인</t>
  </si>
  <si>
    <t>생성일시가 `YYYY-MM-DD` 와 `hh:mm:ss`  표출</t>
  </si>
  <si>
    <t>[DESC 4항-5-b-1] `- 트래픽양에 비례하여 line weight 자동 조절`</t>
  </si>
  <si>
    <t>[정책 예외] 문서 기본=변경 / 이 화면=신규 [확인 불가] U-11 line weight 비례 계수·범위 미정의 — 기획 확인 필요</t>
  </si>
  <si>
    <t>133</t>
  </si>
  <si>
    <t>TC_VIO_228</t>
  </si>
  <si>
    <t>1. 테이블 헤더 최우측 컬럼 확인</t>
  </si>
  <si>
    <t>`작업` 컬럼 표출</t>
  </si>
  <si>
    <t>[DESC 4항-5-b-2] `- 네트워크 상태에 따라 컬러 구분`</t>
  </si>
  <si>
    <t>134</t>
  </si>
  <si>
    <t>TC_VIO_229</t>
  </si>
  <si>
    <t>1. 목록 행의 `작업` 열 컨트롤 확인</t>
  </si>
  <si>
    <t>`수정` · `삭제` 2개 작업을 실행할 수 있는 컨트롤 표출</t>
  </si>
  <si>
    <t>[DESC 4항-5-b-2-i] `i. 정상 (Blue) : 네트워크 IN/OUT 값이 모두 존재하는 경우`</t>
  </si>
  <si>
    <t>135</t>
  </si>
  <si>
    <t>TC_VIO_230</t>
  </si>
  <si>
    <t>[DESC 4항-5-b-2-ii] `ii. 오류 (Red) : 네트워크 IN 또는 OUT 값이 없는 경우`</t>
  </si>
  <si>
    <t>136</t>
  </si>
  <si>
    <t>1. 목록 행의 `작업` 열에서 `수정` 실행</t>
  </si>
  <si>
    <t>알람 수정 화면(VIOE-04_06_03)으로 이동</t>
  </si>
  <si>
    <t>[DESC 4항-5-c] `c. 네트워크 IN/OUT 트래픽양 (단위 : KBps)`</t>
  </si>
  <si>
    <t>137</t>
  </si>
  <si>
    <t>TC_VIO_231</t>
  </si>
  <si>
    <t>[DESC 4항-6] `4. 타임라인`</t>
  </si>
  <si>
    <t>138</t>
  </si>
  <si>
    <t>1. 목록 행의 `작업` 열에서 `삭제` 실행</t>
  </si>
  <si>
    <t>삭제 팝업 표출</t>
  </si>
  <si>
    <t>[DESC 4항-6-a] `a. Default : 접힘 상태`</t>
  </si>
  <si>
    <t>139</t>
  </si>
  <si>
    <t>TC_VIO_232</t>
  </si>
  <si>
    <t>[DESC 4항-6-a-1] `- 클릭 시 펼침`</t>
  </si>
  <si>
    <t>외부 알람 삭제 팝업</t>
  </si>
  <si>
    <t>140</t>
  </si>
  <si>
    <t>목록 행의 `삭제` 실행으로 삭제 팝업이 호출된 상태</t>
  </si>
  <si>
    <t>1. 삭제 팝업의 구성과 문구 확인</t>
  </si>
  <si>
    <t>삭제 팝업 구성·문구 확인</t>
  </si>
  <si>
    <t>[DESC 4항-6-b] `b. 최근 1시간 동안의 클러스터 IN/OUT 트래픽 사용량 그래프 제공`</t>
  </si>
  <si>
    <t>141</t>
  </si>
  <si>
    <t>TC_VIO_233</t>
  </si>
  <si>
    <t>[DESC 4항-6-b-1] `- 단위 : KBps`</t>
  </si>
  <si>
    <t>142</t>
  </si>
  <si>
    <t>1. 테이블 헤더 최좌측 영역 확인</t>
  </si>
  <si>
    <t>헤더 체크박스 표출</t>
  </si>
  <si>
    <t>[DESC 4항-6-b-2] `- 범례 : IN/OUT`</t>
  </si>
  <si>
    <t>143</t>
  </si>
  <si>
    <t>TC_VIO_234</t>
  </si>
  <si>
    <t>[DESC 4항-6-b-3] `- x축 : 10분 단위축 제공`</t>
  </si>
  <si>
    <t>144</t>
  </si>
  <si>
    <t>1. 목록 행 최좌측 영역 확인</t>
  </si>
  <si>
    <t>행 체크박스가 미체크 상태로 표출</t>
  </si>
  <si>
    <t>[UI] p16 정상 클러스터 카드 표기</t>
  </si>
  <si>
    <t>145</t>
  </si>
  <si>
    <t>TC_VIO_235</t>
  </si>
  <si>
    <t>1. 테이블 헤더 체크박스 클릭</t>
  </si>
  <si>
    <t>[확인 불가 기반] [DESC 4항-1] 0건 상태 미규정</t>
  </si>
  <si>
    <t>행 체크박스 선택 상태 변화 확인</t>
  </si>
  <si>
    <t>146</t>
  </si>
  <si>
    <t>TC_VIO_236</t>
  </si>
  <si>
    <t>[확인 불가 기반] [DESC 4항-3] 정렬 변경의 지속 여부 미규정</t>
  </si>
  <si>
    <t>[정책 예외] 문서 기본=변경 / 이 화면=신규 [확인 불가] 정렬 변경의 지속 범위 미정의 — 기획 확인 필요</t>
  </si>
  <si>
    <t>147</t>
  </si>
  <si>
    <t>외부 알람 목록 화면 진입 상태
테넌트 네비게이터: 멀티 클러스터 진입 상태</t>
  </si>
  <si>
    <t>1. 페이지 헤더 하단 필터 칩 행 확인</t>
  </si>
  <si>
    <t>`전체` 칩과 '클러스터 명'칩이 좌측부터 순서대로 표출</t>
  </si>
  <si>
    <t>[DESC 4-1항] 클러스터 상세 네트워크</t>
  </si>
  <si>
    <t>148</t>
  </si>
  <si>
    <t>TC_VIO_237</t>
  </si>
  <si>
    <t>[DESC 4-1항-1] 1. `←` 버튼 — 원문 대괄호는 백틱 치환</t>
  </si>
  <si>
    <t>149</t>
  </si>
  <si>
    <t>1. 필터 칩 중 하나 클릭</t>
  </si>
  <si>
    <t>칩 선택 상태 표기와 목록 필터링 확인</t>
  </si>
  <si>
    <t>[DESC 4-1항-1-a] `- 클릭 시, 전체 클러스터 네트워크 화면으로 전환`</t>
  </si>
  <si>
    <t>TC_VIO_238</t>
  </si>
  <si>
    <t>150</t>
  </si>
  <si>
    <t>1. 검색 입력 영역 확인</t>
  </si>
  <si>
    <t>필터 아이콘과 placeholder `항목 이름 또는 값을 입력해 주세요.` 표출</t>
  </si>
  <si>
    <t>[DESC 4-1항-2] `2. 선택한 클러스터 이름`</t>
  </si>
  <si>
    <t>151</t>
  </si>
  <si>
    <t>TC_VIO_239</t>
  </si>
  <si>
    <t>[DESC 4-1항-3] `3. 해당 클러스터의 현재 네트워크 트래픽 IN/OUT 총량`</t>
  </si>
  <si>
    <t>152</t>
  </si>
  <si>
    <t>1. 검색 입력에 검색어 입력 후 조회</t>
  </si>
  <si>
    <t>검색어에 해당하는 알람 목록 표출</t>
  </si>
  <si>
    <t>[확인 불가 기반] [UI] p16 IN/OUT 총량 단위 `KB/s`</t>
  </si>
  <si>
    <t>[정책 예외] 문서 기본=변경 / 이 화면=신규 [UI↔DESC 불일치] U-13 UI: `383 KB/s` / DESC 4항-5-c·4항-6-b-1: `KBps` — 표기 통일 확인 필요</t>
  </si>
  <si>
    <t>153</t>
  </si>
  <si>
    <t>VQ-597 이슈로 인해 테스트 불가</t>
  </si>
  <si>
    <t>TC_VIO_240</t>
  </si>
  <si>
    <t>[DESC 4-1항-4] `4. 노드별 트래픽`</t>
  </si>
  <si>
    <t>154</t>
  </si>
  <si>
    <t>등록된 외부 알람과 일치하지 않는 검색어를 사용하는 상태</t>
  </si>
  <si>
    <t>1. 일치 항목이 없는 검색어 입력 후 조회</t>
  </si>
  <si>
    <t>검색 결과 없음 상태 표출 확인</t>
  </si>
  <si>
    <t>[DESC 4-1항-4-a] `- 상세 표기 형태는 3항과 동일하게 제공`</t>
  </si>
  <si>
    <t>[정책 예외] 문서 기본=변경 / 이 화면=신규 [확인 불가] U-2 `3항` 의 지시 대상이 4항 내부의 `3. 현재 네트워크 트래픽 IN/OUT 정보` 인지 좌측 컬럼 `3 이벤트 탭` 인지 미명시 — 기획 확인 필요</t>
  </si>
  <si>
    <t>155</t>
  </si>
  <si>
    <t>TC_VIO_241</t>
  </si>
  <si>
    <t>[UI] p16 정상 노드 카드 표기</t>
  </si>
  <si>
    <t>156</t>
  </si>
  <si>
    <t>1. 검색 행 우측 드롭다운 확인</t>
  </si>
  <si>
    <t>`기간 설정` 드롭다운 표출</t>
  </si>
  <si>
    <t>[확인 불가 기반] [UI] p16 장애 노드 카드에 `!` 배지 부재 (장애 클러스터 카드에는 존재)</t>
  </si>
  <si>
    <t>[정책 예외] 문서 기본=변경 / 이 화면=신규 [UI↔DESC 불일치] U-14 UI: 장애 노드 카드에 `!` 배지 없음 / DESC 4-1항-4-a: `3항과 동일하게 제공` — 배지 제공 여부 확인 필요</t>
  </si>
  <si>
    <t>157</t>
  </si>
  <si>
    <t>TC_VIO_242</t>
  </si>
  <si>
    <t>[UI] p16 노드별 트래픽 정렬 드롭다운</t>
  </si>
  <si>
    <t>[정책 예외] 문서 기본=변경 / 이 화면=신규 [확인 불가] 노드 정렬필터의 옵션 정의 미명시(DESC 4항-3 준용 여부 불명) — 기획 확인 필요</t>
  </si>
  <si>
    <t>158</t>
  </si>
  <si>
    <t>1. `기간 설정` 드롭다운 클릭</t>
  </si>
  <si>
    <t>기간 선택지 목록 표출 확인</t>
  </si>
  <si>
    <t>[UI] p16 노드 카드 타임라인 접힘 표기</t>
  </si>
  <si>
    <t>[정책 예외] 문서 기본=변경 / 이 화면=신규 [확인 불가] 노드 타임라인이 Description 미정의 — 기획 확인 필요</t>
  </si>
  <si>
    <t>159</t>
  </si>
  <si>
    <t>TC_VIO_243</t>
  </si>
  <si>
    <t>[DESC 5항] 로그 통계</t>
  </si>
  <si>
    <t>160</t>
  </si>
  <si>
    <t>1. `기간 설정` 우측 기간 범위 입력 확인</t>
  </si>
  <si>
    <t>placeholder `Start date` · `End date` 날짜 입력 2개와 `→` 표출</t>
  </si>
  <si>
    <t>[DESC 5항-1] `파드 및 노드 상태 변경 이력` 알림 존재 시, 탭 내 `WARNING` 아이콘 제공 (화면 참고)</t>
  </si>
  <si>
    <t>[정책 예외] 문서 기본=변경 / 이 화면=신규 [UI↔DESC 불일치] U-3 UI: 주황 원형 dot / DESC 5항-1: `WARNING` 아이콘 — 표기 확인 필요</t>
  </si>
  <si>
    <t>161</t>
  </si>
  <si>
    <t>TC_VIO_244</t>
  </si>
  <si>
    <t>[DESC 5항-2] [강조] 최근 1시간 기준, 권한 있는 모든 클러스터에 대한 데이터 제공</t>
  </si>
  <si>
    <t>162</t>
  </si>
  <si>
    <t>[DESC 5항-2] [강조] 집계 권한 범위 — 권한 있는 모든 클러스터</t>
  </si>
  <si>
    <t>163</t>
  </si>
  <si>
    <t>[DESC 5항-2-a] [공통 DESC C17] `- 상세 정의는 통합 로그 조회와 동일하게 제공 (VIOE-04_05_01 참고)`</t>
  </si>
  <si>
    <t>[정책 예외] 문서 기본=변경 / 이 화면=신규 [확인 불가] U-20 정의처 VIOE-04_05_01 이 이번 처리 범위 밖 — 대조 시 해당 기획서 원문 확인 필요</t>
  </si>
  <si>
    <t>164</t>
  </si>
  <si>
    <t>1. 기간 범위 입력 후 목록 결과 확인</t>
  </si>
  <si>
    <t>입력한 기간으로 목록 필터링 확인</t>
  </si>
  <si>
    <t>[DESC 5항-2-a-1] [공통 DESC C17] `a. 로그 발생 현황`</t>
  </si>
  <si>
    <t>[정책 예외] 문서 기본=변경 / 이 화면=신규 [확인 불가] U-20 정의처 VIOE-04_05_01 이 처리 범위 밖 — 기획 확인 필요</t>
  </si>
  <si>
    <t>TC_VIO_245</t>
  </si>
  <si>
    <t>165</t>
  </si>
  <si>
    <t>기간 범위 입력이 표출된 상태</t>
  </si>
  <si>
    <t>1. `Start date` 를 `End date` 보다 이후 날짜로 입력</t>
  </si>
  <si>
    <t>종료일 초기화</t>
  </si>
  <si>
    <t>[DESC 5항-2-a-2] [공통 DESC C17] `b. 리소스 상태 이상 감지`</t>
  </si>
  <si>
    <t>[정책 예외] 문서 기본=변경 / 이 화면=신규 [UI↔DESC 불일치] U-8 UI: `파드 및 노드 상태 변경 이력` / DESC 5항-2-a-2: `리소스 상태 이상 감지` — 동일 대상인지 확인 필요</t>
  </si>
  <si>
    <t>166</t>
  </si>
  <si>
    <t>TC_VIO_246</t>
  </si>
  <si>
    <t>[DESC 5항-3] `전체 보기` 클릭 시, 통합 로그 조회 화면 새 창으로 실행 (VIOE-04_05_01 참고) — 원문 대괄호는 백틱 치환</t>
  </si>
  <si>
    <t>[정책 예외] 문서 기본=변경 / 이 화면=신규 [UI↔DESC 불일치] U-16 UI: `전체보기`(공백 없음) / DESC 5항-3: `전체 보기`(공백 있음) — 표기 통일 확인 필요</t>
  </si>
  <si>
    <t>1. 검색 행 최우측 버튼 확인</t>
  </si>
  <si>
    <t>167</t>
  </si>
  <si>
    <t>`+` 아이콘과 라벨 `생성` 의 주 버튼 표출</t>
  </si>
  <si>
    <t>[UI] p16 로그 발생 현황 섹션 제목</t>
  </si>
  <si>
    <t>168</t>
  </si>
  <si>
    <t>TC_VIO_247</t>
  </si>
  <si>
    <t>[UI] p16 전체보기 링크 표기</t>
  </si>
  <si>
    <t>[정책 예외] 문서 기본=변경 / 이 화면=신규 [UI↔DESC 불일치] U-16 UI: `전체보기` / DESC 5항-3: `전체 보기` — 표기 통일 확인 필요</t>
  </si>
  <si>
    <t>1. `생성` 버튼의 제공 형태 확인</t>
  </si>
  <si>
    <t>169</t>
  </si>
  <si>
    <t>Table 조회형 공통 정책에 따른 `생성` 버튼 제공 확인</t>
  </si>
  <si>
    <t>[UI] p16 로그 발생 차트 [공통 DESC C17]</t>
  </si>
  <si>
    <t>[정책 예외] 문서 기본=변경 / 이 화면=신규 [UI↔DESC 불일치] 범례는 로그 유형 5종이나 차트에 그려진 계열은 4개 — `보안 로그` 계열 미표시. 계열 수 확인 필요</t>
  </si>
  <si>
    <t>170</t>
  </si>
  <si>
    <t>TC_VIO_248</t>
  </si>
  <si>
    <t>[UI] p16 로그 유형 범례·집계 [공통 DESC C17]</t>
  </si>
  <si>
    <t>[정책 예외] 문서 기본=변경 / 이 화면=신규 [확인 불가] U-17 로그 유형 5종의 정의·집계 규칙이 Description 미정의 — 기획 확인 필요</t>
  </si>
  <si>
    <t>171</t>
  </si>
  <si>
    <t>[UI] p16 상태 변경 이력 섹션 제목·건수</t>
  </si>
  <si>
    <t>[정책 예외] 문서 기본=변경 / 이 화면=신규 [UI↔DESC 불일치] U-8 UI: `파드 및 노드 상태 변경 이력` / DESC 5항-2-a-2: `리소스 상태 이상 감지` — 명칭 확인 필요</t>
  </si>
  <si>
    <t>1. `생성` 버튼 클릭</t>
  </si>
  <si>
    <t>172</t>
  </si>
  <si>
    <t>외부 알람 생성 화면(VIOE-04_06_02)으로 이동</t>
  </si>
  <si>
    <t>[UI] p16 상태 변경 이력 카드 [공통 DESC C17]</t>
  </si>
  <si>
    <t>173</t>
  </si>
  <si>
    <t>TC_VIO_249</t>
  </si>
  <si>
    <t>[확인 불가 기반] [UI] p16 Loki 미연결 알림 배너</t>
  </si>
  <si>
    <t>[정책 예외] 문서 기본=변경 / 이 화면=신규 [확인 불가] U-15 배너의 노출 조건·문구 확정값이 Description 전면 미정의 — 기획 확인 필요</t>
  </si>
  <si>
    <t>174</t>
  </si>
  <si>
    <t>1. 테이블 좌하단 건수 영역 확인</t>
  </si>
  <si>
    <t>[확인 불가 기반] [UI] p16 배너 `연결 확인 &gt;` 버튼</t>
  </si>
  <si>
    <t>[정책 예외] 문서 기본=변경 / 이 화면=신규 [확인 불가] U-15 `연결 확인 &gt;` 클릭 시 이동처 미정의 — 기획 확인 필요</t>
  </si>
  <si>
    <t>`전체 수` 와 건수 표출</t>
  </si>
  <si>
    <t>175</t>
  </si>
  <si>
    <t>[확인 불가 기반] [UI] p16 배너 닫기 버튼</t>
  </si>
  <si>
    <t>[정책 예외] 문서 기본=변경 / 이 화면=신규 [확인 불가] U-15 배너 `✕` 후 재노출 정책 미정의 — 기획 확인 필요</t>
  </si>
  <si>
    <t>176</t>
  </si>
  <si>
    <t>TC_VIO_250</t>
  </si>
  <si>
    <t>[확인 불가 기반] [DESC 5항-2] 0건 상태 미규정</t>
  </si>
  <si>
    <t>177</t>
  </si>
  <si>
    <t>1. 테이블 우하단 페이지네이션 확인</t>
  </si>
  <si>
    <t>`≪` · `&lt;` · 현재 페이지 · 전체 페이지 수 · `&gt;` · `≫` 표출</t>
  </si>
  <si>
    <t>[UI] p43 Breadcrumb 원문 `모니터링 / 외부 알람 설정`</t>
  </si>
  <si>
    <t>178</t>
  </si>
  <si>
    <t>TC_VIO_251</t>
  </si>
  <si>
    <t>[UI] p43 페이지 타이틀</t>
  </si>
  <si>
    <t>[정책 예외] 문서 기본=변경 / 이 화면=신규 [UI↔DESC 불일치] M-1 UI 타이틀 `외부 알람 설정` / Page Title `외부 알람 목록` / DESC 1항 `임계치 설정 목록` — 정식 명칭 확인 필요</t>
  </si>
  <si>
    <t>179</t>
  </si>
  <si>
    <t>목록이 2페이지 이상인 상태</t>
  </si>
  <si>
    <t>1. 페이지네이션의 `&gt;` 버튼 클릭</t>
  </si>
  <si>
    <t>다음 페이지 목록 표출 확인</t>
  </si>
  <si>
    <t>[UI] p43 서브타이틀 슬롯 — 더미 `Subtitle`</t>
  </si>
  <si>
    <t>[정책 예외] 문서 기본=변경 / 이 화면=신규 [확인 불가] U-15 서브타이틀 실 문구 미정의 — 기획 확인 필요</t>
  </si>
  <si>
    <t>180</t>
  </si>
  <si>
    <t>[UI] p43 LNB 선택 상태</t>
  </si>
  <si>
    <t>TC_VIO_252</t>
  </si>
  <si>
    <t>181</t>
  </si>
  <si>
    <t>목록 첫 페이지가 표출된 상태</t>
  </si>
  <si>
    <t>1. 페이지네이션의 `≪` · `&lt;` 버튼 상태 확인</t>
  </si>
  <si>
    <t>첫 페이지 이동 버튼 비활성 상태 확인</t>
  </si>
  <si>
    <t>클러스터 선택기와 교체 아이콘 표출
ㄴ 기획서 UI가 더미 `Cluster name` 표기 — 실 클러스터명은 실측 상태를 `실제 결과`에 기재</t>
  </si>
  <si>
    <t>[UI] p43 우상단 클러스터 선택기 — 더미 `Cluster name`</t>
  </si>
  <si>
    <t>182</t>
  </si>
  <si>
    <t>TC_VIO_253</t>
  </si>
  <si>
    <t>[UI] p43 우상단 `모니터링 현황` 버튼</t>
  </si>
  <si>
    <t>[정책 예외] 문서 기본=변경 / 이 화면=신규 [확인 불가] 이 페이지에 `모니터링 현황` 버튼의 동작 정의 없음 — 기획 확인 필요</t>
  </si>
  <si>
    <t>183</t>
  </si>
  <si>
    <t>1. 페이지네이션 우측 드롭다운 확인</t>
  </si>
  <si>
    <t>`리스트 수` 드롭다운 표출</t>
  </si>
  <si>
    <t>[DESC 1항] `임계치 설정 목록`</t>
  </si>
  <si>
    <t>[정책 예외] 문서 기본=변경 / 이 화면=신규 [UI↔DESC 불일치] M-1 DESC 1항 제목 `임계치 설정 목록` 과 화면 명칭 `외부 알람 설정` 불일치 — 어느 쪽이 정식 명칭인지 확인 필요</t>
  </si>
  <si>
    <t>184</t>
  </si>
  <si>
    <t>TC_VIO_254</t>
  </si>
  <si>
    <t>Table 조회형 공통 정책에 따른 목록 제공 확인
ㄴ 기획 미정의 항목 — PASS/FAIL 판정 대신 실측 상태를 `실제 결과`에 기재</t>
  </si>
  <si>
    <t>[DESC 1항-B1] [공통 DESC C11] `Table 조회형 공통 정책에 따름` — 준거 문서 미명시</t>
  </si>
  <si>
    <t>[정책 예외] 문서 기본=변경 / 이 화면=신규 [확인 불가] U-1 `Table 조회형 공통 정책` 의 정의처·본문 미명시 — 기획 확인 필요</t>
  </si>
  <si>
    <t>1. `리스트 수` 드롭다운 클릭</t>
  </si>
  <si>
    <t>목록 표출 수 선택지 표출 확인</t>
  </si>
  <si>
    <t>185</t>
  </si>
  <si>
    <t>TC_VIO_255</t>
  </si>
  <si>
    <t>[DESC 1항-B1-1] [공통 DESC C11] [UI] p43 `컬럼 sort 미제공 : 조건 구성, 활성화` 중 `조건 구성`</t>
  </si>
  <si>
    <t>등록된 외부 알람이 0건인 상태</t>
  </si>
  <si>
    <t>186</t>
  </si>
  <si>
    <t>1. 목록 화면 진입 후 테이블 영역 확인</t>
  </si>
  <si>
    <t>0건 상태 표출 확인</t>
  </si>
  <si>
    <t>TC_VIO_256</t>
  </si>
  <si>
    <t>[DESC 1항-B1-1] [공통 DESC C11] [UI] p43 `컬럼 sort 미제공 : 조건 구성, 활성화` 중 `활성화`</t>
  </si>
  <si>
    <t>VIOE-04_06_02</t>
  </si>
  <si>
    <t>187</t>
  </si>
  <si>
    <t>외부 알람 생성</t>
  </si>
  <si>
    <t>생성</t>
  </si>
  <si>
    <t>외부 알람 생성 화면 진입 상태</t>
  </si>
  <si>
    <t>`모니터링 / 외부 알람 설정 / 알람 생성` 3단 Breadcrumb 표출
ㄴ 최하위 `알람 생성` 볼드 표기</t>
  </si>
  <si>
    <t>이영한</t>
  </si>
  <si>
    <t>VQ-588</t>
  </si>
  <si>
    <t>[DESC 1항-B1-1] [공통 DESC C11] `컬럼 sort 미제공 : 조건 구성`</t>
  </si>
  <si>
    <t>188</t>
  </si>
  <si>
    <t>[DESC 1항-B1-1] [공통 DESC C11] `컬럼 sort 미제공 : 활성화`</t>
  </si>
  <si>
    <t>189</t>
  </si>
  <si>
    <t>1. 검색 필터에서 `조건 수` 항목 제공 여부 확인</t>
  </si>
  <si>
    <t>`조건 수` 검색 필터 미제공
ㄴ 검색 필터 UI 형태가 기획 미정의 — 해당 부분은 실측 상태를 `실제 결과`에 기재</t>
  </si>
  <si>
    <t>[DESC 1항-B1-2] [공통 DESC C11] `검색 필터 미제공 : 조건 수`</t>
  </si>
  <si>
    <t>[정책 예외] 문서 기본=변경 / 이 화면=신규 [확인 불가] U-6 검색 필터 UI 형태·대상 컬럼 미정의 — 기획 확인 필요</t>
  </si>
  <si>
    <t>190</t>
  </si>
  <si>
    <t>[UI] p43 `작업` 열 정렬 아이콘 없음</t>
  </si>
  <si>
    <t>[정책 예외] 문서 기본=변경 / 이 화면=신규 [UI↔DESC 불일치] M-2 DESC 1항-B1-1 sort 미제공 열거에 `작업` 미포함 — 열거 범위 확인 필요</t>
  </si>
  <si>
    <t>191</t>
  </si>
  <si>
    <t>[K8s] 외부 알람 설정 &gt; 알람 생성/수정/상세 페이지 진입 시 브레드 크럼의 2Depth가 미표출됨</t>
  </si>
  <si>
    <t>체크박스 · `이름` · `클러스터` · `대상 리소스`(`네임스페이스` · `워크로드)· `조건 구성` · `조건 수` · `활성화` · `최근 발송일시` · `생성일시` · `작업` 순으로 표출</t>
  </si>
  <si>
    <t>[UI] p43 테이블 컬럼 구성 10열</t>
  </si>
  <si>
    <t>TC_VIO_257</t>
  </si>
  <si>
    <t>192</t>
  </si>
  <si>
    <t>1. 콘텐츠 카드 최상단 타이틀 영역 확인</t>
  </si>
  <si>
    <t>뒤로 이동 아이콘과 페이지 타이틀 `알람 생성` 표출</t>
  </si>
  <si>
    <t>[DESC 1항-3] [공통 DESC C11] [UI] p43 `대상 리소스` 2단 그룹 헤더</t>
  </si>
  <si>
    <t>TC_VIO_258</t>
  </si>
  <si>
    <t>193</t>
  </si>
  <si>
    <t>TC_VIO_259</t>
  </si>
  <si>
    <t>[UI] p43 정렬 아이콘 보유 컬럼 7종</t>
  </si>
  <si>
    <t>194</t>
  </si>
  <si>
    <t>TC_VIO_260</t>
  </si>
  <si>
    <t>해당 컬럼 기준 정렬 적용 확인
ㄴ 기획 미정의 항목 — PASS/FAIL 판정 대신 실측 상태를 `실제 결과`에 기재</t>
  </si>
  <si>
    <t>1. 화면 우상단 `모니터링 현황` 버튼 확인</t>
  </si>
  <si>
    <t>`모니터링 현황` 버튼 표출</t>
  </si>
  <si>
    <t>[확인 불가 기반] [UI] p43 정렬 아이콘 보유 컬럼 — 정렬 동작 미규정</t>
  </si>
  <si>
    <t>[정책 예외] 문서 기본=변경 / 이 화면=신규 [확인 불가] U-7 기본 정렬 컬럼·방향·토글 순서·다중 정렬 가부 미정의 — 기획 확인 필요</t>
  </si>
  <si>
    <t>195</t>
  </si>
  <si>
    <t>TC_VIO_261</t>
  </si>
  <si>
    <t>[DESC 1항-1] [공통 DESC C11] [UI] p43 `이름` 컬럼</t>
  </si>
  <si>
    <t>1. 콘텐츠 카드의 섹션 제목 구성 확인</t>
  </si>
  <si>
    <t>`기본 정보` · `알람 설정` · `수신 대상 설정` 순으로 섹션 제목 표출</t>
  </si>
  <si>
    <t>196</t>
  </si>
  <si>
    <t>TC_VIO_262</t>
  </si>
  <si>
    <t>[UI] p43 `이름` 셀 밑줄 링크</t>
  </si>
  <si>
    <t>197</t>
  </si>
  <si>
    <t>외부 알람 설정 권한 보유 계정 로그인 상태</t>
  </si>
  <si>
    <t>1. 정의된 진입 경로로 외부 알람 생성 화면 진입</t>
  </si>
  <si>
    <t>`알람 생성` 화면 표출</t>
  </si>
  <si>
    <t>[DESC 1항-1-1] `클릭 시, 알람 상세 화면으로 이동`</t>
  </si>
  <si>
    <t>TC_VIO_263</t>
  </si>
  <si>
    <t>198</t>
  </si>
  <si>
    <t>TC_VIO_198</t>
  </si>
  <si>
    <t>외부 알람 설정 목록 화면 진입 상태</t>
  </si>
  <si>
    <t>1. 목록 화면의 `생성` 버튼 클릭</t>
  </si>
  <si>
    <t>`이름` 값이 컬럼 폭을 초과하는 알람이 존재하는 상태</t>
  </si>
  <si>
    <t>1. 해당 행의 `이름` 셀 표기 확인</t>
  </si>
  <si>
    <t>`이름` 값이 2줄로 줄바꿈되어 표출
ㄴ 최대 줄 수·말줄임·툴팁 규칙 기획 미정의 — 해당 부분은 실측 상태를 `실제 결과`에 기재</t>
  </si>
  <si>
    <t>[UI] p43 `이름` 1행 긴 문자열 2줄 줄바꿈</t>
  </si>
  <si>
    <t>[정책 예외] 문서 기본=변경 / 이 화면=신규 [확인 불가] U-13 긴 문자열 줄바꿈·말줄임 규칙 미정의 — 기획 확인 필요</t>
  </si>
  <si>
    <t>199</t>
  </si>
  <si>
    <t>TC_VIO_264</t>
  </si>
  <si>
    <t>임계치 설정 목록 화면에 임계치가 1건 이상 등록된 상태</t>
  </si>
  <si>
    <t>[DESC 1항-2] [공통 DESC C11] [UI] p43 `클러스터` 컬럼</t>
  </si>
  <si>
    <t>1. 임계치 행의 `작업` 에서 `외부 알람으로 추가` 실행</t>
  </si>
  <si>
    <t>200</t>
  </si>
  <si>
    <t>해당 알람의 클러스터 이름 표출
ㄴ 기획 미정의 항목 — PASS/FAIL 판정 대신 실측 상태를 `실제 결과`에 기재</t>
  </si>
  <si>
    <t>[확인 불가 기반] [DESC 1항-2] [공통 DESC C11] 컬럼명만 정의, 표기 규칙 하위 항목 없음</t>
  </si>
  <si>
    <t>TC_VIO_265</t>
  </si>
  <si>
    <t>[정책 예외] 문서 기본=변경 / 이 화면=신규 [확인 불가] `클러스터` 셀 표기 규칙 미정의 — 기획 확인 필요</t>
  </si>
  <si>
    <t>201</t>
  </si>
  <si>
    <t>1. `기본 정보` 섹션의 `클러스터` 필드 확인</t>
  </si>
  <si>
    <t>`클러스터` 라벨과 필수 표시, 드롭다운 표출</t>
  </si>
  <si>
    <t>[DESC 1항-3-a] [공통 DESC C11] [UI] p43 `대상 리소스` &gt; `네임스페이스` 컬럼</t>
  </si>
  <si>
    <t>202</t>
  </si>
  <si>
    <t>[DESC 1항-3-a] [공통 DESC C11] `네임스페이스 : 전체/{네임스페이스 이름}`</t>
  </si>
  <si>
    <t>203</t>
  </si>
  <si>
    <t>TC_VIO_266</t>
  </si>
  <si>
    <t>경로 1(외부 알람 설정 목록 &gt; `생성`)로 생성 화면 진입 상태</t>
  </si>
  <si>
    <t>1. `클러스터` 필드의 초기 선택값 확인</t>
  </si>
  <si>
    <t>테넌트 네비게이터 선택한 클러스터 표출</t>
  </si>
  <si>
    <t>204</t>
  </si>
  <si>
    <t>TC_VIO_267</t>
  </si>
  <si>
    <t>경로 2(임계치 설정 목록 &gt; 작업 &gt; `외부 알람으로 추가`)로 생성 화면 진입 상태</t>
  </si>
  <si>
    <t>[DESC 1항-3-a-1] [공통 DESC C11] `'클러스터 전체'인 경우 "-" 표출`</t>
  </si>
  <si>
    <t>1. `클러스터` 필드의 표출값 확인</t>
  </si>
  <si>
    <t>진입에 사용한 임계치에 설정된 클러스터 표출</t>
  </si>
  <si>
    <t>205</t>
  </si>
  <si>
    <t>TC_VIO_268</t>
  </si>
  <si>
    <t>[DESC 1항-3-b] [공통 DESC C11] [UI] p43 `대상 리소스` &gt; `워크로드` 컬럼</t>
  </si>
  <si>
    <t>206</t>
  </si>
  <si>
    <t>1. `클러스터` 드롭다운 조작 시도</t>
  </si>
  <si>
    <t>`클러스터` 필드 비활성화 상태로 값 변경 불가</t>
  </si>
  <si>
    <t>[DESC 1항-3-b] [공통 DESC C11] `워크로드 : {리소스 유형} {전체/리소스 이름}`</t>
  </si>
  <si>
    <t>207</t>
  </si>
  <si>
    <t>TC_VIO_269</t>
  </si>
  <si>
    <t>208</t>
  </si>
  <si>
    <t>Loki 연결된 클러스터 선택 + 조건 카드 10개 미만인 생성 화면 진입 상태</t>
  </si>
  <si>
    <t>1. `알람 조건` 영역의 조건 추가 버튼과 alert 영역 확인</t>
  </si>
  <si>
    <t>4개 버튼 전부 활성 상태로 표출
ㄴ Loki 미연결 alert 미표출</t>
  </si>
  <si>
    <t>[DESC 1항-3-b-1] [공통 DESC C11] `'클러스터 전체' 또는 '네임스페이스 전체'인 경우 "-"로 표출` 중 `클러스터 전체`</t>
  </si>
  <si>
    <t>209</t>
  </si>
  <si>
    <t>TC_VIO_271</t>
  </si>
  <si>
    <t>[DESC 1항-3-b-1] [공통 DESC C11] `'클러스터 전체' 또는 '네임스페이스 전체'인 경우 "-"로 표출` 중 `네임스페이스 전체`</t>
  </si>
  <si>
    <t>Loki 미연결 클러스터 선택 + 조건 카드 10개 미만인 생성 화면 진입 상태</t>
  </si>
  <si>
    <t>210</t>
  </si>
  <si>
    <t>1. `이벤트 조건 추가` 버튼 상태 확인</t>
  </si>
  <si>
    <t>`이벤트 조건 추가` 버튼 비활성화 상태로 표출</t>
  </si>
  <si>
    <t>TC_VIO_272</t>
  </si>
  <si>
    <t>[DESC 1항-4] [공통 DESC C11] [UI] p43 `조건 구성` 컬럼</t>
  </si>
  <si>
    <t>211</t>
  </si>
  <si>
    <t>1. `로그 조건 추가` 버튼 상태 확인</t>
  </si>
  <si>
    <t>`로그 조건 추가` 버튼 비활성화 상태로 표출</t>
  </si>
  <si>
    <t>[DESC 1항-4-1] [공통 DESC C11] `메트릭·메트릭(임계치)·이벤트·로그 유형별 별도 태그 제공` 중 `메트릭`</t>
  </si>
  <si>
    <t>TC_VIO_273</t>
  </si>
  <si>
    <t>212</t>
  </si>
  <si>
    <t>1. `클러스터 이상 감지 조건 추가` 버튼 상태 확인</t>
  </si>
  <si>
    <t>`클러스터 이상 감지 조건 추가` 버튼 활성 상태로 표출</t>
  </si>
  <si>
    <t>[DESC 1항-4-1] [공통 DESC C11] 유형별 별도 태그 제공 중 `메트릭(임계치)`</t>
  </si>
  <si>
    <t>213</t>
  </si>
  <si>
    <t>1. `메트릭 조건 추가` 버튼 상태 확인</t>
  </si>
  <si>
    <t>`메트릭 조건 추가` 버튼 활성 상태로 표출</t>
  </si>
  <si>
    <t>[DESC 1항-4-1] [공통 DESC C11] 유형별 별도 태그 제공 중 `이벤트`</t>
  </si>
  <si>
    <t>214</t>
  </si>
  <si>
    <t>[DESC 1항-4-1] [공통 DESC C11] 유형별 별도 태그 제공 중 `로그` — 기획서 UI mock 미표출, DESC 근거</t>
  </si>
  <si>
    <t>215</t>
  </si>
  <si>
    <t>[DESC 1항-4-1] [공통 DESC C11] 유형별 별도 태그 제공</t>
  </si>
  <si>
    <t>216</t>
  </si>
  <si>
    <t>TC_VIO_274</t>
  </si>
  <si>
    <t>`+N` 오버플로 배지 표출
ㄴ `N` 의 기준·초과 시점·클릭 동작 기획 미정의 — 해당 부분은 실측 상태를 `실제 결과`에 기재</t>
  </si>
  <si>
    <t>[UI] p43 `조건 구성` 오버플로 배지 `+N`</t>
  </si>
  <si>
    <t>[정책 예외] 문서 기본=변경 / 이 화면=신규 [확인 불가] U-8 `+N` 오버플로 규칙·클릭 동작 미정의 — 기획 확인 필요</t>
  </si>
  <si>
    <t>217</t>
  </si>
  <si>
    <t>Loki 미연결 클러스터를 선택한 생성 화면 진입 상태</t>
  </si>
  <si>
    <t>1. `알람 조건` 영역 하단 확인</t>
  </si>
  <si>
    <t>경고 아이콘이 있는 주황 테두리 alert 배너가 알람 조건 하단에 표출</t>
  </si>
  <si>
    <t>[DESC 1항-5] [공통 DESC C11] [UI] p43 `조건 수` 컬럼</t>
  </si>
  <si>
    <t>218</t>
  </si>
  <si>
    <t>TC_VIO_275</t>
  </si>
  <si>
    <t>[DESC 1항-5-1] [공통 DESC C11] `조건 건수 숫자만 표시`</t>
  </si>
  <si>
    <t>1. alert 배너의 본문 문구 확인</t>
  </si>
  <si>
    <t>219</t>
  </si>
  <si>
    <t>`해당 클러스터에는 Loki가 연결되지 않았습니다.` 볼드 1행과 `메트릭, 클러스터 이상 감지 조건만 추가 가능합니다.` 2행 표출</t>
  </si>
  <si>
    <t>[DESC 1항-6] [공통 DESC C11] [UI] p43 `활성화` 컬럼</t>
  </si>
  <si>
    <t>TC_VIO_276</t>
  </si>
  <si>
    <t>220</t>
  </si>
  <si>
    <t>1. alert 배너의 `연결 확인` 버튼 클릭</t>
  </si>
  <si>
    <t>[DESC 1항-6-1] [공통 DESC C11] [UI] p43 `ON/OFF 태그로 표시` 중 `ON`</t>
  </si>
  <si>
    <t>선택한 클러스터의 연결 정보 수정 화면(VIOE-02_01_01-08)으로 이동</t>
  </si>
  <si>
    <t>221</t>
  </si>
  <si>
    <t>[DESC 1항-6-1] [공통 DESC C11] [UI] p43 `ON/OFF 태그로 표시` 중 `OFF`</t>
  </si>
  <si>
    <t>TC_VIO_277</t>
  </si>
  <si>
    <t>222</t>
  </si>
  <si>
    <t>1. alert 배너 우측 닫기 아이콘 클릭</t>
  </si>
  <si>
    <t>alert 배너 닫힘</t>
  </si>
  <si>
    <t>목록에서의 직접 토글 가부 확인
ㄴ 기획 미정의 항목 — PASS/FAIL 판정 대신 실측 상태를 `실제 결과`에 기재</t>
  </si>
  <si>
    <t>[확인 불가 기반] [DESC 1항-6-1] [공통 DESC C11] 표시만 규정, 인라인 조작 가부 미규정</t>
  </si>
  <si>
    <t>[정책 예외] 문서 기본=변경 / 이 화면=신규 [확인 불가] U-14 목록 내 `활성화` 직접 토글 가부 미정의 — 기획 확인 필요</t>
  </si>
  <si>
    <t>223</t>
  </si>
  <si>
    <t>TC_VIO_278</t>
  </si>
  <si>
    <t>[DESC 1항-7] [공통 DESC C11] [UI] p43 `최근 발송일시` 컬럼</t>
  </si>
  <si>
    <t>224</t>
  </si>
  <si>
    <t>1. `기본 정보` 섹션의 `이름` 필드 확인</t>
  </si>
  <si>
    <t>`이름` 라벨과 필수 표시, placeholder `이름을 입력해 주세요.` 인 입력 필드 표출</t>
  </si>
  <si>
    <t>마지막 발송일시가 `YYYY-MM-DD` 와 `hh:mm:ss` 2줄로 표출</t>
  </si>
  <si>
    <t>[DESC 1항-7-1] [공통 DESC C11] [UI] p43 `마지막 발송일시 표출`</t>
  </si>
  <si>
    <t>[정책 예외] 문서 기본=변경 / 이 화면=신규 [오타 의심] 기획서 mock이 날짜부만 대문자 `YYYY-MM-DD` / 시각부는 소문자 `hh:mm:ss` — 표기 통일 확인 필요</t>
  </si>
  <si>
    <t>225</t>
  </si>
  <si>
    <t>TC_VIO_279</t>
  </si>
  <si>
    <t>[DESC 1항-7-1] [공통 DESC C11] `없는 경우 '-' 표출` — 기획서 UI mock 미표출, DESC 근거</t>
  </si>
  <si>
    <t>1. `이름` 입력 필드 우측 확인</t>
  </si>
  <si>
    <t>226</t>
  </si>
  <si>
    <t>`중복 확인` 버튼 표출</t>
  </si>
  <si>
    <t>[DESC 1항-8] [공통 DESC C11] [UI] p43 `생성일시` 컬럼</t>
  </si>
  <si>
    <t>227</t>
  </si>
  <si>
    <t>TC_VIO_280</t>
  </si>
  <si>
    <t>생성일시가 `YYYY-MM-DD` 와 `hh:mm:ss` 2줄로 표출</t>
  </si>
  <si>
    <t>[UI] p43 `생성일시` 셀 일시 형식 2줄</t>
  </si>
  <si>
    <t>`이름` 에 값이 입력된 생성 화면 진입 상태</t>
  </si>
  <si>
    <t>1. `중복 확인` 버튼 클릭</t>
  </si>
  <si>
    <t>228</t>
  </si>
  <si>
    <t>중복 확인 결과 표출</t>
  </si>
  <si>
    <t>[DESC 1항-9] [공통 DESC C7] [UI] p43 `작업` 컬럼 — 이 화면이 정의처</t>
  </si>
  <si>
    <t>[정책 예외] 문서 기본=변경 / 이 화면=신규 [판독 주의] `작업` 열 셀 아이콘이 PDF에 미렌더링(점선 플레이스홀더) — 기획서 원문 재확인 필요</t>
  </si>
  <si>
    <t>229</t>
  </si>
  <si>
    <t>TC_VIO_281</t>
  </si>
  <si>
    <t>[DESC 1항-9] [공통 DESC C7] `작업` — 이 화면이 정의처</t>
  </si>
  <si>
    <t>1. `이름` 에 입력값 정책을 벗어난 값 입력 시도</t>
  </si>
  <si>
    <t>[정책 예외] 문서 기본=변경 / 이 화면=신규 [판독 주의] `작업` 열 셀 아이콘이 PDF에 미렌더링(점선 플레이스홀더) — 기획서 원문 재확인 필요 [확인 불가] U-2 컨트롤 형태(아이콘 2개 / 케밥 / 드롭다운) 판단 불가 — 기획 확인 필요</t>
  </si>
  <si>
    <t>입력값 정책을 벗어난 값이 반영되지 않음</t>
  </si>
  <si>
    <t>230</t>
  </si>
  <si>
    <t>[DESC 1항-9-a] [공통 DESC C7] `수정 : 클릭 시, 수정 페이지로 이동`</t>
  </si>
  <si>
    <t>TC_VIO_282</t>
  </si>
  <si>
    <t>[정책 예외] 문서 기본=변경 / 이 화면=신규 [판독 주의] `작업` 열 셀 아이콘이 PDF에 미렌더링(점선 플레이스홀더) — 기획서 원문 재확인 필요 [확인 불가] U-2 컨트롤 형태 판단 불가 — 기획 확인 필요</t>
  </si>
  <si>
    <t>231</t>
  </si>
  <si>
    <t>1. `이름` 에 한글·영소문자·숫자·하이픈으로 구성한 값 입력</t>
  </si>
  <si>
    <t>입력값이 그대로 반영
 ㄴ 유효성 검사 성공</t>
  </si>
  <si>
    <t>[DESC 1항-9-b] [공통 DESC C7] `삭제 : 삭제 팝업 호출`</t>
  </si>
  <si>
    <t>[정책 예외] 문서 기본=변경 / 이 화면=신규 [판독 주의] `작업` 열 셀 아이콘이 PDF에 미렌더링(점선 플레이스홀더) — 기획서 원문 재확인 필요 [확인 불가] U-9 삭제 팝업의 정의처 미명시 — 기획 확인 필요</t>
  </si>
  <si>
    <t>232</t>
  </si>
  <si>
    <t>TC_VIO_283</t>
  </si>
  <si>
    <t>삭제 팝업 구성·문구 확인
ㄴ 기획 미정의 항목 — PASS/FAIL 판정 대신 실측 상태를 `실제 결과`에 기재</t>
  </si>
  <si>
    <t>[확인 불가 기반] [DESC 1항-9-b] 팝업 호출만 규정, 팝업 정의처 미명시</t>
  </si>
  <si>
    <t>[정책 예외] 문서 기본=변경 / 이 화면=신규 [확인 불가] U-9 삭제 팝업 구성·문구·확인 후 동작 미정의 — 기획 확인 필요</t>
  </si>
  <si>
    <t>233</t>
  </si>
  <si>
    <t>1. `이름` 에 영대문자와 특수문자를 포함한 값 입력</t>
  </si>
  <si>
    <t>허용 문자 외 입력이 반영되지 않음
 ㄴ 유효성 검사 실패</t>
  </si>
  <si>
    <t>[UI] p43 테이블 헤더 체크박스</t>
  </si>
  <si>
    <t>234</t>
  </si>
  <si>
    <t>TC_VIO_284</t>
  </si>
  <si>
    <t>[UI] p43 행 체크박스 기본 미체크 상태</t>
  </si>
  <si>
    <t>1. `이름` 에 50자 입력</t>
  </si>
  <si>
    <t>235</t>
  </si>
  <si>
    <t>50자 입력값이 그대로 반영
 ㄴ 유효성 검사 성공</t>
  </si>
  <si>
    <t>행 체크박스 선택 상태 변화 확인
ㄴ 기획 미정의 항목 — PASS/FAIL 판정 대신 실측 상태를 `실제 결과`에 기재</t>
  </si>
  <si>
    <t>[확인 불가 기반] [UI] p43 체크박스 용도 서술 없음</t>
  </si>
  <si>
    <t>[정책 예외] 문서 기본=변경 / 이 화면=신규 [확인 불가] U-3 체크박스 용도·선택 후 일괄 동작 미정의 — 기획 확인 필요</t>
  </si>
  <si>
    <t>TC_VIO_285</t>
  </si>
  <si>
    <t>236</t>
  </si>
  <si>
    <t>`전체` 칩과 클러스터 칩 표출
ㄴ 기획서 UI가 더미 `Label-1` ~ `Label-6` 표기 — 실 칩 라벨은 실측 상태를 `실제 결과`에 기재</t>
  </si>
  <si>
    <t>1. `이름` 에 51자 입력 시도</t>
  </si>
  <si>
    <t>[UI] p43 필터 칩 행 — 더미 라벨</t>
  </si>
  <si>
    <t>50자를 넘는 입력이 반영되지 않음
 ㄴ 유효성 검사 실패</t>
  </si>
  <si>
    <t>[정책 예외] 문서 기본=변경 / 이 화면=신규 [확인 불가] U-4 칩의 의미·개수·필터 기준 미정의 — 기획 확인 필요</t>
  </si>
  <si>
    <t>237</t>
  </si>
  <si>
    <t>칩 선택 상태 표기와 목록 필터링 확인
ㄴ 기획 미정의 항목 — PASS/FAIL 판정 대신 실측 상태를 `실제 결과`에 기재</t>
  </si>
  <si>
    <t>TC_VIO_286</t>
  </si>
  <si>
    <t>[확인 불가 기반] [UI] p43 필터 칩 동작 서술 없음</t>
  </si>
  <si>
    <t>[정책 예외] 문서 기본=변경 / 이 화면=신규 [확인 불가] U-4 칩 선택 동작·단일/다중 선택·선택 상태 표기 미정의 — 기획 확인 필요</t>
  </si>
  <si>
    <t>238</t>
  </si>
  <si>
    <t>1. `알람 설정` 섹션의 `활성화` 항목 확인</t>
  </si>
  <si>
    <t>`활성화` 라벨과 필수 표시, 토글 스위치 표출</t>
  </si>
  <si>
    <t>[UI] p43 검색 입력 placeholder 원문</t>
  </si>
  <si>
    <t>239</t>
  </si>
  <si>
    <t>검색어에 해당하는 알람 목록 표출
ㄴ 기획 미정의 항목 — PASS/FAIL 판정 대신 실측 상태를 `실제 결과`에 기재</t>
  </si>
  <si>
    <t>TC_VIO_287</t>
  </si>
  <si>
    <t>[확인 불가 기반] [DESC 1항-B1-2] [공통 DESC C11] 검색 대상 범위·매칭 방식 미규정</t>
  </si>
  <si>
    <t>[정책 예외] 문서 기본=변경 / 이 화면=신규 [확인 불가] U-6 검색 대상 컬럼·매칭 방식 미정의 — 기획 확인 필요</t>
  </si>
  <si>
    <t>240</t>
  </si>
  <si>
    <t>1. `활성화` 토글 하단 안내 문구 확인</t>
  </si>
  <si>
    <t>검색 결과 없음 상태 표출 확인
ㄴ 기획 미정의 항목 — PASS/FAIL 판정 대신 실측 상태를 `실제 결과`에 기재</t>
  </si>
  <si>
    <t>`알람 활성화 여부를 설정합니다. OFF 시, 해당 알람에 설정된 조건이 충족되어도 알람이 발송되지 않습니다.` 표출</t>
  </si>
  <si>
    <t>[확인 불가 기반] [DESC 1항-B1] [공통 DESC C11] 검색 결과 0건 상태 미규정</t>
  </si>
  <si>
    <t>[정책 예외] 문서 기본=변경 / 이 화면=신규 [확인 불가] U-6 · U-11 검색 결과 0건 안내 문구·표출 미정의 — 기획 확인 필요</t>
  </si>
  <si>
    <t>241</t>
  </si>
  <si>
    <t>VQ-600</t>
  </si>
  <si>
    <t>[UI] p43 `기간 설정` 드롭다운</t>
  </si>
  <si>
    <t>242</t>
  </si>
  <si>
    <t>기간 선택지 목록 표출 확인
ㄴ 기획 미정의 항목 — PASS/FAIL 판정 대신 실측 상태를 `실제 결과`에 기재</t>
  </si>
  <si>
    <t>[확인 불가 기반] [UI] p43 `기간 설정` 선택지 서술 없음</t>
  </si>
  <si>
    <t>[정책 예외] 문서 기본=변경 / 이 화면=신규 [확인 불가] U-5 `기간 설정` 선택지 목록 미정의 — 기획 확인 필요</t>
  </si>
  <si>
    <t>243</t>
  </si>
  <si>
    <t>[UI] p43 기간 범위 입력</t>
  </si>
  <si>
    <t>244</t>
  </si>
  <si>
    <t>입력한 기간으로 목록 필터링 확인
ㄴ 기획 미정의 항목 — PASS/FAIL 판정 대신 실측 상태를 `실제 결과`에 기재</t>
  </si>
  <si>
    <t>[K8s] 알람 생성 &gt; 알람 설정 활성화 항목의 가이드 문구 "알람"이 "알림" 으로 표출됨</t>
  </si>
  <si>
    <t>[확인 불가 기반] [UI] p43 기간 필터 대상 컬럼 서술 없음</t>
  </si>
  <si>
    <t>[정책 예외] 문서 기본=변경 / 이 화면=신규 [확인 불가] U-5 기간 필터의 대상 컬럼·날짜 형식·기본값 미정의 — 기획 확인 필요</t>
  </si>
  <si>
    <t>245</t>
  </si>
  <si>
    <t>잘못된 기간 범위에 대한 처리 확인
ㄴ 기획 미정의 항목 — PASS/FAIL 판정 대신 실측 상태를 `실제 결과`에 기재</t>
  </si>
  <si>
    <t>[확인 불가 기반] [UI] p43 기간 범위 유효성 서술 없음</t>
  </si>
  <si>
    <t>[정책 예외] 문서 기본=변경 / 이 화면=신규 [확인 불가] U-5 기간 역전 입력 시 처리·안내 문구 미정의 — 기획 확인 필요</t>
  </si>
  <si>
    <t>TC_VIO_288</t>
  </si>
  <si>
    <t>246</t>
  </si>
  <si>
    <t>1. `활성화` 토글의 초기 상태 확인</t>
  </si>
  <si>
    <t>[DESC 2항] [UI] p43 `+ 생성` 버튼</t>
  </si>
  <si>
    <t>`활성화` 토글 On 상태로 표출</t>
  </si>
  <si>
    <t>247</t>
  </si>
  <si>
    <t>Table 조회형 공통 정책에 따른 `생성` 버튼 제공 확인
ㄴ 기획 미정의 항목 — PASS/FAIL 판정 대신 실측 상태를 `실제 결과`에 기재</t>
  </si>
  <si>
    <t>[DESC 2항-B1] `Table 조회형 공통 정책에 따름` — 준거 문서 미명시</t>
  </si>
  <si>
    <t>TC_VIO_289</t>
  </si>
  <si>
    <t>248</t>
  </si>
  <si>
    <t>`활성화` On + 수신 대상·채널이 설정된 외부 알람이 생성된 상태</t>
  </si>
  <si>
    <t>1. 설정한 알람 조건을 충족하는 상황 발생</t>
  </si>
  <si>
    <t>설정한 수신 채널로 외부 알람 발송</t>
  </si>
  <si>
    <t>[DESC 2항-B2] `클릭 시, 생성 페이지로 이동`</t>
  </si>
  <si>
    <t>249</t>
  </si>
  <si>
    <t>`전체 수` 와 건수 표출
ㄴ 기획서 UI가 더미 건수 `N` 표기 — 실 건수는 실측 상태를 `실제 결과`에 기재</t>
  </si>
  <si>
    <t>TC_VIO_290</t>
  </si>
  <si>
    <t>[UI] p43 푸터 전체 건수 — 더미 `N`</t>
  </si>
  <si>
    <t>250</t>
  </si>
  <si>
    <t>`활성화` Off 외 미발송 요인 없음(수신 대상·채널 설정, 수신 허용 시간 내, 수신 정책 심각도 충족)인 알람 생성 상태</t>
  </si>
  <si>
    <t>해당 알람의 외부 발송 미실행</t>
  </si>
  <si>
    <t>`≪` · `&lt;` · 현재 페이지 · 전체 페이지 수 · `&gt;` · `≫` 표출
ㄴ 기획서 UI가 더미 총 페이지 수 `/ 99` 표기 — 실 값은 실측 상태를 `실제 결과`에 기재</t>
  </si>
  <si>
    <t>[UI] p43 페이지네이션 컨트롤</t>
  </si>
  <si>
    <t>251</t>
  </si>
  <si>
    <t>TC_VIO_292</t>
  </si>
  <si>
    <t>다음 페이지 목록 표출 확인
ㄴ 기획 미정의 항목 — PASS/FAIL 판정 대신 실측 상태를 `실제 결과`에 기재</t>
  </si>
  <si>
    <t>[확인 불가 기반] [DESC 1항-B1] [공통 DESC C11] 페이지네이션 동작 미규정</t>
  </si>
  <si>
    <t>[정책 예외] 문서 기본=변경 / 이 화면=신규 [확인 불가] U-1 · U-10 페이지 이동 동작 미정의 — 기획 확인 필요</t>
  </si>
  <si>
    <t>252</t>
  </si>
  <si>
    <t>1. `알람 설정` 섹션의 `대상 리소스` 항목 확인</t>
  </si>
  <si>
    <t>`대상 리소스` 라벨과 필수 표시, 하위에 `범위` 라벨과 드롭다운 표출</t>
  </si>
  <si>
    <t>첫 페이지 이동 버튼 비활성 상태 확인
ㄴ 기획 미정의 항목 — PASS/FAIL 판정 대신 실측 상태를 `실제 결과`에 기재</t>
  </si>
  <si>
    <t>[확인 불가 기반] [UI] p43 페이지네이션 비활성 상태 서술 없음</t>
  </si>
  <si>
    <t>[정책 예외] 문서 기본=변경 / 이 화면=신규 [확인 불가] U-10 첫 페이지에서의 이동 버튼 비활성 처리 미정의 — 기획 확인 필요</t>
  </si>
  <si>
    <t>253</t>
  </si>
  <si>
    <t>TC_VIO_293</t>
  </si>
  <si>
    <t>`리스트 수` 드롭다운 표출
ㄴ 기획서 UI가 더미 값 `20` 표기 — 실 기본값은 실측 상태를 `실제 결과`에 기재</t>
  </si>
  <si>
    <t>[UI] p43 `리스트 수` 드롭다운</t>
  </si>
  <si>
    <t>254</t>
  </si>
  <si>
    <t>1. `범위` 드롭다운 펼침</t>
  </si>
  <si>
    <t>`클러스터 전체` · `네임스페이스` · `워크로드` 표출
ㄴ 초기 선택값 `클러스터 전체`</t>
  </si>
  <si>
    <t>목록 표출 수 선택지 표출 확인
ㄴ 기획 미정의 항목 — PASS/FAIL 판정 대신 실측 상태를 `실제 결과`에 기재</t>
  </si>
  <si>
    <t>[확인 불가 기반] [UI] p43 `리스트 수` 선택지 서술 없음</t>
  </si>
  <si>
    <t>[정책 예외] 문서 기본=변경 / 이 화면=신규 [확인 불가] U-10 `리스트 수` 선택지 목록 미정의 — 기획 확인 필요</t>
  </si>
  <si>
    <t>255</t>
  </si>
  <si>
    <t>TC_VIO_294</t>
  </si>
  <si>
    <t>0건 상태 표출 확인
ㄴ 기획 미정의 항목 — PASS/FAIL 판정 대신 실측 상태를 `실제 결과`에 기재</t>
  </si>
  <si>
    <t>[확인 불가 기반] [DESC 1항-B1] [공통 DESC C11] 빈 목록 상태 미규정</t>
  </si>
  <si>
    <t>[정책 예외] 문서 기본=변경 / 이 화면=신규 [확인 불가] U-11 0건 상태 안내 문구·표출 미정의 — 기획 확인 필요</t>
  </si>
  <si>
    <t>256</t>
  </si>
  <si>
    <t>`범위` 를 `네임스페이스` 로 선택해 추가 select가 표출된 상태</t>
  </si>
  <si>
    <t>1. `범위` 를 `클러스터 전체` 로 변경</t>
  </si>
  <si>
    <t>추가 select 미표출, `범위` 드롭다운 1개만 표출</t>
  </si>
  <si>
    <t>[UI] p44 Breadcrumb 원문 `모니터링 / 외부 알람 설정 / 알람 생성`</t>
  </si>
  <si>
    <t>257</t>
  </si>
  <si>
    <t>TC_VIO_295</t>
  </si>
  <si>
    <t>[UI] p44 페이지 타이틀 + 뒤로 아이콘</t>
  </si>
  <si>
    <t>258</t>
  </si>
  <si>
    <t>`범위` 가 `클러스터 전체` 인 생성 화면 진입 상태</t>
  </si>
  <si>
    <t>1. `범위` 를 `네임스페이스` 로 선택</t>
  </si>
  <si>
    <t>[UI] p44 LNB 선택 상태</t>
  </si>
  <si>
    <t>`네임스페이스` 라벨과 필수 표시가 있는 select 1개 추가 표출</t>
  </si>
  <si>
    <t>259</t>
  </si>
  <si>
    <t>[UI] p44 우상단 클러스터 선택기 — 더미 `Cluster name`</t>
  </si>
  <si>
    <t>TC_VIO_296</t>
  </si>
  <si>
    <t>260</t>
  </si>
  <si>
    <t>`모니터링 현황` 버튼 표출
ㄴ 기획 미정의 항목 — PASS/FAIL 판정 대신 실측 상태를 `실제 결과`에 기재</t>
  </si>
  <si>
    <t>`범위` 를 `네임스페이스` 로 선택한 상태</t>
  </si>
  <si>
    <t>[UI] p44 우상단 `모니터링 현황` 버튼</t>
  </si>
  <si>
    <t>[정책 예외] 문서 기본=변경 / 이 화면=신규 [확인 불가] `모니터링 현황` 버튼 동작이 이 페이지에 미정의 — 기획 확인 필요</t>
  </si>
  <si>
    <t>1. 추가된 `네임스페이스` select 펼침</t>
  </si>
  <si>
    <t>`전체` 와 선택 클러스터 내 네임스페이스 목록 표출
ㄴ 초기 선택값 `전체`</t>
  </si>
  <si>
    <t>261</t>
  </si>
  <si>
    <t>TC_VIO_297</t>
  </si>
  <si>
    <t>[UI] p44 섹션 구성 4종</t>
  </si>
  <si>
    <t>[정책 예외] 문서 기본=변경 / 이 화면=신규 [확인 불가] U-1 `알람 발송 제목` 섹션은 회색 밴드에 `TBD - CONTRABASS 기능 동일 예정` 명시 — 기능 확정 후 케이스 보완 필요</t>
  </si>
  <si>
    <t>262</t>
  </si>
  <si>
    <t>1. `범위` 를 `워크로드` 로 선택</t>
  </si>
  <si>
    <t>`네임스페이스` · `리소스 유형` · `리소스를 선택해 주세요.` select 추가 표출</t>
  </si>
  <si>
    <t>[DESC 머리] `진입 경로` 항 — 생성 화면 진입</t>
  </si>
  <si>
    <t>263</t>
  </si>
  <si>
    <t>TC_VIO_298</t>
  </si>
  <si>
    <t>[DESC 머리-1] 진입 경로 1 — 외부 알람 설정 목록 &gt; `생성`</t>
  </si>
  <si>
    <t>264</t>
  </si>
  <si>
    <t>`범위` 를 `워크로드` 로 선택한 상태</t>
  </si>
  <si>
    <t>1. 추가된 필드 중 `네임스페이스` 항목 확인</t>
  </si>
  <si>
    <t>`네임스페이스` 라벨과 필수 표시가 있는 select 표출</t>
  </si>
  <si>
    <t>[DESC 머리-2] 진입 경로 2 — 임계치 설정 목록 &gt; 작업 &gt; `외부 알람으로 추가`</t>
  </si>
  <si>
    <t>265</t>
  </si>
  <si>
    <t>TC_VIO_299</t>
  </si>
  <si>
    <t>[DESC 1항] [UI] p44 [공통 DESC C9] `클러스터` 필드 표출 — p44 B-2</t>
  </si>
  <si>
    <t>266</t>
  </si>
  <si>
    <t>`범위` 를 `워크로드` 로 선택 + 클러스터 내 네임스페이스가 2개 이상인 상태</t>
  </si>
  <si>
    <t>1. `네임스페이스` select 의 초기 선택값 확인</t>
  </si>
  <si>
    <t>이름 기준 오름차순 최상위 네임스페이스가 선택 상태로 표출</t>
  </si>
  <si>
    <t>생성 화면 공통 정책(VIOE-00_00_01 2항)에 따른 기본값 표출
ㄴ 준거 정의가 이 기획서 범위 밖 화면 — PASS/FAIL 판정 대신 실측 상태를 `실제 결과`에 기재</t>
  </si>
  <si>
    <t>[DESC 1항-1] [공통 DESC C1] 경로 1 진입 시 `클러스터` Default 는 생성 화면 공통 정책 준거</t>
  </si>
  <si>
    <t>[정책 예외] 문서 기본=변경 / 이 화면=신규 [확인 불가] `생성 화면 공통 정책` 본문이 범위 밖 화면(VIOE-00_00_01) 정의 — 기획 확인 필요</t>
  </si>
  <si>
    <t>267</t>
  </si>
  <si>
    <t>TC_VIO_300</t>
  </si>
  <si>
    <t>`범위` 를 `워크로드` 로 선택 + 클러스터 내 네임스페이스가 1개 이상 존재하는 상태</t>
  </si>
  <si>
    <t>1. `네임스페이스` select 펼침</t>
  </si>
  <si>
    <t>선택 클러스터 내 네임스페이스 목록만 표출
ㄴ `전체` 옵션 미제공</t>
  </si>
  <si>
    <t>[DESC 1항-2] 경로 2 진입 시 해당 임계치에 설정된 클러스터 표출</t>
  </si>
  <si>
    <t>268</t>
  </si>
  <si>
    <t>TC_VIO_301</t>
  </si>
  <si>
    <t>[DESC 1항-2] 경로 2 진입 시 `클러스터` 비활성화 (수정 불가)</t>
  </si>
  <si>
    <t>1. `리소스 유형` select 펼침</t>
  </si>
  <si>
    <t>269</t>
  </si>
  <si>
    <t>`파드` · `디플로이먼트` · `데몬셋` · `스테이트풀셋` 표출
ㄴ 초기 선택값 `파드`</t>
  </si>
  <si>
    <t>TC_VIO_302</t>
  </si>
  <si>
    <t>`메트릭` `클러스터 이상 감지` `이벤트` `로그` 4개 버튼 전부 활성 상태로 표출
ㄴ Loki 미연결 alert 미표출
ㄴ '클러스터 이상 감지' 버튼의 경우, 대상 리소스가 "클러스터 전체"인 경우에만 활성화</t>
  </si>
  <si>
    <t>[DESC 1항-3] [강조] Loki 연결 시에는 조건 제한 미적용 — 조건문 반대 조건 검증</t>
  </si>
  <si>
    <t>270</t>
  </si>
  <si>
    <t>`범위` 를 `워크로드` 로 선택하고 네임스페이스·리소스 유형을 지정한 상태</t>
  </si>
  <si>
    <t>TC_VIO_270</t>
  </si>
  <si>
    <t>1. `리소스 선택` select 펼침</t>
  </si>
  <si>
    <t>`전체` 와 선택한 네임스페이스·유형 내 생성된 리소스 목록 표출
ㄴ 초기 선택값 `전체`</t>
  </si>
  <si>
    <t>1. `알람 조건` 영역에서 추가 가능한 조건 종류 확인</t>
  </si>
  <si>
    <t>`메트릭` 조건만 추가 가능한 상태로 표출</t>
  </si>
  <si>
    <t>[DESC 1항-3-a] [강조] Loki 미연결 시 `메트릭` 조건만 추가 가능</t>
  </si>
  <si>
    <t>TC_VIO_303</t>
  </si>
  <si>
    <t>271</t>
  </si>
  <si>
    <t>`범위` 를 전체 선택 계열로 지정한 외부 알람이 활성 상태로 생성된 상태</t>
  </si>
  <si>
    <t>1. 설정 범위 내 리소스 1개에서 알람 조건 충족</t>
  </si>
  <si>
    <t>해당 알람 발송</t>
  </si>
  <si>
    <t>[DESC 1항-3-a-i] [DESC 5항-5-a-i] [강조] Loki 미연결 시 `메트릭 조건 추가` 이외 비활성화 — `이벤트 조건 추가`</t>
  </si>
  <si>
    <t>272</t>
  </si>
  <si>
    <t>TC_VIO_304</t>
  </si>
  <si>
    <t>[DESC 1항-3-a-i] [DESC 5항-5-a-i] [강조] Loki 미연결 시 `메트릭 조건 추가` 이외 비활성화 — `로그 조건 추가`</t>
  </si>
  <si>
    <t>`범위` 를 `네임스페이스` 의 `전체` 로 지정한 알람이 활성 상태로 생성된 상태</t>
  </si>
  <si>
    <t>273</t>
  </si>
  <si>
    <t>1. ns01 과 ns02 에서 각각 알람 조건 충족</t>
  </si>
  <si>
    <t>ns01 조건 충족 시 발송, ns02 조건 충족 시 발송</t>
  </si>
  <si>
    <t>TC_VIO_305</t>
  </si>
  <si>
    <t>[DESC 1항-3-a-i] [강조] Loki 미연결이어도 `메트릭 조건 추가` 는 활성 유지</t>
  </si>
  <si>
    <t>274</t>
  </si>
  <si>
    <t>`범위` 를 특정 네임스페이스·특정 리소스로 개별 지정한 알람이 활성 상태로 생성된 상태</t>
  </si>
  <si>
    <t>1. 지정 범위 내 리소스에서 알람 조건 충족</t>
  </si>
  <si>
    <t>지정 범위에 한해 조건 확인 후 알람 발송</t>
  </si>
  <si>
    <t>TC_VIO_306</t>
  </si>
  <si>
    <t>[DESC 1항-3-b] [UI] p44 [강조] Loki 미연결 alert 표출 위치 — p44 E-1</t>
  </si>
  <si>
    <t>275</t>
  </si>
  <si>
    <t>`범위` 를 특정 네임스페이스 ns01 로 지정한 알람만 존재하고 다른 알람이 없는 상태</t>
  </si>
  <si>
    <t>1. ns02 에서 알람 조건에 해당하는 상황 발생</t>
  </si>
  <si>
    <t>ns02 대상 알람 미발송</t>
  </si>
  <si>
    <t>`해당 클러스터에는 Loki가 연결되지 않았습니다.` 볼드 1행과 `메트릭 조건만 추가 가능합니다.` 2행 표출</t>
  </si>
  <si>
    <t>TC_VIO_307</t>
  </si>
  <si>
    <t>[DESC 1항-3-b] [UI] p44 [강조] Loki 미연결 alert 본문 원문 — p44 E-2·E-3</t>
  </si>
  <si>
    <t>276</t>
  </si>
  <si>
    <t>알람 조건값을 수정한 상태</t>
  </si>
  <si>
    <t>1. `범위` 옵션을 다른 값으로 변경</t>
  </si>
  <si>
    <t>`알림` 팝업 표출</t>
  </si>
  <si>
    <t>TC_VIO_308</t>
  </si>
  <si>
    <t>[DESC 1항-3-b-i] [강조] alert `연결 확인` 클릭 시 클러스터 연결 정보 수정 화면 이동</t>
  </si>
  <si>
    <t>277</t>
  </si>
  <si>
    <t>조건 카드가 기본 상태이고 알람 조건값을 한 번도 수정하지 않은 상태</t>
  </si>
  <si>
    <t>`알림` 팝업 미표출, 변경한 `범위` 값 즉시 반영</t>
  </si>
  <si>
    <t>TC_VIO_309</t>
  </si>
  <si>
    <t>alert 배너 닫힘
ㄴ 기획 미정의 항목 — PASS/FAIL 판정 대신 실측 상태를 `실제 결과`에 기재</t>
  </si>
  <si>
    <t>대상 리소스 변경 알림 팝업</t>
  </si>
  <si>
    <t>[UI] p44 E-5 alert 우측 닫기 아이콘</t>
  </si>
  <si>
    <t>알람 조건값 수정 후 `범위` 변경으로 `알림` 팝업이 표출된 상태</t>
  </si>
  <si>
    <t>[정책 예외] 문서 기본=변경 / 이 화면=신규 [확인 불가] alert 닫기 후 재표출 조건이 기획 미정의 — 기획 확인 필요</t>
  </si>
  <si>
    <t>1. 팝업 본문과 버튼 구성 확인</t>
  </si>
  <si>
    <t>본문 `대상 리소스를 변경하시겠습니까?` 와 `알람 조건 설정이 초기화됩니다.` 표출
ㄴ 하단에 `취소` · `변경` 버튼 표출</t>
  </si>
  <si>
    <t>278</t>
  </si>
  <si>
    <t>TC_VIO_310</t>
  </si>
  <si>
    <t>[DESC 2항] [UI] p44 [공통 DESC C9] `이름` 필드 표출 — p44 B-3</t>
  </si>
  <si>
    <t>1. 팝업의 `변경` 버튼 클릭</t>
  </si>
  <si>
    <t>대상 리소스 변경 반영, 알람 조건 설정 초기화</t>
  </si>
  <si>
    <t>279</t>
  </si>
  <si>
    <t>TC_VIO_311</t>
  </si>
  <si>
    <t>[DESC 2항-1] [확인 불가 기반] `이름` 은 input (text) + `중복 확인` 버튼 구성</t>
  </si>
  <si>
    <t>[정책 예외] 문서 기본=변경 / 이 화면=신규 [확인 불가] U-2 `공통 정책에 따름` 의 준거 화면이 원문에 미표기 — 기획 확인 필요</t>
  </si>
  <si>
    <t>1. 팝업의 `취소` 버튼 클릭</t>
  </si>
  <si>
    <t>280</t>
  </si>
  <si>
    <t>팝업 닫힘
 ㄴ 변경 사항 없음</t>
  </si>
  <si>
    <t>TC_VIO_312</t>
  </si>
  <si>
    <t>중복 확인 결과 표출
ㄴ 기획 미정의 항목 — PASS/FAIL 판정 대신 실측 상태를 `실제 결과`에 기재</t>
  </si>
  <si>
    <t>[DESC 2항-1] [확인 불가 기반] `중복 확인` 동작은 공통 정책 위임 — 대상 미표기</t>
  </si>
  <si>
    <t>[정책 예외] 문서 기본=변경 / 이 화면=신규 [확인 불가] U-2 중복 확인의 성공·실패 문구와 검증 시점이 미정의 — 기획 확인 필요</t>
  </si>
  <si>
    <t>1. `알람 설정` 섹션의 `알람 조건` 항목 확인</t>
  </si>
  <si>
    <t>281</t>
  </si>
  <si>
    <t>`알람 조건` 라벨과 필수 표시 표출</t>
  </si>
  <si>
    <t>TC_VIO_313</t>
  </si>
  <si>
    <t>입력값 정책을 벗어난 값이 반영되지 않음
ㄴ 기획 미정의 항목 — PASS/FAIL 판정 대신 실측 상태를 `실제 결과`에 기재</t>
  </si>
  <si>
    <t>[DESC 2항-2] `입력값 정책` 항 — 정책 위반 입력의 처리 방식</t>
  </si>
  <si>
    <t>[정책 예외] 문서 기본=변경 / 이 화면=신규 [확인 불가] 정책 위반 시 처리 방식(입력 차단·에러 문구)이 미정의 — 기획 확인 필요</t>
  </si>
  <si>
    <t>1. `알람 조건` 라벨 하단 안내 문구 확인</t>
  </si>
  <si>
    <t>282</t>
  </si>
  <si>
    <t>`알람 수신 조건을 설정합니다. 각 카드 또는 카드 그룹 조건은 OR로 결합되어, 조건을 만족할 경우 알람이 발송됩니다.` 표출</t>
  </si>
  <si>
    <t>TC_VIO_314</t>
  </si>
  <si>
    <t>입력값이 그대로 반영</t>
  </si>
  <si>
    <t>[DESC 2항-2-a] 입력 가능 문자 — 한글·영소문자·숫자·하이픈</t>
  </si>
  <si>
    <t>283</t>
  </si>
  <si>
    <t>1. `알람 조건` 영역의 초기 카드 구성 확인</t>
  </si>
  <si>
    <t>메트릭 조건 카드 1개가 추가된 상태로 표출</t>
  </si>
  <si>
    <t>TC_VIO_315</t>
  </si>
  <si>
    <t>허용 문자 외 입력이 반영되지 않음
ㄴ 기획 미정의 항목 — PASS/FAIL 판정 대신 실측 상태를 `실제 결과`에 기재</t>
  </si>
  <si>
    <t>[DESC 2항-2-a] 입력 가능 문자 밖 — 영대문자·특수문자</t>
  </si>
  <si>
    <t>[정책 예외] 문서 기본=변경 / 이 화면=신규 [확인 불가] 허용 문자 외 입력의 처리 방식이 미정의 — 기획 확인 필요</t>
  </si>
  <si>
    <t>284</t>
  </si>
  <si>
    <t>가져온 임계치 조건 카드 1건만 표출</t>
  </si>
  <si>
    <t>TC_VIO_316</t>
  </si>
  <si>
    <t>50자 입력값이 그대로 반영</t>
  </si>
  <si>
    <t>[DESC 2항-2-b] 글자수 제한 1~50 — 상한 경계</t>
  </si>
  <si>
    <t>알람 조건 카드가 2개 이상 추가된 상태</t>
  </si>
  <si>
    <t>1. 각 조건 카드의 순번 표기 확인</t>
  </si>
  <si>
    <t>조건 카드마다 `1` · `2` · `3` 형태의 순번 표출</t>
  </si>
  <si>
    <t>285</t>
  </si>
  <si>
    <t>TC_VIO_317</t>
  </si>
  <si>
    <t>50자를 넘는 입력이 반영되지 않음
ㄴ 기획 미정의 항목 — PASS/FAIL 판정 대신 실측 상태를 `실제 결과`에 기재</t>
  </si>
  <si>
    <t>알람 조건 카드가 3개 추가된 상태</t>
  </si>
  <si>
    <t>[DESC 2항-2-b] 글자수 제한 1~50 — 상한 초과</t>
  </si>
  <si>
    <t>[정책 예외] 문서 기본=변경 / 이 화면=신규 [확인 불가] 상한 초과 시 처리 방식(입력 차단·에러 문구)이 미정의 — 기획 확인 필요</t>
  </si>
  <si>
    <t>1. 2번째 조건 카드의 `조건 삭제` 실행</t>
  </si>
  <si>
    <t>잔여 조건 카드 기준으로 순번 `1` · `2` 재정렬</t>
  </si>
  <si>
    <t>286</t>
  </si>
  <si>
    <t>TC_VIO_318</t>
  </si>
  <si>
    <t>[DESC 3항] [UI] p44 [공통 DESC C9] `활성화` 토글 표출 — p44 C-2</t>
  </si>
  <si>
    <t>메트릭 조건 카드가 3개 추가된 상태</t>
  </si>
  <si>
    <t>287</t>
  </si>
  <si>
    <t>1. 메트릭 카드에 AND 조건을 설정해 그룹핑</t>
  </si>
  <si>
    <t>잔여 조건 카드 기준으로 순번 재정렬</t>
  </si>
  <si>
    <t>TC_VIO_319</t>
  </si>
  <si>
    <t>`외부 알람 발송 여부를 설정합니다. OFF 시에도 알람 발생 이력은 확인할 수 있습니다.` 표출</t>
  </si>
  <si>
    <t>[UI] p44 C-3 `활성화` 헬퍼 문구 원문</t>
  </si>
  <si>
    <t>288</t>
  </si>
  <si>
    <t>알람 조건 카드가 1개 이상 추가된 상태</t>
  </si>
  <si>
    <t>1. 조건 카드 좌상단의 `구분` 영역 확인</t>
  </si>
  <si>
    <t>조건 카드마다 구분 Tag 표출</t>
  </si>
  <si>
    <t>[DESC 3항-1] `활성화` Default On</t>
  </si>
  <si>
    <t>289</t>
  </si>
  <si>
    <t>TC_VIO_320</t>
  </si>
  <si>
    <t>메트릭 조건 카드가 추가된 상태</t>
  </si>
  <si>
    <t>1. 메트릭 조건 카드의 구분 Tag 확인</t>
  </si>
  <si>
    <t>`메트릭` Tag 표출</t>
  </si>
  <si>
    <t>[DESC 3항-2] On 시 알람 조건 충족하면 외부 알람 발송</t>
  </si>
  <si>
    <t>290</t>
  </si>
  <si>
    <t>TC_VIO_321</t>
  </si>
  <si>
    <t>이벤트 조건 카드가 추가된 상태</t>
  </si>
  <si>
    <t>[DESC 3항-3] Off 시 해당 알람 전체 외부 발송하지 않음</t>
  </si>
  <si>
    <t>1. 이벤트 조건 카드의 구분 Tag 확인</t>
  </si>
  <si>
    <t>`이벤트` Tag 표출</t>
  </si>
  <si>
    <t>291</t>
  </si>
  <si>
    <t>TC_VIO_291</t>
  </si>
  <si>
    <t>VQ-595</t>
  </si>
  <si>
    <t>`활성화` Off 상태로 생성된 외부 알람이 존재하는 상태</t>
  </si>
  <si>
    <t>1. 조건 충족 후 상세 화면의 `발송 이력` 탭 확인</t>
  </si>
  <si>
    <t>발송 이력 탭(VIOE-04_06_06)에 해당 알람 이력 누적</t>
  </si>
  <si>
    <t>[DESC 3항-3-a] Off 상태에서도 알람 수집·내부 처리 유지</t>
  </si>
  <si>
    <t>292</t>
  </si>
  <si>
    <t>[DESC 4항] [UI] p44 [공통 DESC C9] `대상 리소스` 항목 표출 — p44 C-4</t>
  </si>
  <si>
    <t>293</t>
  </si>
  <si>
    <t>[K8s] 알람 생성 &gt; 알람 조건에 이벤트, 로그 추가 시 알람 생성 불가한 문제</t>
  </si>
  <si>
    <t>[DESC 4항-1] `범위` Options 3종과 Default</t>
  </si>
  <si>
    <t>294</t>
  </si>
  <si>
    <t>TC_VIO_322</t>
  </si>
  <si>
    <t>로그 조건 카드가 추가된 상태</t>
  </si>
  <si>
    <t>[DESC 4항-2] `클러스터 전체` 선택 시 추가 select 없음</t>
  </si>
  <si>
    <t>1. 로그 조건 카드의 구분 Tag 확인</t>
  </si>
  <si>
    <t>`로그` Tag 표출</t>
  </si>
  <si>
    <t>295</t>
  </si>
  <si>
    <t>TC_VIO_323</t>
  </si>
  <si>
    <t>[DESC 4항-3] [UI] p44 `네임스페이스` 선택 시 네임스페이스 select 추가 — 4-1 mock</t>
  </si>
  <si>
    <t>메트릭·이벤트·로그 조건 카드가 각각 추가된 상태</t>
  </si>
  <si>
    <t>1. 구분별 조건 카드의 구성 필드 확인</t>
  </si>
  <si>
    <t>296</t>
  </si>
  <si>
    <t>구분별 카드 구성이 5-1항 · 5-2항 · 5-3항 · 5-4항 정의와 일치</t>
  </si>
  <si>
    <t>TC_VIO_324</t>
  </si>
  <si>
    <t>[DESC 4항-3-a] 네임스페이스 select Options</t>
  </si>
  <si>
    <t>297</t>
  </si>
  <si>
    <t>1. 조건 카드 하단의 버튼 영역 확인</t>
  </si>
  <si>
    <t>조건 추가 버튼 영역 표출</t>
  </si>
  <si>
    <t>`네임스페이스` · `리소스 유형` · `리소스 선택` select 추가 표출</t>
  </si>
  <si>
    <t>TC_VIO_325</t>
  </si>
  <si>
    <t>[DESC 4항-4] [UI] p44 `워크로드` 선택 시 하위 select 추가 — 4-2 mock</t>
  </si>
  <si>
    <t>298</t>
  </si>
  <si>
    <t>1. 조건 추가 버튼의 라벨 확인</t>
  </si>
  <si>
    <t>`메트릭 조건 추가` · `클러스터 이상 감지 조건 추가` · `이벤트 조건 추가` · `로그 조건 추가` 표출</t>
  </si>
  <si>
    <t>[DESC 4항-4-a] `워크로드` 하위 — 네임스페이스 필드 제공</t>
  </si>
  <si>
    <t>TC_VIO_326</t>
  </si>
  <si>
    <t>299</t>
  </si>
  <si>
    <t>Loki 연결된 클러스터 선택 + 조건 카드 1개인 생성 화면 진입 상태</t>
  </si>
  <si>
    <t>1. 조건 추가 버튼 4종의 초기 상태 확인</t>
  </si>
  <si>
    <t>조건 추가 버튼 4종 전부 활성 상태로 표출</t>
  </si>
  <si>
    <t>[DESC 4항-4-a-i] `워크로드` 네임스페이스 Default</t>
  </si>
  <si>
    <t>300</t>
  </si>
  <si>
    <t>TC_VIO_327</t>
  </si>
  <si>
    <t>Loki 연결된 클러스터 선택 + 조건 카드가 10개 추가된 상태</t>
  </si>
  <si>
    <t>1. 조건 추가 버튼 4종의 상태 확인</t>
  </si>
  <si>
    <t>조건 추가 버튼 4종 전부 비활성화 상태로 표출</t>
  </si>
  <si>
    <t>[DESC 4항-4-a-ii] `워크로드` 네임스페이스 Options — 전체 옵션 미제공</t>
  </si>
  <si>
    <t>301</t>
  </si>
  <si>
    <t>TC_VIO_328</t>
  </si>
  <si>
    <t>Loki 연결된 클러스터 선택 + 조건 카드가 9개 추가된 상태</t>
  </si>
  <si>
    <t>[DESC 4항-4-b] `워크로드` 리소스 유형 Options 4종과 Default</t>
  </si>
  <si>
    <t>302</t>
  </si>
  <si>
    <t>TC_VIO_329</t>
  </si>
  <si>
    <t>[DESC 4항-4-c] `워크로드` 리소스 선택 Options</t>
  </si>
  <si>
    <t>303</t>
  </si>
  <si>
    <t>1. `메트릭 조건 추가` 버튼 클릭</t>
  </si>
  <si>
    <t>메트릭 조건 카드 1건 추가</t>
  </si>
  <si>
    <t>TC_VIO_330</t>
  </si>
  <si>
    <t>[DESC 4항-5] 전체 선택 계열 — 범위 내 1개 리소스 충족 시 발송</t>
  </si>
  <si>
    <t>304</t>
  </si>
  <si>
    <t>1. `이벤트 조건 추가` 버튼 클릭</t>
  </si>
  <si>
    <t>이벤트 조건 카드 1건 추가</t>
  </si>
  <si>
    <t>[DESC 4항-5-예] 전체 선택 계열 예시 — 네임스페이스 전체</t>
  </si>
  <si>
    <t>305</t>
  </si>
  <si>
    <t>1. `클러스터 이상 감지 조건 추가` 버튼 클릭</t>
  </si>
  <si>
    <t>클러스터 이상 감지 조건 카드 1건 추가</t>
  </si>
  <si>
    <t>[DESC 4항-6] 개별 지정 시 해당 범위에서만 조건 확인</t>
  </si>
  <si>
    <t>306</t>
  </si>
  <si>
    <t>[DESC 4항-6-예] 개별 지정 예시 — 지정 밖 네임스페이스는 미추적</t>
  </si>
  <si>
    <t>TC_VIO_331</t>
  </si>
  <si>
    <t>307</t>
  </si>
  <si>
    <t>1. `로그 조건 추가` 버튼 클릭</t>
  </si>
  <si>
    <t>로그 조건 카드 1건 추가</t>
  </si>
  <si>
    <t>[DESC 4항-7] [UI] p44 조건값 수정 상태에서 옵션 변경 시 `알림` 팝업 — 4-3 mock</t>
  </si>
  <si>
    <t>308</t>
  </si>
  <si>
    <t>TC_VIO_332</t>
  </si>
  <si>
    <t>AND 그룹핑하지 않은 조건 카드가 2개 이상 추가된 상태</t>
  </si>
  <si>
    <t>1. 조건 카드 사이 영역 확인</t>
  </si>
  <si>
    <t>카드 간 연산자 미표시
ㄴ 카드 간 OR 조건으로 적용</t>
  </si>
  <si>
    <t>[DESC 4항-7] 조건값 수정 사항이 없으면 `알림` 팝업 미표출</t>
  </si>
  <si>
    <t>309</t>
  </si>
  <si>
    <t>[UI] p44 4-3 `알림` 팝업 본문·버튼 원문</t>
  </si>
  <si>
    <t>310</t>
  </si>
  <si>
    <t>TC_VIO_333</t>
  </si>
  <si>
    <t>[UI] p44 4-3 `알림` 팝업 `변경` 클릭</t>
  </si>
  <si>
    <t>311</t>
  </si>
  <si>
    <t>메트릭 조건 카드가 1개 추가된 상태</t>
  </si>
  <si>
    <t>1. 메트릭 조건 카드의 구성 영역 확인</t>
  </si>
  <si>
    <t>구분 Tag · `조건 삭제` · 지표 드롭다운 · `지표별 범위 심각도 설정` · `AND 조건 추가` 영역 표출</t>
  </si>
  <si>
    <t>팝업 닫힘
ㄴ 기획 미정의 항목 — PASS/FAIL 판정 대신 실측 상태를 `실제 결과`에 기재</t>
  </si>
  <si>
    <t>[UI] p44 4-3 `알림` 팝업 `취소` 클릭</t>
  </si>
  <si>
    <t>TC_VIO_334</t>
  </si>
  <si>
    <t>[정책 예외] 문서 기본=변경 / 이 화면=신규 [확인 불가] 팝업 `취소` 후 `범위` 값의 원복 여부가 기획 미정의 — 기획 확인 필요</t>
  </si>
  <si>
    <t>312</t>
  </si>
  <si>
    <t>메트릭 조건 카드가 1개 추가된 상태
범위가 클러스터 전체인 상태</t>
  </si>
  <si>
    <t>1. 메트릭 조건 카드의 `지표` 필드 확인</t>
  </si>
  <si>
    <t>지표 드롭다운과 우측 조사 `이` 표출</t>
  </si>
  <si>
    <t>[DESC 5항] [UI] p44 [공통 DESC C9] `알람 조건` 항목 표출 — p44 C-6</t>
  </si>
  <si>
    <t>313</t>
  </si>
  <si>
    <t>TC_VIO_335</t>
  </si>
  <si>
    <t>`범위` 가 `클러스터 전체` 이고 메트릭 조건 카드가 추가된 상태</t>
  </si>
  <si>
    <t>1. `범위` 를 `네임스페이스` 로 변경 후 지표 드롭다운 펼침</t>
  </si>
  <si>
    <t>변경한 대상 리소스에 대응하는 지표 Options 로 갱신 표출</t>
  </si>
  <si>
    <t>[UI] p44 C-7 `알람 조건` 헬퍼 문구 원문</t>
  </si>
  <si>
    <t>314</t>
  </si>
  <si>
    <t>TC_VIO_336</t>
  </si>
  <si>
    <t>[DESC 5항-1] 경로 1 진입 시 Default 조건 카드</t>
  </si>
  <si>
    <t>1. 지표 드롭다운 펼침</t>
  </si>
  <si>
    <t>`CPU 사용률` · `메모리 사용률` · `평균 GPU 사용률` · `평균 GPU 메모리 사용률` · `+ 임계치에서 추가` 표출
ㄴ 초기 선택값 `CPU 사용률`</t>
  </si>
  <si>
    <t>315</t>
  </si>
  <si>
    <t>TC_VIO_337</t>
  </si>
  <si>
    <t>[DESC 5항-2] [UI] p44 경로 2 진입 시 임계치 조건 카드 1건만 표시 — 5-2 mock</t>
  </si>
  <si>
    <t>`범위` 가 `네임스페이스` 이고 메트릭 조건 카드가 추가된 상태</t>
  </si>
  <si>
    <t>316</t>
  </si>
  <si>
    <t>`CPU 사용량` · `메모리 사용량` · `+ 임계치에서 추가` 표출
ㄴ 초기 선택값 `CPU 사용량`</t>
  </si>
  <si>
    <t>TC_VIO_338</t>
  </si>
  <si>
    <t>[DESC 5항-3] 조건 카드별 순번 표기</t>
  </si>
  <si>
    <t>`범위` 가 `워크로드` 이고 메트릭 조건 카드가 추가된 상태</t>
  </si>
  <si>
    <t>317</t>
  </si>
  <si>
    <t>`CPU 사용량` · `메모리 사용량` 표출
ㄴ 초기 선택값 `CPU 사용량`</t>
  </si>
  <si>
    <t>TC_VIO_339</t>
  </si>
  <si>
    <t>[DESC 5항-3-a] 조건 삭제 시 잔여 카드 기준 순번 재정렬</t>
  </si>
  <si>
    <t>지표가 `CPU 사용률` 로 선택되어 있고 카드의 다른 필드를 조작하지 않은 상태</t>
  </si>
  <si>
    <t>318</t>
  </si>
  <si>
    <t>1. 지표 드롭다운에서 `CPU 사용률` 재선택</t>
  </si>
  <si>
    <t>지표 값과 하위 범위 심각도 행 구성 기본 상태 유지</t>
  </si>
  <si>
    <t>TC_VIO_340</t>
  </si>
  <si>
    <t>1. 메트릭 조건 카드 내 서브 패널 확인</t>
  </si>
  <si>
    <t>`지표별 범위 심각도 설정` 회색 헤더 밴드와 범위 행 표출</t>
  </si>
  <si>
    <t>[DESC 5항-3-a] 메트릭 카드 AND 조건 설정 시 순번 재정렬</t>
  </si>
  <si>
    <t>319</t>
  </si>
  <si>
    <t>TC_VIO_341</t>
  </si>
  <si>
    <t>지표가 사용률 계열로 선택된 메트릭 조건 카드가 추가된 상태</t>
  </si>
  <si>
    <t>1. 지표를 사용량 계열로 변경 후 범위 심각도 행 확인</t>
  </si>
  <si>
    <t>선택한 지표에 대응하는 표현식으로 범위 심각도 행 전환</t>
  </si>
  <si>
    <t>[DESC 5항-4] 조건 카드 `구분` 항목</t>
  </si>
  <si>
    <t>320</t>
  </si>
  <si>
    <t>TC_VIO_342</t>
  </si>
  <si>
    <t>지표가 `CPU 사용률` 인 메트릭 조건 카드가 추가된 상태</t>
  </si>
  <si>
    <t>1. 범위 심각도 행의 필드 구성 확인</t>
  </si>
  <si>
    <t>`비율` 입력과 `%` · `초과/미만` · `시` · `심각도` 순으로 표출</t>
  </si>
  <si>
    <t>[DESC 5항-4-a] [UI] p44 [강조] 구분 Tag — 메트릭</t>
  </si>
  <si>
    <t>321</t>
  </si>
  <si>
    <t>TC_VIO_343</t>
  </si>
  <si>
    <t>지표가 `CPU 사용량` 인 메트릭 조건 카드가 추가된 상태</t>
  </si>
  <si>
    <t>`기준값` 입력과 단위, `의` · `비율` 입력과 `%` · `초과/미만` · `시` · `심각도` 순으로 표출</t>
  </si>
  <si>
    <t>[DESC 5항-4-a] [강조] 구분 Tag — 이벤트</t>
  </si>
  <si>
    <t>322</t>
  </si>
  <si>
    <t>TC_VIO_344</t>
  </si>
  <si>
    <t>1. 기준값 필드의 초기값 확인</t>
  </si>
  <si>
    <t>기준값 `5` 표출</t>
  </si>
  <si>
    <t>[DESC 5항-4-a] [강조] 구분 Tag — 로그</t>
  </si>
  <si>
    <t>323</t>
  </si>
  <si>
    <t>TC_VIO_345</t>
  </si>
  <si>
    <t>1. 기준값에 `1` 과 `999` 를 각각 입력</t>
  </si>
  <si>
    <t>`1` 과 `999` 입력값 반영</t>
  </si>
  <si>
    <t>[DESC 5항-4-b] 각 구분의 세부 정의는 5-1~4항 준거</t>
  </si>
  <si>
    <t>324</t>
  </si>
  <si>
    <t>TC_VIO_346</t>
  </si>
  <si>
    <t>1. 기준값에 `0` 과 `1000` 을 각각 입력 시도</t>
  </si>
  <si>
    <t>입력 범위 밖 값이 반영되지 않음
ㄴ 0 입력 시 1, 1000 입력 시 999</t>
  </si>
  <si>
    <t>[DESC 5항-5] `조건 추가` 버튼 영역 표출</t>
  </si>
  <si>
    <t>325</t>
  </si>
  <si>
    <t>`메트릭 조건 추가` · `이벤트 조건 추가` · `로그 조건 추가` 표출</t>
  </si>
  <si>
    <t>[DESC 5항-5-0] [UI] p44 [강조] 조건 추가 버튼 3종 라벨 — p44 D-8·D-9·D-10</t>
  </si>
  <si>
    <t>326</t>
  </si>
  <si>
    <t>TC_VIO_347</t>
  </si>
  <si>
    <t>1. 조건 추가 버튼 3종의 초기 상태 확인</t>
  </si>
  <si>
    <t>조건 추가 버튼 3종 전부 활성 상태로 표출</t>
  </si>
  <si>
    <t>[DESC 5항-5-a] [강조] 조건 추가 버튼 Default 활성화</t>
  </si>
  <si>
    <t>1. 기준값 우측 단위 표기 확인</t>
  </si>
  <si>
    <t>단위 `Core` 표출</t>
  </si>
  <si>
    <t>327</t>
  </si>
  <si>
    <t>TC_VIO_348</t>
  </si>
  <si>
    <t>1. 조건 추가 버튼 3종의 상태 확인</t>
  </si>
  <si>
    <t>조건 추가 버튼 3종 전부 비활성화 상태로 표출</t>
  </si>
  <si>
    <t>[DESC 5항-5-a-ii] [강조] 조건 카드 10개 도달 시 조건 추가 버튼 비활성화</t>
  </si>
  <si>
    <t>지표가 `메모리 사용량` 인 메트릭 조건 카드가 추가된 상태</t>
  </si>
  <si>
    <t>328</t>
  </si>
  <si>
    <t>단위 `GiB` 표출</t>
  </si>
  <si>
    <t>TC_VIO_349</t>
  </si>
  <si>
    <t>[DESC 5항-5-a-ii] [강조] 조건 카드 9개까지는 추가 가능</t>
  </si>
  <si>
    <t>329</t>
  </si>
  <si>
    <t>Options 최하단에 `+ 임계치에서 추가` 표출</t>
  </si>
  <si>
    <t>TC_VIO_350</t>
  </si>
  <si>
    <t>[DESC 5항-5-b] [강조] `메트릭 조건 추가` 클릭 시 메트릭 카드 추가</t>
  </si>
  <si>
    <t>330</t>
  </si>
  <si>
    <t>1. 범위 심각도 행의 공통 필드 확인</t>
  </si>
  <si>
    <t>`비율` 입력과 `초과/미만` select, `심각도` select 표출</t>
  </si>
  <si>
    <t>[DESC 5항-5-b] [강조] `이벤트 조건 추가` 클릭 시 이벤트 카드 추가</t>
  </si>
  <si>
    <t>TC_VIO_351</t>
  </si>
  <si>
    <t>331</t>
  </si>
  <si>
    <t>1. 범위 심각도 행의 비율 필드 초기값 확인</t>
  </si>
  <si>
    <t>비율 `80` 표출</t>
  </si>
  <si>
    <t>TC_VIO_352</t>
  </si>
  <si>
    <t>[DESC 5항-5-b] [강조] `로그 조건 추가` 클릭 시 로그 카드 추가</t>
  </si>
  <si>
    <t>332</t>
  </si>
  <si>
    <t>비율이 `80` 인 범위 심각도 행이 1개인 상태</t>
  </si>
  <si>
    <t>1. `범위 추가` 클릭 후 추가된 행의 비율 확인</t>
  </si>
  <si>
    <t>추가된 행의 비율 `85` 표출</t>
  </si>
  <si>
    <t>TC_VIO_353</t>
  </si>
  <si>
    <t>[DESC 5항-5-b-i] [강조] 조건 카드 간 OR 결합 — 별도 연산자 미표시</t>
  </si>
  <si>
    <t>333</t>
  </si>
  <si>
    <t>비율이 `100` 인 범위 심각도 행이 있는 상태</t>
  </si>
  <si>
    <t>추가된 행의 비율이 `100` 을 넘지 않음</t>
  </si>
  <si>
    <t>[DESC 5-1항] [UI] p44 [공통 DESC C9] 메트릭 조건 카드 구성 표출 — p44 D-1~D-7</t>
  </si>
  <si>
    <t>TC_VIO_354</t>
  </si>
  <si>
    <t>334</t>
  </si>
  <si>
    <t>1. 비율 필드에 `1` 과 `100` 을 각각 입력</t>
  </si>
  <si>
    <t>`1` 과 `100` 입력값 반영</t>
  </si>
  <si>
    <t>[DESC 5-1항-1] [UI] p44 `지표` 필드 표출 — p44 D-3</t>
  </si>
  <si>
    <t>TC_VIO_355</t>
  </si>
  <si>
    <t>335</t>
  </si>
  <si>
    <t>1. 범위 심각도 행의 초과/미만 select 펼침</t>
  </si>
  <si>
    <t>`초과` · `미만` 표출
ㄴ 초기 선택값 `초과`</t>
  </si>
  <si>
    <t>TC_VIO_356</t>
  </si>
  <si>
    <t>1. 범위 심각도 행의 심각도 select 펼침</t>
  </si>
  <si>
    <t>[DESC 5-1항-1-0] 대상 리소스 선택값 변경 시 지표 Options 갱신</t>
  </si>
  <si>
    <t>`Info` · `Warning` · `Critical` 표출
ㄴ 초기 선택값 `Warning`</t>
  </si>
  <si>
    <t>336</t>
  </si>
  <si>
    <t>TC_VIO_357</t>
  </si>
  <si>
    <t>1. 범위 심각도 서브 패널의 추가·삭제 컨트롤 확인</t>
  </si>
  <si>
    <t>패널 하단 `+ 범위 추가` 와 행마다 범위 삭제 아이콘 표출</t>
  </si>
  <si>
    <t>[DESC 5-1항-1-a] 지표 Options — 대상 리소스 `클러스터 전체`</t>
  </si>
  <si>
    <t>337</t>
  </si>
  <si>
    <t>TC_VIO_358</t>
  </si>
  <si>
    <t>범위 심각도 행이 1개인 메트릭 조건 카드가 추가된 상태</t>
  </si>
  <si>
    <t>1. `범위 추가` 클릭</t>
  </si>
  <si>
    <t>[DESC 5-1항-1-b] 지표 Options — 대상 리소스 `네임스페이스`</t>
  </si>
  <si>
    <t>`지표별 범위 심각도` 행 1건 추가</t>
  </si>
  <si>
    <t>338</t>
  </si>
  <si>
    <t>TC_VIO_359</t>
  </si>
  <si>
    <t>범위 심각도 행이 3개인 메트릭 조건 카드가 추가된 상태</t>
  </si>
  <si>
    <t>1. `범위 추가` 버튼 상태 확인</t>
  </si>
  <si>
    <t>[DESC 5-1항-1-c] 지표 Options — 대상 리소스 `워크로드`</t>
  </si>
  <si>
    <t>`범위 추가` 버튼 비활성화 상태로 표출</t>
  </si>
  <si>
    <t>339</t>
  </si>
  <si>
    <t>TC_VIO_360</t>
  </si>
  <si>
    <t>범위 심각도 행이 2개 이상인 메트릭 조건 카드가 추가된 상태</t>
  </si>
  <si>
    <t>1. 각 범위 심각도 행의 우측 확인</t>
  </si>
  <si>
    <t>[DESC 5-1항-1-d] 현재 선택값과 동일한 Options 재선택 시 반응 없음</t>
  </si>
  <si>
    <t>행마다 범위 삭제 버튼 표출</t>
  </si>
  <si>
    <t>340</t>
  </si>
  <si>
    <t>TC_VIO_361</t>
  </si>
  <si>
    <t>[DESC 5-1항-3] [UI] p44 `지표별 범위 심각도 설정` 서브 패널 표출 — p44 D-4</t>
  </si>
  <si>
    <t>1. 범위 삭제 버튼 상태 확인</t>
  </si>
  <si>
    <t>범위 삭제 버튼 비활성화 상태로 표출</t>
  </si>
  <si>
    <t>341</t>
  </si>
  <si>
    <t>TC_VIO_362</t>
  </si>
  <si>
    <t>범위 심각도 행이 2개인 메트릭 조건 카드가 추가된 상태</t>
  </si>
  <si>
    <t>[DESC 5-1항-3-0] 선택한 지표에 따라 범위 심각도 표현식 전환</t>
  </si>
  <si>
    <t>범위 삭제 버튼 활성 상태로 표출</t>
  </si>
  <si>
    <t>342</t>
  </si>
  <si>
    <t>TC_VIO_363</t>
  </si>
  <si>
    <t>[DESC 5-1항-3-a] [UI] p44 사용률 계열 범위 심각도 표현식 — p44 D-5</t>
  </si>
  <si>
    <t>1. 2번째 행의 범위 삭제 버튼 클릭</t>
  </si>
  <si>
    <t>해당 범위 심각도 행 제거</t>
  </si>
  <si>
    <t>343</t>
  </si>
  <si>
    <t>TC_VIO_364</t>
  </si>
  <si>
    <t>[DESC 5-1항-3-b] [UI] p44 사용량 계열 범위 심각도 표현식 — 5-1c mock</t>
  </si>
  <si>
    <t>1. 메트릭 조건 카드 하단의 `AND 조건 추가` 영역 확인</t>
  </si>
  <si>
    <t>344</t>
  </si>
  <si>
    <t>`AND 조건 추가` 라벨과 `신규 추가` · `기존 선택` 버튼 표출</t>
  </si>
  <si>
    <t>TC_VIO_365</t>
  </si>
  <si>
    <t>[DESC 5-1항-3-b-i] 기준값 필드 Default</t>
  </si>
  <si>
    <t>메트릭 카드 2개가 하나의 AND 그룹으로 묶인 상태</t>
  </si>
  <si>
    <t>345</t>
  </si>
  <si>
    <t>1. 그룹 내 각 카드의 `AND 조건 추가` 영역 확인</t>
  </si>
  <si>
    <t>그룹 최하단 1개 위치에만 `AND 조건 추가` 영역 표출</t>
  </si>
  <si>
    <t>TC_VIO_366</t>
  </si>
  <si>
    <t>[DESC 5-1항-3-b-i] 기준값 입력 범위 1~999 경계</t>
  </si>
  <si>
    <t>346</t>
  </si>
  <si>
    <t>1. `AND 조건 추가` 영역의 `신규 추가` 버튼 확인</t>
  </si>
  <si>
    <t>`신규 추가` 버튼 표출</t>
  </si>
  <si>
    <t>입력 범위 밖 값이 반영되지 않음
ㄴ 기획 미정의 항목 — PASS/FAIL 판정 대신 실측 상태를 `실제 결과`에 기재</t>
  </si>
  <si>
    <t>TC_VIO_367</t>
  </si>
  <si>
    <t>[DESC 5-1항-3-b-i] 기준값 입력 범위 밖 값</t>
  </si>
  <si>
    <t>[정책 예외] 문서 기본=변경 / 이 화면=신규 [확인 불가] 범위 밖 입력의 처리 방식(입력 차단·에러 문구)이 미정의 — 기획 확인 필요</t>
  </si>
  <si>
    <t>347</t>
  </si>
  <si>
    <t>전체 조건 카드가 10개 미만인 상태</t>
  </si>
  <si>
    <t>1. `신규 추가` 버튼의 초기 상태 확인</t>
  </si>
  <si>
    <t>`신규 추가` 버튼 활성 상태로 표출</t>
  </si>
  <si>
    <t>[DESC 5-1항-3-b-ii] 사용량 단위 — CPU</t>
  </si>
  <si>
    <t>TC_VIO_368</t>
  </si>
  <si>
    <t>348</t>
  </si>
  <si>
    <t>전체 조건 카드가 10개인 상태</t>
  </si>
  <si>
    <t>1. `신규 추가` 버튼 상태 확인</t>
  </si>
  <si>
    <t>`신규 추가` 버튼 비활성화 상태로 표출</t>
  </si>
  <si>
    <t>[DESC 5-1항-3-b-ii] 사용량 단위 — 메모리</t>
  </si>
  <si>
    <t>349</t>
  </si>
  <si>
    <t>[DESC 5-1항-3-c] 지표 Options 에 `+ 임계치에서 추가` 제공</t>
  </si>
  <si>
    <t>350</t>
  </si>
  <si>
    <t>[DESC 5-1항-3-공통] 범위 심각도 공통 필드 구성</t>
  </si>
  <si>
    <t>351</t>
  </si>
  <si>
    <t>TC_VIO_369</t>
  </si>
  <si>
    <t>[DESC 5-1항-3-공통-a] 비율 Default</t>
  </si>
  <si>
    <t>1. `신규 추가` 버튼 클릭</t>
  </si>
  <si>
    <t>해당 버튼 상단에 신규 메트릭 카드 추가</t>
  </si>
  <si>
    <t>352</t>
  </si>
  <si>
    <t>TC_VIO_370</t>
  </si>
  <si>
    <t>[DESC 5-1항-3-공통-a] 범위 추가 시 비율은 직전 필드값 + 5</t>
  </si>
  <si>
    <t>353</t>
  </si>
  <si>
    <t>1. `신규 추가` 클릭 후 카드 배치 확인</t>
  </si>
  <si>
    <t>기존 카드와 신규 카드가 하나의 그룹으로 묶여 표출</t>
  </si>
  <si>
    <t>TC_VIO_371</t>
  </si>
  <si>
    <t>[DESC 5-1항-3-공통-a] 범위 추가 시 비율 상한 100</t>
  </si>
  <si>
    <t>354</t>
  </si>
  <si>
    <t>`신규 추가` 로 메트릭 카드 2개가 그룹핑된 상태</t>
  </si>
  <si>
    <t>1. 그룹 내 2번째 카드 좌상단 확인</t>
  </si>
  <si>
    <t>`AND` · `OR` 연산자 토글 표출</t>
  </si>
  <si>
    <t>[DESC 5-1항-3-공통-a] 비율 입력 범위 1~100 경계</t>
  </si>
  <si>
    <t>TC_VIO_372</t>
  </si>
  <si>
    <t>355</t>
  </si>
  <si>
    <t>1. `AND 조건 추가` 영역의 `기존 선택` 버튼 확인</t>
  </si>
  <si>
    <t>`기존 선택` 버튼 표출</t>
  </si>
  <si>
    <t>[DESC 5-1항-3-공통-b] 초과/미만 Options 와 Default</t>
  </si>
  <si>
    <t>TC_VIO_373</t>
  </si>
  <si>
    <t>356</t>
  </si>
  <si>
    <t>메트릭 조건 카드가 1개만 추가된 상태</t>
  </si>
  <si>
    <t>1. `기존 선택` 버튼의 초기 상태 확인</t>
  </si>
  <si>
    <t>`기존 선택` 버튼 비활성화 상태로 표출</t>
  </si>
  <si>
    <t>TC_VIO_374</t>
  </si>
  <si>
    <t>[DESC 5-1항-3-공통-c] 심각도 Options 3종과 Default</t>
  </si>
  <si>
    <t>357</t>
  </si>
  <si>
    <t>메트릭 조건 카드가 2개 추가된 상태</t>
  </si>
  <si>
    <t>1. `기존 선택` 버튼 상태 확인</t>
  </si>
  <si>
    <t>`기존 선택` 버튼 활성 상태로 표출</t>
  </si>
  <si>
    <t>TC_VIO_375</t>
  </si>
  <si>
    <t>[DESC 5-1항-4] [UI] p44 범위 추가·삭제 컨트롤 표출 — p44 D-6</t>
  </si>
  <si>
    <t>358</t>
  </si>
  <si>
    <t>1. `기존 선택` 버튼 클릭</t>
  </si>
  <si>
    <t>기존 조건 선택 팝업 표출</t>
  </si>
  <si>
    <t>TC_VIO_376</t>
  </si>
  <si>
    <t>[DESC 5-1항-4-a] `범위 추가` 클릭 시 행 1건 추가</t>
  </si>
  <si>
    <t>359</t>
  </si>
  <si>
    <t>1. 그룹으로 묶인 카드 영역 확인</t>
  </si>
  <si>
    <t>그룹 테두리로 감싼 메트릭 카드 2개 표출</t>
  </si>
  <si>
    <t>TC_VIO_377</t>
  </si>
  <si>
    <t>[DESC 5-1항-4-a-i] [강조] 범위 최대 3개 이후 `범위 추가` 비활성화</t>
  </si>
  <si>
    <t>360</t>
  </si>
  <si>
    <t>1. 그룹 내 카드 사이의 연산자 영역 확인</t>
  </si>
  <si>
    <t>TC_VIO_378</t>
  </si>
  <si>
    <t>[DESC 5-1항-4-b] 범위 삭제 버튼 행마다 항상 제공</t>
  </si>
  <si>
    <t>361</t>
  </si>
  <si>
    <t>`신규 추가` 로 메트릭 카드 2개가 그룹핑된 직후 상태</t>
  </si>
  <si>
    <t>1. 연산자 토글의 초기 선택값 확인</t>
  </si>
  <si>
    <t>`AND` 선택 상태로 표출</t>
  </si>
  <si>
    <t>TC_VIO_379</t>
  </si>
  <si>
    <t>[DESC 5-1항-4-b-i] 범위 1행일 때 범위 삭제 비활성화</t>
  </si>
  <si>
    <t>362</t>
  </si>
  <si>
    <t>1. 연산자 토글에서 `OR` 선택</t>
  </si>
  <si>
    <t>하단 메트릭 카드가 그룹에서 해제</t>
  </si>
  <si>
    <t>[DESC 5-1항-4-b-i] 범위 2행 이상일 때 범위 삭제 활성화</t>
  </si>
  <si>
    <t>TC_VIO_380</t>
  </si>
  <si>
    <t>363</t>
  </si>
  <si>
    <t>1. 연산자 토글에서 `OR` 선택 후 카드 배치 확인</t>
  </si>
  <si>
    <t>해제된 메트릭 카드가 그룹 하단에 배치</t>
  </si>
  <si>
    <t>[DESC 5-1항-4-b-ii] 범위 삭제 클릭 시 해당 행 제거</t>
  </si>
  <si>
    <t>TC_VIO_381</t>
  </si>
  <si>
    <t>364</t>
  </si>
  <si>
    <t>1. 그룹에 추가된 메트릭 카드의 구성 확인</t>
  </si>
  <si>
    <t>그룹 내 메트릭 카드가 메트릭 조건 카드 구성 그대로 표출</t>
  </si>
  <si>
    <t>[DESC 5-1항-5] [UI] p44 [강조] `AND 조건 추가` 영역 표출 — p44 D-7</t>
  </si>
  <si>
    <t>TC_VIO_382</t>
  </si>
  <si>
    <t>365</t>
  </si>
  <si>
    <t>지표와 범위 심각도 값을 변경한 메트릭 카드가 있는 상태</t>
  </si>
  <si>
    <t>1. `신규 추가` 클릭 후 추가된 카드의 값 확인</t>
  </si>
  <si>
    <t>추가된 카드의 지표·비율·초과/미만·심각도가 Default 값으로 표출</t>
  </si>
  <si>
    <t>[DESC 5-1항-5-0] [강조] `AND 조건 추가` 영역은 조건 그룹별 최하단 1개만 제공</t>
  </si>
  <si>
    <t>TC_VIO_383</t>
  </si>
  <si>
    <t>[정책 예외] 문서 기본=변경 / 이 화면=신규 [UI↔DESC 불일치] p45 Flow 보드 RN-4는 `최상단 카드 1개만 제공` 으로 상충 — 어느 쪽이 정본인지 기획 확인 필요 (교차: TC_VIO_573)</t>
  </si>
  <si>
    <t>366</t>
  </si>
  <si>
    <t>그룹 내 메트릭 카드에 값을 입력하고 다른 필드를 조작하지 않은 상태</t>
  </si>
  <si>
    <t>1. 연산자 토글을 `AND` 에서 `OR` 로 변경</t>
  </si>
  <si>
    <t>해당 카드의 입력값 유지</t>
  </si>
  <si>
    <t>[DESC 5-1항-5-a] [강조] `신규 추가` 버튼 표출</t>
  </si>
  <si>
    <t>367</t>
  </si>
  <si>
    <t>TC_VIO_384</t>
  </si>
  <si>
    <t>기존 조건 선택 팝업</t>
  </si>
  <si>
    <t>`기존 선택` 클릭으로 기존 조건 선택 팝업이 표출된 상태</t>
  </si>
  <si>
    <t>1. 팝업 상단 타이틀 확인</t>
  </si>
  <si>
    <t>팝업 타이틀 `AND 조건 설정` 표출</t>
  </si>
  <si>
    <t>[DESC 5-1항-5-a-i] [강조] `신규 추가` Default 활성화</t>
  </si>
  <si>
    <t>368</t>
  </si>
  <si>
    <t>TC_VIO_385</t>
  </si>
  <si>
    <t>1. 팝업 본문 상단 확인</t>
  </si>
  <si>
    <t>`조건 선택` 제목과 헬퍼 문구 `메트릭 조건간 AND 조건 설정이 가능합니다.` 표출</t>
  </si>
  <si>
    <t>[DESC 5-1항-5-a-i] [강조] 전체 조건 카드 10개일 때 `신규 추가` 비활성화</t>
  </si>
  <si>
    <t>369</t>
  </si>
  <si>
    <t>TC_VIO_386</t>
  </si>
  <si>
    <t>1. 조건 목록 테이블의 헤더 구성 확인</t>
  </si>
  <si>
    <t>체크박스 열과 `구분` · `내용` · `심각도` 순으로 표출</t>
  </si>
  <si>
    <t>[DESC 5-1항-5-a-ii] [강조] `신규 추가` 클릭 시 상단에 신규 메트릭 카드 추가</t>
  </si>
  <si>
    <t>370</t>
  </si>
  <si>
    <t>TC_VIO_387</t>
  </si>
  <si>
    <t>메트릭 조건과 임계치 기반 메트릭 조건이 모두 추가된 상태에서 기존 조건 선택 팝업이 표출된 상태</t>
  </si>
  <si>
    <t>[DESC 5-1항-5-a-ii] [강조] `신규 추가` 클릭 시 카드 그룹핑</t>
  </si>
  <si>
    <t>1. 조건 목록의 `구분` 열 Tag 확인</t>
  </si>
  <si>
    <t>`메트릭` 과 `메트릭(임계치)` Tag 표출</t>
  </si>
  <si>
    <t>371</t>
  </si>
  <si>
    <t>TC_VIO_388</t>
  </si>
  <si>
    <t>[DESC 5-1항-5-a-ii] [UI] p44 [강조] `신규 추가` 후 카드 간 AND/OR 연산자 제공 — 5-1a mock</t>
  </si>
  <si>
    <t>1. 조건 목록의 `내용` 열 표기 확인</t>
  </si>
  <si>
    <t>조건 내용이 구분자로 이어진 문자열로 표출
ㄴ 기획 미정의 항목 — PASS/FAIL 판정 대신 실측 상태를 `실제 결과`에 기재</t>
  </si>
  <si>
    <t>372</t>
  </si>
  <si>
    <t>TC_VIO_389</t>
  </si>
  <si>
    <t>메트릭 조건 카드가 3개 추가된 상태에서 1번 카드의 `기존 선택` 으로 팝업이 표출된 상태</t>
  </si>
  <si>
    <t>[DESC 5-1항-5-b] [강조] `기존 선택` 버튼 표출</t>
  </si>
  <si>
    <t>1. 조건 목록에 표출된 항목 확인</t>
  </si>
  <si>
    <t>팝업을 호출한 현재 카드 미표출</t>
  </si>
  <si>
    <t>373</t>
  </si>
  <si>
    <t>TC_VIO_390</t>
  </si>
  <si>
    <t>[DESC 5-1항-5-b-i] [UI] p44 [강조] `기존 선택` Default 비활성화</t>
  </si>
  <si>
    <t>메트릭·이벤트·로그 조건 카드가 모두 추가된 상태에서 기존 조건 선택 팝업이 표출된 상태</t>
  </si>
  <si>
    <t>374</t>
  </si>
  <si>
    <t>1. 조건 목록에 표출된 항목의 구분 확인</t>
  </si>
  <si>
    <t>메트릭 조건만 표출, 이벤트 조건과 로그 조건 미표출</t>
  </si>
  <si>
    <t>TC_VIO_391</t>
  </si>
  <si>
    <t>[DESC 5-1항-5-b-i] [강조] 메트릭 조건 카드 2개 이상일 때 `기존 선택` 활성화</t>
  </si>
  <si>
    <t>다른 AND 그룹에 속한 메트릭 조건이 있는 상태에서 기존 조건 선택 팝업이 표출된 상태</t>
  </si>
  <si>
    <t>기존 다른 그룹으로 묶인 메트릭 조건도 목록에 표출</t>
  </si>
  <si>
    <t>375</t>
  </si>
  <si>
    <t>TC_VIO_392</t>
  </si>
  <si>
    <t>[DESC 5-1항-5-b-ii] [DESC 5-1b항-0] [강조] `기존 선택` 클릭 시 조건 선택 팝업 제공 [공통 DESC C20]</t>
  </si>
  <si>
    <t>376</t>
  </si>
  <si>
    <t>1. 다른 그룹의 조건을 선택하고 `확인` 클릭</t>
  </si>
  <si>
    <t>해당 조건이 기존 그룹에서 해제되고 신규 그룹으로 이동</t>
  </si>
  <si>
    <t>TC_VIO_393</t>
  </si>
  <si>
    <t>[DESC 5-1a항] [UI] p44 [강조] [공통 DESC C9] 메트릭 조건 그룹 표출 — 5-1a mock</t>
  </si>
  <si>
    <t>선택 가능한 메트릭 조건이 2개 이상인 기존 조건 선택 팝업이 표출된 상태</t>
  </si>
  <si>
    <t>377</t>
  </si>
  <si>
    <t>1. 조건 목록에서 2개 이상 체크</t>
  </si>
  <si>
    <t>선택한 항목 모두 체크 상태로 표출</t>
  </si>
  <si>
    <t>TC_VIO_394</t>
  </si>
  <si>
    <t>[DESC 5-1a항-1] [강조] AND/OR 연산자 표출</t>
  </si>
  <si>
    <t>378</t>
  </si>
  <si>
    <t>메트릭 카드 2개가 하나의 AND 그룹으로 묶인 상태에서 기존 조건 선택 팝업이 표출된 상태</t>
  </si>
  <si>
    <t>1. 조건 목록의 체크 상태 확인</t>
  </si>
  <si>
    <t>동일 그룹에 이미 추가된 메트릭 카드가 체크 상태로 표출</t>
  </si>
  <si>
    <t>TC_VIO_395</t>
  </si>
  <si>
    <t>[DESC 5-1a항-1-a] [강조] 그룹 연산자 Default AND</t>
  </si>
  <si>
    <t>379</t>
  </si>
  <si>
    <t>1. 체크 상태인 항목을 해제하고 `확인` 클릭</t>
  </si>
  <si>
    <t>해당 카드가 그룹에서 제외되고 OR 조건으로 분리</t>
  </si>
  <si>
    <t>[DESC 5-1a항-1-b] [강조] OR 선택 시 하단 메트릭 카드 그룹 해제</t>
  </si>
  <si>
    <t>TC_VIO_396</t>
  </si>
  <si>
    <t>380</t>
  </si>
  <si>
    <t>모달 종료</t>
  </si>
  <si>
    <t>[DESC 5-1a항-1-b] [강조] OR 선택 시 해제된 카드는 그룹 하단 배치</t>
  </si>
  <si>
    <t>TC_VIO_397</t>
  </si>
  <si>
    <t>381</t>
  </si>
  <si>
    <t>1. 팝업 하단 버튼 영역 확인</t>
  </si>
  <si>
    <t>`취소` 와 `확인` 버튼 표출</t>
  </si>
  <si>
    <t>[DESC 5-1a항-2] [강조] 그룹에 추가된 메트릭 카드</t>
  </si>
  <si>
    <t>TC_VIO_398</t>
  </si>
  <si>
    <t>382</t>
  </si>
  <si>
    <t>기존 조건 선택 팝업이 표출되고 조건을 하나도 선택하지 않은 상태</t>
  </si>
  <si>
    <t>1. `확인` 버튼의 초기 상태 확인</t>
  </si>
  <si>
    <t>`확인` 버튼 비활성화 상태로 표출</t>
  </si>
  <si>
    <t>[DESC 5-1a항-2-a] [강조] 신규 추가 시 Default 상태로 추가</t>
  </si>
  <si>
    <t>TC_VIO_399</t>
  </si>
  <si>
    <t>383</t>
  </si>
  <si>
    <t>기존 조건 선택 팝업이 표출된 상태</t>
  </si>
  <si>
    <t>1. 조건 목록에서 1개 체크</t>
  </si>
  <si>
    <t>`확인` 버튼 활성 상태로 전환</t>
  </si>
  <si>
    <t>[DESC 5-1a항-2-b] [강조] AND → OR 변경 시 입력값 유지</t>
  </si>
  <si>
    <t>TC_VIO_400</t>
  </si>
  <si>
    <t>384</t>
  </si>
  <si>
    <t>기존 조건 선택 팝업에서 조건 1개 이상을 선택한 상태</t>
  </si>
  <si>
    <t>1. `확인` 버튼 클릭</t>
  </si>
  <si>
    <t>선택한 조건과 그룹핑된 상태로 모달 종료</t>
  </si>
  <si>
    <t>[DESC 5-1b항] [UI] p44 [강조] [공통 DESC C9] 팝업 타이틀 — 5-1b mock [공통 DESC C20]</t>
  </si>
  <si>
    <t>TC_VIO_401</t>
  </si>
  <si>
    <t>385</t>
  </si>
  <si>
    <t>임계치에서 추가한 조건 카드가 있는 상태</t>
  </si>
  <si>
    <t>1. 임계치 조건 카드의 구성 확인</t>
  </si>
  <si>
    <t>구분 Tag · `조건 삭제` · 임계치 정보 필드 · 심각도 select 표출</t>
  </si>
  <si>
    <t>[DESC 5-1b항-1] [UI] p44 [강조] `조건 선택` 영역과 헬퍼 문구 [공통 DESC C20]</t>
  </si>
  <si>
    <t>TC_VIO_402</t>
  </si>
  <si>
    <t>386</t>
  </si>
  <si>
    <t>1. 지표 드롭다운에서 `+ 임계치에서 추가` 선택</t>
  </si>
  <si>
    <t>임계치 선택 팝업 표출</t>
  </si>
  <si>
    <t>[UI] p44 5-1b 팝업 테이블 컬럼 구성 (크롭 확대 실측) [공통 DESC C20]</t>
  </si>
  <si>
    <t>387</t>
  </si>
  <si>
    <t>TC_VIO_403</t>
  </si>
  <si>
    <t>[UI] p44 5-1b 팝업 `구분` 열 Tag 값 (크롭 확대 실측) [공통 DESC C20]</t>
  </si>
  <si>
    <t>388</t>
  </si>
  <si>
    <t>임계치 선택 팝업에서 임계치 1건을 선택한 상태</t>
  </si>
  <si>
    <t>1. 팝업의 `추가` 클릭 후 조건 카드 확인</t>
  </si>
  <si>
    <t>선택한 임계치 데이터가 조건 카드에 표출</t>
  </si>
  <si>
    <t>TC_VIO_404</t>
  </si>
  <si>
    <t>[UI] p44 5-1b 팝업 `내용` 열 문자열 [공통 DESC C20]</t>
  </si>
  <si>
    <t>[정책 예외] 문서 기본=변경 / 이 화면=신규 [확인 불가] U-13 `내용` 열 문자열 조립 규칙이 미정의 — 기획 확인 필요</t>
  </si>
  <si>
    <t>389</t>
  </si>
  <si>
    <t>지표에서 `+ 임계치에서 추가` 를 선택해 임계치 선택 팝업이 표출된 상태</t>
  </si>
  <si>
    <t>1. 팝업의 `취소` 클릭 후 조건 카드 확인</t>
  </si>
  <si>
    <t>조건 카드가 Default 상태로 전환</t>
  </si>
  <si>
    <t>[DESC 5-1b항-1-a] [강조] 현재 카드는 조건 목록에서 제외</t>
  </si>
  <si>
    <t>TC_VIO_405</t>
  </si>
  <si>
    <t>390</t>
  </si>
  <si>
    <t>네임스페이스가 설정된 임계치로 추가한 조건 카드가 있는 상태</t>
  </si>
  <si>
    <t>1. 임계치 조건 카드의 필드 확인</t>
  </si>
  <si>
    <t>임계치 이름 · 네임스페이스 · 리소스 · 임계치 · 초과/미만 표출</t>
  </si>
  <si>
    <t>[DESC 5-1b항-1-a] [강조] 메트릭 조건만 필터링</t>
  </si>
  <si>
    <t>TC_VIO_406</t>
  </si>
  <si>
    <t>391</t>
  </si>
  <si>
    <t>1. 임계치 이름·네임스페이스·리소스·임계치·초과/미만 필드 조작 시도</t>
  </si>
  <si>
    <t>해당 필드 전부 Disabled 상태로 값 변경 불가</t>
  </si>
  <si>
    <t>[DESC 5-1b항-1-a-i] [강조] 기존 다른 그룹으로 묶인 조건도 표출</t>
  </si>
  <si>
    <t>392</t>
  </si>
  <si>
    <t>TC_VIO_407</t>
  </si>
  <si>
    <t>1. 조건 카드의 네임스페이스 영역 확인</t>
  </si>
  <si>
    <t>해당 임계치의 네임스페이스 영역 표출</t>
  </si>
  <si>
    <t>[DESC 5-1b항-1-a-i] [강조] 다른 그룹 조건 선택 후 `확인` 시 그룹 이동</t>
  </si>
  <si>
    <t>393</t>
  </si>
  <si>
    <t>TC_VIO_408</t>
  </si>
  <si>
    <t>GPU 지표 임계치로 추가한 조건 카드가 있는 상태</t>
  </si>
  <si>
    <t>1. 조건 카드의 필드 구성 확인</t>
  </si>
  <si>
    <t>임계치 이름 · 리소스 · 임계치 정보만 표출
ㄴ 네임스페이스 영역 미제공</t>
  </si>
  <si>
    <t>[DESC 5-1b항-1-b] [강조] 조건 목록 다중 선택</t>
  </si>
  <si>
    <t>394</t>
  </si>
  <si>
    <t>TC_VIO_409</t>
  </si>
  <si>
    <t>[DESC 5-1b항-1-c] [강조] 이미 동일 그룹에 추가된 카드는 Checked 상태</t>
  </si>
  <si>
    <t>1. 조건 카드의 심각도 select 펼침</t>
  </si>
  <si>
    <t>[정책 예외] 문서 기본=변경 / 이 화면=신규 [UI↔DESC 불일치] p45 Flow 보드 mock은 다른 그룹 카드가 checked 상태로 상충 — 기획 확인 필요 (교차: 순번 29 RN-7)</t>
  </si>
  <si>
    <t>395</t>
  </si>
  <si>
    <t>TC_VIO_410</t>
  </si>
  <si>
    <t>임계치 선택 팝업</t>
  </si>
  <si>
    <t>[DESC 5-1b항-1-c-i] [강조] 체크 해제 후 `확인` 시 그룹 제외 및 OR 분리</t>
  </si>
  <si>
    <t>396</t>
  </si>
  <si>
    <t>팝업 타이틀 `임계치 선택` 표출</t>
  </si>
  <si>
    <t>TC_VIO_411</t>
  </si>
  <si>
    <t>[DESC 5-1b항-2] [강조] 팝업 `취소` 클릭</t>
  </si>
  <si>
    <t>`범위` 를 특정 네임스페이스로 지정한 상태에서 임계치 선택 팝업이 표출된 상태</t>
  </si>
  <si>
    <t>1. 임계치 목록의 클러스터·네임스페이스 열 값 확인</t>
  </si>
  <si>
    <t>397</t>
  </si>
  <si>
    <t>선택한 대상 리소스 기준으로 필터링된 임계치만 표출</t>
  </si>
  <si>
    <t>[DESC 5-1b항-3] [강조] 팝업 `확인` 버튼 표출</t>
  </si>
  <si>
    <t>TC_VIO_412</t>
  </si>
  <si>
    <t>398</t>
  </si>
  <si>
    <t>`임계치` 제목과 placeholder `항목 이름 또는 값을 입력해 주세요.` 인 필터 입력, 임계치 목록 테이블 표출</t>
  </si>
  <si>
    <t>[DESC 5-1b항-3-a] [강조] `확인` Default 비활성화</t>
  </si>
  <si>
    <t>399</t>
  </si>
  <si>
    <t>TC_VIO_413</t>
  </si>
  <si>
    <t>[DESC 5-1b항-3-a] [강조] 조건 1개 이상 선택 시 `확인` 활성화</t>
  </si>
  <si>
    <t>임계치가 1건 이상 있는 임계치 선택 팝업이 표출된 상태</t>
  </si>
  <si>
    <t>400</t>
  </si>
  <si>
    <t>1. 임계치 목록 테이블의 헤더 구성 확인</t>
  </si>
  <si>
    <t>라디오 열과 `이름` · `클러스터` · `네임스페이스` · `리소스` · `임계치` · `생성일시` 순으로 표출</t>
  </si>
  <si>
    <t>TC_VIO_414</t>
  </si>
  <si>
    <t>[DESC 5-1b항-3-b] [강조] `확인` 클릭 시 선택 조건과 그룹핑</t>
  </si>
  <si>
    <t>401</t>
  </si>
  <si>
    <t>1. `임계치` 열 헤더의 물음표 아이콘 확인</t>
  </si>
  <si>
    <t>`임계치` 열 헤더에 물음표 아이콘 표출
ㄴ 툴팁 문구는 기획 미정의 — 실측 상태를 `실제 결과`에 기재</t>
  </si>
  <si>
    <t>[DESC 5-2항] [UI] p44 [공통 DESC C9] 임계치 조건 카드 표출 — 5-2 mock</t>
  </si>
  <si>
    <t>TC_VIO_415</t>
  </si>
  <si>
    <t>402</t>
  </si>
  <si>
    <t>1. `생성일시` 열의 값 표기 확인</t>
  </si>
  <si>
    <t>`YYYY-MM-DD hh:mm:ss` 형식으로 표출
ㄴ 기획서 UI가 형식 문자열 자체를 표기 — 실 값은 실측 상태를 `실제 결과`에 기재</t>
  </si>
  <si>
    <t>[DESC 5-2항-0] [DESC 5-2a항-0] 지표에서 `+ 임계치에서 추가` 선택 시 팝업 호출</t>
  </si>
  <si>
    <t>403</t>
  </si>
  <si>
    <t>TC_VIO_416</t>
  </si>
  <si>
    <t>1. 테이블 하단 영역 확인</t>
  </si>
  <si>
    <t>전체 건수 표기와 페이지네이션 표출
ㄴ 기획서 UI가 더미 `전체 수 N` 과 `/ 99` 표기 — 실 값은 실측 상태를 `실제 결과`에 기재</t>
  </si>
  <si>
    <t>[DESC 5-2항-0-a] 임계치 선택 시 조건 카드에 데이터 표출</t>
  </si>
  <si>
    <t>404</t>
  </si>
  <si>
    <t>TC_VIO_417</t>
  </si>
  <si>
    <t>임계치가 2건 이상 있는 임계치 선택 팝업이 표출된 상태</t>
  </si>
  <si>
    <t>1. 목록의 초기 선택 상태 확인</t>
  </si>
  <si>
    <t>최상단 행이 선택 상태로 표출</t>
  </si>
  <si>
    <t>[DESC 5-2항-0-b] 모달 `취소` 시 조건 카드 Default 상태 전환</t>
  </si>
  <si>
    <t>405</t>
  </si>
  <si>
    <t>TC_VIO_418</t>
  </si>
  <si>
    <t>1. 최상단 행이 선택된 상태에서 다른 행 선택</t>
  </si>
  <si>
    <t>새로 선택한 행만 선택 상태로 표출
ㄴ 직전 선택 행 선택 해제</t>
  </si>
  <si>
    <t>[DESC 5-2항-1] [UI] p44 임계치 조건 카드 필드 구성</t>
  </si>
  <si>
    <t>406</t>
  </si>
  <si>
    <t>TC_VIO_419</t>
  </si>
  <si>
    <t>[DESC 5-2항-1-0] [UI] p44 임계치 조건 카드 필드 Disabled</t>
  </si>
  <si>
    <t>1. 임계치 목록의 컬럼 구성과 값 표기 확인</t>
  </si>
  <si>
    <t>임계치 목록 화면(VIOE-02_01_07-01)과 동일한 세부 정의로 표출
ㄴ 준거 정의가 이 기획서 범위 밖 화면 — PASS/FAIL 판정 대신 실측 상태를 `실제 결과`에 기재</t>
  </si>
  <si>
    <t>407</t>
  </si>
  <si>
    <t>TC_VIO_420</t>
  </si>
  <si>
    <t>[DESC 5-2항-1-a] 네임스페이스가 설정된 임계치는 네임스페이스 영역 제공</t>
  </si>
  <si>
    <t>`범위` 가 `클러스터 전체` 인 상태에서 임계치 선택 팝업이 표출된 상태</t>
  </si>
  <si>
    <t>1. 임계치 목록에 표출된 항목 확인</t>
  </si>
  <si>
    <t>선택한 클러스터 내 생성된 전체 임계치 표출</t>
  </si>
  <si>
    <t>408</t>
  </si>
  <si>
    <t>TC_VIO_421</t>
  </si>
  <si>
    <t>[DESC 5-2항-1-a] [UI] p44 GPU 지표 임계치는 네임스페이스 영역 미제공 — 5-2(2) mock</t>
  </si>
  <si>
    <t>해당 네임스페이스에 생성된 임계치만 표출</t>
  </si>
  <si>
    <t>409</t>
  </si>
  <si>
    <t>TC_VIO_422</t>
  </si>
  <si>
    <t>[DESC 5-2항-2] 임계치 조건 카드 심각도는 메트릭 조건과 동일</t>
  </si>
  <si>
    <t>임계치 선택 팝업이 표출된 상태에서 임계치 선택 팝업이 표출된 상태에서 `범위` 를 특정 네임스페이스로 지정하고 그 네임스페이스에 GPU 관련 임계치가 존재하는 상태</t>
  </si>
  <si>
    <t>GPU 관련 임계치 미표출</t>
  </si>
  <si>
    <t>410</t>
  </si>
  <si>
    <t>TC_VIO_423</t>
  </si>
  <si>
    <t>[DESC 5-2a항] [UI] p44 [공통 DESC C9] 팝업 타이틀 — 5-2a mock</t>
  </si>
  <si>
    <t>임계치 선택 팝업이 표출된 상태</t>
  </si>
  <si>
    <t>411</t>
  </si>
  <si>
    <t>TC_VIO_424</t>
  </si>
  <si>
    <t>[DESC 5-2a항-0-a] [DESC 5-2a항-1-c] 대상 리소스 선택값에 따라 클러스터·네임스페이스 필터링</t>
  </si>
  <si>
    <t>412</t>
  </si>
  <si>
    <t>`취소` 와 `추가` 버튼 표출</t>
  </si>
  <si>
    <t>TC_VIO_425</t>
  </si>
  <si>
    <t>[DESC 5-2a항-1] [UI] p44 `임계치` 목록 영역과 검색 입력</t>
  </si>
  <si>
    <t>생성 중인 알람에 이미 추가된 임계치가 있는 임계치 선택 팝업이 표출된 상태</t>
  </si>
  <si>
    <t>413</t>
  </si>
  <si>
    <t>1. 이미 추가된 임계치를 선택하고 `추가` 클릭</t>
  </si>
  <si>
    <t>테이블 하단에 `해당 임계치는 이미 추가되어 있습니다.` Alert 표출</t>
  </si>
  <si>
    <t>[UI] p44 5-2a 팝업 테이블 컬럼 구성 (크롭 확대 실측)</t>
  </si>
  <si>
    <t>414</t>
  </si>
  <si>
    <t>TC_VIO_426</t>
  </si>
  <si>
    <t>[UI] p44 5-2a 팝업 `임계치` 열 헤더 물음표 아이콘</t>
  </si>
  <si>
    <t>[정책 예외] 문서 기본=변경 / 이 화면=신규 [확인 불가] 5-2a 팝업 `임계치` 열 툴팁 문구가 기획서에 미표기 — 기획 확인 필요</t>
  </si>
  <si>
    <t>415</t>
  </si>
  <si>
    <t>생성 중인 알람에 추가되지 않은 임계치가 있는 임계치 선택 팝업이 표출된 상태</t>
  </si>
  <si>
    <t>1. 추가되지 않은 임계치를 선택하고 `추가` 클릭</t>
  </si>
  <si>
    <t>선택한 임계치 데이터가 조건 카드에 반영되고 모달 종료</t>
  </si>
  <si>
    <t>[UI] p44 5-2a 팝업 `생성일시` 표기 형식</t>
  </si>
  <si>
    <t>TC_VIO_427</t>
  </si>
  <si>
    <t>416</t>
  </si>
  <si>
    <t>1. 이벤트 조건 카드의 구성 확인</t>
  </si>
  <si>
    <t>구분 Tag · `조건 삭제` · 이벤트 유형 select · `키워드` 패널 · `지표별 범위 심각도 설정` 표출</t>
  </si>
  <si>
    <t>[UI] p44 5-2a 팝업 전체 건수·페이지네이션</t>
  </si>
  <si>
    <t>417</t>
  </si>
  <si>
    <t>TC_VIO_428</t>
  </si>
  <si>
    <t>1. 이벤트 조건 카드의 문장 구성 확인</t>
  </si>
  <si>
    <t>`선택한 리소스의` 와 이벤트 유형 · `이벤트에서` · 키워드 · 기간 · `동안` · 횟수 · `회 발생 시` · 심각도 순으로 표출</t>
  </si>
  <si>
    <t>[DESC 5-2a항-1-a] 임계치 목록 Default 최상단 행 선택</t>
  </si>
  <si>
    <t>418</t>
  </si>
  <si>
    <t>TC_VIO_429</t>
  </si>
  <si>
    <t>1. 이벤트 유형 select 펼침</t>
  </si>
  <si>
    <t>[DESC 5-2a항-1-a] 임계치 목록 단일 선택만 가능</t>
  </si>
  <si>
    <t>`NORMAL` · `WARNING` 표출
ㄴ 초기 선택값 `WARNING`</t>
  </si>
  <si>
    <t>419</t>
  </si>
  <si>
    <t>TC_VIO_430</t>
  </si>
  <si>
    <t>1. 이벤트 조건 카드의 `키워드` 영역 확인</t>
  </si>
  <si>
    <t>`키워드` 패널과 placeholder `키워드를 입력해 주세요.` 인 입력 필드 표출</t>
  </si>
  <si>
    <t>[DESC 5-2a항-1-b] [공통 DESC C18] 임계치 목록 세부 정의는 임계치 목록 화면 준거</t>
  </si>
  <si>
    <t>[정책 예외] 문서 기본=변경 / 이 화면=신규 [확인 불가] 준거 화면(VIOE-02_01_07-01)이 이 기획서 범위 밖 — 기획 확인 필요</t>
  </si>
  <si>
    <t>420</t>
  </si>
  <si>
    <t>[DESC 5-2a항-1-c-a] 대상 리소스 `클러스터 전체` 일 때 임계치 범위</t>
  </si>
  <si>
    <t>TC_VIO_431</t>
  </si>
  <si>
    <t>421</t>
  </si>
  <si>
    <t>1. `키워드` 패널의 안내 문구 확인</t>
  </si>
  <si>
    <t>`입력한 키워드를 모두 포함하는 메시지를 기준으로 발생 횟수를 측정합니다. 키워드 미입력 시, 발생한 모든 메시지를 기준으로 합니다.` 표출</t>
  </si>
  <si>
    <t>[DESC 5-2a항-1-c-b] 대상 리소스가 네임스페이스일 때 임계치 필터링</t>
  </si>
  <si>
    <t>422</t>
  </si>
  <si>
    <t>TC_VIO_432</t>
  </si>
  <si>
    <t>1. 키워드 필드에 한글·영문·숫자·특수문자를 섞어 입력</t>
  </si>
  <si>
    <t>[DESC 5-2a항-1-c-b] 대상 리소스가 네임스페이스일 때 GPU 관련 임계치 미제공</t>
  </si>
  <si>
    <t>423</t>
  </si>
  <si>
    <t>TC_VIO_433</t>
  </si>
  <si>
    <t>[DESC 5-2a항-2] 팝업 `취소` 클릭</t>
  </si>
  <si>
    <t>1. 키워드 필드에 20자와 21자를 각각 입력</t>
  </si>
  <si>
    <t>20자 입력값 반영, 20자를 넘는 입력 미반영</t>
  </si>
  <si>
    <t>424</t>
  </si>
  <si>
    <t>TC_VIO_434</t>
  </si>
  <si>
    <t>키워드를 입력하지 않은 이벤트 조건으로 알람이 생성된 상태</t>
  </si>
  <si>
    <t>1. 선택한 이벤트 유형의 메시지 발생</t>
  </si>
  <si>
    <t>메시지 발생마다 1회로 집계</t>
  </si>
  <si>
    <t>[DESC 5-2a항-3] 팝업 `추가` 버튼 표출</t>
  </si>
  <si>
    <t>425</t>
  </si>
  <si>
    <t>TC_VIO_435</t>
  </si>
  <si>
    <t>1. `키워드` 패널 하단 확인</t>
  </si>
  <si>
    <t>`+ 키워드 추가` 버튼 표출</t>
  </si>
  <si>
    <t>[DESC 5-2a항-3-0] [DESC 5-2a항-3-a] [UI] p44 동일 임계치 존재 시 테이블 하단 Alert</t>
  </si>
  <si>
    <t>426</t>
  </si>
  <si>
    <t>TC_VIO_436</t>
  </si>
  <si>
    <t>이벤트 조건 카드의 키워드 필드가 1개인 상태</t>
  </si>
  <si>
    <t>[DESC 5-2a항-3-0] [DESC 5-2a항-3-b] 동일 임계치 미존재 시 조건 카드 반영 및 모달 종료</t>
  </si>
  <si>
    <t>1. `키워드 추가` 버튼의 초기 상태 확인</t>
  </si>
  <si>
    <t>`키워드 추가` 버튼 활성 상태로 표출</t>
  </si>
  <si>
    <t>427</t>
  </si>
  <si>
    <t>TC_VIO_437</t>
  </si>
  <si>
    <t>이벤트 조건 카드의 키워드 필드가 3개인 상태</t>
  </si>
  <si>
    <t>[DESC 5-3항] [UI] p44 [공통 DESC C9] 이벤트 조건 카드 표출 — 5-3 mock</t>
  </si>
  <si>
    <t>1. `키워드 추가` 버튼 상태 확인</t>
  </si>
  <si>
    <t>`키워드 추가` 버튼 비활성화 상태로 표출</t>
  </si>
  <si>
    <t>428</t>
  </si>
  <si>
    <t>TC_VIO_438</t>
  </si>
  <si>
    <t>[DESC 5-3항-0] 이벤트 카드 표출 문장 구성</t>
  </si>
  <si>
    <t>429</t>
  </si>
  <si>
    <t>1. `키워드 추가` 버튼 클릭</t>
  </si>
  <si>
    <t>기존 키워드 필드 우측에 입력 필드 1개 추가</t>
  </si>
  <si>
    <t>TC_VIO_439</t>
  </si>
  <si>
    <t>[DESC 5-3항-1] [UI] p44 이벤트 유형 Options 와 Default</t>
  </si>
  <si>
    <t>430</t>
  </si>
  <si>
    <t>1. 키워드 필드 우측 확인</t>
  </si>
  <si>
    <t>키워드 필드마다 삭제 버튼 표출</t>
  </si>
  <si>
    <t>TC_VIO_440</t>
  </si>
  <si>
    <t>[DESC 5-3항-2] [UI] p44 `키워드` 입력 필드 표출</t>
  </si>
  <si>
    <t>431</t>
  </si>
  <si>
    <t>1. 키워드 삭제 버튼 상태 확인</t>
  </si>
  <si>
    <t>키워드 삭제 버튼 비활성화 상태로 표출</t>
  </si>
  <si>
    <t>TC_VIO_441</t>
  </si>
  <si>
    <t>[UI] p44 5-3 mock 키워드 헬퍼 문구 원문</t>
  </si>
  <si>
    <t>432</t>
  </si>
  <si>
    <t>이벤트 조건 카드의 키워드 필드가 2개인 상태</t>
  </si>
  <si>
    <t>키워드 삭제 버튼 활성 상태로 표출</t>
  </si>
  <si>
    <t>[DESC 5-3항-2-a] [강조] 키워드 모든 문자 입력 가능</t>
  </si>
  <si>
    <t>TC_VIO_442</t>
  </si>
  <si>
    <t>433</t>
  </si>
  <si>
    <t>1. 2번째 키워드 필드의 삭제 버튼 클릭</t>
  </si>
  <si>
    <t>해당 키워드 필드 삭제</t>
  </si>
  <si>
    <t>[DESC 5-3항-2-a] [강조] 키워드 최대 20자 경계</t>
  </si>
  <si>
    <t>TC_VIO_443</t>
  </si>
  <si>
    <t>434</t>
  </si>
  <si>
    <t>1. 이벤트 조건 카드의 심각도 영역 확인</t>
  </si>
  <si>
    <t>`지표별 범위 심각도 설정` 패널에 기간 · 빈도수 · 심각도 필드 표출</t>
  </si>
  <si>
    <t>[DESC 5-3항-2-b] [강조] 키워드 미입력 시 유형 메시지 발생마다 1회 집계</t>
  </si>
  <si>
    <t>TC_VIO_444</t>
  </si>
  <si>
    <t>435</t>
  </si>
  <si>
    <t>1. 기간 설정 select 펼침</t>
  </si>
  <si>
    <t>`1분` · `5분` · `10분` · `30분` 표출
ㄴ 초기 선택값 `5분`</t>
  </si>
  <si>
    <t>[DESC 5-3항-2-c] [UI] p44 [강조] `키워드 추가` 버튼 표출</t>
  </si>
  <si>
    <t>TC_VIO_445</t>
  </si>
  <si>
    <t>436</t>
  </si>
  <si>
    <t>1. 이벤트 조건 카드의 빈도수 입력 필드 확인</t>
  </si>
  <si>
    <t>빈도수 입력 필드와 `회 이상 발생 시` 표기 표출</t>
  </si>
  <si>
    <t>[DESC 5-3항-2-c-i] [강조] `키워드 추가` Default 활성화</t>
  </si>
  <si>
    <t>TC_VIO_446</t>
  </si>
  <si>
    <t>437</t>
  </si>
  <si>
    <t>1. 빈도수 필드의 초기값 확인</t>
  </si>
  <si>
    <t>빈도수 `5` 표출</t>
  </si>
  <si>
    <t>[DESC 5-3항-2-c-i] [강조] 키워드 최대 3개 이후 `키워드 추가` 비활성화</t>
  </si>
  <si>
    <t>TC_VIO_447</t>
  </si>
  <si>
    <t>438</t>
  </si>
  <si>
    <t>빈도수가 `5` 인 범위 심각도 행이 1개인 이벤트 조건 카드가 추가된 상태</t>
  </si>
  <si>
    <t>1. `범위 추가` 클릭 후 추가된 행의 빈도수 확인</t>
  </si>
  <si>
    <t>추가된 행의 빈도수 `10` 표출</t>
  </si>
  <si>
    <t>[DESC 5-3항-2-c-ii] [강조] `키워드 추가` 클릭 시 우측에 필드 추가</t>
  </si>
  <si>
    <t>TC_VIO_448</t>
  </si>
  <si>
    <t>439</t>
  </si>
  <si>
    <t>빈도수가 `999` 인 범위 심각도 행이 있는 이벤트 조건 카드가 추가된 상태</t>
  </si>
  <si>
    <t>추가된 행의 빈도수가 `999` 를 넘지 않음</t>
  </si>
  <si>
    <t>[DESC 5-3항-2-d] [UI] p44 [강조] 키워드 삭제 버튼 표출</t>
  </si>
  <si>
    <t>TC_VIO_449</t>
  </si>
  <si>
    <t>440</t>
  </si>
  <si>
    <t>1. 빈도수 필드에 `1` 과 `999` 를 각각 입력</t>
  </si>
  <si>
    <t>[DESC 5-3항-2-d-i] [강조] 키워드 1개일 때 삭제 버튼 비활성화</t>
  </si>
  <si>
    <t>TC_VIO_450</t>
  </si>
  <si>
    <t>441</t>
  </si>
  <si>
    <t>1. 이벤트 조건 카드의 심각도 select 펼침</t>
  </si>
  <si>
    <t>[DESC 5-3항-2-d-i] [강조] 키워드 2개 이상일 때 삭제 버튼 활성화</t>
  </si>
  <si>
    <t>442</t>
  </si>
  <si>
    <t>TC_VIO_451</t>
  </si>
  <si>
    <t>1. 심각도 패널의 추가·삭제 컨트롤 확인</t>
  </si>
  <si>
    <t>[DESC 5-3항-2-d-ii] [강조] 키워드 삭제 클릭 시 해당 필드 삭제</t>
  </si>
  <si>
    <t>443</t>
  </si>
  <si>
    <t>TC_VIO_452</t>
  </si>
  <si>
    <t>범위 심각도 행이 1개인 이벤트 조건 카드가 추가된 상태</t>
  </si>
  <si>
    <t>[DESC 5-3항-3] [UI] p44 이벤트 카드 `지표별 심각도` 영역 표출</t>
  </si>
  <si>
    <t>444</t>
  </si>
  <si>
    <t>TC_VIO_453</t>
  </si>
  <si>
    <t>범위 심각도 행이 3개인 이벤트 조건 카드가 추가된 상태</t>
  </si>
  <si>
    <t>[DESC 5-3항-3-a] [강조] 기간 설정 Options 4종과 Default</t>
  </si>
  <si>
    <t>445</t>
  </si>
  <si>
    <t>TC_VIO_454</t>
  </si>
  <si>
    <t>[DESC 5-3항-3-b] [UI] p44 [강조] 빈도수 설정 필드 표출</t>
  </si>
  <si>
    <t>446</t>
  </si>
  <si>
    <t>TC_VIO_455</t>
  </si>
  <si>
    <t>범위 심각도 행이 2개인 이벤트 조건 카드가 추가된 상태</t>
  </si>
  <si>
    <t>[DESC 5-3항-3-b-i] [강조] 빈도수 Default</t>
  </si>
  <si>
    <t>447</t>
  </si>
  <si>
    <t>TC_VIO_456</t>
  </si>
  <si>
    <t>[DESC 5-3항-3-b-i] [강조] 범위 추가 시 빈도수는 직전 필드값 + 5</t>
  </si>
  <si>
    <t>448</t>
  </si>
  <si>
    <t>TC_VIO_457</t>
  </si>
  <si>
    <t>[DESC 5-3항-3-b-i] [강조] 범위 추가 시 빈도수 상한 999</t>
  </si>
  <si>
    <t>449</t>
  </si>
  <si>
    <t>1. 로그 조건 카드의 구성 확인</t>
  </si>
  <si>
    <t>구분 Tag · `조건 삭제` · `구분` select · `키워드` 패널 · `지표별 범위 심각도 설정` 표출</t>
  </si>
  <si>
    <t>TC_VIO_458</t>
  </si>
  <si>
    <t>[DESC 5-3항-3-b-ii] [강조] 빈도수 입력 범위 1~999 경계</t>
  </si>
  <si>
    <t>450</t>
  </si>
  <si>
    <t>1. 로그 조건 카드의 문장 구성 확인</t>
  </si>
  <si>
    <t>`선택한 리소스의` 와 로그 유형 · `에서` · 키워드 · 기간 · `동안` · 횟수 · `회 이상 발생 시` · 심각도 순으로 표출</t>
  </si>
  <si>
    <t>[DESC 5-3항-3-c] 이벤트 카드 심각도는 메트릭 조건과 동일</t>
  </si>
  <si>
    <t>TC_VIO_459</t>
  </si>
  <si>
    <t>451</t>
  </si>
  <si>
    <t>1. 로그 조건 카드의 `구분` 필드 확인</t>
  </si>
  <si>
    <t>`구분` 라벨과 로그 유형 select 표출</t>
  </si>
  <si>
    <t>TC_VIO_460</t>
  </si>
  <si>
    <t>[DESC 5-3항-4] [UI] p44 이벤트 카드 범위 추가·삭제 컨트롤 표출</t>
  </si>
  <si>
    <t>`범위` 가 `클러스터 전체` 이고 로그 조건 카드가 추가된 상태</t>
  </si>
  <si>
    <t>452</t>
  </si>
  <si>
    <t>1. `범위` 를 `네임스페이스` 로 변경 후 로그 유형 select 펼침</t>
  </si>
  <si>
    <t>변경한 대상 리소스에 대응하는 로그 유형 Options 로 갱신 표출</t>
  </si>
  <si>
    <t>TC_VIO_461</t>
  </si>
  <si>
    <t>[DESC 5-3항-4-a] 이벤트 카드 `범위 추가` 클릭 시 행 1건 추가</t>
  </si>
  <si>
    <t>453</t>
  </si>
  <si>
    <t>1. 로그 유형 select 펼침</t>
  </si>
  <si>
    <t>`운영 로그` · `보안 로그` · `노드 로그` · `애플리케이션 로그` 표출
ㄴ 초기 선택값 `운영 로그`</t>
  </si>
  <si>
    <t>TC_VIO_462</t>
  </si>
  <si>
    <t>[DESC 5-3항-4-a-i] [강조] 이벤트 카드 범위 최대 3개 이후 비활성화</t>
  </si>
  <si>
    <t>454</t>
  </si>
  <si>
    <t>`범위` 가 `네임스페이스` 이고 로그 조건 카드가 추가된 상태</t>
  </si>
  <si>
    <t>`애플리케이션 로그` 만 표출</t>
  </si>
  <si>
    <t>[DESC 5-3항-4-b] 이벤트 카드 범위 1행일 때 삭제 비활성화</t>
  </si>
  <si>
    <t>TC_VIO_463</t>
  </si>
  <si>
    <t>455</t>
  </si>
  <si>
    <t>`범위` 가 `워크로드` 이고 로그 조건 카드가 추가된 상태</t>
  </si>
  <si>
    <t>[DESC 5-3항-4-b] 이벤트 카드 범위 2행 이상일 때 삭제 활성화</t>
  </si>
  <si>
    <t>456</t>
  </si>
  <si>
    <t>TC_VIO_464</t>
  </si>
  <si>
    <t>`범위` 가 `클러스터 전체` 이고 로그 유형이 `노드 로그` 인 로그 조건 카드가 추가된 상태</t>
  </si>
  <si>
    <t>1. 로그 유형 우측의 추가 필드 확인</t>
  </si>
  <si>
    <t>로그 유형에 대응하는 하위 select 표출</t>
  </si>
  <si>
    <t>[DESC 5-3항-4-b] 이벤트 카드 범위 삭제 클릭 시 해당 행 제거</t>
  </si>
  <si>
    <t>457</t>
  </si>
  <si>
    <t>TC_VIO_465</t>
  </si>
  <si>
    <t>`범위` 가 `클러스터 전체` 이고 로그 유형이 `운영 로그` 인 로그 조건 카드가 추가된 상태</t>
  </si>
  <si>
    <t>1. 로그 유형을 `노드 로그` 로 변경</t>
  </si>
  <si>
    <t>선택한 로그 유형에 대응하는 하위 select 추가 표출</t>
  </si>
  <si>
    <t>[DESC 5-4항] [UI] p44 [공통 DESC C9] 로그 조건 카드 표출 — 5-4 mock</t>
  </si>
  <si>
    <t>458</t>
  </si>
  <si>
    <t>TC_VIO_466</t>
  </si>
  <si>
    <t>1. 로그 유형을 `노드 로그` 로 선택</t>
  </si>
  <si>
    <t>`노드` 라벨과 필수 표시가 있는 select 추가 표출</t>
  </si>
  <si>
    <t>[DESC 5-4항-0] 로그 카드 표출 문장 구성</t>
  </si>
  <si>
    <t>459</t>
  </si>
  <si>
    <t>TC_VIO_467</t>
  </si>
  <si>
    <t>로그 유형이 `노드 로그` 인 로그 조건 카드가 추가된 상태</t>
  </si>
  <si>
    <t>1. `노드` select 펼침</t>
  </si>
  <si>
    <t>`전체` 와 선택한 클러스터의 노드 목록 표출
ㄴ 초기 선택값 `전체`</t>
  </si>
  <si>
    <t>[DESC 5-4항-1] [UI] p44 로그 카드 `구분` select 표출</t>
  </si>
  <si>
    <t>460</t>
  </si>
  <si>
    <t>TC_VIO_468</t>
  </si>
  <si>
    <t>1. 로그 유형을 `애플리케이션 로그` 로 선택</t>
  </si>
  <si>
    <t>`네임스페이스` 와 `파드` select 추가 표출</t>
  </si>
  <si>
    <t>[DESC 5-4항-1-0] 대상 리소스 선택값에 따라 로그 유형 Options 상이</t>
  </si>
  <si>
    <t>461</t>
  </si>
  <si>
    <t>TC_VIO_469</t>
  </si>
  <si>
    <t>로그 유형이 `애플리케이션 로그` 이고 클러스터 내 네임스페이스가 2개 이상인 상태</t>
  </si>
  <si>
    <t>[DESC 5-4항-1-a] 로그 유형 Options — 대상 리소스 `클러스터 전체`</t>
  </si>
  <si>
    <t>462</t>
  </si>
  <si>
    <t>TC_VIO_470</t>
  </si>
  <si>
    <t>`범위` 가 `클러스터 전체` 이고 로그 유형이 `애플리케이션 로그` 인 로그 조건 카드가 추가된 상태</t>
  </si>
  <si>
    <t>[DESC 5-4항-1-b] 로그 유형 Options — 대상 리소스 `네임스페이스`</t>
  </si>
  <si>
    <t>463</t>
  </si>
  <si>
    <t>TC_VIO_471</t>
  </si>
  <si>
    <t>[DESC 5-4항-1-b] 로그 유형 Options — 대상 리소스 `워크로드`</t>
  </si>
  <si>
    <t>`범위` 를 특정 네임스페이스로 지정하고 로그 유형이 `애플리케이션 로그` 인 상태</t>
  </si>
  <si>
    <t>464</t>
  </si>
  <si>
    <t>1. 로그 카드의 `네임스페이스` select 상태 확인</t>
  </si>
  <si>
    <t>대상 리소스에서 선택한 네임스페이스가 선택 상태이고 Disabled 로 표출</t>
  </si>
  <si>
    <t>TC_VIO_472</t>
  </si>
  <si>
    <t>[DESC 5-4항-2] 로그 카드 추가 필드 항목</t>
  </si>
  <si>
    <t>로그 유형이 `애플리케이션 로그` 인 로그 조건 카드가 추가된 상태</t>
  </si>
  <si>
    <t>465</t>
  </si>
  <si>
    <t>1. `파드` select 펼침</t>
  </si>
  <si>
    <t>`전체` 와 선택한 대상 리소스 내 파드 목록 표출
ㄴ 초기 선택값 `전체`</t>
  </si>
  <si>
    <t>TC_VIO_473</t>
  </si>
  <si>
    <t>[DESC 5-4항-2-0] 로그 유형 변경 시 하위 select 갱신</t>
  </si>
  <si>
    <t>466</t>
  </si>
  <si>
    <t>1. 로그 조건 카드의 키워드와 심각도 영역 확인</t>
  </si>
  <si>
    <t>`키워드` 패널과 `지표별 범위 심각도 설정` 패널 표출</t>
  </si>
  <si>
    <t>TC_VIO_474</t>
  </si>
  <si>
    <t>[DESC 5-4항-2-a] [UI] p44 `노드 로그` 선택 시 노드 선택 필드 추가 — 5-4a mock</t>
  </si>
  <si>
    <t>467</t>
  </si>
  <si>
    <t>1. 로그 조건 카드의 키워드·기간·빈도수 필드 구성 확인</t>
  </si>
  <si>
    <t>이벤트 조건 카드(5-3항)와 동일한 필드 구성과 Default 값으로 표출</t>
  </si>
  <si>
    <t>TC_VIO_475</t>
  </si>
  <si>
    <t>[DESC 5-4항-2-a] 노드 선택 필드 Options</t>
  </si>
  <si>
    <t>468</t>
  </si>
  <si>
    <t>키워드를 입력하지 않은 로그 조건으로 알람이 생성된 상태</t>
  </si>
  <si>
    <t>1. 선택한 리소스에 로그 발생</t>
  </si>
  <si>
    <t>로그 발생마다 1회로 집계</t>
  </si>
  <si>
    <t>[DESC 5-4항-2-b] [UI] p44 `애플리케이션 로그` 선택 시 네임스페이스·파드 필드 추가 — 5-4b mock</t>
  </si>
  <si>
    <t>469</t>
  </si>
  <si>
    <t>TC_VIO_476</t>
  </si>
  <si>
    <t>1. 로그 조건 카드의 심각도 select 펼침</t>
  </si>
  <si>
    <t>TC_VIO_477</t>
  </si>
  <si>
    <t>1. `수신 대상 설정` 섹션 확인</t>
  </si>
  <si>
    <t>[DESC 5-4항-2-b-i] 로그 카드 네임스페이스 필드 Default</t>
  </si>
  <si>
    <t>`수신 대상 설정` 섹션 제목과 `수신 대상` 라벨 표출</t>
  </si>
  <si>
    <t>470</t>
  </si>
  <si>
    <t>TC_VIO_478</t>
  </si>
  <si>
    <t>수신 대상을 추가하지 않은 생성 화면 진입 상태</t>
  </si>
  <si>
    <t>[DESC 5-4항-2-b-i] 로그 카드 네임스페이스 Options — 전체 옵션 미제공</t>
  </si>
  <si>
    <t>1. `수신 대상` 테이블 본문 확인</t>
  </si>
  <si>
    <t>테이블 헤더만 표출되고 본문은 No Data 화면으로 표출</t>
  </si>
  <si>
    <t>471</t>
  </si>
  <si>
    <t>TC_VIO_479</t>
  </si>
  <si>
    <t>[DESC 5-4항-2-b-i] 대상 리소스에서 특정 네임스페이스 선택 시 selected 및 disabled</t>
  </si>
  <si>
    <t>1. No Data 영역의 문구 확인</t>
  </si>
  <si>
    <t>472</t>
  </si>
  <si>
    <t>`수신 대상이 없습니다.` 와 `"수신 대상 추가" 버튼으로 대상을 추가하거나 다시 확인해 주세요.` 표출</t>
  </si>
  <si>
    <t>TC_VIO_480</t>
  </si>
  <si>
    <t>[DESC 5-4항-2-b-ii] 로그 카드 파드 필드 Options</t>
  </si>
  <si>
    <t>473</t>
  </si>
  <si>
    <t>수신 대상 선택 팝업에서 대상 1건 이상을 추가한 상태</t>
  </si>
  <si>
    <t>추가한 수신 대상이 행으로 표출</t>
  </si>
  <si>
    <t>TC_VIO_481</t>
  </si>
  <si>
    <t>[DESC 5-4항-3] 로그 카드 키워드·지표별 심각도 항목 표출</t>
  </si>
  <si>
    <t>474</t>
  </si>
  <si>
    <t>1. `수신 대상` 테이블 우상단 확인</t>
  </si>
  <si>
    <t>`+ 수신 대상 추가` 버튼 표출</t>
  </si>
  <si>
    <t>[DESC 5-4항-3-a] 로그 카드 키워드·심각도는 이벤트 조건과 동일</t>
  </si>
  <si>
    <t>TC_VIO_482</t>
  </si>
  <si>
    <t>475</t>
  </si>
  <si>
    <t>1. `+ 수신 대상 추가` 버튼 클릭</t>
  </si>
  <si>
    <t>수신 대상 선택 팝업 표출</t>
  </si>
  <si>
    <t>TC_VIO_483</t>
  </si>
  <si>
    <t>[DESC 5-4항-3-b] 로그 키워드 미입력 시 로그 발생마다 1회 집계</t>
  </si>
  <si>
    <t>476</t>
  </si>
  <si>
    <t>수신 대상 테이블에 행이 1건 이상 추가된 상태</t>
  </si>
  <si>
    <t>1. `수신 대상` 테이블의 헤더 구성 확인</t>
  </si>
  <si>
    <t>`구분` · `이름` · `수신 채널` · `수신 정책` · `수신 주기` · `삭제` 순으로 표출
ㄴ `이름` 열에만 정렬 아이콘 표출</t>
  </si>
  <si>
    <t>[DESC 5-4항-4] 로그 카드 심각도는 메트릭 조건과 동일</t>
  </si>
  <si>
    <t>TC_VIO_484</t>
  </si>
  <si>
    <t>477</t>
  </si>
  <si>
    <t>1. `수신 대상` 테이블 상단의 입력 필드 확인</t>
  </si>
  <si>
    <t>필터 아이콘과 placeholder `항목 이름 또는 값을 입력해 주세요.` 인 입력 필드 표출
ㄴ 기획 미정의 항목 — PASS/FAIL 판정 대신 실측 상태를 `실제 결과`에 기재</t>
  </si>
  <si>
    <t>[DESC 6항] [UI] p44 [공통 DESC C9] `수신 대상 설정` 섹션과 `수신 대상` 항목 표출</t>
  </si>
  <si>
    <t>TC_VIO_485</t>
  </si>
  <si>
    <t>478</t>
  </si>
  <si>
    <t>1. `구분` 열의 값 확인</t>
  </si>
  <si>
    <t>행마다 유형 Tag 표출</t>
  </si>
  <si>
    <t>[DESC 6항-0] [UI] p44 수신 대상 Default No Data 화면 — 6-1 mock</t>
  </si>
  <si>
    <t>TC_VIO_486</t>
  </si>
  <si>
    <t>479</t>
  </si>
  <si>
    <t>1. `이름` 열의 값 확인</t>
  </si>
  <si>
    <t>행마다 수신 대상 이름 표출
ㄴ 기획서 UI가 더미 `label` 표기 — 실 값은 실측 상태를 `실제 결과`에 기재</t>
  </si>
  <si>
    <t>[UI] p44 6-1 mock No Data 문구 원문</t>
  </si>
  <si>
    <t>TC_VIO_487</t>
  </si>
  <si>
    <t>480</t>
  </si>
  <si>
    <t>수신 대상 테이블에 그룹 행이 1건 이상 추가된 상태</t>
  </si>
  <si>
    <t>1. 그룹 행의 `이름` 열 확인</t>
  </si>
  <si>
    <t>그룹명과 인원 수 태그 표출
ㄴ 기획서 UI가 더미 `n명` 표기 — 실 값은 실측 상태를 `실제 결과`에 기재</t>
  </si>
  <si>
    <t>[DESC 6항-0] 팝업에서 추가한 수신 대상 표출</t>
  </si>
  <si>
    <t>481</t>
  </si>
  <si>
    <t>TC_VIO_488</t>
  </si>
  <si>
    <t>1. 그룹 행의 인원 수 태그에 마우스 호버</t>
  </si>
  <si>
    <t>구성원 이름 목록과 Slack 채널 항목이 담긴 툴팁 표출</t>
  </si>
  <si>
    <t>[DESC 6항-0b] [UI] p44 `수신 대상 추가` 버튼 표출</t>
  </si>
  <si>
    <t>482</t>
  </si>
  <si>
    <t>TC_VIO_489</t>
  </si>
  <si>
    <t>Slack 채널 정보가 등록된 그룹이 수신 대상 테이블에 추가된 상태</t>
  </si>
  <si>
    <t>1. 그룹 행의 인원 수 태그 값 확인</t>
  </si>
  <si>
    <t>구성원 수에 등록된 Slack 채널 수가 포함되어 카운팅</t>
  </si>
  <si>
    <t>[DESC 6항-0b] `수신 대상 추가` 클릭 시 팝업 호출</t>
  </si>
  <si>
    <t>483</t>
  </si>
  <si>
    <t>TC_VIO_490</t>
  </si>
  <si>
    <t>수신 대상 테이블에 개별 행이 1건 이상 추가된 상태</t>
  </si>
  <si>
    <t>1. 개별 행의 `이름` 열 확인</t>
  </si>
  <si>
    <t>수신자 이름 표출</t>
  </si>
  <si>
    <t>[UI] p44 수신 대상 테이블 컬럼 구성 (크롭 확대 실측)</t>
  </si>
  <si>
    <t>484</t>
  </si>
  <si>
    <t>TC_VIO_491</t>
  </si>
  <si>
    <t>1. `수신 채널` 열 확인</t>
  </si>
  <si>
    <t>채널 태그와 채널 선택 드롭다운 표출</t>
  </si>
  <si>
    <t>[UI] p44 F-3 수신 대상 검색·필터 입력</t>
  </si>
  <si>
    <t>[정책 예외] 문서 기본=변경 / 이 화면=신규 [확인 불가] 수신 대상 테이블 검색·필터의 대상 컬럼과 매칭 방식이 미정의 — 기획 확인 필요</t>
  </si>
  <si>
    <t>485</t>
  </si>
  <si>
    <t>TC_VIO_492</t>
  </si>
  <si>
    <t>수신 대상을 새로 추가한 직후 상태</t>
  </si>
  <si>
    <t>1. 해당 행의 `수신 채널` 값 확인</t>
  </si>
  <si>
    <t>BootFactory 에 연동된 수신 채널 전체가 선택된 상태로 표출</t>
  </si>
  <si>
    <t>[DESC 6항-1] [UI] p44 `구분` 열 유형 표기</t>
  </si>
  <si>
    <t>[정책 예외] 문서 기본=변경 / 이 화면=신규 [UI↔DESC 불일치] M-1 UI mock: 1행 `그룹` · 2~5행 `TAG` / DESC 6항-1: `유형 : 그룹 / 개별 표시` — 정상 값 집합 확인 필요</t>
  </si>
  <si>
    <t>486</t>
  </si>
  <si>
    <t>TC_VIO_493</t>
  </si>
  <si>
    <t>수신 채널이 4개 이상 선택된 행이 있는 상태</t>
  </si>
  <si>
    <t>1. 해당 행의 `수신 채널` 표기 확인</t>
  </si>
  <si>
    <t>채널 태그 3개 표출 후 나머지는 `외 n` 으로 표출</t>
  </si>
  <si>
    <t>[DESC 6항-2] `이름` 열 수신 대상 표기</t>
  </si>
  <si>
    <t>487</t>
  </si>
  <si>
    <t>TC_VIO_494</t>
  </si>
  <si>
    <t>수신 채널이 4개 이상 선택되어 `외 n` 이 표출된 상태</t>
  </si>
  <si>
    <t>1. 표출된 채널 태그 1개를 삭제</t>
  </si>
  <si>
    <t>다음 항목이 삭제 가능한 태그로 전환되고 `외 n` 의 n 값 감소</t>
  </si>
  <si>
    <t>[DESC 6항-2-a] [UI] p44 그룹 행 — 그룹명과 인원 태그</t>
  </si>
  <si>
    <t>488</t>
  </si>
  <si>
    <t>TC_VIO_495</t>
  </si>
  <si>
    <t>[DESC 6항-2-a-i] [UI] p44 그룹 인원 태그 호버 시 구성원 툴팁</t>
  </si>
  <si>
    <t>489</t>
  </si>
  <si>
    <t>1. `수신 채널` 드롭다운 펼침</t>
  </si>
  <si>
    <t>BootFactory 에 연동된 수신 채널 목록 표출</t>
  </si>
  <si>
    <t>TC_VIO_496</t>
  </si>
  <si>
    <t>[DESC 6항-2-a-ii] [강조] Slack 채널 수도 구성원 수로 카운팅</t>
  </si>
  <si>
    <t>490</t>
  </si>
  <si>
    <t>Email 과 Slack 채널이 연동된 상태에서 수신 대상 행이 추가된 상태</t>
  </si>
  <si>
    <t>1. `수신 채널` 열의 Email·Slack 항목 표기 확인</t>
  </si>
  <si>
    <t>채널 유형 `Email` 과 `Slack` 표출</t>
  </si>
  <si>
    <t>TC_VIO_497</t>
  </si>
  <si>
    <t>[DESC 6항-2-b] 개별 행 — 수신자 이름 표시</t>
  </si>
  <si>
    <t>491</t>
  </si>
  <si>
    <t>사용자 지정 채널이 연동된 상태에서 수신 대상 행이 추가된 상태</t>
  </si>
  <si>
    <t>1. `수신 채널` 열의 사용자 지정 항목 표기 확인</t>
  </si>
  <si>
    <t>채널 이름 표출
ㄴ 기획서 UI가 더미 `{channelName}` 표기 — 실 값은 실측 상태를 `실제 결과`에 기재</t>
  </si>
  <si>
    <t>TC_VIO_498</t>
  </si>
  <si>
    <t>[DESC 6항-3] [UI] p44 `수신 채널` 열 표출</t>
  </si>
  <si>
    <t>492</t>
  </si>
  <si>
    <t>1. `수신 정책` 열의 값 표기 확인</t>
  </si>
  <si>
    <t>선택한 심각도와 `이상` 을 이은 형태로 표출</t>
  </si>
  <si>
    <t>TC_VIO_499</t>
  </si>
  <si>
    <t>[DESC 6항-3-a] [강조] 수신 채널 Default 전체 선택 상태</t>
  </si>
  <si>
    <t>493</t>
  </si>
  <si>
    <t>1. `수신 정책` 드롭다운 펼침</t>
  </si>
  <si>
    <t>TC_VIO_500</t>
  </si>
  <si>
    <t>[DESC 6항-3-a-i] [UI] p44 [강조] 수신 채널 3개까지 표출 후 초과분 처리</t>
  </si>
  <si>
    <t>494</t>
  </si>
  <si>
    <t>1. `수신 정책` 헤더의 물음표 아이콘에 마우스 호버</t>
  </si>
  <si>
    <t>`설정한 심각도 이상의 알람을 수신합니다.` 툴팁 표출</t>
  </si>
  <si>
    <t>TC_VIO_501</t>
  </si>
  <si>
    <t>[UI] p44 6-3 mock 태그 해제 시 다음 항목이 dismissible 태그로 전환</t>
  </si>
  <si>
    <t>495</t>
  </si>
  <si>
    <t>1. `수신 주기` 열 확인</t>
  </si>
  <si>
    <t>수신 주기 select 표출</t>
  </si>
  <si>
    <t>TC_VIO_502</t>
  </si>
  <si>
    <t>[DESC 6항-3-b] [강조] 수신 채널 Options</t>
  </si>
  <si>
    <t>496</t>
  </si>
  <si>
    <t>1. `수신 주기` select 펼침</t>
  </si>
  <si>
    <t>`알람 발생 시마다` · `사용자 설정` 표출
ㄴ 초기 선택값 `알람 발생 시마다`</t>
  </si>
  <si>
    <t>[DESC 6항-3-b-i] Email·Slack 채널은 유형 표출</t>
  </si>
  <si>
    <t>TC_VIO_503</t>
  </si>
  <si>
    <t>497</t>
  </si>
  <si>
    <t>수신 주기를 `사용자 설정` 으로 선택해 시간 설정 필드가 표출된 상태</t>
  </si>
  <si>
    <t>1. 수신 주기를 `알람 발생 시마다` 로 변경</t>
  </si>
  <si>
    <t>시간 설정 필드 미표출, 수신 주기 select 1개만 표출</t>
  </si>
  <si>
    <t>[DESC 6항-3-b-ii] [강조] 사용자 지정 채널은 이름 표출</t>
  </si>
  <si>
    <t>TC_VIO_504</t>
  </si>
  <si>
    <t>498</t>
  </si>
  <si>
    <t>수신 주기가 `알람 발생 시마다` 인 수신 대상 행이 있는 상태</t>
  </si>
  <si>
    <t>1. 수신 주기를 `사용자 설정` 으로 선택</t>
  </si>
  <si>
    <t>시간 입력 필드와 단위 `분` 추가 표출</t>
  </si>
  <si>
    <t>[DESC 6항-4] [UI] p44 `수신 정책` 열 표기 형식</t>
  </si>
  <si>
    <t>TC_VIO_505</t>
  </si>
  <si>
    <t>499</t>
  </si>
  <si>
    <t>수신 주기를 `사용자 설정` 으로 선택한 직후 상태</t>
  </si>
  <si>
    <t>1. 시간 입력 필드의 초기값 확인</t>
  </si>
  <si>
    <t>시간 설정 `5` 표출</t>
  </si>
  <si>
    <t>[DESC 6항-4-a] 수신 정책 심각도 Options 와 Default</t>
  </si>
  <si>
    <t>500</t>
  </si>
  <si>
    <t>TC_VIO_506</t>
  </si>
  <si>
    <t>수신 주기를 `사용자 설정` 으로 선택한 상태</t>
  </si>
  <si>
    <t>1. 시간 입력 필드에 `1` 과 `999` 를 각각 입력</t>
  </si>
  <si>
    <t>`1` 과 `999` 입력값 반영
ㄴ 기획서 UI가 placeholder `1~999` 로 범위 표기</t>
  </si>
  <si>
    <t>[DESC 6항-4-b] [UI] p44 `수신 정책` 헤더 툴팁 문구</t>
  </si>
  <si>
    <t>501</t>
  </si>
  <si>
    <t>TC_VIO_507</t>
  </si>
  <si>
    <t>수신 대상 테이블에 행이 2건 이상 추가된 상태</t>
  </si>
  <si>
    <t>1. 2번째 행의 `삭제` 클릭</t>
  </si>
  <si>
    <t>해당 수신 대상 행 제거</t>
  </si>
  <si>
    <t>[DESC 6항-5] [UI] p44 `수신 주기` 열 표출</t>
  </si>
  <si>
    <t>502</t>
  </si>
  <si>
    <t>TC_VIO_508</t>
  </si>
  <si>
    <t>개별 수신자와 그룹이 모두 등록된 상태</t>
  </si>
  <si>
    <t>1. 개별 수신자와 그룹을 같은 알람에 각각 추가</t>
  </si>
  <si>
    <t>두 유형 모두 수신 대상 테이블에 행으로 추가</t>
  </si>
  <si>
    <t>[DESC 6항-5-0] 수신 주기 Options 와 Default</t>
  </si>
  <si>
    <t>503</t>
  </si>
  <si>
    <t>TC_VIO_509</t>
  </si>
  <si>
    <t>특정 수신자가 구성원으로 포함된 그룹이 등록된 상태</t>
  </si>
  <si>
    <t>1. 해당 수신자와 그 수신자가 포함된 그룹을 같은 알람에 추가</t>
  </si>
  <si>
    <t>개별 행과 그룹 행이 각각 추가</t>
  </si>
  <si>
    <t>[DESC 6항-5-a] `알람 발생 시마다` 선택 시 추가 select 없음</t>
  </si>
  <si>
    <t>504</t>
  </si>
  <si>
    <t>TC_VIO_510</t>
  </si>
  <si>
    <t>1. 1번째 행의 수신 채널·정책·주기를 변경</t>
  </si>
  <si>
    <t>1번째 행에만 변경값 반영, 2번째 행은 기존 설정값 유지</t>
  </si>
  <si>
    <t>[DESC 6항-5-b] [UI] p44 `사용자 설정` 선택 시 시간 설정 필드 추가</t>
  </si>
  <si>
    <t>505</t>
  </si>
  <si>
    <t>TC_VIO_511</t>
  </si>
  <si>
    <t>구성원이 2명 이상인 그룹 행이 수신 대상 테이블에 추가된 상태</t>
  </si>
  <si>
    <t>1. 그룹 행의 수신 정책 설정 후 조건 충족</t>
  </si>
  <si>
    <t>[DESC 6항-5-b] [UI] p44 시간 설정 Default</t>
  </si>
  <si>
    <t>그룹 구성원 전원에게 해당 행 정책 적용</t>
  </si>
  <si>
    <t>506</t>
  </si>
  <si>
    <t>TC_VIO_512</t>
  </si>
  <si>
    <t>개별 행이 수신 대상 테이블에 추가된 상태</t>
  </si>
  <si>
    <t>1. 개별 행의 수신 정책 설정 후 조건 충족</t>
  </si>
  <si>
    <t>[DESC 6항-5-b] [UI] p44 시간 설정 입력 범위 1~999</t>
  </si>
  <si>
    <t>해당 수신자 1인에게만 행 정책 적용</t>
  </si>
  <si>
    <t>507</t>
  </si>
  <si>
    <t>TC_VIO_513</t>
  </si>
  <si>
    <t>동일 수신자가 개별 행과 그룹 행에 각각 포함된 상태</t>
  </si>
  <si>
    <t>[DESC 6항-6] `삭제` 클릭 시 해당 행 제거</t>
  </si>
  <si>
    <t>1. 알람 조건 충족 상황 발생</t>
  </si>
  <si>
    <t>행별로 각각 발송 시도
ㄴ 동일 채널·동일 이벤트인 경우 중복 수신</t>
  </si>
  <si>
    <t>508</t>
  </si>
  <si>
    <t>TC_VIO_514</t>
  </si>
  <si>
    <t>수신 허용 시간이 설정된 수신자가 수신 대상에 추가된 상태</t>
  </si>
  <si>
    <t>1. 수신 허용 시간 밖에 수신 정책을 충족하는 알람 발생</t>
  </si>
  <si>
    <t>해당 수신자에게 알람 미발송</t>
  </si>
  <si>
    <t>[DESC 6항-7] 개별·그룹 중복 추가 가능</t>
  </si>
  <si>
    <t>509</t>
  </si>
  <si>
    <t>TC_VIO_515</t>
  </si>
  <si>
    <t>`활성화` On·채널 연동 완료 상태에서 수신 허용 시간이 월-금 09:00-18:00 이고 Warning 이상 정책인 수신자가 추가된 상태</t>
  </si>
  <si>
    <t>1. 월요일 20:00 에 Warning 이상 알람 조건 발생</t>
  </si>
  <si>
    <t>[DESC 6항-7-a] 개별 수신자와 그 수신자가 포함된 그룹 동시 추가</t>
  </si>
  <si>
    <t>510</t>
  </si>
  <si>
    <t>TC_VIO_516</t>
  </si>
  <si>
    <t>1. `수신 대상` 테이블 하단 확인</t>
  </si>
  <si>
    <t>[DESC 6항-7-b] 행마다 수신 채널·정책·주기 독립 설정</t>
  </si>
  <si>
    <t>전체 건수 표기와 페이지네이션 표출
ㄴ 기획서 UI가 더미 `전체 수 5` 와 `/ 99` 표기 — 실 값은 실측 상태를 `실제 결과`에 기재</t>
  </si>
  <si>
    <t>511</t>
  </si>
  <si>
    <t>TC_VIO_517</t>
  </si>
  <si>
    <t>수신 대상 선택 팝업</t>
  </si>
  <si>
    <t>[DESC 6항-7-b] 그룹 행 정책은 구성원 전원에 적용</t>
  </si>
  <si>
    <t>`수신 대상 추가` 클릭으로 수신 대상 선택 팝업이 표출된 상태</t>
  </si>
  <si>
    <t>팝업 타이틀 `수신 대상 추가` 표출</t>
  </si>
  <si>
    <t>512</t>
  </si>
  <si>
    <t>TC_VIO_518</t>
  </si>
  <si>
    <t>[DESC 6항-7-b] 개별 행 정책은 해당 수신자 1인에 적용</t>
  </si>
  <si>
    <t>513</t>
  </si>
  <si>
    <t>1. 팝업 좌측 상단의 수신 유형 탭 확인</t>
  </si>
  <si>
    <t>`개별` · `그룹` 표출
ㄴ 초기 선택값 `개별`</t>
  </si>
  <si>
    <t>[DESC 6항-7-c] 동일 수신자가 여러 행에 걸리면 행별로 각각 발송</t>
  </si>
  <si>
    <t>TC_VIO_519</t>
  </si>
  <si>
    <t>514</t>
  </si>
  <si>
    <t>BootFactory `최고 관리자` 역할이 부여된 계정으로 수신 대상 선택 팝업이 표출된 상태</t>
  </si>
  <si>
    <t>1. 팝업 우측 상단 확인</t>
  </si>
  <si>
    <t>`수신자 관리` 버튼 표출</t>
  </si>
  <si>
    <t>[DESC 6항-8] 수신 허용 시간이 수신 정책보다 우선</t>
  </si>
  <si>
    <t>515</t>
  </si>
  <si>
    <t>TC_VIO_520</t>
  </si>
  <si>
    <t>BootFactory `최고 관리자, VIOLA 솔루션 관리자` 역할이 부여된 계정으로 수신 대상 선택 팝업이 표출된 상태</t>
  </si>
  <si>
    <t>1. `수신자 관리` 버튼 제공 여부 확인</t>
  </si>
  <si>
    <t>TC_VIO_521</t>
  </si>
  <si>
    <t>BootFactory `최고 관리자` 외 역할이 부여된 계정으로 수신 대상 선택 팝업이 표출된 상태</t>
  </si>
  <si>
    <t>`수신자 관리` 버튼 미표출</t>
  </si>
  <si>
    <t>[DESC 6항-8-예] 수신 허용 시간 예시 — 허용 시간 밖 Warning 알람</t>
  </si>
  <si>
    <t>516</t>
  </si>
  <si>
    <t>TC_VIO_522</t>
  </si>
  <si>
    <t>1. `수신자 관리` 버튼 클릭</t>
  </si>
  <si>
    <t>BootFactory 수신자 관리 목록 화면으로 이동</t>
  </si>
  <si>
    <t>[UI] p44 F-12·F-13 수신 대상 전체 건수·페이지네이션</t>
  </si>
  <si>
    <t>TC_VIO_523</t>
  </si>
  <si>
    <t>517</t>
  </si>
  <si>
    <t>1. 팝업 좌측 패널 확인</t>
  </si>
  <si>
    <t>검색 입력과 `전체 선택`, 수신자 체크 목록 표출</t>
  </si>
  <si>
    <t>[DESC 6-2항] [UI] p44 [공통 DESC C9] 팝업 타이틀 — 6-2 mock</t>
  </si>
  <si>
    <t>TC_VIO_524</t>
  </si>
  <si>
    <t>518</t>
  </si>
  <si>
    <t>1. 좌측 패널 상단 확인</t>
  </si>
  <si>
    <t>검색 입력 필드 표출</t>
  </si>
  <si>
    <t>[DESC 6-2항-1] [UI] p44 수신 유형 Options 와 Default</t>
  </si>
  <si>
    <t>519</t>
  </si>
  <si>
    <t>[DESC 6-2항-2] [UI] p44 `수신자 관리` 버튼 표출</t>
  </si>
  <si>
    <t>520</t>
  </si>
  <si>
    <t>TC_VIO_525</t>
  </si>
  <si>
    <t>수신자가 2건 이상 등록된 수신 대상 선택 팝업이 표출된 상태</t>
  </si>
  <si>
    <t>1. 검색 입력에 특정 수신자명 일부 입력</t>
  </si>
  <si>
    <t>검색어를 포함하는 항목만 목록에 표출</t>
  </si>
  <si>
    <t>`수신자 관리` 버튼 표출
ㄴ 기획 미정의 항목 — PASS/FAIL 판정 대신 실측 상태를 `실제 결과`에 기재</t>
  </si>
  <si>
    <t>[DESC 6-2항-2-a] [강조] [확인 불가 기반] `수신자 관리` 는 최고 관리자 역할에만 제공</t>
  </si>
  <si>
    <t>[정책 예외] 문서 기본=변경 / 이 화면=신규 [확인 불가] U-3 원문에 `역할 B/F 검토 중` 병기 — 역할 조건 확정 필요</t>
  </si>
  <si>
    <t>521</t>
  </si>
  <si>
    <t>TC_VIO_526</t>
  </si>
  <si>
    <t>`수신자 관리` 버튼 미표출
ㄴ 기획 미정의 항목 — PASS/FAIL 판정 대신 실측 상태를 `실제 결과`에 기재</t>
  </si>
  <si>
    <t>1. 검색 입력에 특정 수신자명 일부 입력 후 상단 개수 표기 확인</t>
  </si>
  <si>
    <t>`전체 선택` 우측 개수가 검색된 항목 개수로 변경 표출</t>
  </si>
  <si>
    <t>[DESC 6-2항-2-a] [강조] [확인 불가 기반] 최고 관리자 외 역할은 `수신자 관리` 미제공</t>
  </si>
  <si>
    <t>522</t>
  </si>
  <si>
    <t>TC_VIO_527</t>
  </si>
  <si>
    <t>검색어를 입력해 일부 항목만 표출된 수신 대상 선택 팝업 상태</t>
  </si>
  <si>
    <t>[DESC 6-2항-2-b] [강조] `수신자 관리` 클릭 시 BootFactory 목록 화면 이동</t>
  </si>
  <si>
    <t>1. `전체 선택` 체크</t>
  </si>
  <si>
    <t>검색된 항목만 전체 선택 상태로 표출</t>
  </si>
  <si>
    <t>523</t>
  </si>
  <si>
    <t>TC_VIO_528</t>
  </si>
  <si>
    <t>[DESC 6-2항-3] [UI] p44 좌측 수신자 목록 패널 표출</t>
  </si>
  <si>
    <t>수신자 1건을 체크해 우측 패널에 반영된 상태에서 다른 조작을 하지 않은 상태</t>
  </si>
  <si>
    <t>1. 검색 입력에 검색어 입력</t>
  </si>
  <si>
    <t>524</t>
  </si>
  <si>
    <t>체크한 항목의 체크 상태 유지, 우측 패널 목록 그대로 표출</t>
  </si>
  <si>
    <t>TC_VIO_529</t>
  </si>
  <si>
    <t>[DESC 6-2항-3-a] [UI] p44 좌측 패널 검색 기능 제공</t>
  </si>
  <si>
    <t>525</t>
  </si>
  <si>
    <t>수신자 1건을 체크한 뒤 검색어를 입력해 목록이 필터링된 상태</t>
  </si>
  <si>
    <t>1. 검색어 삭제</t>
  </si>
  <si>
    <t>체크 상태가 유지된 전체 목록 표출</t>
  </si>
  <si>
    <t>TC_VIO_530</t>
  </si>
  <si>
    <t>[DESC 6-2항-3-a-i] [강조] 검색어를 포함하는 항목만 표시</t>
  </si>
  <si>
    <t>526</t>
  </si>
  <si>
    <t>1. 수신 유형 탭을 `그룹` 으로 전환 후 좌측 목록 확인</t>
  </si>
  <si>
    <t>선택한 수신 유형에 대응하는 목록 표출</t>
  </si>
  <si>
    <t>TC_VIO_531</t>
  </si>
  <si>
    <t>[DESC 6-2항-3-a-i] [강조] 검색 시 상단 N 이 검색 항목 개수로 변경</t>
  </si>
  <si>
    <t>527</t>
  </si>
  <si>
    <t>수신 대상 테이블에 수신자 1건이 추가된 상태에서 팝업을 다시 호출한 상태</t>
  </si>
  <si>
    <t>1. 좌측 목록에서 해당 수신자의 체크 상태 확인</t>
  </si>
  <si>
    <t>이미 추가된 수신자가 선택된 상태로 표출</t>
  </si>
  <si>
    <t>[DESC 6-2항-3-a-ii] [강조] `전체 선택` 은 검색된 항목만 전체 선택</t>
  </si>
  <si>
    <t>TC_VIO_532</t>
  </si>
  <si>
    <t>528</t>
  </si>
  <si>
    <t>1. 이미 추가된 수신자의 선택을 해제하고 확정</t>
  </si>
  <si>
    <t>수신 대상 테이블에서 해당 행 삭제</t>
  </si>
  <si>
    <t>[DESC 6-2항-3-a-iii] [강조] 검색 실행이 선택 상태·우측 패널에 영향 없음</t>
  </si>
  <si>
    <t>TC_VIO_533</t>
  </si>
  <si>
    <t>529</t>
  </si>
  <si>
    <t>수신 유형이 `개별` 인 수신 대상 선택 팝업이 표출된 상태</t>
  </si>
  <si>
    <t>1. 좌측 목록의 항목 구성 확인</t>
  </si>
  <si>
    <t>수신자 이름 목록 표출
ㄴ 기획서 UI가 더미 `{name}` 표기 — 실 값은 실측 상태를 `실제 결과`에 기재</t>
  </si>
  <si>
    <t>[DESC 6-2항-3-a-iii] [강조] 검색어 삭제 시 checked 유지된 전체 목록 표출</t>
  </si>
  <si>
    <t>TC_VIO_534</t>
  </si>
  <si>
    <t>530</t>
  </si>
  <si>
    <t>수신 유형이 `그룹` 인 수신 대상 선택 팝업이 표출된 상태</t>
  </si>
  <si>
    <t>그룹 이름과 그룹 구성원 수, 그룹 설명, 그룹 구성원 및 Slack 채널 정보 태그 표출</t>
  </si>
  <si>
    <t>[DESC 6-2항-3-b] 선택한 수신 유형에 대한 목록 제공</t>
  </si>
  <si>
    <t>TC_VIO_535</t>
  </si>
  <si>
    <t>531</t>
  </si>
  <si>
    <t>Slack 채널 정보가 등록된 그룹이 있고 수신 유형이 `그룹` 인 팝업이 표출된 상태</t>
  </si>
  <si>
    <t>1. 해당 그룹의 구성원 수 표기 확인</t>
  </si>
  <si>
    <t>구성원 수에 Slack 채널 정보가 포함되어 카운팅</t>
  </si>
  <si>
    <t>[DESC 6-2항-3-b-0] [강조] 이미 추가된 수신자는 선택된 상태로 제공</t>
  </si>
  <si>
    <t>532</t>
  </si>
  <si>
    <t>TC_VIO_536</t>
  </si>
  <si>
    <t>1. 좌측 목록에서 수신자 1건 체크</t>
  </si>
  <si>
    <t>우측 `선택한 수신 대상` 패널에 해당 항목 추가</t>
  </si>
  <si>
    <t>[DESC 6-2항-3-b-0] [강조] 팝업에서 선택 해제 시 Table 에서도 삭제</t>
  </si>
  <si>
    <t>533</t>
  </si>
  <si>
    <t>TC_VIO_537</t>
  </si>
  <si>
    <t>등록된 수신자가 없는 상태에서 수신 대상 선택 팝업이 표출된 상태</t>
  </si>
  <si>
    <t>1. 좌측 패널 확인</t>
  </si>
  <si>
    <t>`등록된 수신자가 없습니다.` 안내와 관리자 문의 문구가 담긴 No Data 화면 표출</t>
  </si>
  <si>
    <t>[DESC 6-2항-3-b-i] [UI] p44 개별 유형 목록 구성</t>
  </si>
  <si>
    <t>534</t>
  </si>
  <si>
    <t>TC_VIO_538</t>
  </si>
  <si>
    <t>1. No Data 안내 문구의 관리자 이메일 확인</t>
  </si>
  <si>
    <t>BootFactory 지정값 관리자 이메일 표출
ㄴ 기획서 UI가 더미 `{관리자이메일}` 표기 — 실 값은 실측 상태를 `실제 결과`에 기재</t>
  </si>
  <si>
    <t>[DESC 6-2항-3-b-ii] [UI] p44 [강조] 그룹 유형 목록 구성 — 6-2a mock</t>
  </si>
  <si>
    <t>535</t>
  </si>
  <si>
    <t>TC_VIO_539</t>
  </si>
  <si>
    <t>1. 팝업 우측 패널 확인</t>
  </si>
  <si>
    <t>`선택한 수신 대상` 제목과 선택 건수 표기 표출</t>
  </si>
  <si>
    <t>[DESC 6-2항-3-b-ii] [강조] 그룹 구성원 수에 Slack 채널 포함 카운팅</t>
  </si>
  <si>
    <t>536</t>
  </si>
  <si>
    <t>TC_VIO_540</t>
  </si>
  <si>
    <t>수신 대상 선택 팝업이 표출되고 아무 항목도 선택하지 않은 상태</t>
  </si>
  <si>
    <t>1. 우측 패널 본문 확인</t>
  </si>
  <si>
    <t>[DESC 6-2항-3-c] 수신자 Check 시 우측 패널에 추가</t>
  </si>
  <si>
    <t>`수신 대상을 먼저 선택해 주세요.` 와 `선택한 수신 대상이 없습니다.` 표출</t>
  </si>
  <si>
    <t>537</t>
  </si>
  <si>
    <t>TC_VIO_541</t>
  </si>
  <si>
    <t>좌측 목록에서 수신자 2건을 체크한 상태</t>
  </si>
  <si>
    <t>1. 우측 패널의 목록 확인</t>
  </si>
  <si>
    <t>좌측에서 선택한 대상 2건 표출</t>
  </si>
  <si>
    <t>[DESC 6-2항-3-d] [UI] p44 등록된 수신자 없을 때 No Data 화면 — 6-2b mock</t>
  </si>
  <si>
    <t>538</t>
  </si>
  <si>
    <t>TC_VIO_542</t>
  </si>
  <si>
    <t>개별과 그룹을 각각 1건 이상 선택한 상태</t>
  </si>
  <si>
    <t>1. 우측 패널의 섹션 구성 확인</t>
  </si>
  <si>
    <t>[DESC 6-2항-3-d] [UI] p44 No Data 화면의 관리자 이메일 표기</t>
  </si>
  <si>
    <t>`개별` 섹션과 `그룹` 섹션으로 구분하여 표출</t>
  </si>
  <si>
    <t>539</t>
  </si>
  <si>
    <t>TC_VIO_543</t>
  </si>
  <si>
    <t>[DESC 6-2항-4] [UI] p44 우측 `선택한 수신 대상` 패널 표출</t>
  </si>
  <si>
    <t>그룹은 하나도 선택하지 않고 개별만 1건 이상 선택한 상태</t>
  </si>
  <si>
    <t>`개별` 섹션만 표출, `그룹` 영역 전체 미표출</t>
  </si>
  <si>
    <t>540</t>
  </si>
  <si>
    <t>TC_VIO_544</t>
  </si>
  <si>
    <t>[DESC 6-2항-4-a] [UI] p44 우측 패널 Default No Data — 6-2c mock</t>
  </si>
  <si>
    <t>모달 닫힘</t>
  </si>
  <si>
    <t>541</t>
  </si>
  <si>
    <t>TC_VIO_545</t>
  </si>
  <si>
    <t>[DESC 6-2항-4-b] 좌측 선택 대상이 우측 패널에 표출</t>
  </si>
  <si>
    <t>542</t>
  </si>
  <si>
    <t>`취소` 와 확정 버튼 표출</t>
  </si>
  <si>
    <t>TC_VIO_546</t>
  </si>
  <si>
    <t>[DESC 6-2항-4-c] [UI] p44 우측 패널 개별·그룹 구분 제공</t>
  </si>
  <si>
    <t>543</t>
  </si>
  <si>
    <t>수신 대상 선택 팝업이 표출되고 우측 패널이 0건인 상태</t>
  </si>
  <si>
    <t>1. 확정 버튼의 초기 상태 확인</t>
  </si>
  <si>
    <t>확정 버튼 비활성화 상태로 표출</t>
  </si>
  <si>
    <t>TC_VIO_547</t>
  </si>
  <si>
    <t>[DESC 6-2항-4-예] 개별만 추가 시 `그룹` 영역 전체 미제공</t>
  </si>
  <si>
    <t>544</t>
  </si>
  <si>
    <t>수신 대상 선택 팝업이 표출된 상태</t>
  </si>
  <si>
    <t>확정 버튼 활성 상태로 전환</t>
  </si>
  <si>
    <t>[DESC 6-2항-5] 팝업 `취소` 클릭</t>
  </si>
  <si>
    <t>545</t>
  </si>
  <si>
    <t>TC_VIO_548</t>
  </si>
  <si>
    <t>수신 대상 선택 팝업에서 대상 2건을 선택한 상태</t>
  </si>
  <si>
    <t>1. 확정 버튼 클릭</t>
  </si>
  <si>
    <t>`수신 대상` 테이블에 2행 추가</t>
  </si>
  <si>
    <t>[DESC 6-2항-6] [UI] p44 팝업 확정 버튼 표출</t>
  </si>
  <si>
    <t>[정책 예외] 문서 기본=변경 / 이 화면=신규 [UI↔DESC 불일치] M-2 UI mock: `다음` / DESC 6-2항-6: `추가` — 확정 버튼 라벨과 후속 단계 유무 확인 필요</t>
  </si>
  <si>
    <t>546</t>
  </si>
  <si>
    <t>TC_VIO_549</t>
  </si>
  <si>
    <t>[DESC 6-2항-6-a] 확정 버튼 Default 비활성화</t>
  </si>
  <si>
    <t>1. 화면 우하단 버튼 영역 확인</t>
  </si>
  <si>
    <t>`취소` 와 `생성` 버튼 표출</t>
  </si>
  <si>
    <t>547</t>
  </si>
  <si>
    <t>TC_VIO_550</t>
  </si>
  <si>
    <t>[DESC 6-2항-6-b] 우측 패널 1건 이상이면 확정 버튼 활성화</t>
  </si>
  <si>
    <t>1. 푸터 좌측 버튼 확인</t>
  </si>
  <si>
    <t>`취소` 텍스트 버튼 표출</t>
  </si>
  <si>
    <t>548</t>
  </si>
  <si>
    <t>TC_VIO_551</t>
  </si>
  <si>
    <t>[DESC 6-2항-6-c] 확정 클릭 시 수신 대상 테이블에 1건별 1행 추가</t>
  </si>
  <si>
    <t>1. `취소` 버튼 클릭</t>
  </si>
  <si>
    <t>외부 알람 목록 화면(VIOE-04_06_01)으로 이동</t>
  </si>
  <si>
    <t>549</t>
  </si>
  <si>
    <t>TC_VIO_552</t>
  </si>
  <si>
    <t>[DESC 7항] [UI] p44 푸터 액션 버튼 영역 표출 — 항 제목 원문 `Action Buttos`</t>
  </si>
  <si>
    <t>이름·알람 조건·수신 대상을 입력하고 `생성` 을 실행하지 않은 상태</t>
  </si>
  <si>
    <t>[정책 예외] 문서 기본=변경 / 이 화면=신규 [오타 의심] DESC 7항 제목 원문 `Action Buttos` — `Action Buttons` 오기 추정, 원문 확인 필요</t>
  </si>
  <si>
    <t>1. `취소` 클릭 후 외부 알람 목록 확인</t>
  </si>
  <si>
    <t>입력한 내용의 알람 미생성</t>
  </si>
  <si>
    <t>550</t>
  </si>
  <si>
    <t>TC_VIO_553</t>
  </si>
  <si>
    <t>[DESC 7항-1] [UI] p44 `취소` 버튼 표출</t>
  </si>
  <si>
    <t>1. 푸터 우측 버튼 확인</t>
  </si>
  <si>
    <t>`생성` 주 버튼 표출</t>
  </si>
  <si>
    <t>551</t>
  </si>
  <si>
    <t>[DESC 7항-1-a] `취소` 클릭 시 외부 알람 목록 이동</t>
  </si>
  <si>
    <t>552</t>
  </si>
  <si>
    <t>TC_VIO_554</t>
  </si>
  <si>
    <t>필수 항목을 모두 입력한 생성 화면 상태</t>
  </si>
  <si>
    <t>외부 알람 저장 후 외부 알람 목록 화면(VIOE-04_06_01)으로 이동</t>
  </si>
  <si>
    <t>[DESC 7항-1-b] `취소` 시 입력 내용 저장 안 함</t>
  </si>
  <si>
    <t>553</t>
  </si>
  <si>
    <t>TC_VIO_555</t>
  </si>
  <si>
    <t>`이름` 외 필수 항목을 모두 입력한 생성 화면 상태</t>
  </si>
  <si>
    <t>저장 미실행
ㄴ 기획 미정의 항목 — PASS/FAIL 판정 대신 실측 상태를 `실제 결과`에 기재</t>
  </si>
  <si>
    <t>[DESC 7항-2] [UI] p44 `생성` 버튼 표출</t>
  </si>
  <si>
    <t>554</t>
  </si>
  <si>
    <t>TC_VIO_556</t>
  </si>
  <si>
    <t>필수 항목 중 `이름` 을 입력하지 않은 생성 화면 상태</t>
  </si>
  <si>
    <t>1. `생성` 버튼의 활성 상태 확인</t>
  </si>
  <si>
    <t>`생성` 버튼 상태 관측
ㄴ 기획 미정의 항목 — PASS/FAIL 판정 대신 실측 상태를 `실제 결과`에 기재</t>
  </si>
  <si>
    <t>[DESC 7항-2-a] 유효성 통과 시 저장 후 목록 이동</t>
  </si>
  <si>
    <t>555</t>
  </si>
  <si>
    <t>TC_VIO_557</t>
  </si>
  <si>
    <t>[DESC 7항-2-a] 유효성 미통과 시 처리</t>
  </si>
  <si>
    <t>[정책 예외] 문서 기본=변경 / 이 화면=신규 [확인 불가] U-6 유효성 대상 항목과 미통과 시 에러 문구·포커스 이동이 미정의 — 기획 확인 필요</t>
  </si>
  <si>
    <t>1. `생성` 클릭 후 목록 화면의 안내 표출 확인</t>
  </si>
  <si>
    <t>안내 표출 여부 관측
ㄴ 기획 미정의 항목 — PASS/FAIL 판정 대신 실측 상태를 `실제 결과`에 기재</t>
  </si>
  <si>
    <t>556</t>
  </si>
  <si>
    <t>TC_VIO_558</t>
  </si>
  <si>
    <t>VIOE-04_06_02 (Flow)</t>
  </si>
  <si>
    <t>알람 조건 추가 Flow</t>
  </si>
  <si>
    <t>외부 알람 생성 화면에서 조건 카드를 추가하거나 삭제하지 않은 초기 진입 상태</t>
  </si>
  <si>
    <t>[DESC 7항-2] `생성` 버튼 활성화 조건</t>
  </si>
  <si>
    <t>1. `알람 조건` 영역 초기 카드 1개의 입력값 상태 확인</t>
  </si>
  <si>
    <t>[정책 예외] 문서 기본=변경 / 이 화면=신규 [확인 불가] U-7 필수 미입력 상태에서 `생성` 버튼의 활성·비활성 조건이 미정의 — 기획 확인 필요</t>
  </si>
  <si>
    <t>`메트릭` 카드 1개가 Default 값이 입력된 상태로 표출
ㄴ 기획 미정의 항목 — PASS/FAIL 판정 대신 실측 상태를 `실제 결과`에 기재</t>
  </si>
  <si>
    <t>557</t>
  </si>
  <si>
    <t>TC_VIO_559</t>
  </si>
  <si>
    <t>[DESC 7항-2-a] 생성 성공 시 토스트 표출 여부</t>
  </si>
  <si>
    <t>[정책 예외] 문서 기본=변경 / 이 화면=신규 [확인 불가] U-8 성공·실패 토스트 유무와 문구가 이 페이지에 미정의 — 기획 확인 필요</t>
  </si>
  <si>
    <t>Default 상태에서 메트릭 · 이벤트 · 로그 조건을 순서대로 1개씩 추가한 상태</t>
  </si>
  <si>
    <t>1. `알람 조건` 영역의 카드 배열 순서 확인</t>
  </si>
  <si>
    <t>558</t>
  </si>
  <si>
    <t>`메트릭` 2개 · `이벤트` 1개 · `로그` 1개가 추가한 순서대로 위에서 아래로 배열 표출</t>
  </si>
  <si>
    <t>TC_VIO_560</t>
  </si>
  <si>
    <t>[UI] p45 N-A1 · S1 섹션 헤더 원문 `Default (메트릭 카드 추가 / Default값 입력된 상태)` · RN-F 1단계 원문 `1. Default : 메트릭 카드 1번 존재`</t>
  </si>
  <si>
    <t>`메트릭` 카드 1개만 있는 `알람 조건` 영역 상태</t>
  </si>
  <si>
    <t>1. 패널 최하단 `메트릭 조건 추가` 버튼 클릭</t>
  </si>
  <si>
    <t>[정책 예외] 문서 기본=변경 / 이 화면=신규 [확인 불가] A-1 이 페이지에 Breadcrumb 바가 없어 `1 Depth` 는 모 화면 VIOE-04_06_02(p44)에서 승계 — 기획 확인 필요 [확인 불가] C-2 `Default값` 의 구체 값이 이 보드에 미정의 — 기획 확인 필요</t>
  </si>
  <si>
    <t>기존 `메트릭` 카드 하단에 `메트릭` 카드 1개 추가</t>
  </si>
  <si>
    <t>559</t>
  </si>
  <si>
    <t>TC_VIO_561</t>
  </si>
  <si>
    <t>그룹으로 묶이지 않은 `메트릭` 카드 2개가 추가된 상태</t>
  </si>
  <si>
    <t>[UI] p45 N-A2 조건 추가 후 패널 카드 배열 · 좌측 카드 종류 라벨 `메트릭 조건` · `이벤트 조건` · `로그 조건` · 간선 T1 `조건 추가 시`</t>
  </si>
  <si>
    <t>1. 각 `메트릭` 카드 하단의 `AND 조건 추가` 행 표출 위치 확인</t>
  </si>
  <si>
    <t>`메트릭` 카드마다 각각 `AND 조건 추가` · `신규 추가` · `기존 선택` 행 1개씩 표출</t>
  </si>
  <si>
    <t>560</t>
  </si>
  <si>
    <t>TC_VIO_562</t>
  </si>
  <si>
    <t>`이벤트` 조건 카드가 추가되고 해당 카드가 어떤 조건 그룹에도 속하지 않은 상태</t>
  </si>
  <si>
    <t>[UI] p45 N-A1 → N-A2 · 간선 T1 — 조건 추가 버튼 3종이 한 전이로 합류, 추가 카드 배치 위치</t>
  </si>
  <si>
    <t>1. `이벤트` 조건 카드 하단 영역 확인</t>
  </si>
  <si>
    <t>`AND 조건 추가` 행 미표출
ㄴ 기획 미정의 항목 — PASS/FAIL 판정 대신 실측 상태를 `실제 결과`에 기재</t>
  </si>
  <si>
    <t>561</t>
  </si>
  <si>
    <t>TC_VIO_563</t>
  </si>
  <si>
    <t>`로그` 조건 카드가 추가되고 해당 카드가 어떤 조건 그룹에도 속하지 않은 상태</t>
  </si>
  <si>
    <t>[UI] p45 N-A2 독립 카드 배치 — 그룹 미형성 상태의 `AND 조건 추가` 행 위치</t>
  </si>
  <si>
    <t>1. `로그` 조건 카드 하단 영역 확인</t>
  </si>
  <si>
    <t>562</t>
  </si>
  <si>
    <t>TC_VIO_564</t>
  </si>
  <si>
    <t>[UI] p45 N-A2 · N-E `이벤트` 카드 — `AND 조건 추가` 행이 그려져 있지 않음</t>
  </si>
  <si>
    <t>[정책 예외] 문서 기본=변경 / 이 화면=신규 [확인 불가] C-9 `이벤트` 조건의 AND 그룹 가능 여부가 이 보드에 미정의 — 기획 확인 필요</t>
  </si>
  <si>
    <t>`메트릭` 카드의 `기존 선택` 클릭으로 팝업이 표출되고 조건 목록 일부 행만 체크된 상태</t>
  </si>
  <si>
    <t>1. 조건 목록 테이블 헤더 좌측 checkbox 외형 확인</t>
  </si>
  <si>
    <t>563</t>
  </si>
  <si>
    <t>초록 채움 바탕에 대시 기호가 표기된 부분 선택 외형으로 표출</t>
  </si>
  <si>
    <t>TC_VIO_565</t>
  </si>
  <si>
    <t>[UI] p45 N-A2 · N-C · N-E `로그` 카드 — `AND 조건 추가` 행이 그려져 있지 않음</t>
  </si>
  <si>
    <t>[정책 예외] 문서 기본=변경 / 이 화면=신규 [확인 불가] C-9 `로그` 조건의 AND 그룹 가능 여부가 이 보드에 미정의 — 기획 확인 필요</t>
  </si>
  <si>
    <t>`AND 조건 설정` 팝업이 표출되고 조건 목록에 2건 이상 표출된 상태</t>
  </si>
  <si>
    <t>564</t>
  </si>
  <si>
    <t>1. 조건 목록 테이블 헤더 좌측 checkbox 클릭</t>
  </si>
  <si>
    <t>목록 전체 선택 · 해제 동작 미정의
ㄴ 기획 미정의 항목 — PASS/FAIL 판정 대신 실측 상태를 `실제 결과`에 기재</t>
  </si>
  <si>
    <t>TC_VIO_566</t>
  </si>
  <si>
    <t>[UI] p45 N-P1 · N-P2 · N-P3 팝업 테이블 헤더 checkbox 부분 선택 외형 · 간선 T2 `기존 조건 선택` 클릭 시</t>
  </si>
  <si>
    <t>`AND 조건 설정` 팝업의 조건 목록에서 1개 행을 체크한 상태</t>
  </si>
  <si>
    <t>565</t>
  </si>
  <si>
    <t>1. 체크한 행의 배경과 checkbox 표기 확인</t>
  </si>
  <si>
    <t>해당 행 초록 배경 하이라이트와 초록 채움 체크 표기 표출</t>
  </si>
  <si>
    <t>TC_VIO_567</t>
  </si>
  <si>
    <t>[확인 불가 기반] p45 C-8 팝업 헤더 checkbox 클릭 동작 — 외형만 관측</t>
  </si>
  <si>
    <t>[정책 예외] 문서 기본=변경 / 이 화면=신규 [확인 불가] C-8 헤더 checkbox 클릭 시 전체 선택 · 해제 동작이 이 보드에 미정의 — 기획 확인 필요</t>
  </si>
  <si>
    <t>566</t>
  </si>
  <si>
    <t>`AND 조건 설정` 팝업에 리소스 범위가 지정된 조건과 지정되지 않은 조건이 함께 표출된 상태</t>
  </si>
  <si>
    <t>1. 조건 목록 `내용` 열의 문자열 구성 확인</t>
  </si>
  <si>
    <t>리소스 범위가 지정된 조건은 `네임스페이스 {namespace}` 접두가 붙은 형태로, 지정되지 않은 조건은 지표부터 시작하는 형태로 표출
ㄴ 기획서 UI가 더미 값 표기 — 실 문자열은 실측 상태를 `실제 결과`에 기재</t>
  </si>
  <si>
    <t>TC_VIO_568</t>
  </si>
  <si>
    <t>[UI] p45 N-P1 · N-P2 · N-P3 checked 행 시각 표기</t>
  </si>
  <si>
    <t>567</t>
  </si>
  <si>
    <t>`AND 조건 설정` 팝업에 조건이 2건 이상 표출된 상태</t>
  </si>
  <si>
    <t>1. 조건 목록 행의 정렬 순서 확인</t>
  </si>
  <si>
    <t>정렬 기준 미정의
ㄴ 기획 미정의 항목 — PASS/FAIL 판정 대신 실측 상태를 `실제 결과`에 기재</t>
  </si>
  <si>
    <t>TC_VIO_569</t>
  </si>
  <si>
    <t>[UI] p45 N-P1 `내용` 열 포맷 2종 — 리소스 범위 접두 유무</t>
  </si>
  <si>
    <t>[정책 예외] 문서 기본=변경 / 이 화면=신규 [확인 불가] 리소스 범위 접두 적용 기준이 이 보드에 미정의 — 기획 확인 필요</t>
  </si>
  <si>
    <t>568</t>
  </si>
  <si>
    <t>`AND 조건 설정` 팝업에서 조건 1개를 체크하고 `확인` 을 클릭해 그룹이 형성된 상태</t>
  </si>
  <si>
    <t>1. 그룹으로 묶인 카드의 좌측 영역 확인</t>
  </si>
  <si>
    <t>그룹에 묶인 카드 좌측을 세로로 관통하는 초록색 라인 표출</t>
  </si>
  <si>
    <t>[확인 불가 기반] p45 C-3 팝업 행 정렬 순서 · 행 수 상한 미정의</t>
  </si>
  <si>
    <t>TC_VIO_570</t>
  </si>
  <si>
    <t>[정책 예외] 문서 기본=변경 / 이 화면=신규 [확인 불가] C-3 조건 목록 정렬 기준과 행 수 상한이 이 보드에 미정의 — 기획 확인 필요</t>
  </si>
  <si>
    <t>569</t>
  </si>
  <si>
    <t>지표 · 임계값 · 심각도를 입력한 `메트릭` 카드를 `기존 선택` 팝업에서 선택해 그룹에 편입한 상태</t>
  </si>
  <si>
    <t>1. 그룹에 편입된 카드의 입력값 확인</t>
  </si>
  <si>
    <t>편입 전 입력값 그대로 유지 표출</t>
  </si>
  <si>
    <t>[UI] p45 RN-0 `그룹인 경우 좌측 초록색 라인 추가` · RN-3 1항 `조건 그룹핑 (좌측 초록색 라인 추가)` · 간선 T3 `Check 후 확인 클릭 시`</t>
  </si>
  <si>
    <t>TC_VIO_571</t>
  </si>
  <si>
    <t>570</t>
  </si>
  <si>
    <t>`메트릭` 2개 · `이벤트` 1개 · `로그` 1개 상태에서 `메트릭` 2개를 하나의 AND 그룹으로 묶은 상태</t>
  </si>
  <si>
    <t>1. `알람 조건` 영역 전체 카드 배열 확인</t>
  </si>
  <si>
    <t>초록 라인으로 묶인 `메트릭` 그룹 · 그룹 하단 `AND 조건 추가` 행 · `이벤트` 카드 · `로그` 카드 순으로 표출</t>
  </si>
  <si>
    <t>[UI] p45 RN-3 3항 `기존 카드 추가(기존 입력값 유지)` — 팝업 편입 경로의 입력값 유지</t>
  </si>
  <si>
    <t>TC_VIO_572</t>
  </si>
  <si>
    <t>571</t>
  </si>
  <si>
    <t>`메트릭` 카드 2개가 하나의 AND 그룹으로 묶이고 그룹에서 해제된 카드가 없는 상태</t>
  </si>
  <si>
    <t>1. 그룹 최상단 카드 좌상단 영역 확인</t>
  </si>
  <si>
    <t>`AND` · `OR` 연산자 칩 미표출</t>
  </si>
  <si>
    <t>[UI] p45 N-C AND 그룹 생성 결과 패널 구성</t>
  </si>
  <si>
    <t>TC_VIO_573</t>
  </si>
  <si>
    <t>572</t>
  </si>
  <si>
    <t>`메트릭` 카드 2개 이상이 하나의 AND 그룹으로 묶인 상태</t>
  </si>
  <si>
    <t>1. 그룹 내 `AND 조건 추가` 행의 표출 위치 확인</t>
  </si>
  <si>
    <t>그룹 내 `AND 조건 추가` 행 1개만 표출
ㄴ 표출 위치가 최하단인지 최상단인지 기획 미정의 — PASS/FAIL 판정 대신 실측 상태를 `실제 결과`에 기재</t>
  </si>
  <si>
    <t>[UI] p45 N-C · N-D · N-E · N-G · N-H 전 노드 — 그룹 최상단 카드에 연산자 칩 없음</t>
  </si>
  <si>
    <t>573</t>
  </si>
  <si>
    <t>TC_VIO_574</t>
  </si>
  <si>
    <t>`메트릭` 카드 2개가 하나의 AND 그룹으로 묶인 상태에서 하단 카드의 `OR` 를 선택해 그룹에서 해제한 상태</t>
  </si>
  <si>
    <t>1. 해제된 카드 하단 영역 확인</t>
  </si>
  <si>
    <t>해제된 카드 하단에 `AND 조건 추가` · `신규 추가` · `기존 선택` 행 표출</t>
  </si>
  <si>
    <t>[UI] p45 RN-3 3항 하위 `AND 조건 추가` 버튼 없음(조건 그룹 내 최하단 1개만 제공 · RN-4 3항 하위 `AND 조건 추가` 버튼 없음(조건 그룹 내 최상단 카드 1개만 제공</t>
  </si>
  <si>
    <t>[정책 예외] 문서 기본=변경 / 이 화면=신규 [UI↔DESC 불일치] M-4 RN-3: `조건 그룹 내 최하단 1개만 제공` / RN-4: `조건 그룹 내 최상단 카드 1개만 제공` / mock 6개 노드는 전부 최하단 — 기획 확인 필요 [확인 불가] B-4 어느 쪽이 맞는지 기획서에 없음 [오타 의심] RN-3 · RN-4 마지막 줄 괄호가 닫히지 않음</t>
  </si>
  <si>
    <t>574</t>
  </si>
  <si>
    <t>TC_VIO_575</t>
  </si>
  <si>
    <t>AND 그룹의 하단 카드에서 `OR` 를 선택해 해제하고 이후 다른 그룹에 편입하지 않은 상태</t>
  </si>
  <si>
    <t>1. 해제된 카드 좌상단 영역 확인</t>
  </si>
  <si>
    <t>[UI] p45 RN-1 1항 하위 `AND 조건 추가` 버튼 제공 · 간선 T4 `OR` 클릭 시</t>
  </si>
  <si>
    <t>575</t>
  </si>
  <si>
    <t>TC_VIO_576</t>
  </si>
  <si>
    <t>AND 그룹의 하단 카드에서 `OR` 를 선택해 해제하고 잔존 그룹이 유지된 상태</t>
  </si>
  <si>
    <t>1. 해제된 카드와 초록 그룹 라인의 위치 관계 확인</t>
  </si>
  <si>
    <t>해제된 카드가 초록 그룹 라인 바깥, 잔존 그룹 바로 아래에 독립 카드로 표출</t>
  </si>
  <si>
    <t>[UI] p45 간선 T4 도착점 N-A2 두 번째 카드 · RN-1 2항 대응 — 해제 카드의 연산자 칩 제거</t>
  </si>
  <si>
    <t>576</t>
  </si>
  <si>
    <t>TC_VIO_577</t>
  </si>
  <si>
    <t>독립 `메트릭` 카드를 그룹에 편입한 뒤 같은 카드의 `OR` 를 선택해 다시 해제한 상태</t>
  </si>
  <si>
    <t>1. 해제된 카드의 구성과 입력값 확인</t>
  </si>
  <si>
    <t>연산자 칩이 제거된 독립 카드 구성으로 표출되고 해제 직전 입력값 그대로 유지</t>
  </si>
  <si>
    <t>[UI] p45 N-E 독립 카드 · RN-1 1항 `- 해제된 카드는 독립적인 카드로 존재` · RN-6</t>
  </si>
  <si>
    <t>577</t>
  </si>
  <si>
    <t>TC_VIO_578</t>
  </si>
  <si>
    <t>조건 카드가 3개 이상 있고 삭제 대상 외 카드에는 삭제 · 해제 조작을 하지 않은 상태</t>
  </si>
  <si>
    <t>1. 삭제 대상 카드 우상단의 `조건 삭제` 클릭</t>
  </si>
  <si>
    <t>해당 조건 카드만 목록에서 제거</t>
  </si>
  <si>
    <t>[UI] p45 간선 T4 — N-C 에서 N-A2 두 번째 카드로 되돌아가는 전이(도착점이 기존 노드)</t>
  </si>
  <si>
    <t>578</t>
  </si>
  <si>
    <t>TC_VIO_579</t>
  </si>
  <si>
    <t>`메트릭` 카드 2개로 이뤄진 AND 그룹과 그룹 밖 독립 카드 1개가 있고 그룹 내 카드에는 `OR` 해제 · 삭제 조작을 하지 않은 상태</t>
  </si>
  <si>
    <t>1. 그룹 밖 독립 카드의 `조건 삭제` 클릭</t>
  </si>
  <si>
    <t>기존 AND 그룹의 카드 2개와 그룹 묶임 상태 유지 표출</t>
  </si>
  <si>
    <t>[UI] p45 RN-2 `해당 조건 카드만 삭제` · 간선 T5 `조건 삭제` 클릭 시</t>
  </si>
  <si>
    <t>579</t>
  </si>
  <si>
    <t>TC_VIO_580</t>
  </si>
  <si>
    <t>`메트릭` 카드 2개로 이뤄진 AND 그룹만 있는 상태</t>
  </si>
  <si>
    <t>1. 그룹 내 카드를 `조건 삭제` 로 1개씩 삭제</t>
  </si>
  <si>
    <t>[UI] p45 RN-2 `- 기존 카드 영향 없음 (그룹관계 등 유지)`</t>
  </si>
  <si>
    <t>그룹에 카드가 1개만 남거나 0개가 됐을 때의 그룹 처리 미정의
ㄴ 기획 미정의 항목 — PASS/FAIL 판정 대신 실측 상태를 `실제 결과`에 기재</t>
  </si>
  <si>
    <t>[정책 예외] 문서 기본=변경 / 이 화면=신규 [확인 불가] B-3 간선 T5 의 도착 노드 mock 이 없어 삭제 후 배치 · 순번은 이 보드에 미정의 — 기획 확인 필요</t>
  </si>
  <si>
    <t>580</t>
  </si>
  <si>
    <t>TC_VIO_581</t>
  </si>
  <si>
    <t>`메트릭` 카드 2개로 이뤄진 AND 그룹의 `신규 추가` 를 클릭해 카드를 1개 더 추가한 상태</t>
  </si>
  <si>
    <t>1. 그룹 내 카드 수와 `AND 조건 추가` 행 수 확인</t>
  </si>
  <si>
    <t>[확인 불가 기반] p45 C-6 그룹 내 마지막 카드 삭제 시 동작 — RN-8 은 팝업 재선택 맥락 주석이라 삭제 맥락으로 확장할 근거 없음</t>
  </si>
  <si>
    <t>같은 그룹에 `메트릭` 카드 3개가 묶이고 그룹 내 `AND 조건 추가` 행은 1개만 표출</t>
  </si>
  <si>
    <t>[정책 예외] 문서 기본=변경 / 이 화면=신규 [확인 불가] C-6 삭제 확인 팝업 유무와 그룹 마지막 카드 삭제 시 동작이 이 보드에 미정의 — 기획 확인 필요</t>
  </si>
  <si>
    <t>581</t>
  </si>
  <si>
    <t>TC_VIO_582</t>
  </si>
  <si>
    <t>`메트릭` 카드 3개로 이뤄진 AND 그룹에서 1개 카드만 `OR` 로 해제하고 나머지 카드에는 조작을 하지 않은 상태</t>
  </si>
  <si>
    <t>1. 해제하지 않은 나머지 카드의 그룹 묶임 상태 확인</t>
  </si>
  <si>
    <t>[UI] p45 N-D 그룹 3장 구성 · RN-4 1항 `조건 그룹핑` · 간선 T6 `신규 추가` 클릭 시</t>
  </si>
  <si>
    <t>나머지 카드는 초록 라인으로 묶인 AND 그룹 유지 표출</t>
  </si>
  <si>
    <t>582</t>
  </si>
  <si>
    <t>TC_VIO_583</t>
  </si>
  <si>
    <t>`메트릭` 3개 그룹에서 1개를 `OR` 로 해제하고 `이벤트` · `로그` 카드가 각 1개 있는 상태</t>
  </si>
  <si>
    <t>[UI] p45 RN-5 `기존 속한 그룹 내 다른 AND 조건은 유지` · 간선 T7 `OR` 클릭 시</t>
  </si>
  <si>
    <t>초록 라인 그룹 2장 · 그룹 하단 `AND 조건 추가` 행 · 독립 `메트릭` 카드와 자체 `AND 조건 추가` 행 · `이벤트` · `로그` 순으로 표출</t>
  </si>
  <si>
    <t>583</t>
  </si>
  <si>
    <t>TC_VIO_584</t>
  </si>
  <si>
    <t>[UI] p45 N-E `OR` 해제 결과 패널 구성</t>
  </si>
  <si>
    <t>`메트릭` 조건 카드가 4개 이상 추가된 상태</t>
  </si>
  <si>
    <t>1. 서로 다른 카드 조합으로 AND 조건 그룹을 2개 생성</t>
  </si>
  <si>
    <t>AND 조건 그룹 2개가 각각 초록 라인으로 묶여 표출</t>
  </si>
  <si>
    <t>584</t>
  </si>
  <si>
    <t>TC_VIO_585</t>
  </si>
  <si>
    <t>[UI] p45 S2 섹션 헤더 원문 `사용자 설정에 따라 메트릭 AND 조건 그룹 2개 이상 생성 가능`</t>
  </si>
  <si>
    <t>`메트릭` 카드 4개가 2개씩 AND 그룹으로 묶이고 `이벤트` 카드 1개가 있는 상태</t>
  </si>
  <si>
    <t>[정책 예외] 문서 기본=변경 / 이 화면=신규 [확인 불가] C-7 AND 그룹 개수 상한과 그룹 내 카드 수 상한이 이 보드에 미정의 — 기획 확인 필요</t>
  </si>
  <si>
    <t>1. `알람 조건` 영역 전체 카드 배열과 `AND 조건 추가` 행 위치 확인</t>
  </si>
  <si>
    <t>초록 라인 그룹 2개가 위아래로 배열되고 각 그룹 하단에 `AND 조건 추가` 행 1개씩, 그 아래 `이벤트` 카드 표출</t>
  </si>
  <si>
    <t>585</t>
  </si>
  <si>
    <t>TC_VIO_586</t>
  </si>
  <si>
    <t>[UI] p45 N-G AND 그룹 2개 상태 패널 구성</t>
  </si>
  <si>
    <t>AND 그룹 2개가 있는 상태에서 그룹1 카드의 `기존 선택` 을 클릭해 팝업이 표출된 상태</t>
  </si>
  <si>
    <t>[정책 예외] 문서 기본=변경 / 이 화면=신규 [UI↔DESC 불일치] M-6 S1 패널(N-A2 · N-C · N-D · N-E)에는 `로그` 카드가 있으나 S2 패널(N-G · N-H)에는 `로그` 카드 없음 — mock 구성 차이 확인 필요</t>
  </si>
  <si>
    <t>1. 조건 목록에서 체크된 행이 어느 그룹의 카드인지 확인</t>
  </si>
  <si>
    <t>체크 대상이 RN-7 2항 규정과 일치하는지 기획 미정의
ㄴ 기획 미정의 항목 — PASS/FAIL 판정 대신 실측 상태를 `실제 결과`에 기재</t>
  </si>
  <si>
    <t>586</t>
  </si>
  <si>
    <t>TC_VIO_587</t>
  </si>
  <si>
    <t>[UI] p45 N-P2 checked 행 · RN-7 2항 `현재 조건과 동일한 그룹에 존재하는 메트릭 카드 checked 상태로 표출` · 간선 T8 `기존 조건 선택` 클릭 시</t>
  </si>
  <si>
    <t>[정책 예외] 문서 기본=변경 / 이 화면=신규 [UI↔DESC 불일치] M-1 RN-7 2항: 현재 조건과 동일 그룹 카드가 checked / mock: 그룹1 에서 호출했는데 checked 된 것은 그룹2 카드이고 목록에서 제외된 것은 `CPU 사용률` 1건 — 기획 확인 필요 [확인 불가] 어느 쪽이 맞는지 기획서에 없음</t>
  </si>
  <si>
    <t>`AND 조건 설정` 팝업이 표출되고 특정 행 1개가 체크된 상태</t>
  </si>
  <si>
    <t>1. 체크 대상이 다른 행으로 바뀌는 조작 확인</t>
  </si>
  <si>
    <t>587</t>
  </si>
  <si>
    <t>체크 대상을 바꾸는 트리거 미정의
ㄴ 기획 미정의 항목 — PASS/FAIL 판정 대신 실측 상태를 `실제 결과`에 기재</t>
  </si>
  <si>
    <t>TC_VIO_588</t>
  </si>
  <si>
    <t>[확인 불가 기반] p45 간선 T9 — N-P2 에서 N-P3 로 가는 화살표에 전이 라벨 없음</t>
  </si>
  <si>
    <t>[정책 예외] 문서 기본=변경 / 이 화면=신규 [확인 불가] B-1 N-P2 에서 N-P3 로 가는 전이 트리거가 도식에 라벨 없이 화살표만 있음 — 기획 확인 필요</t>
  </si>
  <si>
    <t>`AND 조건 설정` 팝업에서 체크 상태이던 행을 해제하고 다른 행 1개를 체크한 상태</t>
  </si>
  <si>
    <t>588</t>
  </si>
  <si>
    <t>새로 체크한 행 1개만 체크 상태로 표출</t>
  </si>
  <si>
    <t>TC_VIO_589</t>
  </si>
  <si>
    <t>[UI] p45 N-P3 선택 변경 후 팝업 상태 — 체크 대상 1개 이동</t>
  </si>
  <si>
    <t>589</t>
  </si>
  <si>
    <t>`AND 조건 설정` 팝업에서 체크 대상을 변경한 상태</t>
  </si>
  <si>
    <t>1. 카드 재배치가 적용되는 트리거 확인</t>
  </si>
  <si>
    <t>재배치 적용 트리거 미정의
ㄴ 기획 미정의 항목 — PASS/FAIL 판정 대신 실측 상태를 `실제 결과`에 기재</t>
  </si>
  <si>
    <t>TC_VIO_590</t>
  </si>
  <si>
    <t>[확인 불가 기반] p45 간선 T10 — N-P3 에서 N-H 로 가는 화살표에 라벨 없음. S1 대응 전이 T3 에는 `Check 후 확인 클릭 시` 라벨 존재</t>
  </si>
  <si>
    <t>[정책 예외] 문서 기본=변경 / 이 화면=신규 [확인 불가] B-2 N-P3 에서 N-H 로 가는 전이 트리거가 도식에 명시되지 않음 — 기획 확인 필요</t>
  </si>
  <si>
    <t>590</t>
  </si>
  <si>
    <t>`메트릭` 카드 2개로 이뤄진 AND 그룹에서 카드 1개가 다른 그룹으로 이동해 1개만 남은 상태</t>
  </si>
  <si>
    <t>1. 카드 1개만 남은 기존 그룹 영역 확인</t>
  </si>
  <si>
    <t>그룹이 해제되고 남은 카드가 독립 카드로 표출</t>
  </si>
  <si>
    <t>TC_VIO_591</t>
  </si>
  <si>
    <t>[UI] p45 RN-8 `기존 그룹 내 조건 1개 남은 경우 그룹 해제`</t>
  </si>
  <si>
    <t>591</t>
  </si>
  <si>
    <t>그룹 내 조건이 1개만 남아 그룹이 해제된 카드가 있는 상태</t>
  </si>
  <si>
    <t>1. 그룹 해제된 카드 하단 영역 확인</t>
  </si>
  <si>
    <t>해당 카드 하단에 `AND 조건 추가` · `신규 추가` · `기존 선택` 행 표출</t>
  </si>
  <si>
    <t>[UI] p45 N-H 첫 카드 — RN-8 그룹 해제 후 독립 카드 구성</t>
  </si>
  <si>
    <t>TC_VIO_592</t>
  </si>
  <si>
    <t>592</t>
  </si>
  <si>
    <t>`AND 조건 설정` 팝업에서 다른 그룹의 카드 1개를 새로 체크하고 재배치를 적용한 상태</t>
  </si>
  <si>
    <t>1. 새로 선택한 카드의 그룹 내 배치 위치 확인</t>
  </si>
  <si>
    <t>해당 카드가 그룹 내 하단에 배치 표출</t>
  </si>
  <si>
    <t>[UI] p45 RN-9 `선택한 메트릭 카드 → 그룹 내 하단에 배치` — 배치 위치 [공통 DESC C20] AND 조건 그룹 배치·해제 동작 정의 — 순번 28 DESC 5-1b 가 `(flow 참고)` 로 이 보드에 위임</t>
  </si>
  <si>
    <t>TC_VIO_593</t>
  </si>
  <si>
    <t>593</t>
  </si>
  <si>
    <t>`AND 조건 설정` 팝업에서 체크 상태이던 카드 1개를 해제하고 재배치를 적용한 상태</t>
  </si>
  <si>
    <t>1. 선택 해제된 카드의 배치 위치 확인</t>
  </si>
  <si>
    <t>해당 카드가 조건 그룹에서 해제되고 기존 속한 그룹 하단에 독립 카드로 배치 표출</t>
  </si>
  <si>
    <t>[UI] p45 RN-10 `선택 해제된 메트릭 카드 → 조건 그룹 해제, 기존 속한 그룹 하단에 배치` — 배치 위치 [공통 DESC C20] AND 조건 그룹 배치·해제 동작 정의 — 순번 28 DESC 5-1b 가 `(flow 참고)` 로 이 보드에 위임</t>
  </si>
  <si>
    <t>TC_VIO_594</t>
  </si>
  <si>
    <t>594</t>
  </si>
  <si>
    <t>AND 그룹 2개 상태에서 `기존 선택` 팝업으로 체크 대상을 바꿔 재배치를 적용한 상태</t>
  </si>
  <si>
    <t>독립 `메트릭` 카드 · 초록 라인 그룹 2장 · 독립 `메트릭` 카드 · `이벤트` 카드 순으로 표출</t>
  </si>
  <si>
    <t>[UI] p45 N-H `확인` 후 재배치 결과 패널 구성</t>
  </si>
  <si>
    <t>TC_VIO_595</t>
  </si>
  <si>
    <t>[정책 예외] 문서 기본=변경 / 이 화면=신규 [UI↔DESC 불일치] M-5 N-H 그룹 최상단 카드와 마지막 독립 카드의 지표명이 모두 `평균 GPU 메모리 사용률` 로 그려져 N-G 그룹2 구성(`평균 GPU 사용률` + `평균 GPU 메모리 사용률`)과 어긋남 — 기획 확인 필요</t>
  </si>
  <si>
    <t>595</t>
  </si>
  <si>
    <t>1. 1번 카드의 `AND 조건 추가` 행에서 조건 추가 실행</t>
  </si>
  <si>
    <t>1번 카드와 그룹으로 묶인 2번 카드 생성</t>
  </si>
  <si>
    <t>[UI] p45 RN-F 2단계 원문 `2. 1번 카드 &gt; AND 조건 추가 : 2번 카드 생성`</t>
  </si>
  <si>
    <t>[정책 예외] 문서 기본=변경 / 이 화면=신규 [확인 불가] RN-F 는 `AND 조건 추가` 만 적고 `신규 추가` · `기존 선택` 중 어느 경로인지 명시하지 않음 — 기획 확인 필요</t>
  </si>
  <si>
    <t>TC_VIO_596</t>
  </si>
  <si>
    <t>596</t>
  </si>
  <si>
    <t>그룹으로 묶인 `메트릭` 카드 2개가 있는 상태</t>
  </si>
  <si>
    <t>1. 패널 최하단 `메트릭 조건 추가` 클릭</t>
  </si>
  <si>
    <t>기존 그룹과 별개인 3번 카드 생성</t>
  </si>
  <si>
    <t>[UI] p45 RN-F 3단계 원문 `3. 하단 조건 추가 &gt; 메트릭 조건 선택 : 3번 카드 생성`</t>
  </si>
  <si>
    <t>TC_VIO_597</t>
  </si>
  <si>
    <t>597</t>
  </si>
  <si>
    <t>그룹 1개(카드 2개)와 그룹 밖 3번 카드가 있는 상태</t>
  </si>
  <si>
    <t>1. 3번 카드의 `AND 조건 추가` 행에서 조건 추가 실행</t>
  </si>
  <si>
    <t>3번 카드와 그룹으로 묶인 4번 카드 생성</t>
  </si>
  <si>
    <t>[UI] p45 RN-F 4단계 원문 `4. 3번 카드 &gt; AND 조건 추가 : 4번 카드 생성`</t>
  </si>
  <si>
    <t>TC_VIO_598</t>
  </si>
  <si>
    <t>598</t>
  </si>
  <si>
    <t>RN-F 예시 4단계를 순서대로 수행한 상태</t>
  </si>
  <si>
    <t>1. `알람 조건` 영역의 AND 조건 그룹 수 확인</t>
  </si>
  <si>
    <t>`메트릭` AND 조건 그룹 2개 표출</t>
  </si>
  <si>
    <t>[UI] p45 RN-F `FLOW 예시` 4단계 수행 결과 — S2 N-G 상태 도달</t>
  </si>
  <si>
    <t>599</t>
  </si>
  <si>
    <t>TC_VIO_599</t>
  </si>
  <si>
    <t>`메트릭` 조건 카드의 `AND 조건 추가` 행이 표출된 상태</t>
  </si>
  <si>
    <t>1. 버튼 라벨과 전이 주석 표기 대조</t>
  </si>
  <si>
    <t>버튼 라벨 `기존 선택` 표출
ㄴ 전이 주석 표기 `기존 조건 선택` 과 어느 쪽이 정본인지 기획 미정의 — PASS/FAIL 판정 대신 실측 상태를 `실제 결과`에 기재</t>
  </si>
  <si>
    <t>[UI] p45 N-A1 ~ N-H 전 노드 버튼 라벨 원문 `기존 선택`</t>
  </si>
  <si>
    <t>[정책 예외] 문서 기본=변경 / 이 화면=신규 [UI↔DESC 불일치] M-2 버튼 라벨: `기존 선택` / 전이 라벨 주석: `기존 조건 선택`(S1 · S2 두 곳, 원문은 대괄호 표기) — 명칭 통일 확인 필요</t>
  </si>
  <si>
    <t>600</t>
  </si>
  <si>
    <t>TC_VIO_600</t>
  </si>
  <si>
    <t>`로그` 조건 카드가 추가된 상태</t>
  </si>
  <si>
    <t>1. `로그` 조건 카드의 조건 문장 구성 확인</t>
  </si>
  <si>
    <t>조건 문장 표기 형태가 기획 미정의
ㄴ 기획 미정의 항목 — PASS/FAIL 판정 대신 실측 상태를 `실제 결과`에 기재</t>
  </si>
  <si>
    <t>[UI] p45 N-A2 · N-E 표기와 N-C 표기가 서로 다름 — `로그` 카드 조건 문장</t>
  </si>
  <si>
    <t>[정책 예외] 문서 기본=변경 / 이 화면=신규 [UI↔DESC 불일치] M-3 N-A2 · N-E: `선택한 리소스의` + `{운영/보안 로그}` + `이벤트에서`(floating label 없음) / N-C: floating label `구분` + `선택한 리소스의` + `{운영/보안 로그}` + `에서` — 표기 통일 확인 필요</t>
  </si>
  <si>
    <t>601</t>
  </si>
  <si>
    <t>TC_VIO_601</t>
  </si>
  <si>
    <t>`메트릭` 카드 2개가 하나의 AND 그룹으로 묶인 상태</t>
  </si>
  <si>
    <t>1. 그룹 최상단 카드를 그룹에서 해제하는 수단 확인</t>
  </si>
  <si>
    <t>최상단 카드의 그룹 해제 수단 미정의
ㄴ 기획 미정의 항목 — PASS/FAIL 판정 대신 실측 상태를 `실제 결과`에 기재</t>
  </si>
  <si>
    <t>[확인 불가 기반] p45 C-5 그룹 최상단 카드에는 `AND` · `OR` 칩이 없어 해제 수단이 정의되지 않음</t>
  </si>
  <si>
    <t>[정책 예외] 문서 기본=변경 / 이 화면=신규 [확인 불가] C-5 그룹 최상단 카드의 그룹 해제 수단이 이 보드에 미정의 — 기획 확인 필요</t>
  </si>
  <si>
    <t>602</t>
  </si>
  <si>
    <t>TC_VIO_602</t>
  </si>
  <si>
    <t>`AND 조건 설정` 팝업에서 조건을 체크하고 `확인` 을 클릭하지 않은 상태</t>
  </si>
  <si>
    <t>1. 팝업 하단 `취소` 클릭</t>
  </si>
  <si>
    <t>체크한 조건의 그룹 편입 여부 미정의
ㄴ 기획 미정의 항목 — PASS/FAIL 판정 대신 실측 상태를 `실제 결과`에 기재</t>
  </si>
  <si>
    <t>[확인 불가 기반] p45 C-4 팝업 `취소` 동작 — 버튼 존재만 관측</t>
  </si>
  <si>
    <t>[정책 예외] 문서 기본=변경 / 이 화면=신규 [확인 불가] C-4 팝업 `취소` 클릭 시 체크 상태 처리가 이 보드에 미정의 — 기획 확인 필요</t>
  </si>
  <si>
    <t>603</t>
  </si>
  <si>
    <t>TC_VIO_603</t>
  </si>
  <si>
    <t>VIOE-04_06_03</t>
  </si>
  <si>
    <t>외부 알람 수정</t>
  </si>
  <si>
    <t>수정</t>
  </si>
  <si>
    <t>알람 수정 화면 진입 상태</t>
  </si>
  <si>
    <t>`모니터링 / 외부 알람 설정 / 알람 수정` 3단 Breadcrumb 표출
ㄴ 최하위 `알람 수정` 볼드 표기</t>
  </si>
  <si>
    <t>[UI] p46 Breadcrumb 원문 `모니터링 / 외부 알람 설정 / 알람 수정`</t>
  </si>
  <si>
    <t>604</t>
  </si>
  <si>
    <t>TC_VIO_604</t>
  </si>
  <si>
    <t>뒤로 이동 아이콘과 페이지 타이틀 `알람 수정` 표출</t>
  </si>
  <si>
    <t>[UI] p46 페이지 타이틀 + 뒤로 아이콘 — 수정 화면 고유 라벨</t>
  </si>
  <si>
    <t>[정책 예외] 문서 기본=변경 / 이 화면=신규 [확인 불가] U-3 생성 화면과 라벨이 다른 고유 요소가 `아래 정의하지 않은 항목은 생성 화면과 동일하게 제공` 위임 범위에 포함되는지 미정의 — 기획 확인 필요</t>
  </si>
  <si>
    <t>605</t>
  </si>
  <si>
    <t>TC_VIO_605</t>
  </si>
  <si>
    <t>1. 콘텐츠 카드의 섹션 구성과 순서 확인</t>
  </si>
  <si>
    <t>`기본 정보` · `알람 설정` · `수신 대상 설정` 3개 섹션 순으로 표출</t>
  </si>
  <si>
    <t>[UI] p46 섹션 구성 3개 — 크롭 확대 실측</t>
  </si>
  <si>
    <t>[정책 예외] 문서 기본=변경 / 이 화면=신규 [UI↔DESC 불일치] UI: 콜아웃 배지 2가 `알람 설정` 섹션을 지시 / DESC: `2` 항 부재(항목이 `1 기본 정보` 하나뿐) — 누락 여부 확인 필요</t>
  </si>
  <si>
    <t>606</t>
  </si>
  <si>
    <t>TC_VIO_606</t>
  </si>
  <si>
    <t>1. `수신 대상 설정` 섹션 하단에서 `알람 발송 제목` 섹션 유무 확인</t>
  </si>
  <si>
    <t>`알람 발송 제목` 섹션 관측
ㄴ 기획 미정의 항목 — PASS/FAIL 판정 대신 실측 상태를 `실제 결과`에 기재</t>
  </si>
  <si>
    <t>[DESC 머리] [공통 DESC C9] [UI] p46 — 생성 화면 4개 섹션 중 `알람 발송 제목` 이 이 화면 mock 에 부재</t>
  </si>
  <si>
    <t>[정책 예외] 문서 기본=변경 / 이 화면=신규 [UI↔DESC 불일치] DESC 머리는 `생성 화면과 동일하게 제공` 인데 p46 mock에는 `알람 발송 제목` 섹션 헤더 자체가 없음. 단 위임처 p44도 이 섹션은 회색 밴드 `TBD - CONTRABASS 기능 동일 예정 (추가 시, 중간 title 문구("수신 대상 설정") 변경 예정)` 로 **미제공 구간**임(순번 28 TC_VIO_261 동일 기록). 유효한 차이는 `p44는 TBD 헤더 존재 / p46은 헤더 자체 없음` 뿐 — 기획 확인 필요</t>
  </si>
  <si>
    <t>607</t>
  </si>
  <si>
    <t>TC_VIO_607</t>
  </si>
  <si>
    <t>1. 콘텐츠 카드 첫 번째 섹션 제목 확인</t>
  </si>
  <si>
    <t>섹션 제목 `기본 정보` 표출</t>
  </si>
  <si>
    <t>[DESC 1항] [UI] p46 `1 기본 정보` 섹션 제목</t>
  </si>
  <si>
    <t>608</t>
  </si>
  <si>
    <t>TC_VIO_608</t>
  </si>
  <si>
    <t>1. `기본 정보` 섹션의 구성 필드 확인</t>
  </si>
  <si>
    <t>`클러스터` 와 `이름` 필드 표출
ㄴ 기획서 UI mock 기준 2개 — DESC가 소속 필드를 열거하지 않아 추가 필드 유무는 실측 상태를 `실제 결과`에 기재</t>
  </si>
  <si>
    <t>[DESC 1항] [UI] p46 `기본 정보` 구성 필드 2개 — 크롭 확대 실측</t>
  </si>
  <si>
    <t>[정책 예외] 문서 기본=변경 / 이 화면=신규 [확인 불가] U-1 DESC가 `1 기본 정보` 를 섹션 단위로만 서술하고 소속 필드를 열거하지 않음 — 기획 확인 필요</t>
  </si>
  <si>
    <t>609</t>
  </si>
  <si>
    <t>TC_VIO_609</t>
  </si>
  <si>
    <t>1. Disabled 외형인 `클러스터` 필드의 라벨 영역 확인</t>
  </si>
  <si>
    <t>라벨 `클러스터` 와 필수 항목 표시 `*` 가 유지된 상태로 표출</t>
  </si>
  <si>
    <t>[DESC 1항-1] [UI] p46 `클러스터` — Disabled 상태에서 필수 표시 유지</t>
  </si>
  <si>
    <t>610</t>
  </si>
  <si>
    <t>TC_VIO_610</t>
  </si>
  <si>
    <t>1. `클러스터` 필드의 외형 확인</t>
  </si>
  <si>
    <t>회색 채움 배경의 Disabled 외형으로 표출</t>
  </si>
  <si>
    <t>[DESC 1항-1] [UI] p46 `수정 불가 (Disabled 상태로 제공)` — `클러스터`</t>
  </si>
  <si>
    <t>611</t>
  </si>
  <si>
    <t>TC_VIO_611</t>
  </si>
  <si>
    <t>기존 등록된 외부 알람을 대상으로 수정 진입한 화면 상태</t>
  </si>
  <si>
    <t>1. `클러스터` 필드에 표출된 값 확인</t>
  </si>
  <si>
    <t>값이 채워진 상태로 표출
ㄴ 기획서 UI가 더미 `Entered text` 표기 — 실 값은 실측 상태를 `실제 결과`에 기재</t>
  </si>
  <si>
    <t>[UI] p46 `클러스터` 값 영역 — 더미 `Entered text`</t>
  </si>
  <si>
    <t>[정책 예외] 문서 기본=변경 / 이 화면=신규 [확인 불가] U-2 Disabled 필드에 표출되는 값의 출처와 표기 형식이 미정의 — 기획 확인 필요</t>
  </si>
  <si>
    <t>612</t>
  </si>
  <si>
    <t>TC_VIO_612</t>
  </si>
  <si>
    <t>1. `클러스터` 필드 우측 끝 아이콘 확인</t>
  </si>
  <si>
    <t>Disabled 상태에서도 셀렉트 셰브론 아이콘 표출</t>
  </si>
  <si>
    <t>[UI] p46 `클러스터` 셀렉트 셰브론 — Disabled 상태 유지</t>
  </si>
  <si>
    <t>613</t>
  </si>
  <si>
    <t>TC_VIO_613</t>
  </si>
  <si>
    <t>외부 알람 설정 목록에서 수정 진입한 알람 수정 화면 상태</t>
  </si>
  <si>
    <t>1. `클러스터` 셀렉트 클릭</t>
  </si>
  <si>
    <t>선택지 목록 미표출
ㄴ `클러스터` 값 기존 표출값 유지</t>
  </si>
  <si>
    <t>[DESC 1항-1] `수정 불가 (Disabled 상태로 제공)` — 조작 차단 검증</t>
  </si>
  <si>
    <t>614</t>
  </si>
  <si>
    <t>TC_VIO_614</t>
  </si>
  <si>
    <t>1. Disabled 외형인 `이름` 필드의 라벨 영역 확인</t>
  </si>
  <si>
    <t>라벨 `이름` 과 필수 항목 표시 `*` 가 유지된 상태로 표출</t>
  </si>
  <si>
    <t>[DESC 1항-1] [UI] p46 `이름` — Disabled 상태에서 필수 표시 유지</t>
  </si>
  <si>
    <t>615</t>
  </si>
  <si>
    <t>TC_VIO_615</t>
  </si>
  <si>
    <t>1. `이름` 필드의 외형 확인</t>
  </si>
  <si>
    <t>[DESC 1항-1] [UI] p46 `수정 불가 (Disabled 상태로 제공)` — `이름`</t>
  </si>
  <si>
    <t>616</t>
  </si>
  <si>
    <t>TC_VIO_616</t>
  </si>
  <si>
    <t>1. `이름` 필드에 표출된 값 확인</t>
  </si>
  <si>
    <t>[UI] p46 `이름` 값 영역 — 더미 `Entered text`</t>
  </si>
  <si>
    <t>617</t>
  </si>
  <si>
    <t>TC_VIO_617</t>
  </si>
  <si>
    <t>1. `이름` 필드에 문자 입력 시도</t>
  </si>
  <si>
    <t>입력 불가
ㄴ `이름` 값 기존 표출값 유지</t>
  </si>
  <si>
    <t>[DESC 1항-1] `수정 불가 (Disabled 상태로 제공)` — 입력 차단 검증</t>
  </si>
  <si>
    <t>618</t>
  </si>
  <si>
    <t>TC_VIO_618</t>
  </si>
  <si>
    <t>`클러스터`·`이름` 외 조건부 비활성화 요인이 없고 외부 알람 설정 목록에서 수정 진입한 알람 수정 화면 상태</t>
  </si>
  <si>
    <t>1. `알람 설정` · `수신 대상 설정` 영역 입력 컨트롤의 외형 확인</t>
  </si>
  <si>
    <t>Disabled 외형 미적용 상태로 표출</t>
  </si>
  <si>
    <t>[DESC 1항-1] `수정 불가` 적용 범위가 `1 기본 정보` 로 한정됨 — 범위 밖 검증</t>
  </si>
  <si>
    <t>619</t>
  </si>
  <si>
    <t>TC_VIO_619</t>
  </si>
  <si>
    <t>1. `기본 정보` 외 영역의 구성과 동작을 외부 알람 생성 화면(VIOE-04_06_02)과 대조</t>
  </si>
  <si>
    <t>외부 알람 생성 화면(VIOE-04_06_02)과 동일한 화면 구성 제공
ㄴ 동작 일치 여부는 위임처 정의 기준으로 개별 행에서 판정</t>
  </si>
  <si>
    <t>[DESC 머리] [공통 DESC C9] `아래 정의하지 않은 항목은 생성 화면과 동일하게 제공 (VIOE-04_06_02 참고)` — 위임 원칙</t>
  </si>
  <si>
    <t>620</t>
  </si>
  <si>
    <t>TC_VIO_620</t>
  </si>
  <si>
    <t>1. `알람 설정` 섹션의 구성을 외부 알람 생성 화면(VIOE-04_06_02)과 대조</t>
  </si>
  <si>
    <t>`활성화` · `대상 리소스` · `알람 조건` 구성이 생성 화면과 동일하게 표출</t>
  </si>
  <si>
    <t>[DESC 머리] [공통 DESC C9] [UI] p46 `알람 설정` 섹션 — 위임 대상</t>
  </si>
  <si>
    <t>621</t>
  </si>
  <si>
    <t>TC_VIO_621</t>
  </si>
  <si>
    <t>1. `수신 대상 설정` 섹션의 구성을 외부 알람 생성 화면(VIOE-04_06_02)과 대조</t>
  </si>
  <si>
    <t>`수신 대상` 테이블 구성과 `수신 대상 추가` 버튼이 생성 화면과 동일하게 표출</t>
  </si>
  <si>
    <t>[DESC 머리] [공통 DESC C9] [UI] p46 `수신 대상 설정` 섹션 — 위임 대상</t>
  </si>
  <si>
    <t>622</t>
  </si>
  <si>
    <t>TC_VIO_622</t>
  </si>
  <si>
    <t>1. 화면 우상단 공통 바의 구성을 외부 알람 생성 화면(VIOE-04_06_02)과 대조</t>
  </si>
  <si>
    <t>클러스터 선택기와 `모니터링 현황` 버튼이 생성 화면과 동일하게 표출</t>
  </si>
  <si>
    <t>[DESC 머리] [공통 DESC C9] [UI] p46 상단 공통 바 — 위임 대상</t>
  </si>
  <si>
    <t>623</t>
  </si>
  <si>
    <t>TC_VIO_623</t>
  </si>
  <si>
    <t>1. 좌측 LNB 구성과 선택 상태를 외부 알람 생성 화면(VIOE-04_06_02)과 대조</t>
  </si>
  <si>
    <t>`모니터링` 하위 `외부 알람 설정` 이 선택 상태로 동일하게 표출</t>
  </si>
  <si>
    <t>[DESC 머리] [공통 DESC C9] [UI] p46 LNB 선택 상태 — 위임 대상</t>
  </si>
  <si>
    <t>624</t>
  </si>
  <si>
    <t>TC_VIO_624</t>
  </si>
  <si>
    <t>1. `활성화` 토글의 상태 확인</t>
  </si>
  <si>
    <t>기존 등록된 활성화 설정 상태로 표출
ㄴ 기획서 UI가 더미 ON 상태 표기 — 실 상태는 실측 상태를 `실제 결과`에 기재</t>
  </si>
  <si>
    <t>[UI] p46 `활성화` 토글 — 수정 화면 기존값 표출</t>
  </si>
  <si>
    <t>[정책 예외] 문서 기본=변경 / 이 화면=신규 [확인 불가] 수정 화면 진입 시 기존 등록값을 채워 표출하는지 이 페이지에 정의 없음 — 기획 확인 필요</t>
  </si>
  <si>
    <t>625</t>
  </si>
  <si>
    <t>TC_VIO_625</t>
  </si>
  <si>
    <t>1. `대상 리소스` 하위 `범위` 드롭다운의 값 확인</t>
  </si>
  <si>
    <t>기존 등록된 범위 값으로 표출
ㄴ 기획서 UI가 더미 `클러스터 전체` 표기 — 실 값은 실측 상태를 `실제 결과`에 기재</t>
  </si>
  <si>
    <t>[UI] p46 `범위` 드롭다운 — 수정 화면 기존값 표출</t>
  </si>
  <si>
    <t>626</t>
  </si>
  <si>
    <t>TC_VIO_626</t>
  </si>
  <si>
    <t>1. `알람 조건` 영역의 조건 카드 확인</t>
  </si>
  <si>
    <t>기존 등록된 조건 카드가 채워진 상태로 표출
ㄴ 기획서 UI가 더미 카드 표기 — 카드 수와 값은 실측 상태를 `실제 결과`에 기재</t>
  </si>
  <si>
    <t>[UI] p46 `알람 조건` 카드 — 수정 화면 기존값 표출</t>
  </si>
  <si>
    <t>[정책 예외] 문서 기본=변경 / 이 화면=신규 [확인 불가] 수정 화면 진입 시 기존 등록 조건을 채워 표출하는지 이 페이지에 정의 없음 — 기획 확인 필요</t>
  </si>
  <si>
    <t>627</t>
  </si>
  <si>
    <t>TC_VIO_627</t>
  </si>
  <si>
    <t>1. `수신 대상` 테이블의 행 구성 확인</t>
  </si>
  <si>
    <t>기존 등록된 수신 대상이 행으로 채워진 상태로 표출
ㄴ 기획서 UI가 더미 5행 표기 — 실 행 구성은 실측 상태를 `실제 결과`에 기재</t>
  </si>
  <si>
    <t>[UI] p46 `수신 대상` 테이블 데이터 행 — 수정 화면 기존값 표출, 크롭 확대 실측 5행</t>
  </si>
  <si>
    <t>[정책 예외] 문서 기본=변경 / 이 화면=신규 [확인 불가] 수정 화면 진입 시 기존 등록 수신 대상을 채워 표출하는지 이 페이지에 정의 없음 — 기획 확인 필요</t>
  </si>
  <si>
    <t>628</t>
  </si>
  <si>
    <t>TC_VIO_628</t>
  </si>
  <si>
    <t>`취소` 텍스트 버튼과 `수정` 주 버튼 표출</t>
  </si>
  <si>
    <t>[UI] p46 푸터 액션 — 수정 화면 고유 라벨 `수정`</t>
  </si>
  <si>
    <t>[정책 예외] 문서 기본=변경 / 이 화면=신규 [확인 불가] U-3 `수정` 버튼 라벨이 위임 범위에 포함되는지 미정의 — 기획 확인 필요</t>
  </si>
  <si>
    <t>629</t>
  </si>
  <si>
    <t>TC_VIO_629</t>
  </si>
  <si>
    <t>필수 항목이 채워진 알람 수정 화면 상태</t>
  </si>
  <si>
    <t>1. `수정` 버튼 클릭</t>
  </si>
  <si>
    <t>수정 실행 결과 관측
ㄴ 기획 미정의 항목 — PASS/FAIL 판정 대신 실측 상태를 `실제 결과`에 기재</t>
  </si>
  <si>
    <t>[UI] p46 `수정` 버튼 클릭 — 이 페이지에 동작 정의 없음</t>
  </si>
  <si>
    <t>[정책 예외] 문서 기본=변경 / 이 화면=신규 [확인 불가] U-4 `수정` 클릭 후 확인 팝업 유무 · 성공/실패 토스트 문구 · 이동 화면 전부 미정의 — 기획 확인 필요 위임 적용 시 후보는 위임처 p44 `7 Action Buttos` 의 `유효성 통과 시 저장 후 목록(VIOE-04_06_01)으로 이동`(TC_VIO_552 동일 검증). 수정 화면에도 적용되는지 기획 확인 필요</t>
  </si>
  <si>
    <t>630</t>
  </si>
  <si>
    <t>TC_VIO_630</t>
  </si>
  <si>
    <t>취소 실행 결과 관측
ㄴ 기획 미정의 항목 — PASS/FAIL 판정 대신 실측 상태를 `실제 결과`에 기재</t>
  </si>
  <si>
    <t>[UI] p46 `취소` 버튼 클릭 — 이 페이지에 동작 정의 없음</t>
  </si>
  <si>
    <t>[정책 예외] 문서 기본=변경 / 이 화면=신규 [확인 불가] U-4 `취소` 클릭 후 이동 화면과 확인 팝업 유무가 미정의 — 기획 확인 필요 위임 적용 시 후보는 위임처 p44 `7 Action Buttos` 의 `클릭 시, 외부 알람 목록으로 이동(VIOE-04_06_01 참고)` · `입력 내용 저장 안 함`(TC_VIO_551 동일 검증). 수정 화면에도 적용되는지 기획 확인 필요</t>
  </si>
  <si>
    <t>631</t>
  </si>
  <si>
    <t>TC_VIO_631</t>
  </si>
  <si>
    <t>1. 페이지 타이틀 좌측 뒤로 이동 아이콘 클릭</t>
  </si>
  <si>
    <t>뒤로 이동 결과 관측
ㄴ 기획 미정의 항목 — PASS/FAIL 판정 대신 실측 상태를 `실제 결과`에 기재</t>
  </si>
  <si>
    <t>[UI] p46 뒤로 이동 아이콘 — 이 페이지에 동작 정의 없음</t>
  </si>
  <si>
    <t>[정책 예외] 문서 기본=변경 / 이 화면=신규 [확인 불가] 뒤로 이동 아이콘 클릭 시 이동 화면이 미정의 — 기획 확인 필요</t>
  </si>
  <si>
    <t>632</t>
  </si>
  <si>
    <t>TC_VIO_632</t>
  </si>
  <si>
    <t>VIOE-04_06_04</t>
  </si>
  <si>
    <t>외부 알람 상세 - 세부 정보</t>
  </si>
  <si>
    <t>외부 알람 상세 화면 진입 상태</t>
  </si>
  <si>
    <t>`모니터링 / 외부 알람 설정 / 알람 상세` 3단 Breadcrumb 표출
ㄴ 최하위 `알람 상세` 볼드 표기</t>
  </si>
  <si>
    <t>[UI] p47 Breadcrumb 원문 `모니터링 / 외부 알람 설정 / 알람 상세`</t>
  </si>
  <si>
    <t>633</t>
  </si>
  <si>
    <t>TC_VIO_633</t>
  </si>
  <si>
    <t>1. 좌측 LNB 의 선택 상태 확인</t>
  </si>
  <si>
    <t>`모니터링` 하위 `외부 알람 설정` 이 선택 상태(초록 텍스트 + 연초록 배경)로 표출</t>
  </si>
  <si>
    <t>[UI] p47 LNB `외부 알람 설정` 선택 상태</t>
  </si>
  <si>
    <t>634</t>
  </si>
  <si>
    <t>TC_VIO_634</t>
  </si>
  <si>
    <t>클러스터 선택기와 교체 아이콘 표출
ㄴ 기획서 UI가 더미 `Cluster name` 표기 — 실 값은 실측 상태를 `실제 결과`에 기재</t>
  </si>
  <si>
    <t>[UI] p47 클러스터 선택기 — 이 페이지에 동작 정의 없음</t>
  </si>
  <si>
    <t>[정책 예외] 문서 기본=변경 / 이 화면=신규 [확인 불가] U-5 클러스터 선택기·교체 아이콘 동작 미정의 — 기획 확인 필요</t>
  </si>
  <si>
    <t>635</t>
  </si>
  <si>
    <t>TC_VIO_635</t>
  </si>
  <si>
    <t>[UI] p47 `모니터링 현황` 버튼 — 이 페이지에 동작 정의 없음</t>
  </si>
  <si>
    <t>[정책 예외] 문서 기본=변경 / 이 화면=신규 [확인 불가] U-5 `모니터링 현황` 버튼 동작 미정의 — 기획 확인 필요</t>
  </si>
  <si>
    <t>636</t>
  </si>
  <si>
    <t>TC_VIO_636</t>
  </si>
  <si>
    <t>1. 콘텐츠 카드 최상단 페이지 타이틀 확인</t>
  </si>
  <si>
    <t>페이지 타이틀 표출
ㄴ 기획서 UI가 더미 `{리소스명}` 표기 — 실 값은 실측 상태를 `실제 결과`에 기재</t>
  </si>
  <si>
    <t>[UI] p47 페이지 타이틀 `{리소스명}`</t>
  </si>
  <si>
    <t>[정책 예외] 문서 기본=변경 / 이 화면=신규 [확인 불가] U-2 페이지 타이틀 값이 알람명인지 대상 리소스명인지 미정의 — 기획 확인 필요 [UI↔DESC 불일치] X-9 헤더 Page Title `외부 알람 상세 - 세부 정보` / Breadcrumb 말단 `알람 상세` / 화면 내 타이틀 `{리소스명}` — 명칭 통일 확인 필요</t>
  </si>
  <si>
    <t>637</t>
  </si>
  <si>
    <t>TC_VIO_637</t>
  </si>
  <si>
    <t>1. 페이지 타이틀 좌측 아이콘 확인</t>
  </si>
  <si>
    <t>뒤로 이동 아이콘 표출</t>
  </si>
  <si>
    <t>[UI] p47 페이지 타이틀 좌측 뒤로 이동 아이콘</t>
  </si>
  <si>
    <t>638</t>
  </si>
  <si>
    <t>TC_VIO_638</t>
  </si>
  <si>
    <t>[확인 불가 기반] [UI] p47 뒤로 이동 아이콘 — 이 페이지에 동작 정의 없음</t>
  </si>
  <si>
    <t>[정책 예외] 문서 기본=변경 / 이 화면=신규 [확인 불가] U-3 뒤로 이동 아이콘 클릭 동작이 미정의이고 목록 화면에도 역방향 정의 없음 — 기획 확인 필요</t>
  </si>
  <si>
    <t>639</t>
  </si>
  <si>
    <t>TC_VIO_639</t>
  </si>
  <si>
    <t>1. 페이지 타이틀 줄 우측 영역 확인</t>
  </si>
  <si>
    <t>Action Button Area 표출
ㄴ `수정` · `삭제` 2개 버튼이 화면 단위 1쌍으로 배치</t>
  </si>
  <si>
    <t>[DESC 1항] [UI] p47 `Action Button Area` — 행 단위가 아닌 화면 단위 1쌍</t>
  </si>
  <si>
    <t>640</t>
  </si>
  <si>
    <t>TC_VIO_640</t>
  </si>
  <si>
    <t>1. Action Button Area 의 구성·동작을 상세 화면 공통 정책과 대조</t>
  </si>
  <si>
    <t>상세 화면 공통 정책에 따른 제공 확인
ㄴ 기획 미정의 항목 — PASS/FAIL 판정 대신 실측 상태를 `실제 결과`에 기재</t>
  </si>
  <si>
    <t>[DESC 1항-B1] [확인 불가 기반] `상세 화면 공통 정책에 따름` — 준거 문서 미명시</t>
  </si>
  <si>
    <t>[정책 예외] 문서 기본=변경 / 이 화면=신규 [확인 불가] U-1 `상세 화면 공통 정책` 의 정의처·본문 미명시(대상 표기 없음) — 기획 확인 필요</t>
  </si>
  <si>
    <t>641</t>
  </si>
  <si>
    <t>TC_VIO_641</t>
  </si>
  <si>
    <t>1. Action Button Area 의 버튼 구성을 외부 알람 목록 화면(VIOE-04_06_01)의 `작업` 버튼 구성과 대조</t>
  </si>
  <si>
    <t>`수정` · `삭제` 2개 버튼이 목록 `작업` 버튼과 동일한 구성으로 표출</t>
  </si>
  <si>
    <t>[DESC 1항-B2] [공통 DESC C7] `상세 동작은 목록 &gt; '작업' 버튼 정의와 동일하게 제공 (VIOE-04_06_01 &gt; 1항 참고)`</t>
  </si>
  <si>
    <t>[정책 예외] 문서 기본=변경 / 이 화면=신규 위임처 원문 `9. 작업` · `a. 수정 : 클릭 시, 수정 페이지로 이동` · `b. 삭제 : 삭제 팝업 호출` (VIOE-04_06_01 &gt; 1항) — 위임처 TC_VIO_228 · TC_VIO_229 · TC_VIO_230 · TC_VIO_231 과 대조</t>
  </si>
  <si>
    <t>642</t>
  </si>
  <si>
    <t>TC_VIO_642</t>
  </si>
  <si>
    <t>1. Action Button Area 좌측 버튼 확인</t>
  </si>
  <si>
    <t>`수정` 버튼(회색 테두리 + 흰 배경 + 검정 라벨) 표출</t>
  </si>
  <si>
    <t>[DESC 1항-1] [UI] p47 `수정` 버튼</t>
  </si>
  <si>
    <t>643</t>
  </si>
  <si>
    <t>TC_VIO_643</t>
  </si>
  <si>
    <t>[DESC 1항-1] [공통 DESC C7] 동작 정의는 목록 `작업` &gt; `수정` 에 위임</t>
  </si>
  <si>
    <t>[정책 예외] 문서 기본=변경 / 이 화면=신규 위임처 원문 `수정 : 클릭 시, 수정 페이지로 이동` (VIOE-04_06_01 &gt; 1항-9-a) — 위임처 TC_VIO_230 과 동일 동작</t>
  </si>
  <si>
    <t>644</t>
  </si>
  <si>
    <t>TC_VIO_644</t>
  </si>
  <si>
    <t>1. Action Button Area 우측 버튼 확인</t>
  </si>
  <si>
    <t>`삭제` 버튼(빨간 휴지통 아이콘 + 빨간 라벨) 표출</t>
  </si>
  <si>
    <t>[DESC 1항-2] [UI] p47 `삭제` 버튼 — 빨강은 기존 UI 색이며 변경 표기가 아님</t>
  </si>
  <si>
    <t>645</t>
  </si>
  <si>
    <t>TC_VIO_645</t>
  </si>
  <si>
    <t>1. `삭제` 버튼 클릭</t>
  </si>
  <si>
    <t>[DESC 1항-2] [공통 DESC C7] 동작 정의는 목록 `작업` &gt; `삭제` 에 위임</t>
  </si>
  <si>
    <t>[정책 예외] 문서 기본=변경 / 이 화면=신규 위임처 원문 `삭제 : 삭제 팝업 호출` (VIOE-04_06_01 &gt; 1항-9-b) — 위임처 TC_VIO_231 과 동일 동작 [확인 불가] U-18 삭제 팝업 내부 구성·버튼·문구가 이 화면과 위임처 양쪽 모두 미제공 — 기획 확인 필요</t>
  </si>
  <si>
    <t>646</t>
  </si>
  <si>
    <t>TC_VIO_646</t>
  </si>
  <si>
    <t>1. 콘텐츠 영역 좌측 패널 확인</t>
  </si>
  <si>
    <t>`기본 정보` 섹션이 좌측 패널로 표출
ㄴ 6개 항목이 값 표출 전용으로 배치</t>
  </si>
  <si>
    <t>[DESC 2항] [UI] p47 `기본 정보` 좌측 패널</t>
  </si>
  <si>
    <t>647</t>
  </si>
  <si>
    <t>TC_VIO_647</t>
  </si>
  <si>
    <t>1. `기본 정보` 섹션 헤더 좌측 아이콘 확인</t>
  </si>
  <si>
    <t>패널 접기 형태 아이콘 표출</t>
  </si>
  <si>
    <t>[UI] p47 `기본 정보` 섹션 헤더 아이콘 — 이 페이지에 동작 정의 없음</t>
  </si>
  <si>
    <t>648</t>
  </si>
  <si>
    <t>TC_VIO_648</t>
  </si>
  <si>
    <t>1. `기본 정보` 섹션 헤더 좌측 아이콘 클릭</t>
  </si>
  <si>
    <t>아이콘 클릭 결과 관측
ㄴ 기획 미정의 항목 — PASS/FAIL 판정 대신 실측 상태를 `실제 결과`에 기재</t>
  </si>
  <si>
    <t>[확인 불가 기반] [UI] p47 `기본 정보` 섹션 헤더 아이콘 — 동작 정의 없음</t>
  </si>
  <si>
    <t>[정책 예외] 문서 기본=변경 / 이 화면=신규 [확인 불가] U-4 패널 접기 아이콘의 클릭 동작·접힘 범위 미정의 — 기획 확인 필요</t>
  </si>
  <si>
    <t>649</t>
  </si>
  <si>
    <t>TC_VIO_649</t>
  </si>
  <si>
    <t>1. `기본 정보` 패널 첫 번째 항목 확인</t>
  </si>
  <si>
    <t>`이름` 라벨과 값이 첫 번째 항목으로 표출</t>
  </si>
  <si>
    <t>[DESC 2항-1] [UI] p47 `이름` 항목</t>
  </si>
  <si>
    <t>650</t>
  </si>
  <si>
    <t>TC_VIO_650</t>
  </si>
  <si>
    <t>외부 알람이 1건 이상 등록되고 해당 알람의 상세 화면 진입 상태</t>
  </si>
  <si>
    <t>1. `기본 정보` &gt; `이름` 값 표기 확인</t>
  </si>
  <si>
    <t>이름 값 표기 관측
ㄴ 기획 미정의 항목 — PASS/FAIL 판정 대신 실측 상태를 `실제 결과`에 기재</t>
  </si>
  <si>
    <t>[확인 불가 기반] [DESC 2항-1] 항목명만 규정, 값 형식·No-data 처리 미규정</t>
  </si>
  <si>
    <t>[정책 예외] 문서 기본=변경 / 이 화면=신규 [UI↔DESC 불일치] X-2 UI mock 플레이스홀더가 `{카탈로그명}` 으로 외부 알람 도메인과 어긋남 / DESC 2항-1 은 항목명 `이름` 만 규정 — 기획 확인 필요</t>
  </si>
  <si>
    <t>651</t>
  </si>
  <si>
    <t>TC_VIO_651</t>
  </si>
  <si>
    <t>1. `기본 정보` 패널 두 번째 항목 확인</t>
  </si>
  <si>
    <t>`클러스터` 라벨과 값이 `이름` 하단에 표출
ㄴ 기획서 UI가 더미 `{클러스터명}` 표기 — 실 값은 실측 상태를 `실제 결과`에 기재</t>
  </si>
  <si>
    <t>[DESC 2항-2] [UI] p47 `클러스터` 항목</t>
  </si>
  <si>
    <t>652</t>
  </si>
  <si>
    <t>TC_VIO_652</t>
  </si>
  <si>
    <t>1. `기본 정보` 패널 세 번째 항목 확인</t>
  </si>
  <si>
    <t>`조건 구성` 라벨과 값이 `클러스터` 하단에 표출</t>
  </si>
  <si>
    <t>[DESC 2항-3] [UI] p47 `조건 구성` 항목</t>
  </si>
  <si>
    <t>653</t>
  </si>
  <si>
    <t>TC_VIO_653</t>
  </si>
  <si>
    <t>1. `기본 정보` &gt; `조건 구성` 값 표기 확인</t>
  </si>
  <si>
    <t>조건 유형이 태그 형태로 표출
ㄴ 태그 도출 규칙이 기획 미정의 — 태그 종류·개수는 실측 상태를 `실제 결과`에 기재</t>
  </si>
  <si>
    <t>[확인 불가 기반] [DESC 2항-3] [UI] p47 `조건 구성` 태그 — 도출 규칙 미규정</t>
  </si>
  <si>
    <t>[정책 예외] 문서 기본=변경 / 이 화면=신규 [UI↔DESC 불일치] X-4 UI mock `조건 구성` 태그 2종(`메트릭` · `이벤트`) / 같은 화면 세부 조건 표는 4종(`메트릭` · `메트릭 (임계치)` · `이벤트` · `로그`) — 기획 확인 필요 [확인 불가] U-6 태그 도출 규칙 미정의 — 기획 확인 필요</t>
  </si>
  <si>
    <t>654</t>
  </si>
  <si>
    <t>TC_VIO_654</t>
  </si>
  <si>
    <t>1. `기본 정보` 패널 네 번째 항목 확인</t>
  </si>
  <si>
    <t>`활성화` 라벨과 값이 `조건 구성` 하단에 표출</t>
  </si>
  <si>
    <t>[DESC 2항-4] [UI] p47 `활성화` 항목</t>
  </si>
  <si>
    <t>655</t>
  </si>
  <si>
    <t>TC_VIO_655</t>
  </si>
  <si>
    <t>활성화 상태가 `ON` 인 외부 알람의 상세 화면 진입 상태</t>
  </si>
  <si>
    <t>1. `기본 정보` &gt; `활성화` 값 표기 확인</t>
  </si>
  <si>
    <t>`ON` badge(연초록 pill + 초록 텍스트) 표출</t>
  </si>
  <si>
    <t>[UI] p47 `활성화` `ON` badge — 이 화면 DESC 에 표기 규칙 없음</t>
  </si>
  <si>
    <t>[정책 예외] 문서 기본=변경 / 이 화면=신규 [확인 불가] U-7 `OFF` 상태 외형(문구·색)이 이 화면에 미정의이고 mock 도 없음 — 기획 확인 필요</t>
  </si>
  <si>
    <t>656</t>
  </si>
  <si>
    <t>TC_VIO_656</t>
  </si>
  <si>
    <t>1. `기본 정보` 패널 다섯 번째 항목 확인</t>
  </si>
  <si>
    <t>`최근 발송일시` 라벨과 값이 `활성화` 하단에 표출</t>
  </si>
  <si>
    <t>[DESC 2항-5] [UI] p47 `최근 발송일시` 항목</t>
  </si>
  <si>
    <t>657</t>
  </si>
  <si>
    <t>TC_VIO_657</t>
  </si>
  <si>
    <t>발송 이력이 있는 외부 알람의 상세 화면 진입 상태</t>
  </si>
  <si>
    <t>1. `기본 정보` &gt; `최근 발송일시` 값 형식 확인</t>
  </si>
  <si>
    <t>`YYYY-MM-DD HH:MM:SS` 형식 1줄로 표출</t>
  </si>
  <si>
    <t>[UI] p47 `최근 발송일시` 마스크 `YYYY-MM-DD HH:MM:SS`</t>
  </si>
  <si>
    <t>[정책 예외] 문서 기본=변경 / 이 화면=신규 [오타 의심] UI mock 마스크는 대문자 `YYYY-MM-DD HH:MM:SS` / 사양 기본형은 소문자 `yyyy-mm-dd hh:mm:ss` — 표기 통일 확인 필요 [확인 불가] 발송 이력이 없는 경우의 No-data 표기가 이 화면에 미정의 — 기획 확인 필요</t>
  </si>
  <si>
    <t>658</t>
  </si>
  <si>
    <t>TC_VIO_658</t>
  </si>
  <si>
    <t>1. `기본 정보` 패널 여섯 번째 항목 확인</t>
  </si>
  <si>
    <t>`생성일시` 라벨과 값이 `최근 발송일시` 하단에 표출</t>
  </si>
  <si>
    <t>[DESC 2항-6] [UI] p47 `생성일시` 항목</t>
  </si>
  <si>
    <t>659</t>
  </si>
  <si>
    <t>TC_VIO_659</t>
  </si>
  <si>
    <t>1. `기본 정보` &gt; `생성일시` 값 형식 확인</t>
  </si>
  <si>
    <t>[UI] p47 `생성일시` 마스크 `YYYY-MM-DD HH:MM:SS`</t>
  </si>
  <si>
    <t>[정책 예외] 문서 기본=변경 / 이 화면=신규 [오타 의심] UI mock 마스크는 대문자 `YYYY-MM-DD HH:MM:SS` / 사양 기본형은 소문자 `yyyy-mm-dd hh:mm:ss` — 표기 통일 확인 필요</t>
  </si>
  <si>
    <t>660</t>
  </si>
  <si>
    <t>TC_VIO_660</t>
  </si>
  <si>
    <t>1. 콘텐츠 영역 우측 상단 확인</t>
  </si>
  <si>
    <t>탭 바 표출</t>
  </si>
  <si>
    <t>[DESC 3항] [UI] p47 탭 바</t>
  </si>
  <si>
    <t>661</t>
  </si>
  <si>
    <t>TC_VIO_661</t>
  </si>
  <si>
    <t>1. 탭 바의 탭 구성·순서 확인</t>
  </si>
  <si>
    <t>`세부 정보` · `수신 대상` · `발송 이력` 3개 탭이 좌측부터 순서대로 표출</t>
  </si>
  <si>
    <t>[DESC 3항-B1] [UI] p47 `Tabs : 세부 정보 (Default), 수신 대상, 발송 이력`</t>
  </si>
  <si>
    <t>662</t>
  </si>
  <si>
    <t>TC_VIO_662</t>
  </si>
  <si>
    <t>외부 알람 상세 화면 최초 진입 후 탭을 변경하지 않은 상태</t>
  </si>
  <si>
    <t>1. 탭 바의 선택 상태 확인</t>
  </si>
  <si>
    <t>`세부 정보` 탭이 선택 상태(초록 텍스트 + 하단 초록 밑줄)로 표출</t>
  </si>
  <si>
    <t>[DESC 3항-B1] [UI] p47 `세부 정보 (Default)`</t>
  </si>
  <si>
    <t>663</t>
  </si>
  <si>
    <t>TC_VIO_663</t>
  </si>
  <si>
    <t>외부 알람 상세 화면 최초 진입 후 `세부 정보` 탭이 선택된 상태</t>
  </si>
  <si>
    <t>1. 미선택 탭의 외형 확인</t>
  </si>
  <si>
    <t>미선택 탭이 검정 텍스트 + 밑줄 없음으로 표출</t>
  </si>
  <si>
    <t>[DESC 3항-B1] [UI] p47 미선택 탭 외형</t>
  </si>
  <si>
    <t>664</t>
  </si>
  <si>
    <t>TC_VIO_664</t>
  </si>
  <si>
    <t>1. 탭 바에서 다른 탭 선택</t>
  </si>
  <si>
    <t>선택한 탭에 대응하는 고유 정보가 하단 영역에 출력</t>
  </si>
  <si>
    <t>[DESC 3항-B2] `각 탭에 따라 하단 영역에 고유 정보 출력`</t>
  </si>
  <si>
    <t>[정책 예외] 문서 기본=변경 / 이 화면=신규 [확인 불가] U-13 탭 전환 시 로딩 처리·URL 유지·재진입 시 선택 탭 유지가 미정의 — 기획 확인 필요</t>
  </si>
  <si>
    <t>665</t>
  </si>
  <si>
    <t>TC_VIO_665</t>
  </si>
  <si>
    <t>1. 각 탭을 순서대로 선택하며 하단 영역 콘텐츠 확인</t>
  </si>
  <si>
    <t>탭마다 서로 다른 고유 정보가 하단 영역에 출력
ㄴ `세부 정보` 는 3-1항 · `수신 대상` 은 VIOE-04_06_05 · `발송 이력` 은 VIOE-04_06_06</t>
  </si>
  <si>
    <t>[DESC 3항-B2-d] `각 탭에 대한 정보는 아래 참고` — 정의 위임 머리말</t>
  </si>
  <si>
    <t>666</t>
  </si>
  <si>
    <t>TC_VIO_666</t>
  </si>
  <si>
    <t>외부 알람 상세 화면에서 `세부 정보` 탭이 선택된 상태</t>
  </si>
  <si>
    <t>1. 탭 하단 영역의 콘텐츠 확인</t>
  </si>
  <si>
    <t>3-1항에 정의된 `알람 조건` 정보가 하단 영역에 표출</t>
  </si>
  <si>
    <t>[DESC 3항-B2-d1] `리소스 : 3-1항 참고` — 페이지 내 참조</t>
  </si>
  <si>
    <t>[정책 예외] 문서 기본=변경 / 이 화면=신규 [UI↔DESC 불일치] X-1 같은 대상을 UI 탭 라벨 `세부 정보` / DESC 3항-B2-d1 `리소스` / DESC 3-1항 제목 `알람 조건` 세 이름으로 지칭 — 명칭 통일 확인 필요</t>
  </si>
  <si>
    <t>667</t>
  </si>
  <si>
    <t>TC_VIO_667</t>
  </si>
  <si>
    <t>1. `수신 대상` 탭 클릭</t>
  </si>
  <si>
    <t>`수신 대상` 탭이 선택 상태로 전환되고 하단 영역이 수신 대상 정보로 교체
ㄴ 탭 내용 검증은 정의처 화면(VIOE-04_06_05)에서 수행</t>
  </si>
  <si>
    <t>[DESC 3항-B2-d2] `수신 대상 : VIOE-04_06_05 참고` — 정의 위임 [공통 DESC C21]</t>
  </si>
  <si>
    <t>[정책 예외] 문서 기본=변경 / 이 화면=신규 [확인 불가] U-14 `수신 대상` 탭 내용이 이 화면에 미정의이며 정의처 VIOE-04_06_05 로 위임 — 공통 DESC C-ID 발급 요청 상태(미발급)</t>
  </si>
  <si>
    <t>668</t>
  </si>
  <si>
    <t>TC_VIO_668</t>
  </si>
  <si>
    <t>1. `발송 이력` 탭 클릭</t>
  </si>
  <si>
    <t>`발송 이력` 탭이 선택 상태로 전환되고 하단 영역이 발송 이력 정보로 교체
ㄴ 탭 내용 검증은 정의처 화면(VIOE-04_06_06)에서 수행</t>
  </si>
  <si>
    <t>[DESC 3항-B2-d3] `발송 이력 : VIOE-04_06_06 참고` — 정의 위임 [공통 DESC C22]</t>
  </si>
  <si>
    <t>[정책 예외] 문서 기본=변경 / 이 화면=신규 [확인 불가] U-14 `발송 이력` 탭 내용이 이 화면에 미정의이며 정의처 VIOE-04_06_06 로 위임 — 공통 DESC C-ID 발급 요청 상태(미발급)</t>
  </si>
  <si>
    <t>669</t>
  </si>
  <si>
    <t>TC_VIO_669</t>
  </si>
  <si>
    <t>1. 탭 하단 영역 최상단 확인</t>
  </si>
  <si>
    <t>`알람 조건` 섹션 제목 표출</t>
  </si>
  <si>
    <t>[DESC 3-1항] [공통 DESC C10] [UI] p47 `알람 조건` — 이 화면이 정의처</t>
  </si>
  <si>
    <t>670</t>
  </si>
  <si>
    <t>TC_VIO_670</t>
  </si>
  <si>
    <t>1. `알람 조건` 영역에서 3-1항에 정의되지 않은 항목의 표기 형태를 외부 알람 목록 화면(VIOE-04_06_01)과 대조</t>
  </si>
  <si>
    <t>미정의 항목의 표기 형태가 목록 화면과 동일하게 제공
ㄴ 위임 범위가 기획 미정의 — PASS/FAIL 판정 대신 실측 상태를 `실제 결과`에 기재</t>
  </si>
  <si>
    <t>[DESC 3-1항-B1] [공통 DESC C11] `아래 정의하지 않은 항목의 표기 형태는 목록 화면과 동일하게 제공 (VIOE-04_06_01 참고)`</t>
  </si>
  <si>
    <t>[정책 예외] 문서 기본=변경 / 이 화면=신규 [확인 불가] U-17 `아래` 의 지시 범위가 3-1항 이하인지 화면 전체인지 미정의 — 기획 확인 필요 위임처 표기 규칙은 VIOE-04_06_01 1항(위임처 TC_VIO_184 ~ TC_VIO_226 대역)과 대조하며, 내비게이션 정의 `클릭 시, 알람 상세 화면으로 이동` 은 위임 범위 밖</t>
  </si>
  <si>
    <t>671</t>
  </si>
  <si>
    <t>TC_VIO_671</t>
  </si>
  <si>
    <t>1. `알람 조건` 영역 최상단 항목 확인</t>
  </si>
  <si>
    <t>`대상 리소스` 라벨과 값 표출</t>
  </si>
  <si>
    <t>[DESC 3-1항-1] [UI] p47 `대상 리소스` 항목</t>
  </si>
  <si>
    <t>672</t>
  </si>
  <si>
    <t>TC_VIO_672</t>
  </si>
  <si>
    <t>대상 범위가 클러스터 전체인 외부 알람의 상세 화면 진입 상태</t>
  </si>
  <si>
    <t>1. `대상 리소스` 값 표기 확인</t>
  </si>
  <si>
    <t>`클러스터 전체` 표출</t>
  </si>
  <si>
    <t>[DESC 3-1항-1-a] [UI] p47 `클러스터 전체`</t>
  </si>
  <si>
    <t>673</t>
  </si>
  <si>
    <t>TC_VIO_673</t>
  </si>
  <si>
    <t>대상 범위가 네임스페이스 전체인 외부 알람의 상세 화면 진입 상태</t>
  </si>
  <si>
    <t>`네임스페이스 전체` 표출</t>
  </si>
  <si>
    <t>[DESC 3-1항-1-b] `네임스페이스 전체` — 기획서 UI mock 미표출, DESC 근거</t>
  </si>
  <si>
    <t>674</t>
  </si>
  <si>
    <t>TC_VIO_674</t>
  </si>
  <si>
    <t>특정 네임스페이스를 대상으로 하는 외부 알람의 상세 화면 진입 상태</t>
  </si>
  <si>
    <t>`네임스페이스 {namespace}` 형태로 표출</t>
  </si>
  <si>
    <t>[DESC 3-1항-1-c] `특정 네임스페이스인 경우 : 네임스페이스 {namespace}` — 기획서 UI mock 미표출, DESC 근거</t>
  </si>
  <si>
    <t>675</t>
  </si>
  <si>
    <t>TC_VIO_675</t>
  </si>
  <si>
    <t>워크로드를 대상으로 하는 외부 알람의 상세 화면 진입 상태</t>
  </si>
  <si>
    <t>`네임스페이스 {namespace} · {리소스 유형} {전체/리소스 이름}` 형태로 표출</t>
  </si>
  <si>
    <t>[DESC 3-1항-1-d] `워크로드 : 네임스페이스 {namespace} · {리소스 유형} {전체/리소스 이름}` — 기획서 UI mock 미표출, DESC 근거</t>
  </si>
  <si>
    <t>676</t>
  </si>
  <si>
    <t>TC_VIO_676</t>
  </si>
  <si>
    <t>네임스페이스 `default` 의 파드 전체를 대상으로 하는 외부 알람의 상세 화면 진입 상태</t>
  </si>
  <si>
    <t>1. `대상 리소스` 값을 기획서 예시 표기와 대조</t>
  </si>
  <si>
    <t>`네임스페이스 default · 파드 전체` 와 동일한 형태로 표출</t>
  </si>
  <si>
    <t>[DESC 3-1항-1-d-예] `(예시) 네임스페이스 default · 파드 전체` — 회색 예시 주석</t>
  </si>
  <si>
    <t>677</t>
  </si>
  <si>
    <t>TC_VIO_677</t>
  </si>
  <si>
    <t>1. `대상 리소스` 하단 영역 확인</t>
  </si>
  <si>
    <t>`세부 조건` 라벨과 테이블 표출</t>
  </si>
  <si>
    <t>[DESC 3-1항-2] [UI] p47 `세부 조건` 영역</t>
  </si>
  <si>
    <t>[정책 예외] 문서 기본=변경 / 이 화면=신규 [확인 불가] U-11 알람 조건 0건 상태의 표출이 미정의 — 케이스 미생성. 기획 확인 필요</t>
  </si>
  <si>
    <t>678</t>
  </si>
  <si>
    <t>TC_VIO_678</t>
  </si>
  <si>
    <t>1. 세부 조건 테이블 헤더의 정렬 아이콘 유무 확인</t>
  </si>
  <si>
    <t>테이블 헤더 전 컬럼에 정렬 아이콘 미표출</t>
  </si>
  <si>
    <t>[DESC 3-1항-2-0] [UI] p47 `전체 컬럼 sort 미제공`</t>
  </si>
  <si>
    <t>679</t>
  </si>
  <si>
    <t>TC_VIO_679</t>
  </si>
  <si>
    <t>세부 조건이 2건 이상 등록되고 정렬·필터가 적용되지 않았으며 조건 등록·수정이 발생하지 않은 상세 화면 진입 상태</t>
  </si>
  <si>
    <t>1. 세부 조건 테이블 헤더 컬럼명 클릭</t>
  </si>
  <si>
    <t>클릭 전후 테이블 행 순서 유지</t>
  </si>
  <si>
    <t>[DESC 3-1항-2-0] `전체 컬럼 sort 미제공`</t>
  </si>
  <si>
    <t>680</t>
  </si>
  <si>
    <t>TC_VIO_680</t>
  </si>
  <si>
    <t>1. 세부 조건 테이블 헤더 첫 번째 컬럼 확인</t>
  </si>
  <si>
    <t>`조건 결합` 컬럼 표출</t>
  </si>
  <si>
    <t>[DESC 3-1항-2-a] [UI] p47 `조건 결합` 컬럼</t>
  </si>
  <si>
    <t>681</t>
  </si>
  <si>
    <t>TC_VIO_681</t>
  </si>
  <si>
    <t>세부 조건이 2건 이상 등록된 외부 알람의 상세 화면 진입 상태</t>
  </si>
  <si>
    <t>1. 세부 조건 행의 `조건 결합` 셀 표기 확인</t>
  </si>
  <si>
    <t>조건 결합 표기 관측
ㄴ 기획 미정의 항목 — PASS/FAIL 판정 대신 실측 상태를 `실제 결과`에 기재</t>
  </si>
  <si>
    <t>[확인 불가 기반] [DESC 3-1항-2-a] 컬럼명만 규정, 값·형식 미규정</t>
  </si>
  <si>
    <t>[정책 예외] 문서 기본=변경 / 이 화면=신규 [확인 불가] U-8 첫 행의 `-` 표기 조건과 결합 연산자 값 규칙이 미정의 — 기획 확인 필요</t>
  </si>
  <si>
    <t>682</t>
  </si>
  <si>
    <t>TC_VIO_682</t>
  </si>
  <si>
    <t>1. 세부 조건 테이블 헤더 두 번째 컬럼 확인</t>
  </si>
  <si>
    <t>`순번` 컬럼이 `조건 결합` 우측에 표출</t>
  </si>
  <si>
    <t>[DESC 3-1항-2-b] [UI] p47 `순번` 컬럼</t>
  </si>
  <si>
    <t>683</t>
  </si>
  <si>
    <t>TC_VIO_683</t>
  </si>
  <si>
    <t>세부 조건이 1건 이상 등록된 외부 알람의 상세 화면 진입 상태</t>
  </si>
  <si>
    <t>1. 세부 조건 행의 `순번` 셀 표기 확인</t>
  </si>
  <si>
    <t>순번 표기 관측
ㄴ 기획 미정의 항목 — PASS/FAIL 판정 대신 실측 상태를 `실제 결과`에 기재</t>
  </si>
  <si>
    <t>[확인 불가 기반] [DESC 3-1항-2-b] 컬럼명만 규정, 채번·정렬 규칙 미규정</t>
  </si>
  <si>
    <t>[정책 예외] 문서 기본=변경 / 이 화면=신규 [확인 불가] U-9 `순번` 채번 기준·재정렬 조건 미정의 — 기획 확인 필요</t>
  </si>
  <si>
    <t>684</t>
  </si>
  <si>
    <t>TC_VIO_684</t>
  </si>
  <si>
    <t>1. 세부 조건 테이블 헤더 세 번째 컬럼 확인</t>
  </si>
  <si>
    <t>`구분` 컬럼이 `순번` 우측에 표출</t>
  </si>
  <si>
    <t>[DESC 3-1항-2-c] [UI] p47 `구분` 컬럼</t>
  </si>
  <si>
    <t>685</t>
  </si>
  <si>
    <t>TC_VIO_685</t>
  </si>
  <si>
    <t>1. 세부 조건 행의 `구분` 셀 표기 확인</t>
  </si>
  <si>
    <t>조건 유형이 태그 형태로 표출</t>
  </si>
  <si>
    <t>[DESC 3-1항-2-c] [UI] p47 `구분` 셀 태그 — enum 은 3-1항 2-d 하위 4종으로만 유추 가능</t>
  </si>
  <si>
    <t>[정책 예외] 문서 기본=변경 / 이 화면=신규 [확인 불가] `구분` 셀의 값 enum 범위가 이 화면에 직접 규정되지 않음 — 기획 확인 필요</t>
  </si>
  <si>
    <t>686</t>
  </si>
  <si>
    <t>TC_VIO_686</t>
  </si>
  <si>
    <t>1. 세부 조건 테이블 헤더 네 번째 컬럼 확인</t>
  </si>
  <si>
    <t>`내용` 컬럼이 `구분` 우측에 표출</t>
  </si>
  <si>
    <t>[DESC 3-1항-2-d] [UI] p47 `내용` 컬럼</t>
  </si>
  <si>
    <t>687</t>
  </si>
  <si>
    <t>TC_VIO_687</t>
  </si>
  <si>
    <t>입력값이 2개 이상인 세부 조건이 등록된 외부 알람의 상세 화면 진입 상태</t>
  </si>
  <si>
    <t>1. 세부 조건 행의 `내용` 셀 구분자 확인</t>
  </si>
  <si>
    <t>입력값이 불릿 `·` 으로 구분된 텍스트로 표기</t>
  </si>
  <si>
    <t>[DESC 3-1항-2-d] `내용 : 입력값을 불릿( · )으로 구분하여 텍스트로 표기 (화면 예시 참고)`</t>
  </si>
  <si>
    <t>688</t>
  </si>
  <si>
    <t>TC_VIO_688</t>
  </si>
  <si>
    <t>`구분` 이 메트릭인 세부 조건이 등록된 외부 알람의 상세 화면 진입 상태</t>
  </si>
  <si>
    <t>1. 해당 행의 `내용` 셀 표기 확인</t>
  </si>
  <si>
    <t>`{지표} · {최대/최소} · {임계치} · {초과/미만}` 형태로 표출</t>
  </si>
  <si>
    <t>[DESC 3-1항-2-d-i] `메트릭 : {지표} · {최대/최소} · {임계치} · {초과/미만}`</t>
  </si>
  <si>
    <t>[정책 예외] 문서 기본=변경 / 이 화면=신규 [UI↔DESC 불일치] X-3 UI mock 행1 은 `CPU 사용률 · 최대 80% · 초과` 3토큰 / DESC 3-1항-2-d-i 는 4토큰 — 기획 확인 필요</t>
  </si>
  <si>
    <t>689</t>
  </si>
  <si>
    <t>TC_VIO_689</t>
  </si>
  <si>
    <t>설정 범위가 2개 이상인 메트릭 세부 조건이 등록된 외부 알람의 상세 화면 진입 상태</t>
  </si>
  <si>
    <t>1. 해당 행의 `내용` 셀 범위 구분자 확인</t>
  </si>
  <si>
    <t>범위별 표기가 슬래시 `/` 로 구분되어 표출</t>
  </si>
  <si>
    <t>[DESC 3-1항-2-d-i-1] `설정 범위가 N개인 경우 슬래시(/)로 구분하여 표기`</t>
  </si>
  <si>
    <t>690</t>
  </si>
  <si>
    <t>TC_VIO_690</t>
  </si>
  <si>
    <t>1. 해당 행의 `내용` 셀 범위 표기 순서 확인</t>
  </si>
  <si>
    <t>임계치 기준 오름차순으로 표기</t>
  </si>
  <si>
    <t>[DESC 3-1항-2-d-i-1] `(표기 순서 : {임계치} 기준 오름차순)`</t>
  </si>
  <si>
    <t>691</t>
  </si>
  <si>
    <t>TC_VIO_691</t>
  </si>
  <si>
    <t>지표가 사용률이 아닌 메트릭 세부 조건이 등록된 외부 알람의 상세 화면 진입 상태</t>
  </si>
  <si>
    <t>1. 해당 행의 `내용` 셀 임계치 표기 확인</t>
  </si>
  <si>
    <t>기준값과 비율을 곱한 계산값으로 표기</t>
  </si>
  <si>
    <t>[DESC 3-1항-2-d-i-2] `임계치 표기 : {기준값}*{비율}을 계산한 값`</t>
  </si>
  <si>
    <t>692</t>
  </si>
  <si>
    <t>TC_VIO_692</t>
  </si>
  <si>
    <t>지표가 `사용률` 인 메트릭 세부 조건이 등록된 외부 알람의 상세 화면 진입 상태</t>
  </si>
  <si>
    <t>비율 값만 표기</t>
  </si>
  <si>
    <t>[DESC 3-1항-2-d-i-2] `단, '사용률' 지표의 경우 {비율}만 표기`</t>
  </si>
  <si>
    <t>693</t>
  </si>
  <si>
    <t>TC_VIO_693</t>
  </si>
  <si>
    <t>`구분` 이 메트릭 임계치인 세부 조건이 등록된 외부 알람의 상세 화면 진입 상태</t>
  </si>
  <si>
    <t>`네임스페이스 {네임스페이스 이름} · {리소스} · {임계치} · {초과/미만}` 형태로 표출</t>
  </si>
  <si>
    <t>[DESC 3-1항-2-d-ii] `메트릭(임계치) : 네임스페이스 {네임스페이스 이름} · {리소스} · {임계치} · {초과/미만}`</t>
  </si>
  <si>
    <t>[정책 예외] 문서 기본=변경 / 이 화면=신규 [UI↔DESC 불일치] X-5 UI chip 은 `메트릭 (임계치)` 로 괄호 앞 공백 있음 / DESC 3-1항-2-d-ii 는 `메트릭(임계치)` 로 공백 없음 — 표기 통일 확인 필요 [UI↔DESC 불일치] X-8 플레이스홀더가 한/영 혼용 — 표기 통일 확인 필요</t>
  </si>
  <si>
    <t>694</t>
  </si>
  <si>
    <t>TC_VIO_694</t>
  </si>
  <si>
    <t>네임스페이스 값이 없는 메트릭 임계치 세부 조건이 등록된 외부 알람의 상세 화면 진입 상태</t>
  </si>
  <si>
    <t>`{리소스} · {임계치} · {초과/미만}` 3개 토큰으로 축약 표기</t>
  </si>
  <si>
    <t>[DESC 3-1항-2-d-ii-1] `단, '네임스페이스' 값이 없는 경우 : {리소스} · {임계치} · {초과/미만}`</t>
  </si>
  <si>
    <t>695</t>
  </si>
  <si>
    <t>TC_VIO_695</t>
  </si>
  <si>
    <t>`구분` 이 이벤트인 세부 조건이 등록된 외부 알람의 상세 화면 진입 상태</t>
  </si>
  <si>
    <t>`{이벤트 유형} · 키워드 {키워드}` 형태로 표출</t>
  </si>
  <si>
    <t>[DESC 3-1항-2-d-iii] `이벤트 : {이벤트 유형} · 키워드 {키워드}`</t>
  </si>
  <si>
    <t>696</t>
  </si>
  <si>
    <t>TC_VIO_696</t>
  </si>
  <si>
    <t>키워드가 2개 이상 입력된 이벤트 세부 조건이 등록된 외부 알람의 상세 화면 진입 상태</t>
  </si>
  <si>
    <t>1. 해당 행의 `내용` 셀 키워드 구분자 확인</t>
  </si>
  <si>
    <t>키워드가 슬래시 `/` 로 구분되어 표출</t>
  </si>
  <si>
    <t>[DESC 3-1항-2-d-iii-1] `키워드가 N개인 경우 슬래시(/)로 구분하여 표기`</t>
  </si>
  <si>
    <t>[정책 예외] 문서 기본=변경 / 이 화면=신규 [UI↔DESC 불일치] X-6 UI mock 행4 는 `Warning 이벤트 · 키워드 {keyword} / 키워드  {keyword}` 로 `키워드` 라벨을 반복 / DESC 3-1항-2-d-iii-1 은 라벨 반복 여부 미규정 — 기획 확인 필요</t>
  </si>
  <si>
    <t>697</t>
  </si>
  <si>
    <t>TC_VIO_697</t>
  </si>
  <si>
    <t>1. 해당 행의 `내용` 셀 키워드 표기 순서 확인</t>
  </si>
  <si>
    <t>사용자 입력 순으로 표기</t>
  </si>
  <si>
    <t>[DESC 3-1항-2-d-iii-1] `(표기 순서 : 사용자 입력 순)`</t>
  </si>
  <si>
    <t>698</t>
  </si>
  <si>
    <t>TC_VIO_698</t>
  </si>
  <si>
    <t>키워드를 입력하지 않은 이벤트 세부 조건이 등록된 외부 알람의 상세 화면 진입 상태</t>
  </si>
  <si>
    <t>`{이벤트 유형}` 만 표기</t>
  </si>
  <si>
    <t>[DESC 3-1항-2-d-iii-2] `키워드 미입력 시 : {이벤트 유형}`</t>
  </si>
  <si>
    <t>699</t>
  </si>
  <si>
    <t>TC_VIO_699</t>
  </si>
  <si>
    <t>`구분` 이 로그인 세부 조건이 등록된 외부 알람의 상세 화면 진입 상태</t>
  </si>
  <si>
    <t>`{로그 유형} · {추가 선택값} · {키워드}` 형태로 표출</t>
  </si>
  <si>
    <t>[DESC 3-1항-2-d-iv] `로그 : {로그 유형} · {추가 선택값} · {키워드}`</t>
  </si>
  <si>
    <t>700</t>
  </si>
  <si>
    <t>TC_VIO_700</t>
  </si>
  <si>
    <t>키워드가 2개 이상 입력된 로그 세부 조건이 등록된 외부 알람의 상세 화면 진입 상태</t>
  </si>
  <si>
    <t>1. 해당 행의 `내용` 셀 키워드 표기를 이벤트 행 표기 규칙과 대조</t>
  </si>
  <si>
    <t>키워드 표기가 이벤트와 동일한 규칙으로 표출</t>
  </si>
  <si>
    <t>[DESC 3-1항-2-d-iv-1] `키워드 표기는 이벤트와 동일하게 제공` — 페이지 내 참조</t>
  </si>
  <si>
    <t>701</t>
  </si>
  <si>
    <t>TC_VIO_701</t>
  </si>
  <si>
    <t>1. 해당 행의 `내용` 셀 추가 선택값 위치 확인</t>
  </si>
  <si>
    <t>추가 선택값이 로그 유형과 키워드 사이에 표기</t>
  </si>
  <si>
    <t>[DESC 3-1항-2-d-iv-2] `추가 선택값 표기` — 하위 1·2 의 머리말 [DESC 3-1항-2-d-iv]</t>
  </si>
  <si>
    <t>702</t>
  </si>
  <si>
    <t>TC_VIO_702</t>
  </si>
  <si>
    <t>로그 유형이 노드 로그인 세부 조건이 등록된 외부 알람의 상세 화면 진입 상태</t>
  </si>
  <si>
    <t>1. 해당 행의 `내용` 셀 추가 선택값 표기 확인</t>
  </si>
  <si>
    <t>추가 선택값이 `노드 {노드 이름}` 형태로 표기</t>
  </si>
  <si>
    <t>[DESC 3-1항-2-d-iv-2-1] `로그 유형 = 노드 로그인 경우 : 노드 {노드 이름}`</t>
  </si>
  <si>
    <t>703</t>
  </si>
  <si>
    <t>TC_VIO_703</t>
  </si>
  <si>
    <t>로그 유형이 애플리케이션 로그인 세부 조건이 등록된 외부 알람의 상세 화면 진입 상태</t>
  </si>
  <si>
    <t>추가 선택값이 `네임스페이스{네임스페이스 이름} · 파드 {파드 이름}` 형태로 표기</t>
  </si>
  <si>
    <t>[DESC 3-1항-2-d-iv-2-2] `로그 유형 = 애플리케이션 로그인 경우 : 네임스페이스{네임스페이스 이름} · 파드 {파드 이름}` — `네임스페이스` 뒤 공백 없음이 원문</t>
  </si>
  <si>
    <t>704</t>
  </si>
  <si>
    <t>TC_VIO_704</t>
  </si>
  <si>
    <t>1. 세부 조건 테이블 헤더 다섯 번째 컬럼 확인</t>
  </si>
  <si>
    <t>`심각도` 컬럼이 `내용` 우측 최우측 컬럼으로 표출</t>
  </si>
  <si>
    <t>[DESC 3-1항-2-e] [UI] p47 `심각도` 컬럼</t>
  </si>
  <si>
    <t>705</t>
  </si>
  <si>
    <t>TC_VIO_705</t>
  </si>
  <si>
    <t>1. 세부 조건 행의 `심각도` 셀 표기 확인</t>
  </si>
  <si>
    <t>심각도 표기 관측
ㄴ 기획 미정의 항목 — PASS/FAIL 판정 대신 실측 상태를 `실제 결과`에 기재</t>
  </si>
  <si>
    <t>[확인 불가 기반] [DESC 3-1항-2-e] 컬럼명만 규정, 값 enum·표기 형태 미규정</t>
  </si>
  <si>
    <t>[정책 예외] 문서 기본=변경 / 이 화면=신규 [확인 불가] `심각도` 값 enum 과 표기 형태가 이 화면에 미정의 (UI mock 은 `Warning` · `Critical` 만 표출) — 기획 확인 필요</t>
  </si>
  <si>
    <t>706</t>
  </si>
  <si>
    <t>TC_VIO_706</t>
  </si>
  <si>
    <t>설정 범위별 심각도가 서로 다른 세부 조건이 등록된 외부 알람의 상세 화면 진입 상태</t>
  </si>
  <si>
    <t>1. 해당 행의 `심각도` 셀 구분자 확인</t>
  </si>
  <si>
    <t>범위별 심각도가 슬래시 `/` 로 구분되어 표출</t>
  </si>
  <si>
    <t>[DESC 3-1항-2-e-1] `범위별 심각도 상이한 경우 슬래시{/}로 구분하여 제공`</t>
  </si>
  <si>
    <t>[정책 예외] 문서 기본=변경 / 이 화면=신규 [UI↔DESC 불일치] X-7 DESC 3-1항-2-e-1 은 `슬래시{/}` 중괄호 / DESC 3-1항-2-d-i-1 · 3-1항-2-d-iii-1 은 `슬래시(/)` 소괄호 — DESC 내부 표기 통일 확인 필요</t>
  </si>
  <si>
    <t>707</t>
  </si>
  <si>
    <t>TC_VIO_707</t>
  </si>
  <si>
    <t>1. 세부 조건 테이블 하단 영역 확인</t>
  </si>
  <si>
    <t>전체 수 표기와 페이지네이션 컨트롤 미표출
ㄴ 행 수 상한·페이징 규칙이 기획 미정의 — 실측 상태를 `실제 결과`에 기재</t>
  </si>
  <si>
    <t>[확인 불가 기반] [UI] p47 세부 조건 테이블 하단 푸터 미표출</t>
  </si>
  <si>
    <t>[정책 예외] 문서 기본=변경 / 이 화면=신규 [확인 불가] U-10 세부 조건 테이블의 최대 행 수·페이징 유무 미정의 — 기획 확인 필요</t>
  </si>
  <si>
    <t>708</t>
  </si>
  <si>
    <t>TC_VIO_708</t>
  </si>
  <si>
    <t>VIOE-04_06_05</t>
  </si>
  <si>
    <t>외부 알람 상세 - 수신 대상</t>
  </si>
  <si>
    <t>외부 알람 상세 화면에서 `수신 대상` 탭이 선택된 상태</t>
  </si>
  <si>
    <t>[UI] p48 Breadcrumb 원문 `모니터링 / 외부 알람 설정 / 알람 상세`</t>
  </si>
  <si>
    <t>709</t>
  </si>
  <si>
    <t>TC_VIO_709</t>
  </si>
  <si>
    <t>`모니터링` 하위 `외부 알람 설정` 이 선택 상태(초록 하이라이트)로 표출</t>
  </si>
  <si>
    <t>[UI] p48 LNB `외부 알람 설정` 선택 상태</t>
  </si>
  <si>
    <t>710</t>
  </si>
  <si>
    <t>TC_VIO_710</t>
  </si>
  <si>
    <t>[UI] p48 클러스터 선택기 — 이 페이지에 동작 정의 없음</t>
  </si>
  <si>
    <t>[정책 예외] 문서 기본=변경 / 이 화면=신규 [확인 불가] 클러스터 선택기·교체 아이콘 동작이 이 페이지에 미정의 — 기획 확인 필요</t>
  </si>
  <si>
    <t>711</t>
  </si>
  <si>
    <t>TC_VIO_711</t>
  </si>
  <si>
    <t>[UI] p48 `모니터링 현황` 버튼 — 이 페이지에 동작 정의 없음</t>
  </si>
  <si>
    <t>712</t>
  </si>
  <si>
    <t>TC_VIO_712</t>
  </si>
  <si>
    <t>뒤로 이동 아이콘과 리소스명 표출
ㄴ 기획서 UI가 플레이스홀더 `{리소스명}` 표기 — 실 값은 실측 상태를 `실제 결과`에 기재</t>
  </si>
  <si>
    <t>[UI] p48 페이지 타이틀 뒤로 아이콘 + `{리소스명}` 토큰</t>
  </si>
  <si>
    <t>[정책 예외] 문서 기본=변경 / 이 화면=신규 [확인 불가] 뒤로 이동 아이콘의 이동 대상이 이 페이지에 미정의 — 기획 확인 필요</t>
  </si>
  <si>
    <t>713</t>
  </si>
  <si>
    <t>TC_VIO_713</t>
  </si>
  <si>
    <t>1. 콘텐츠 카드 우상단 좌측 버튼 확인</t>
  </si>
  <si>
    <t>`수정` 버튼 표출</t>
  </si>
  <si>
    <t>[UI] p48 `수정` 버튼 — 이 페이지에 동작 정의 없음</t>
  </si>
  <si>
    <t>[정책 예외] 문서 기본=변경 / 이 화면=신규 [확인 불가] `수정` 버튼 동작이 이 페이지에 미정의 — 기획 확인 필요</t>
  </si>
  <si>
    <t>714</t>
  </si>
  <si>
    <t>TC_VIO_714</t>
  </si>
  <si>
    <t>1. 콘텐츠 카드 우상단 우측 버튼 확인</t>
  </si>
  <si>
    <t>`삭제` 버튼이 빨간 테두리·빨간 라벨·휴지통 아이콘으로 표출</t>
  </si>
  <si>
    <t>[UI] p48 `삭제` 버튼 위험 액션 색상</t>
  </si>
  <si>
    <t>[정책 예외] 문서 기본=변경 / 이 화면=신규 [확인 불가] `삭제` 버튼 동작이 이 페이지에 미정의 — 기획 확인 필요</t>
  </si>
  <si>
    <t>715</t>
  </si>
  <si>
    <t>TC_VIO_715</t>
  </si>
  <si>
    <t>1. 콘텐츠 카드 상단 탭 영역 확인</t>
  </si>
  <si>
    <t>`세부 정보` · `수신 대상` · `발송 이력` 순으로 탭 3종 표출</t>
  </si>
  <si>
    <t>[UI] p48 탭 구성 3종</t>
  </si>
  <si>
    <t>716</t>
  </si>
  <si>
    <t>TC_VIO_716</t>
  </si>
  <si>
    <t>1. `수신 대상` 탭의 외형 확인</t>
  </si>
  <si>
    <t>`수신 대상` 탭이 초록 라벨과 초록 밑줄로 선택 상태 표출</t>
  </si>
  <si>
    <t>[UI] p48 `수신 대상` 탭 선택 외형</t>
  </si>
  <si>
    <t>717</t>
  </si>
  <si>
    <t>TC_VIO_717</t>
  </si>
  <si>
    <t>1. `세부 정보` 와 `발송 이력` 탭의 외형 확인</t>
  </si>
  <si>
    <t>두 탭 모두 회색 라벨과 밑줄 없이 미선택 상태 표출</t>
  </si>
  <si>
    <t>[UI] p48 미선택 탭 외형</t>
  </si>
  <si>
    <t>718</t>
  </si>
  <si>
    <t>TC_VIO_718</t>
  </si>
  <si>
    <t>1. 테이블 상단 좌측 입력 필드 확인</t>
  </si>
  <si>
    <t>필터 아이콘을 동반한 입력 필드가 placeholder `항목 이름 또는 값을 입력해 주세요.` 로 표출</t>
  </si>
  <si>
    <t>[UI] p48 검색·필터 입력 placeholder 원문</t>
  </si>
  <si>
    <t>[정책 예외] 문서 기본=변경 / 이 화면=신규 [확인 불가] 검색·필터 입력의 대상 컬럼과 동작이 이 페이지에 미정의 — 기획 확인 필요</t>
  </si>
  <si>
    <t>719</t>
  </si>
  <si>
    <t>TC_VIO_719</t>
  </si>
  <si>
    <t>1. 수신 대상 목록 테이블의 헤더 구성 확인</t>
  </si>
  <si>
    <t>`구분` · `이름` · `수신 채널` · `수신 정책` · `수신 주기` 순으로 컬럼 5종 표출</t>
  </si>
  <si>
    <t>[DESC 1항] [UI] p48 수신 대상 목록 컬럼 구성 5종 [공통 DESC C21]</t>
  </si>
  <si>
    <t>720</t>
  </si>
  <si>
    <t>TC_VIO_720</t>
  </si>
  <si>
    <t>1. `수신 채널` 컬럼 헤더의 정렬 아이콘 유무 확인</t>
  </si>
  <si>
    <t>`수신 채널` 헤더에 정렬 아이콘 미표출</t>
  </si>
  <si>
    <t>[DESC 1항-b1] `컬럼 Sort 미제공 : 수신 채널, 수신 주기` — `수신 채널`</t>
  </si>
  <si>
    <t>721</t>
  </si>
  <si>
    <t>TC_VIO_721</t>
  </si>
  <si>
    <t>1. `수신 주기` 컬럼 헤더의 정렬 아이콘 유무 확인</t>
  </si>
  <si>
    <t>`수신 주기` 헤더에 정렬 아이콘 미표출</t>
  </si>
  <si>
    <t>[DESC 1항-b1] `컬럼 Sort 미제공 : 수신 채널, 수신 주기` — `수신 주기`</t>
  </si>
  <si>
    <t>722</t>
  </si>
  <si>
    <t>TC_VIO_722</t>
  </si>
  <si>
    <t>정렬·검색·필터를 적용하지 않고 페이지 이동과 수신 대상 변경도 없는 목록 초기 표출 상태</t>
  </si>
  <si>
    <t>1. `수신 채널` 컬럼 헤더 클릭</t>
  </si>
  <si>
    <t>[DESC 1항-b1] `수신 채널` Sort 미제공 — 헤더 클릭 시 정렬 미동작</t>
  </si>
  <si>
    <t>723</t>
  </si>
  <si>
    <t>TC_VIO_723</t>
  </si>
  <si>
    <t>1. `수신 주기` 컬럼 헤더 클릭</t>
  </si>
  <si>
    <t>[DESC 1항-b1] `수신 주기` Sort 미제공 — 헤더 클릭 시 정렬 미동작</t>
  </si>
  <si>
    <t>724</t>
  </si>
  <si>
    <t>TC_VIO_724</t>
  </si>
  <si>
    <t>1. 이 화면이 개별 정의하지 않은 항목의 구성 확인</t>
  </si>
  <si>
    <t>알람 생성 화면(VIOE-04_06_02) 과 동일한 구성으로 제공
ㄴ 항목별 동작 일치 여부는 기획 미정의 — PASS/FAIL 판정 대신 실측 상태를 `실제 결과`에 기재</t>
  </si>
  <si>
    <t>[DESC 1항-b2] [공통 DESC C9] 미정의 항목은 알람 생성 화면과 동일하게 제공</t>
  </si>
  <si>
    <t>[정책 예외] 문서 기본=변경 / 이 화면=신규 [확인 불가] 위임처 원문 `아래 정의하지 않은 항목은 알람 생성 화면과 동일하게 제공 (VIOE-04_06_02 참고)` / 위임처 순번 28 시트 257~558행 `TC_VIO_256`~`TC_VIO_557` — 항목별 위임 범위 미명시, 기획 확인 필요</t>
  </si>
  <si>
    <t>725</t>
  </si>
  <si>
    <t>TC_VIO_725</t>
  </si>
  <si>
    <t>1. 테이블 첫 번째 컬럼 헤더 확인</t>
  </si>
  <si>
    <t>`구분` 컬럼이 최좌측 컬럼으로 표출</t>
  </si>
  <si>
    <t>[DESC 1항-1] [UI] p48 `구분` 컬럼 헤더</t>
  </si>
  <si>
    <t>726</t>
  </si>
  <si>
    <t>TC_VIO_726</t>
  </si>
  <si>
    <t>1. 각 행의 `구분` 셀 값 확인</t>
  </si>
  <si>
    <t>`그룹` 또는 `개별` pill 표출</t>
  </si>
  <si>
    <t>[DESC 1항-1] `구분 : 그룹/개별` enum 2종</t>
  </si>
  <si>
    <t>727</t>
  </si>
  <si>
    <t>TC_VIO_727</t>
  </si>
  <si>
    <t>`구분` 이 `그룹` 인 수신 대상 행이 표출된 상태</t>
  </si>
  <si>
    <t>1. 해당 행 최좌측 펼치기 컨트롤 확인</t>
  </si>
  <si>
    <t>펼치기 컨트롤이 활성 상태로 표출</t>
  </si>
  <si>
    <t>[DESC 1항-1a] `그룹` 인 경우 펼치기 기능 활성화</t>
  </si>
  <si>
    <t>728</t>
  </si>
  <si>
    <t>TC_VIO_728</t>
  </si>
  <si>
    <t>`구분` 이 `개별` 인 수신 대상 행이 표출된 상태</t>
  </si>
  <si>
    <t>1. 해당 행 최좌측 펼치기 컨트롤 상태 확인</t>
  </si>
  <si>
    <t>펼치기 컨트롤 상태 관측
ㄴ UI mock 과 Description 이 상반 — PASS/FAIL 판정 대신 실측 상태를 `실제 결과`에 기재</t>
  </si>
  <si>
    <t>[DESC 1항-1a] `개별` 인 경우 펼치기 비활성화</t>
  </si>
  <si>
    <t>[정책 예외] 문서 기본=변경 / 이 화면=신규 [UI↔DESC 불일치] X-1 UI: 부모 행 2 `개별` 이 펼침 상태로 하위 테이블 표출 / DESC 1항-1-a: `'그룹' 컬럼의 경우 펼치기 기능 활성화 (개별인 경우 비활성화)` — 기획 확인 필요</t>
  </si>
  <si>
    <t>729</t>
  </si>
  <si>
    <t>TC_VIO_729</t>
  </si>
  <si>
    <t>`구분` 이 `그룹` 인 행이 접힘 상태로 표출된 상태</t>
  </si>
  <si>
    <t>1. 해당 행의 펼치기 컨트롤 클릭</t>
  </si>
  <si>
    <t>행 하위에 구성원 목록 Table 표출</t>
  </si>
  <si>
    <t>[DESC 1항-1b] `펼침 시 : 1-1항 참고`</t>
  </si>
  <si>
    <t>[정책 예외] 문서 기본=변경 / 이 화면=신규 [확인 불가] U-5 접힘·펼침 전환 동작과 기본 상태가 이 페이지에 미정의 — 기획 확인 필요</t>
  </si>
  <si>
    <t>730</t>
  </si>
  <si>
    <t>TC_VIO_730</t>
  </si>
  <si>
    <t>`구분` 이 `그룹` 인 행이 펼침 상태인 상태</t>
  </si>
  <si>
    <t>1. 해당 행의 펼치기 컨트롤 재클릭</t>
  </si>
  <si>
    <t>재클릭 후 하위 테이블 표출 상태 관측
ㄴ 기획 미정의 항목 — PASS/FAIL 판정 대신 실측 상태를 `실제 결과`에 기재</t>
  </si>
  <si>
    <t>[확인 불가 기반] [UI] p48 펼침 상태 재클릭 시 접힘 여부</t>
  </si>
  <si>
    <t>[정책 예외] 문서 기본=변경 / 이 화면=신규 [확인 불가] U-5 접힘 전환 동작이 이 페이지에 미정의 — 기획 확인 필요</t>
  </si>
  <si>
    <t>731</t>
  </si>
  <si>
    <t>TC_VIO_731</t>
  </si>
  <si>
    <t>`구분` 이 `그룹` 인 행이 2건 이상 표출되고 모두 접힘 상태</t>
  </si>
  <si>
    <t>1. 그룹 행 2건의 펼치기 컨트롤을 차례로 클릭</t>
  </si>
  <si>
    <t>두 행의 하위 테이블 동시 표출 여부 관측
ㄴ 기획 미정의 항목 — PASS/FAIL 판정 대신 실측 상태를 `실제 결과`에 기재</t>
  </si>
  <si>
    <t>[확인 불가 기반] [UI] p48 부모 행 2·3 동시 펼침 mock — 다중 펼침 허용 여부</t>
  </si>
  <si>
    <t>[정책 예외] 문서 기본=변경 / 이 화면=신규 [확인 불가] U-5 다중 펼침 허용 여부가 이 페이지에 미정의 — 기획 확인 필요</t>
  </si>
  <si>
    <t>732</t>
  </si>
  <si>
    <t>TC_VIO_732</t>
  </si>
  <si>
    <t>1. 테이블 두 번째 컬럼 헤더 확인</t>
  </si>
  <si>
    <t>`이름` 컬럼이 `구분` 우측 컬럼으로 표출</t>
  </si>
  <si>
    <t>[DESC 1항-2] [UI] p48 `이름` 컬럼 헤더</t>
  </si>
  <si>
    <t>733</t>
  </si>
  <si>
    <t>TC_VIO_733</t>
  </si>
  <si>
    <t>1. 테이블 세 번째 컬럼 헤더 확인</t>
  </si>
  <si>
    <t>`수신 채널` 컬럼이 `이름` 우측 컬럼으로 표출</t>
  </si>
  <si>
    <t>[DESC 1항-3] [UI] p48 `수신 채널` 컬럼 헤더</t>
  </si>
  <si>
    <t>734</t>
  </si>
  <si>
    <t>TC_VIO_734</t>
  </si>
  <si>
    <t>1. 테이블 네 번째 컬럼 헤더 확인</t>
  </si>
  <si>
    <t>`수신 정책` 컬럼이 `수신 채널` 우측 컬럼으로 표출</t>
  </si>
  <si>
    <t>[DESC 1항-4] [UI] p48 `수신 정책` 컬럼 헤더</t>
  </si>
  <si>
    <t>735</t>
  </si>
  <si>
    <t>TC_VIO_735</t>
  </si>
  <si>
    <t>1. 테이블 다섯 번째 컬럼 헤더 확인</t>
  </si>
  <si>
    <t>`수신 주기` 컬럼이 최우측 컬럼으로 표출</t>
  </si>
  <si>
    <t>[DESC 1항-5] [UI] p48 `수신 주기` 컬럼 헤더</t>
  </si>
  <si>
    <t>736</t>
  </si>
  <si>
    <t>TC_VIO_736</t>
  </si>
  <si>
    <t>`수신 주기` 가 `사용자 설정` 인 수신 대상 행이 표출된 상태</t>
  </si>
  <si>
    <t>1. 해당 행의 `수신 주기` 셀 표기 확인</t>
  </si>
  <si>
    <t>설정값만 표기
ㄴ 기획서 UI가 더미 `15분` 표기 — 실 값은 실측 상태를 `실제 결과`에 기재</t>
  </si>
  <si>
    <t>[DESC 1항-5a] `'사용자 설정'인 경우 설정값만 표기`</t>
  </si>
  <si>
    <t>737</t>
  </si>
  <si>
    <t>TC_VIO_737</t>
  </si>
  <si>
    <t>1. 테이블 헤더의 정렬 아이콘 표출 컬럼 확인</t>
  </si>
  <si>
    <t>`구분` · `이름` · `수신 정책` 3개 컬럼에 정렬 아이콘 표출</t>
  </si>
  <si>
    <t>[UI] p48 정렬 아이콘 제공 컬럼 3종 — DESC 1항-b1 미제공 규정과 정합</t>
  </si>
  <si>
    <t>738</t>
  </si>
  <si>
    <t>TC_VIO_738</t>
  </si>
  <si>
    <t>정렬을 조작하지 않은 목록 초기 표출 상태</t>
  </si>
  <si>
    <t>1. 목록 초기 진입 시 정렬 상태 확인</t>
  </si>
  <si>
    <t>기본 정렬 컬럼과 방향 관측
ㄴ 기획 미정의 항목 — PASS/FAIL 판정 대신 실측 상태를 `실제 결과`에 기재</t>
  </si>
  <si>
    <t>[확인 불가 기반] [UI] p48 Sort 제공 컬럼의 기본 정렬 상태</t>
  </si>
  <si>
    <t>[정책 예외] 문서 기본=변경 / 이 화면=신규 [확인 불가] U-10 기본 정렬 컬럼·방향·토글 순서가 이 페이지에 미정의 — 기획 확인 필요</t>
  </si>
  <si>
    <t>739</t>
  </si>
  <si>
    <t>TC_VIO_739</t>
  </si>
  <si>
    <t>1. `수신 정책` 컬럼 헤더의 물음표 아이콘 확인</t>
  </si>
  <si>
    <t>`수신 정책` 헤더 우측에 물음표 아이콘 표출</t>
  </si>
  <si>
    <t>[UI] p48 `수신 정책` 헤더 물음표 아이콘</t>
  </si>
  <si>
    <t>[정책 예외] 문서 기본=변경 / 이 화면=신규 [확인 불가] U-3 툴팁 문구가 이 페이지에 미정의 / 위임처 순번 28 `TC_VIO_500` 이 `설정한 심각도 이상의 알람을 수신합니다.` 로 정의하나 이 화면 위임 여부 미명시 — 기획 확인 필요</t>
  </si>
  <si>
    <t>740</t>
  </si>
  <si>
    <t>TC_VIO_740</t>
  </si>
  <si>
    <t>1. 해당 행 `이름` 셀 우측 배지 확인</t>
  </si>
  <si>
    <t>인원 수 배지 표출
ㄴ 기획서 UI가 더미 `n명` 표기 — 실 값은 실측 상태를 `실제 결과`에 기재</t>
  </si>
  <si>
    <t>[UI] p48 그룹 행 `n명` 배지</t>
  </si>
  <si>
    <t>[정책 예외] 문서 기본=변경 / 이 화면=신규 [확인 불가] U-6 `n` 산출 기준과 표기 규칙이 이 페이지에 미정의 — 기획 확인 필요</t>
  </si>
  <si>
    <t>741</t>
  </si>
  <si>
    <t>TC_VIO_741</t>
  </si>
  <si>
    <t>수신 채널이 복수 등록된 수신 대상 행이 표출된 상태</t>
  </si>
  <si>
    <t>1. 해당 행 `수신 채널` 셀의 배지 확인</t>
  </si>
  <si>
    <t>채널 pill 뒤에 추가 개수 배지 표출
ㄴ 기획서 UI가 더미 `+N` 표기 — 실 값은 실측 상태를 `실제 결과`에 기재</t>
  </si>
  <si>
    <t>[UI] p48 `수신 채널` 셀 `+N` 배지</t>
  </si>
  <si>
    <t>[정책 예외] 문서 기본=변경 / 이 화면=신규 [확인 불가] U-9 `+N` 산출 기준·접힘 임계·클릭 동작이 이 페이지에 미정의 / 위임처 순번 28 `TC_VIO_493` 은 `3개까지 표출 후 '외 n' 처리` 로 다른 문자열을 규정 — 동일 규칙 여부와 임계값 확인 필요</t>
  </si>
  <si>
    <t>742</t>
  </si>
  <si>
    <t>TC_VIO_742</t>
  </si>
  <si>
    <t>1. 각 행 `수신 채널` 셀의 표기 형태 확인</t>
  </si>
  <si>
    <t>채널이 pill 형태로 표출
ㄴ 기획서 UI가 더미 `Email` 표기 — 실 값은 실측 상태를 `실제 결과`에 기재</t>
  </si>
  <si>
    <t>[UI] p48 `수신 채널` 셀 pill 표기</t>
  </si>
  <si>
    <t>[정책 예외] 문서 기본=변경 / 이 화면=신규 [확인 불가] `수신 채널` 값 enum 과 표기 규칙이 이 페이지에 미정의 — 기획 확인 필요</t>
  </si>
  <si>
    <t>743</t>
  </si>
  <si>
    <t>TC_VIO_743</t>
  </si>
  <si>
    <t>1. 각 행 `수신 정책` 셀의 표기 확인</t>
  </si>
  <si>
    <t>심각도 기준 문자열 표출
ㄴ 기획서 UI가 더미 `Warning 이상` · `Critical 이상` 표기 — 실 값은 실측 상태를 `실제 결과`에 기재</t>
  </si>
  <si>
    <t>[UI] p48 `수신 정책` 셀 값 표기</t>
  </si>
  <si>
    <t>[정책 예외] 문서 기본=변경 / 이 화면=신규 [확인 불가] `수신 정책` 값 enum 과 표기 규칙이 이 페이지에 미정의 — 기획 확인 필요</t>
  </si>
  <si>
    <t>744</t>
  </si>
  <si>
    <t>TC_VIO_744</t>
  </si>
  <si>
    <t>1. 각 행 `수신 주기` 셀의 표기 확인</t>
  </si>
  <si>
    <t>주기 문자열 표출
ㄴ 기획서 UI가 더미 `알람 발생 시마다` 표기 — 실 값은 실측 상태를 `실제 결과`에 기재</t>
  </si>
  <si>
    <t>[UI] p48 `수신 주기` 셀 값 표기</t>
  </si>
  <si>
    <t>[정책 예외] 문서 기본=변경 / 이 화면=신규 [확인 불가] `수신 주기` 값 enum 이 이 페이지에 미정의 — 기획 확인 필요</t>
  </si>
  <si>
    <t>745</t>
  </si>
  <si>
    <t>TC_VIO_745</t>
  </si>
  <si>
    <t>`이름` 값이 셀 너비를 초과하는 수신 대상 행이 표출된 상태</t>
  </si>
  <si>
    <t>1. 해당 행 `이름` 셀의 표기 확인</t>
  </si>
  <si>
    <t>장문 이름의 표기 처리 관측
ㄴ 기획 미정의 항목 — PASS/FAIL 판정 대신 실측 상태를 `실제 결과`에 기재</t>
  </si>
  <si>
    <t>[확인 불가 기반] [UI] p48 부모 행 3 장문 더미 이름 표기</t>
  </si>
  <si>
    <t>[정책 예외] 문서 기본=변경 / 이 화면=신규 [확인 불가] 장문 이름의 말줄임·툴팁 처리가 이 페이지에 미정의 — 기획 확인 필요</t>
  </si>
  <si>
    <t>746</t>
  </si>
  <si>
    <t>TC_VIO_746</t>
  </si>
  <si>
    <t>1. 펼쳐진 행 하위 영역 확인</t>
  </si>
  <si>
    <t>그룹 수신자 구성원 목록 영역 표출</t>
  </si>
  <si>
    <t>[DESC 1-1항] `그룹 수신자 펼침 시` 영역 [공통 DESC C21]</t>
  </si>
  <si>
    <t>747</t>
  </si>
  <si>
    <t>TC_VIO_747</t>
  </si>
  <si>
    <t>1. 펼쳐진 하위 영역의 구성 형태 확인</t>
  </si>
  <si>
    <t>구성원 목록이 Table 형태로 제공</t>
  </si>
  <si>
    <t>[DESC 1-1항-b1] `구성원 목록 Table 제공`</t>
  </si>
  <si>
    <t>748</t>
  </si>
  <si>
    <t>TC_VIO_748</t>
  </si>
  <si>
    <t>구성원이 2명 이상인 그룹 행이 펼침 상태인 상태</t>
  </si>
  <si>
    <t>1. 구성원 블록의 행 순서 확인</t>
  </si>
  <si>
    <t>구성원이 이름 기준 오름차순 정렬</t>
  </si>
  <si>
    <t>[DESC 1-1항-b1a] [강조] 구성원 이름 기준 오름차순</t>
  </si>
  <si>
    <t>749</t>
  </si>
  <si>
    <t>TC_VIO_749</t>
  </si>
  <si>
    <t>Slack 채널이 2건 이상 포함된 그룹 행이 펼침 상태인 상태</t>
  </si>
  <si>
    <t>1. Slack 채널 블록의 행 순서 확인</t>
  </si>
  <si>
    <t>Slack 채널이 채널 이름 기준 오름차순 정렬</t>
  </si>
  <si>
    <t>[DESC 1-1항-b1a] [강조] Slack 채널 채널 이름 기준 오름차순</t>
  </si>
  <si>
    <t>750</t>
  </si>
  <si>
    <t>TC_VIO_750</t>
  </si>
  <si>
    <t>구성원과 Slack 채널이 함께 포함된 그룹 행이 펼침 상태인 상태</t>
  </si>
  <si>
    <t>1. 구성원 블록과 Slack 채널 블록의 배치 순서 확인</t>
  </si>
  <si>
    <t>구성원 블록이 먼저 배치되고 Slack 채널 블록이 뒤에 배치</t>
  </si>
  <si>
    <t>[DESC 1-1항-b1a] [강조] 2단 정렬 — 구성원 다음 Slack 채널 순</t>
  </si>
  <si>
    <t>751</t>
  </si>
  <si>
    <t>TC_VIO_751</t>
  </si>
  <si>
    <t>1. 구성원 목록 Table 의 첫 번째 컬럼 헤더 확인</t>
  </si>
  <si>
    <t>`구성원 이름` 컬럼이 최좌측 컬럼으로 표출</t>
  </si>
  <si>
    <t>[DESC 1-1항-1] [강조] `구성원 이름` 컬럼</t>
  </si>
  <si>
    <t>752</t>
  </si>
  <si>
    <t>TC_VIO_752</t>
  </si>
  <si>
    <t>구성원이 Slack 채널이 아닌 그룹 행이 펼침 상태인 상태</t>
  </si>
  <si>
    <t>1. 해당 구성원 행의 `구성원 이름` 셀 확인</t>
  </si>
  <si>
    <t>수신자 등록 시 입력한 이름 표출</t>
  </si>
  <si>
    <t>[DESC 1-1항-1a] [강조] `수신자 등록 시 입력한 이름 표출`</t>
  </si>
  <si>
    <t>753</t>
  </si>
  <si>
    <t>TC_VIO_753</t>
  </si>
  <si>
    <t>구성원에 Slack 채널이 포함된 그룹 행이 펼침 상태인 상태</t>
  </si>
  <si>
    <t>1. Slack 채널 행의 `구성원 이름` 셀 확인</t>
  </si>
  <si>
    <t>Slack 채널이 tag 형태로 표시</t>
  </si>
  <si>
    <t>[DESC 1-1항-1b] [강조] `단, Slack 채널의 경우 tag로 표시`</t>
  </si>
  <si>
    <t>754</t>
  </si>
  <si>
    <t>TC_VIO_754</t>
  </si>
  <si>
    <t>1. 구성원 목록 Table 의 두 번째 컬럼 헤더 확인</t>
  </si>
  <si>
    <t>두 번째 컬럼 헤더 라벨 관측
ㄴ UI mock 과 Description 이 상반 — PASS/FAIL 판정 대신 실측 상태를 `실제 결과`에 기재</t>
  </si>
  <si>
    <t>[DESC 1-1항-2] [강조] `채널 등록 정보` 컬럼</t>
  </si>
  <si>
    <t>[정책 예외] 문서 기본=변경 / 이 화면=신규 [UI↔DESC 불일치] X-2 UI: 부모 행 2 하위 헤더 `채널 등록 정보` / 부모 행 3 하위 헤더 `사용자 지정` / DESC 1-1항-2: `채널 등록 정보` — 라벨 통일 확인 필요</t>
  </si>
  <si>
    <t>755</t>
  </si>
  <si>
    <t>TC_VIO_755</t>
  </si>
  <si>
    <t>구성원이 1명 이상인 그룹 행이 펼침 상태인 상태</t>
  </si>
  <si>
    <t>1. 구성원 행의 두 번째 컬럼 셀 확인</t>
  </si>
  <si>
    <t>수신자에게 등록된 수신 채널 정보가 tag 로 표시
ㄴ `채널 유형` 과 `이름` 중 무엇을 쓰는지 기획 미정의 — PASS/FAIL 판정 대신 실측 상태를 `실제 결과`에 기재</t>
  </si>
  <si>
    <t>[DESC 1-1항-2a] [강조] 수신 채널 정보 tag 표시</t>
  </si>
  <si>
    <t>[정책 예외] 문서 기본=변경 / 이 화면=신규 [확인 불가] U-8 `채널 유형 또는 이름` 의 택일 조건이 미정의 / UI mock 은 `Email` · `Slack` 유형과 `{channel-name}` 이름을 한 셀에 동시 표출 — 기획 확인 필요</t>
  </si>
  <si>
    <t>756</t>
  </si>
  <si>
    <t>TC_VIO_756</t>
  </si>
  <si>
    <t>1. 구성원 목록 Table 의 세 번째 컬럼 헤더 확인</t>
  </si>
  <si>
    <t>`수신 허용 시간` 컬럼이 최우측 컬럼으로 표출</t>
  </si>
  <si>
    <t>[DESC 1-1항-3] [강조] `수신 허용 시간` 컬럼</t>
  </si>
  <si>
    <t>757</t>
  </si>
  <si>
    <t>TC_VIO_757</t>
  </si>
  <si>
    <t>1. 구성원 목록 Table 의 헤더 구성 확인</t>
  </si>
  <si>
    <t>`구성원 이름` · `채널 등록 정보` · `수신 허용 시간` 순으로 컬럼 3종 표출</t>
  </si>
  <si>
    <t>[UI] p48 구성원 목록 Table 컬럼 구성 3종</t>
  </si>
  <si>
    <t>[정책 예외] 문서 기본=변경 / 이 화면=신규 [UI↔DESC 불일치] X-2 부모 행 3 하위 헤더의 중간 컬럼은 `사용자 지정` 으로 표출 — 라벨 통일 확인 필요</t>
  </si>
  <si>
    <t>758</t>
  </si>
  <si>
    <t>TC_VIO_758</t>
  </si>
  <si>
    <t>구성원 목록 Table 의 `수신 허용 시간` 헤더 툴팁이 표출된 상태</t>
  </si>
  <si>
    <t>1. 표출된 툴팁 문구 확인</t>
  </si>
  <si>
    <t>`수신자 등록 시 설정한 허용 시간을 표시합니다.` 표출</t>
  </si>
  <si>
    <t>[UI] p48 `수신 허용 시간` 헤더 툴팁 문구 원문</t>
  </si>
  <si>
    <t>[정책 예외] 문서 기본=변경 / 이 화면=신규 [확인 불가] 툴팁 호출 트리거가 호버인지 클릭인지 이 페이지에 미정의 — 기획 확인 필요</t>
  </si>
  <si>
    <t>759</t>
  </si>
  <si>
    <t>TC_VIO_759</t>
  </si>
  <si>
    <t>1. 구성원 행의 `수신 허용 시간` 셀 확인</t>
  </si>
  <si>
    <t>수신 허용 시간 값 표출
ㄴ 기획서 UI가 플레이스홀더 `{BootFactory 표기 정책에 따름}` 표기 — 실 값은 실측 상태를 `실제 결과`에 기재</t>
  </si>
  <si>
    <t>[UI] p48 `수신 허용 시간` 셀 플레이스홀더</t>
  </si>
  <si>
    <t>[정책 예외] 문서 기본=변경 / 이 화면=신규 [확인 불가] U-4 실제 표기 형식이 BootFactory 표기 정책에 위임돼 이 문서 밖 — 기획 확인 필요</t>
  </si>
  <si>
    <t>760</t>
  </si>
  <si>
    <t>TC_VIO_760</t>
  </si>
  <si>
    <t>그룹 행 2건이 모두 펼침 상태인 상태</t>
  </si>
  <si>
    <t>1. 두 펼침 영역의 두 번째 컬럼 헤더 라벨 비교</t>
  </si>
  <si>
    <t>두 헤더의 라벨 일치 여부 관측
ㄴ UI mock 과 Description 이 상반 — PASS/FAIL 판정 대신 실측 상태를 `실제 결과`에 기재</t>
  </si>
  <si>
    <t>[확인 불가 기반] [UI] p48 하위 헤더 라벨 `채널 등록 정보` 와 `사용자 지정` 병존</t>
  </si>
  <si>
    <t>[정책 예외] 문서 기본=변경 / 이 화면=신규 [UI↔DESC 불일치] X-2 UI: `채널 등록 정보` 와 `사용자 지정` 병존 / DESC 1-1항-2: `채널 등록 정보` 단일 — 기획 확인 필요</t>
  </si>
  <si>
    <t>761</t>
  </si>
  <si>
    <t>TC_VIO_761</t>
  </si>
  <si>
    <t>BootFactory `최고 관리자` 역할이 부여된 계정으로 수신 대상 탭에 진입한 상태</t>
  </si>
  <si>
    <t>1. 테이블 상단 우측 툴바 확인</t>
  </si>
  <si>
    <t>`수신자 관리` 버튼이 툴바 우측에 표출</t>
  </si>
  <si>
    <t>[DESC 1-2항] `수신자 관리` 버튼 영역 [공통 DESC C21]</t>
  </si>
  <si>
    <t>[정책 예외] 문서 기본=변경 / 이 화면=신규 [확인 불가] U-2 원문에 `역할 B/F 검토 중` 이 병기돼 역할 정책이 확정 전 — 기획 확인 필요</t>
  </si>
  <si>
    <t>762</t>
  </si>
  <si>
    <t>TC_VIO_762</t>
  </si>
  <si>
    <t>1. `최고 관리자` 역할 상태에서 `수신자 관리` 제공 여부 확인</t>
  </si>
  <si>
    <t>`수신자 관리` 버튼 제공</t>
  </si>
  <si>
    <t>[DESC 1-2항-b1] [강조] BootFactory `최고 관리자` 역할이 부여된 경우에만 제공</t>
  </si>
  <si>
    <t>763</t>
  </si>
  <si>
    <t>TC_VIO_763</t>
  </si>
  <si>
    <t>BootFactory `최고 관리자` 외 역할 계정으로 로그인해 수신 대상 탭에 진입하고 목록이 정상 표출된 상태</t>
  </si>
  <si>
    <t>`수신자 관리` 버튼 미제공
ㄴ 미제공 외형이 숨김인지 비활성인지 기획 미정의 — PASS/FAIL 판정 대신 실측 상태를 `실제 결과`에 기재</t>
  </si>
  <si>
    <t>[DESC 1-2항-b1] [강조] `이외 역할 미제공` 규정</t>
  </si>
  <si>
    <t>[정책 예외] 문서 기본=변경 / 이 화면=신규 [확인 불가] U-2 역할 목록과 미제공 외형이 미정의 / 원문에 `역할 B/F 검토 중` 병기 — 기획 확인 필요</t>
  </si>
  <si>
    <t>764</t>
  </si>
  <si>
    <t>TC_VIO_764</t>
  </si>
  <si>
    <t>BootFactory `최고 관리자` 역할 계정으로 진입해 `수신자 관리` 버튼이 표출된 상태</t>
  </si>
  <si>
    <t>BootFactory `수신자 관리` 목록 화면으로 이동</t>
  </si>
  <si>
    <t>[DESC 1-2항-b2] [강조] 클릭 시 BootFactory `수신자 관리` 목록 화면 이동</t>
  </si>
  <si>
    <t>[정책 예외] 문서 기본=변경 / 이 화면=신규 [확인 불가] U-1 이동 방식이 새 창인지 현재 창인지와 이동 후 화면 내용이 미정의 / 대상이 타 제품 BootFactory 문서라 이 기획서에 정의처 없음 — 기획 확인 필요</t>
  </si>
  <si>
    <t>765</t>
  </si>
  <si>
    <t>TC_VIO_765</t>
  </si>
  <si>
    <t>1. `수신자 관리` 버튼의 아이콘 확인</t>
  </si>
  <si>
    <t>라벨 우측에 외부 링크 아이콘 표출</t>
  </si>
  <si>
    <t>[UI] p48 `수신자 관리` 버튼 외부 링크 아이콘</t>
  </si>
  <si>
    <t>[정책 예외] 문서 기본=변경 / 이 화면=신규 [확인 불가] 외부 링크 아이콘이 새 창 이동을 뜻하는지 이 페이지에 명시 없음 — 기획 확인 필요</t>
  </si>
  <si>
    <t>766</t>
  </si>
  <si>
    <t>TC_VIO_766</t>
  </si>
  <si>
    <t>1. 테이블 하단 좌측 건수 표기 확인</t>
  </si>
  <si>
    <t>전체 건수 표기 표출
ㄴ 기획서 UI가 플레이스홀더 `전체 수 N` 표기 — 실 값은 실측 상태를 `실제 결과`에 기재</t>
  </si>
  <si>
    <t>[UI] p48 푸터 `전체 수 N` 표기</t>
  </si>
  <si>
    <t>[정책 예외] 문서 기본=변경 / 이 화면=신규 [확인 불가] U-7 건수 산출 기준과 표기 규칙이 이 페이지에 미정의 — 기획 확인 필요</t>
  </si>
  <si>
    <t>767</t>
  </si>
  <si>
    <t>TC_VIO_767</t>
  </si>
  <si>
    <t>1. 테이블 하단 중앙 페이지네이션 확인</t>
  </si>
  <si>
    <t>처음·이전·현재 페이지·다음·마지막 컨트롤 표출
ㄴ 기획서 UI가 더미 총 페이지 `/ 99` 표기 — 실 값은 실측 상태를 `실제 결과`에 기재</t>
  </si>
  <si>
    <t>[UI] p48 푸터 페이지네이션 컨트롤</t>
  </si>
  <si>
    <t>[정책 예외] 문서 기본=변경 / 이 화면=신규 [확인 불가] 페이지네이션 동작이 이 페이지에 미정의 — 기획 확인 필요</t>
  </si>
  <si>
    <t>768</t>
  </si>
  <si>
    <t>TC_VIO_768</t>
  </si>
  <si>
    <t>1. 테이블 하단 우측 리스트 수 선택기 확인</t>
  </si>
  <si>
    <t>`리스트 수 20` 선택기와 셰브론 표출
ㄴ 기획서 UI가 더미 `20` 표기 — 기본값 여부는 실측 상태를 `실제 결과`에 기재</t>
  </si>
  <si>
    <t>[UI] p48 푸터 `리스트 수` 선택기</t>
  </si>
  <si>
    <t>[정책 예외] 문서 기본=변경 / 이 화면=신규 [확인 불가] U-7 리스트 수 기본값과 선택 가능 값이 이 페이지에 미정의 — 기획 확인 필요</t>
  </si>
  <si>
    <t>769</t>
  </si>
  <si>
    <t>TC_VIO_769</t>
  </si>
  <si>
    <t>VIOE-04_06_06</t>
  </si>
  <si>
    <t>외부 알람 상세 - 발송 이력</t>
  </si>
  <si>
    <t>외부 알람 상세 화면에서 `발송 이력` 탭이 선택된 상태</t>
  </si>
  <si>
    <t>[UI] p49 Breadcrumb 원문 `모니터링 / 외부 알람 설정 / 알람 상세`</t>
  </si>
  <si>
    <t>770</t>
  </si>
  <si>
    <t>TC_VIO_770</t>
  </si>
  <si>
    <t>[UI] p49 LNB `외부 알람 설정` 선택 상태</t>
  </si>
  <si>
    <t>771</t>
  </si>
  <si>
    <t>TC_VIO_771</t>
  </si>
  <si>
    <t>[UI] p49 클러스터 선택기 — 이 페이지에 동작 정의 없음</t>
  </si>
  <si>
    <t>772</t>
  </si>
  <si>
    <t>TC_VIO_772</t>
  </si>
  <si>
    <t>차트 아이콘을 동반한 `모니터링 현황` 버튼 표출</t>
  </si>
  <si>
    <t>[UI] p49 `모니터링 현황` 버튼 — 이 페이지에 동작 정의 없음</t>
  </si>
  <si>
    <t>773</t>
  </si>
  <si>
    <t>TC_VIO_773</t>
  </si>
  <si>
    <t>[UI] p49 페이지 타이틀 뒤로 아이콘 + `{리소스명}` 토큰</t>
  </si>
  <si>
    <t>774</t>
  </si>
  <si>
    <t>TC_VIO_774</t>
  </si>
  <si>
    <t>[UI] p49 `수정` 버튼 — 이 페이지에 동작 정의 없음</t>
  </si>
  <si>
    <t>775</t>
  </si>
  <si>
    <t>TC_VIO_775</t>
  </si>
  <si>
    <t>`삭제` 버튼이 빨간 휴지통 아이콘과 빨강 라벨로 표출</t>
  </si>
  <si>
    <t>[UI] p49 `삭제` 버튼 위험 액션 색상</t>
  </si>
  <si>
    <t>776</t>
  </si>
  <si>
    <t>TC_VIO_776</t>
  </si>
  <si>
    <t>[UI] p49 탭 구성 3종</t>
  </si>
  <si>
    <t>777</t>
  </si>
  <si>
    <t>TC_VIO_777</t>
  </si>
  <si>
    <t>1. `발송 이력` 탭의 외형 확인</t>
  </si>
  <si>
    <t>`발송 이력` 탭이 초록 라벨과 초록 밑줄로 선택 상태 표출</t>
  </si>
  <si>
    <t>[UI] p49 `발송 이력` 탭 선택 외형</t>
  </si>
  <si>
    <t>778</t>
  </si>
  <si>
    <t>TC_VIO_778</t>
  </si>
  <si>
    <t>1. `세부 정보` 와 `수신 대상` 탭의 외형 확인</t>
  </si>
  <si>
    <t>[UI] p49 미선택 탭 외형</t>
  </si>
  <si>
    <t>779</t>
  </si>
  <si>
    <t>TC_VIO_779</t>
  </si>
  <si>
    <t>[UI] p49 검색·필터 입력 placeholder 원문</t>
  </si>
  <si>
    <t>[정책 예외] 문서 기본=변경 / 이 화면=신규 [확인 불가] U-6 컬럼별 필터 UI 없이 단일 입력 1개뿐이라 검색 대상 컬럼이 미정의 — 기획 확인 필요</t>
  </si>
  <si>
    <t>780</t>
  </si>
  <si>
    <t>TC_VIO_780</t>
  </si>
  <si>
    <t>솔루션 내 ConfigMap 에 표출 언어가 설정된 상태에서 알람이 발송되고 발송 이력이 표출된 상태</t>
  </si>
  <si>
    <t>1. 발송된 알람의 제목·본문 언어 확인</t>
  </si>
  <si>
    <t>발송 당시 `ConfigMap` 에 설정된 언어 기준으로 제목·본문 표출</t>
  </si>
  <si>
    <t>[DESC 머리] 발송 제목·본문 언어는 발송 당시 `ConfigMap` 설정 기준</t>
  </si>
  <si>
    <t>781</t>
  </si>
  <si>
    <t>TC_VIO_781</t>
  </si>
  <si>
    <t>1. 발송 이력 테이블의 헤더 구성 확인</t>
  </si>
  <si>
    <t>`구분` · `채널` · `수신 대상` · `제목` · `결과` · `수신 현황` 순으로 컬럼 6종 표출</t>
  </si>
  <si>
    <t>[DESC 1항] [UI] p49 발송 이력 테이블 컬럼 구성 6종 [공통 DESC C22]</t>
  </si>
  <si>
    <t>[정책 예외] 문서 기본=변경 / 이 화면=신규 [UI↔DESC 불일치] X-1 UI: 1열 헤더 라벨 `구분` / DESC 1항-1: `발송일시` — 라벨 확인 필요</t>
  </si>
  <si>
    <t>782</t>
  </si>
  <si>
    <t>TC_VIO_782</t>
  </si>
  <si>
    <t>1. `채널` 컬럼 헤더의 정렬 아이콘 유무 확인</t>
  </si>
  <si>
    <t>`채널` 헤더에 정렬 아이콘 미표출</t>
  </si>
  <si>
    <t>[DESC 1항-b1] `컬럼 Sort 미제공 : 채널, 제목, 결과, 수신 현황` — `채널`</t>
  </si>
  <si>
    <t>783</t>
  </si>
  <si>
    <t>TC_VIO_783</t>
  </si>
  <si>
    <t>1. `제목` 컬럼 헤더의 정렬 아이콘 유무 확인</t>
  </si>
  <si>
    <t>`제목` 헤더에 정렬 아이콘 미표출</t>
  </si>
  <si>
    <t>[DESC 1항-b1] `컬럼 Sort 미제공 : 채널, 제목, 결과, 수신 현황` — `제목`</t>
  </si>
  <si>
    <t>784</t>
  </si>
  <si>
    <t>TC_VIO_784</t>
  </si>
  <si>
    <t>1. `결과` 컬럼 헤더의 정렬 아이콘 유무 확인</t>
  </si>
  <si>
    <t>`결과` 헤더에 정렬 아이콘 미표출</t>
  </si>
  <si>
    <t>[DESC 1항-b1] `컬럼 Sort 미제공 : 채널, 제목, 결과, 수신 현황` — `결과`</t>
  </si>
  <si>
    <t>785</t>
  </si>
  <si>
    <t>TC_VIO_785</t>
  </si>
  <si>
    <t>1. `수신 현황` 컬럼 헤더의 정렬 아이콘 유무 확인</t>
  </si>
  <si>
    <t>`수신 현황` 헤더에 정렬 아이콘 미표출</t>
  </si>
  <si>
    <t>[DESC 1항-b1] `컬럼 Sort 미제공 : 채널, 제목, 결과, 수신 현황` — `수신 현황`</t>
  </si>
  <si>
    <t>786</t>
  </si>
  <si>
    <t>TC_VIO_786</t>
  </si>
  <si>
    <t>정렬·검색·기간 변경을 적용하지 않고 페이지 이동도 없는 발송 이력 목록 초기 표출 상태</t>
  </si>
  <si>
    <t>1. Sort 미제공 4개 컬럼 헤더를 각각 클릭</t>
  </si>
  <si>
    <t>[DESC 1항-b1] Sort 미제공 4컬럼 — 헤더 클릭 시 정렬 미동작</t>
  </si>
  <si>
    <t>787</t>
  </si>
  <si>
    <t>TC_VIO_787</t>
  </si>
  <si>
    <t>발송 이력 목록에 발송 이력 행이 1건 이상 표출된 상태</t>
  </si>
  <si>
    <t>1. 검색 입력에 `제목` 값을 입력해 검색 시도</t>
  </si>
  <si>
    <t>검색 결과 관측
ㄴ 기획 미정의 항목 — PASS/FAIL 판정 대신 실측 상태를 `실제 결과`에 기재</t>
  </si>
  <si>
    <t>[확인 불가 기반] [DESC 1항-b2] `검색 필터 미제공 : 제목, 수신 현황` — `제목`</t>
  </si>
  <si>
    <t>[정책 예외] 문서 기본=변경 / 이 화면=신규 [확인 불가] U-6 컬럼별 필터가 없고 단일 검색 입력뿐이라 `제목` 미검색을 관측할 방법이 미정의 — 기획 확인 필요</t>
  </si>
  <si>
    <t>788</t>
  </si>
  <si>
    <t>TC_VIO_788</t>
  </si>
  <si>
    <t>1. 검색 입력에 `수신 현황` 값을 입력해 검색 시도</t>
  </si>
  <si>
    <t>[확인 불가 기반] [DESC 1항-b2] `검색 필터 미제공 : 제목, 수신 현황` — `수신 현황`</t>
  </si>
  <si>
    <t>[정책 예외] 문서 기본=변경 / 이 화면=신규 [확인 불가] U-6 컬럼별 필터가 없고 단일 검색 입력뿐이라 `수신 현황` 미검색을 관측할 방법이 미정의 — 기획 확인 필요</t>
  </si>
  <si>
    <t>789</t>
  </si>
  <si>
    <t>TC_VIO_789</t>
  </si>
  <si>
    <t>발송 이력 탭에 최초 진입해 기간 설정을 변경하지 않은 상태</t>
  </si>
  <si>
    <t>1. 발송 이력 탭 최초 진입 시 기간 설정 select 의 값 확인</t>
  </si>
  <si>
    <t>기간 설정 기본값 `7일` 표출</t>
  </si>
  <si>
    <t>[DESC 1항-b3] `기간 설정 Default : 7일`</t>
  </si>
  <si>
    <t>[정책 예외] 문서 기본=변경 / 이 화면=신규 [확인 불가] U-7 기간 설정 Options 목록이 이 페이지에 미정의 — 기획 확인 필요 [확인 불가] U-7 `해당 화면에서만 기본값 예외 처리` 의 대조 대상 화면과 그 기본값이 이 페이지에 미정의 — 기획 확인 필요</t>
  </si>
  <si>
    <t>790</t>
  </si>
  <si>
    <t>TC_VIO_790</t>
  </si>
  <si>
    <t>1. 다른 화면의 기간 설정 기본값과 이 화면 기본값 대조</t>
  </si>
  <si>
    <t>이 화면에서만 기본값이 예외 처리된 값으로 표출
ㄴ 기획 미정의 항목 — PASS/FAIL 판정 대신 실측 상태를 `실제 결과`에 기재</t>
  </si>
  <si>
    <t>[확인 불가 기반] [DESC 1항-b3a] `해당 화면에서만 기본값 예외 처리`</t>
  </si>
  <si>
    <t>[정책 예외] 문서 기본=변경 / 이 화면=신규 [확인 불가] U-7 대조 대상인 다른 화면의 기간 설정 기본값이 이 페이지에 미정의 — 기획 확인 필요</t>
  </si>
  <si>
    <t>791</t>
  </si>
  <si>
    <t>TC_VIO_791</t>
  </si>
  <si>
    <t>1열 헤더 라벨 관측
ㄴ UI mock 과 Description 이 상반 — PASS/FAIL 판정 대신 실측 상태를 `실제 결과`에 기재</t>
  </si>
  <si>
    <t>[DESC 1항-1] `발송일시` 컬럼</t>
  </si>
  <si>
    <t>[정책 예외] 문서 기본=변경 / 이 화면=신규 [UI↔DESC 불일치] X-1 UI: 헤더 라벨 `구분` / DESC 1항-1: `발송일시` — 라벨 확인 필요</t>
  </si>
  <si>
    <t>792</t>
  </si>
  <si>
    <t>TC_VIO_792</t>
  </si>
  <si>
    <t>1. 1열 셀 값의 표기 형식 확인</t>
  </si>
  <si>
    <t>`YYYY-MM-DD hh:mm:ss` 형식으로 표출</t>
  </si>
  <si>
    <t>[DESC 1항-1] [UI] p49 1열 셀 일시 형식 — 원문 대소문자 혼용 그대로 인용</t>
  </si>
  <si>
    <t>[정책 예외] 문서 기본=변경 / 이 화면=신규 [오타 의심] 사양 기본형은 `yyyy-mm-dd hh:mm:ss` 이나 기획서 mock 은 `YYYY-MM-DD hh:mm:ss` — 표기 통일 확인 필요</t>
  </si>
  <si>
    <t>793</t>
  </si>
  <si>
    <t>TC_VIO_793</t>
  </si>
  <si>
    <t>`채널` 컬럼이 1열 우측 컬럼으로 표출</t>
  </si>
  <si>
    <t>[DESC 1항-2] [UI] p49 `채널` 컬럼 헤더</t>
  </si>
  <si>
    <t>794</t>
  </si>
  <si>
    <t>TC_VIO_794</t>
  </si>
  <si>
    <t>1. 각 행의 `채널` 셀 표기 형태 확인</t>
  </si>
  <si>
    <t>알람을 발송한 채널이 TAG 형태로 표기
ㄴ 기획서 UI가 더미 `Email` 표기 — 실 값은 실측 상태를 `실제 결과`에 기재</t>
  </si>
  <si>
    <t>[DESC 1항-2] `채널 : 알람을 발송한 채널 TAG 형태로 표기`</t>
  </si>
  <si>
    <t>[정책 예외] 문서 기본=변경 / 이 화면=신규 [확인 불가] U-9 TAG 값 enum 이 미정의 / mock 7행이 전부 `Email` 이라 `Slack`·`사용자 지정` 표기를 확정할 수 없음 — 기획 확인 필요</t>
  </si>
  <si>
    <t>795</t>
  </si>
  <si>
    <t>TC_VIO_795</t>
  </si>
  <si>
    <t>`수신 대상` 컬럼이 `채널` 우측 컬럼으로 표출</t>
  </si>
  <si>
    <t>[DESC 1항-3] [UI] p49 `수신 대상` 컬럼 헤더</t>
  </si>
  <si>
    <t>796</t>
  </si>
  <si>
    <t>TC_VIO_796</t>
  </si>
  <si>
    <t>1. 각 행의 `수신 대상` 셀 값 확인</t>
  </si>
  <si>
    <t>수신 대상 값 표출
ㄴ 기획서 UI가 플레이스홀더 `{name}` 표기 — 실 값은 실측 상태를 `실제 결과`에 기재</t>
  </si>
  <si>
    <t>[DESC 1항-3] `수신 대상` 컬럼 — 값 형식 정의 없음</t>
  </si>
  <si>
    <t>[정책 예외] 문서 기본=변경 / 이 화면=신규 [확인 불가] U-10 수신 대상 값 형식과 다건일 때 표기가 이 페이지에 미정의 — 기획 확인 필요</t>
  </si>
  <si>
    <t>797</t>
  </si>
  <si>
    <t>TC_VIO_797</t>
  </si>
  <si>
    <t>`제목` 컬럼이 `수신 대상` 우측 컬럼으로 표출</t>
  </si>
  <si>
    <t>[DESC 1항-4] [UI] p49 `제목` 컬럼 헤더</t>
  </si>
  <si>
    <t>798</t>
  </si>
  <si>
    <t>TC_VIO_798</t>
  </si>
  <si>
    <t>1. 각 행의 `제목` 셀 표기 형식 확인</t>
  </si>
  <si>
    <t>대괄호로 감싼 `OKESTRO_VIOLA` 뒤에 `{알람 이름} 알림 (심각도 : {심각도})` 를 잇는 형식으로 표출</t>
  </si>
  <si>
    <t>[DESC 1항-4] 제목 형식 — 원문의 대괄호는 화면에 찍히는 문자라 말로 풀어 기재</t>
  </si>
  <si>
    <t>[정책 예외] 문서 기본=변경 / 이 화면=신규 [UI↔DESC 불일치] X-11 UI: `{alarm-name}` 영문 토큰 / DESC 1항-4: `{알람 이름}` 한글 토큰 — 토큰 표기 통일 확인 필요</t>
  </si>
  <si>
    <t>799</t>
  </si>
  <si>
    <t>TC_VIO_799</t>
  </si>
  <si>
    <t>심각도가 2개 이상 설정된 알람의 발송 이력 행이 표출된 상태</t>
  </si>
  <si>
    <t>1. 해당 행의 `제목` 셀 심각도 표기 확인</t>
  </si>
  <si>
    <t>가장 높은 심각도 1개만 표출</t>
  </si>
  <si>
    <t>[DESC 1항-4a] [강조] 심각도가 n개인 경우 가장 높은 심각도 1개만 표출</t>
  </si>
  <si>
    <t>800</t>
  </si>
  <si>
    <t>TC_VIO_800</t>
  </si>
  <si>
    <t>`Critical` 과 `Warning` 이 함께 설정된 알람의 발송 이력 행이 표출된 상태</t>
  </si>
  <si>
    <t>1. 해당 행의 `제목` 셀 심각도 값 확인</t>
  </si>
  <si>
    <t>`Critical` 표출</t>
  </si>
  <si>
    <t>[DESC 1항-4a] [강조] 우선순위 `Critical &gt; Warning &gt; Info` 순</t>
  </si>
  <si>
    <t>801</t>
  </si>
  <si>
    <t>TC_VIO_801</t>
  </si>
  <si>
    <t>`결과` 컬럼이 `제목` 우측 컬럼으로 표출</t>
  </si>
  <si>
    <t>[DESC 1항-5] [UI] p49 `결과` 컬럼 헤더</t>
  </si>
  <si>
    <t>802</t>
  </si>
  <si>
    <t>TC_VIO_802</t>
  </si>
  <si>
    <t>1. `결과` 컬럼에 표출되는 값의 종류 확인</t>
  </si>
  <si>
    <t>결과 값 5종 표출
ㄴ DESC 한글 enum 과 UI 영문 badge 의 대응이 기획 미정의 — PASS/FAIL 판정 대신 실측 상태를 `실제 결과`에 기재</t>
  </si>
  <si>
    <t>[DESC 1항-5] `결과 : 발송/부분발송/미발송/실패/알람비활성` enum 5종</t>
  </si>
  <si>
    <t>[정책 예외] 문서 기본=변경 / 이 화면=신규 [UI↔DESC 불일치] X-2 UI: `SENT` · `PartiallySent` · `SKIPPED` · `FAILED` · `INACTIVE` 영문 badge / DESC 1항-5: `발송/부분발송/미발송/실패/알람비활성` 한글 — 5종 대 5종이나 대응 관계 미명시, 매핑 확인 필요</t>
  </si>
  <si>
    <t>803</t>
  </si>
  <si>
    <t>TC_VIO_803</t>
  </si>
  <si>
    <t>모든 수신 대상에게 발송이 완료된 알람의 발송 이력 행이 표출된 상태</t>
  </si>
  <si>
    <t>1. 해당 행의 `결과` 값 확인</t>
  </si>
  <si>
    <t>`발송` 에 해당하는 결과 표기 표출
ㄴ DESC 한글 enum 과 UI 영문 badge 의 대응이 기획 미정의 — PASS/FAIL 판정 대신 실측 상태를 `실제 결과`에 기재</t>
  </si>
  <si>
    <t>[DESC 1항-5-a] `발송` 상태 정의</t>
  </si>
  <si>
    <t>[정책 예외] 문서 기본=변경 / 이 화면=신규 [UI↔DESC 불일치] X-2 DESC 한글 enum 과 UI 영문 badge 의 대응 미명시 — 매핑 확인 필요</t>
  </si>
  <si>
    <t>804</t>
  </si>
  <si>
    <t>TC_VIO_804</t>
  </si>
  <si>
    <t>일부 수신 대상에게만 발송이 완료된 알람의 발송 이력 행이 표출된 상태</t>
  </si>
  <si>
    <t>`부분발송` 에 해당하는 결과 표기 표출
ㄴ DESC 한글 enum 과 UI 영문 badge 의 대응이 기획 미정의 — PASS/FAIL 판정 대신 실측 상태를 `실제 결과`에 기재</t>
  </si>
  <si>
    <t>[DESC 1항-5-b] `부분발송` 상태 정의</t>
  </si>
  <si>
    <t>805</t>
  </si>
  <si>
    <t>TC_VIO_805</t>
  </si>
  <si>
    <t>발송에 실패한 알람의 발송 이력 행이 표출된 상태</t>
  </si>
  <si>
    <t>`발송 실패` 에 해당하는 결과 표기 표출
ㄴ DESC 한글 enum 과 UI 영문 badge 의 대응이 기획 미정의 — PASS/FAIL 판정 대신 실측 상태를 `실제 결과`에 기재</t>
  </si>
  <si>
    <t>[DESC 1항-5-d] `발송 실패` 상태 정의</t>
  </si>
  <si>
    <t>[정책 예외] 문서 기본=변경 / 이 화면=신규 [UI↔DESC 불일치] X-5 DESC 1항-5 enum 헤더는 `실패` / DESC 1항-5-d 는 `발송 실패` — 명칭 통일 확인 필요</t>
  </si>
  <si>
    <t>806</t>
  </si>
  <si>
    <t>TC_VIO_806</t>
  </si>
  <si>
    <t>알람 비활성화로 발송하지 않은 알람의 발송 이력 행이 표출된 상태</t>
  </si>
  <si>
    <t>`알람비활성` 에 해당하는 결과 표기 표출
ㄴ DESC 한글 enum 과 UI 영문 badge 의 대응이 기획 미정의 — PASS/FAIL 판정 대신 실측 상태를 `실제 결과`에 기재</t>
  </si>
  <si>
    <t>[DESC 1항-5-e] `알람비활성` 상태 정의</t>
  </si>
  <si>
    <t>807</t>
  </si>
  <si>
    <t>TC_VIO_807</t>
  </si>
  <si>
    <t>수신자 허용 시간 외에 발생한 알람의 발송 이력 행이 표출된 상태</t>
  </si>
  <si>
    <t>`미발송` 에 해당하는 결과 표기 표출
ㄴ DESC 한글 enum 과 UI 영문 badge 의 대응이 기획 미정의 — PASS/FAIL 판정 대신 실측 상태를 `실제 결과`에 기재</t>
  </si>
  <si>
    <t>[DESC 1항-5-c] `미발송` 조건 1 — 수신자 허용 시간 외 발생</t>
  </si>
  <si>
    <t>808</t>
  </si>
  <si>
    <t>TC_VIO_808</t>
  </si>
  <si>
    <t>수신자 수신 정책 심각도 미만인 알람의 발송 이력 행이 표출된 상태</t>
  </si>
  <si>
    <t>[DESC 1항-5-c] `미발송` 조건 2 — 수신자 수신 정책 심각도 미만</t>
  </si>
  <si>
    <t>809</t>
  </si>
  <si>
    <t>TC_VIO_809</t>
  </si>
  <si>
    <t>수신 대상이 지정되지 않은 알람의 발송 이력 행이 표출된 상태</t>
  </si>
  <si>
    <t>[DESC 1항-5-c] [강조] `미발송` 조건 3 — 수신 대상 없음</t>
  </si>
  <si>
    <t>810</t>
  </si>
  <si>
    <t>TC_VIO_810</t>
  </si>
  <si>
    <t>시스템이 발송을 완료했으나 수신자가 실제로 수신하지 않은 알람의 발송 이력 행이 표출된 상태</t>
  </si>
  <si>
    <t>실제 수신 여부가 아니라 시스템 발송 완료 여부 기준으로 결과 표출
ㄴ DESC 한글 enum 과 UI 영문 badge 의 대응이 기획 미정의 — PASS/FAIL 판정 대신 실측 상태를 `실제 결과`에 기재</t>
  </si>
  <si>
    <t>[DESC 1항-5a] `실제 수신 여부가 아닌 시스템에서 발송 완료 여부에 대한 결과 표출`</t>
  </si>
  <si>
    <t>811</t>
  </si>
  <si>
    <t>TC_VIO_811</t>
  </si>
  <si>
    <t>1. `결과` 값에 마우스 호버</t>
  </si>
  <si>
    <t>툴팁 표출
ㄴ 기획 미정의 항목 — PASS/FAIL 판정 대신 실측 상태를 `실제 결과`에 기재</t>
  </si>
  <si>
    <t>[확인 불가 기반] [DESC 1항-5b] `마우스 호버 시 툴팁 제공`</t>
  </si>
  <si>
    <t>[정책 예외] 문서 기본=변경 / 이 화면=신규 [확인 불가] U-5 툴팁 문구가 이 페이지에 없고 상세 정의가 백틱으로 인용하면 `2. Policy &gt; 참고 문서 &gt; 기획 참고 문서 &gt; 리소스 상태값 Sheet` 라는 기획서 밖 문서를 가리킴 — 기획 확인 필요</t>
  </si>
  <si>
    <t>812</t>
  </si>
  <si>
    <t>TC_VIO_812</t>
  </si>
  <si>
    <t>1. 테이블 최우측 컬럼 헤더 확인</t>
  </si>
  <si>
    <t>`수신 현황` 컬럼이 최우측 컬럼으로 우측 정렬 표출</t>
  </si>
  <si>
    <t>[DESC 1항-6] [UI] p49 `수신 현황` 컬럼 헤더</t>
  </si>
  <si>
    <t>813</t>
  </si>
  <si>
    <t>TC_VIO_813</t>
  </si>
  <si>
    <t>1. 각 행의 `수신 현황` 셀 표기 형식 확인</t>
  </si>
  <si>
    <t>`{발송 완료 수}/{전체 대상 수}` 형식으로 슬래시 구분 표출
ㄴ 기획서 UI가 더미 `2/7` 표기 — 실 값은 실측 상태를 `실제 결과`에 기재</t>
  </si>
  <si>
    <t>[DESC 1항-6] `수신 현황 : {발송 완료 수}/{전체 대상 수}`</t>
  </si>
  <si>
    <t>814</t>
  </si>
  <si>
    <t>TC_VIO_814</t>
  </si>
  <si>
    <t>발송 이력 행이 접힘 상태로 표출된 상태</t>
  </si>
  <si>
    <t>1. 해당 행의 셰브론 클릭</t>
  </si>
  <si>
    <t>행 하위에 펼침 영역 표출</t>
  </si>
  <si>
    <t>[DESC 1항-b4] `테이블 펼침 기능 제공`</t>
  </si>
  <si>
    <t>[정책 예외] 문서 기본=변경 / 이 화면=신규 [확인 불가] 접힘·펼침 전환 동작과 다중 펼침 허용 여부가 이 페이지에 미정의 — 기획 확인 필요</t>
  </si>
  <si>
    <t>815</t>
  </si>
  <si>
    <t>TC_VIO_815</t>
  </si>
  <si>
    <t>발송 이력 행이 펼침 상태인 상태</t>
  </si>
  <si>
    <t>1. 펼침 영역의 구성 확인</t>
  </si>
  <si>
    <t>수신 집계와 발송 본문 영역 표출</t>
  </si>
  <si>
    <t>[DESC 1항-b4a] `수신 집계(1-1항) 및 발송 본문(1-2a~b항) 표출`</t>
  </si>
  <si>
    <t>816</t>
  </si>
  <si>
    <t>TC_VIO_816</t>
  </si>
  <si>
    <t>발송 채널이 서로 다른 발송 이력 행이 각각 펼침 상태인 상태</t>
  </si>
  <si>
    <t>1. 채널별 펼침 영역의 발송 본문 구성 비교</t>
  </si>
  <si>
    <t>발송 채널에 따라 발송 본문 구성이 분기 표출</t>
  </si>
  <si>
    <t>[DESC 1항-b4b] `발송 채널에 따라` 분기</t>
  </si>
  <si>
    <t>817</t>
  </si>
  <si>
    <t>TC_VIO_817</t>
  </si>
  <si>
    <t>발송 채널이 `Email` 인 발송 이력 행이 펼침 상태인 상태</t>
  </si>
  <si>
    <t>1. 펼침 영역의 발송 본문 구성 확인</t>
  </si>
  <si>
    <t>Email 채널 발송 상세 구성으로 표출</t>
  </si>
  <si>
    <t>[DESC 1항-b4b-a] `Email 채널의 경우 : 1-2a항 참고`</t>
  </si>
  <si>
    <t>818</t>
  </si>
  <si>
    <t>TC_VIO_818</t>
  </si>
  <si>
    <t>발송 채널이 `Slack` 또는 `사용자 지정` 인 발송 이력 행이 펼침 상태인 상태</t>
  </si>
  <si>
    <t>Slack 및 사용자 지정 채널 발송 상세 구성으로 표출</t>
  </si>
  <si>
    <t>[DESC 1항-b4b-b] `Slack 및 사용자 지정 채널의 경우 : 1-2b항 참고`</t>
  </si>
  <si>
    <t>819</t>
  </si>
  <si>
    <t>TC_VIO_819</t>
  </si>
  <si>
    <t>1. 펼침 영역 상단 패널 확인</t>
  </si>
  <si>
    <t>`수신 집계` 패널 표출</t>
  </si>
  <si>
    <t>[DESC 1-1항] `수신 집계` 항 — 펼침 영역 상단 패널 [공통 DESC C22]</t>
  </si>
  <si>
    <t>820</t>
  </si>
  <si>
    <t>TC_VIO_820</t>
  </si>
  <si>
    <t>발송 이력 행이 펼침 상태로 수신 집계 패널이 표출된 상태</t>
  </si>
  <si>
    <t>1. 수신 집계 패널의 지표 구성 확인</t>
  </si>
  <si>
    <t>`대상` · `시도` · `완료` · `실패` · `미발송` 다섯 지표가 파이프 문자 `|`으로 구분되어 표출</t>
  </si>
  <si>
    <t>[DESC 1-1항-b1] 지표 5종과 세로 구분선 구분 — 원문 구분자는 파이프 문자</t>
  </si>
  <si>
    <t>821</t>
  </si>
  <si>
    <t>TC_VIO_821</t>
  </si>
  <si>
    <t>1. 각 지표의 숫자 값 확인</t>
  </si>
  <si>
    <t>각 지표 뒤에 집계 숫자 표출
ㄴ 기획서 UI가 더미 `대상 7 시도 2 완료 2 실패 2 미발송 5` 표기 — 실 값은 실측 상태를 `실제 결과`에 기재</t>
  </si>
  <si>
    <t>[DESC 1-1항-b1] [UI] p49 지표별 숫자 표기</t>
  </si>
  <si>
    <t>[정책 예외] 문서 기본=변경 / 이 화면=신규 [확인 불가] mock 숫자의 산술 관계가 맞지 않아(시도 2 &lt; 완료 2 + 실패 2) 지표 간 관계가 미정의 — 기획 확인 필요</t>
  </si>
  <si>
    <t>822</t>
  </si>
  <si>
    <t>TC_VIO_822</t>
  </si>
  <si>
    <t>1. `대상` · `시도` 지표 숫자의 색상 확인</t>
  </si>
  <si>
    <t>`대상 · 시도` 숫자가 검정 계열로 표출</t>
  </si>
  <si>
    <t>[DESC 1-1항-b1a] `숫자 컬러값` — 대상 · 시도(Black)</t>
  </si>
  <si>
    <t>823</t>
  </si>
  <si>
    <t>TC_VIO_823</t>
  </si>
  <si>
    <t>1. `완료` 지표 숫자의 색상 확인</t>
  </si>
  <si>
    <t>`완료` 숫자가 초록 계열로 표출</t>
  </si>
  <si>
    <t>[DESC 1-1항-b1a] `숫자 컬러값` — 완료(Green)</t>
  </si>
  <si>
    <t>824</t>
  </si>
  <si>
    <t>TC_VIO_824</t>
  </si>
  <si>
    <t>1. `실패` 지표 숫자의 색상 확인</t>
  </si>
  <si>
    <t>`실패` 숫자가 빨강 계열로 표출</t>
  </si>
  <si>
    <t>[DESC 1-1항-b1a] `숫자 컬러값` — 실패(Red)</t>
  </si>
  <si>
    <t>825</t>
  </si>
  <si>
    <t>TC_VIO_825</t>
  </si>
  <si>
    <t>1. `미발송` 지표 숫자의 색상 확인</t>
  </si>
  <si>
    <t>`미발송` 숫자가 파랑 계열로 표출</t>
  </si>
  <si>
    <t>[DESC 1-1항-b1a] `숫자 컬러값` — 미발송(Blue)</t>
  </si>
  <si>
    <t>826</t>
  </si>
  <si>
    <t>TC_VIO_826</t>
  </si>
  <si>
    <t>집계 횟수가 0인 지표가 있는 발송 이력 행이 펼침 상태인 상태</t>
  </si>
  <si>
    <t>1. 해당 지표의 표기 확인</t>
  </si>
  <si>
    <t>숫자 대신 `-` 가 검정 계열로 표출</t>
  </si>
  <si>
    <t>[DESC 1-1항-b1a-1] `단, 집계 횟수가 0인 경우 : '-' 표시 (Black)`</t>
  </si>
  <si>
    <t>827</t>
  </si>
  <si>
    <t>TC_VIO_827</t>
  </si>
  <si>
    <t>미발송이 1건 이상인 발송 이력 행이 펼침 상태인 상태</t>
  </si>
  <si>
    <t>1. 수신 집계 패널 하단 블록 확인</t>
  </si>
  <si>
    <t>`미발송 사유` 블록 표출</t>
  </si>
  <si>
    <t>[DESC 1-1항-b2] `미발송 사유` 블록</t>
  </si>
  <si>
    <t>828</t>
  </si>
  <si>
    <t>TC_VIO_828</t>
  </si>
  <si>
    <t>1. `미발송 사유` 블록의 제공 여부 확인</t>
  </si>
  <si>
    <t>`미발송 사유` 블록 제공</t>
  </si>
  <si>
    <t>[DESC 1-1항-b2a] `미발송 1건 이상인 경우 제공`</t>
  </si>
  <si>
    <t>829</t>
  </si>
  <si>
    <t>TC_VIO_829</t>
  </si>
  <si>
    <t>미발송이 0건이고 발송·부분발송으로 완료된 발송 이력 행을 펼친 상태로 다른 사유의 미발송이 발생하지 않은 상태</t>
  </si>
  <si>
    <t>`미발송 사유` 블록 표출 여부 관측
ㄴ 기획 미정의 항목 — PASS/FAIL 판정 대신 실측 상태를 `실제 결과`에 기재</t>
  </si>
  <si>
    <t>[확인 불가 기반] [DESC 1-1항-b2a] 미발송 0건일 때의 제공 여부</t>
  </si>
  <si>
    <t>[정책 예외] 문서 기본=변경 / 이 화면=신규 [확인 불가] DESC 1-1항-b2a 는 `미발송 1건 이상인 경우 제공` 만 규정하고 이외 미제공을 명시하지 않음 — 기획 확인 필요</t>
  </si>
  <si>
    <t>830</t>
  </si>
  <si>
    <t>TC_VIO_830</t>
  </si>
  <si>
    <t>1. `미발송 사유` 블록의 표기 구성 확인</t>
  </si>
  <si>
    <t>미발송 사유와 대상 이름 또는 Slack 채널 tag 표기</t>
  </si>
  <si>
    <t>[DESC 1-1항-b2b] `미발송 사유 및 대상 이름 또는 Slack 채널(tag) 표기`</t>
  </si>
  <si>
    <t>831</t>
  </si>
  <si>
    <t>TC_VIO_831</t>
  </si>
  <si>
    <t>미발송 사유가 `수신 대상 없음` 인 발송 이력 행이 펼침 상태이고 다른 미발송 사유는 발생하지 않은 상태</t>
  </si>
  <si>
    <t>1. 해당 사유 줄의 이름 Tag 유무 확인</t>
  </si>
  <si>
    <t>이름 Tag 미제공</t>
  </si>
  <si>
    <t>[DESC 1-1항-b2c] [강조] `(단, 사유가 '수신 대상 없음'의 경우, 이름 Tag 미제공)`</t>
  </si>
  <si>
    <t>832</t>
  </si>
  <si>
    <t>TC_VIO_832</t>
  </si>
  <si>
    <t>알람 생성 시 설정한 수신 정책의 심각도에 미달하여 미발송된 경우에 해당하는 미발송이 발생한 발송 이력 행이 펼침 상태인 상태</t>
  </si>
  <si>
    <t>1. `미발송 사유` 블록의 사유 표기 확인</t>
  </si>
  <si>
    <t>`수신 정책 외` 사유 표출</t>
  </si>
  <si>
    <t>[DESC 1-1항-a] [강조] `수신 정책 외` 사유 정의</t>
  </si>
  <si>
    <t>833</t>
  </si>
  <si>
    <t>TC_VIO_833</t>
  </si>
  <si>
    <t>수신자에 등록된 수신 허용 시간 외 알람이 발생하여 미발송된 경우에 해당하는 미발송이 발생한 발송 이력 행이 펼침 상태인 상태</t>
  </si>
  <si>
    <t>`허용 시간 외` 사유 표출</t>
  </si>
  <si>
    <t>[DESC 1-1항-b] [강조] `허용 시간 외` 사유 정의</t>
  </si>
  <si>
    <t>834</t>
  </si>
  <si>
    <t>TC_VIO_834</t>
  </si>
  <si>
    <t>수신 채널에 등록된 사용자 정보가 없어 미발송된 경우에 해당하는 미발송이 발생한 발송 이력 행이 펼침 상태인 상태</t>
  </si>
  <si>
    <t>`채널 미등록` 사유 표출</t>
  </si>
  <si>
    <t>[DESC 1-1항-c] [강조] `채널 미등록` 사유 정의</t>
  </si>
  <si>
    <t>835</t>
  </si>
  <si>
    <t>TC_VIO_835</t>
  </si>
  <si>
    <t>알람을 수신할 대상이 지정되지 않은 경우에 해당하는 미발송이 발생한 발송 이력 행이 펼침 상태인 상태</t>
  </si>
  <si>
    <t>`수신 대상 없음` 사유 표출</t>
  </si>
  <si>
    <t>[DESC 1-1항-d] [강조] `수신 대상 없음` 사유 정의</t>
  </si>
  <si>
    <t>836</t>
  </si>
  <si>
    <t>TC_VIO_836</t>
  </si>
  <si>
    <t>수신자 그룹의 수신 채널이 `이메일` 로 지정되어 그룹에 등록된 Slack 채널로 발송되지 않은 경우에 해당하는 미발송이 발생한 발송 이력 행이 펼침 상태인 상태</t>
  </si>
  <si>
    <t>`해당 사항 없음` 사유 표출</t>
  </si>
  <si>
    <t>[DESC 1-1항-e] [강조] `해당 사항 없음` 사유 정의</t>
  </si>
  <si>
    <t>837</t>
  </si>
  <si>
    <t>TC_VIO_837</t>
  </si>
  <si>
    <t>미발송 사유가 `허용 시간 외` 인 발송 이력 행이 펼침 상태인 상태</t>
  </si>
  <si>
    <t>1. 해당 사유의 처리 표기 확인</t>
  </si>
  <si>
    <t>처리 표기 관측
ㄴ 기획 미정의 항목 — PASS/FAIL 판정 대신 실측 상태를 `실제 결과`에 기재</t>
  </si>
  <si>
    <t>[확인 불가 기반] [DESC 1-1항-b-1] [강조] `공통팀 SKIPPED 처리`</t>
  </si>
  <si>
    <t>[정책 예외] 문서 기본=변경 / 이 화면=신규 [확인 불가] U-11 `공통팀 SKIPPED 처리` 가 화면 표출 규정인지 팀 간 상태 코드 매핑 규약인지 미정의 — 기획 확인 필요</t>
  </si>
  <si>
    <t>838</t>
  </si>
  <si>
    <t>TC_VIO_838</t>
  </si>
  <si>
    <t>미발송 사유가 `채널 미등록` 인 발송 이력 행이 펼침 상태인 상태</t>
  </si>
  <si>
    <t>[확인 불가 기반] [DESC 1-1항-c-1] [강조] `공통팀 UNCONFIGURED 처리`</t>
  </si>
  <si>
    <t>[정책 예외] 문서 기본=변경 / 이 화면=신규 [확인 불가] U-11 `공통팀 UNCONFIGURED 처리` 가 화면 표출 규정인지 팀 간 상태 코드 매핑 규약인지 미정의 — 기획 확인 필요</t>
  </si>
  <si>
    <t>839</t>
  </si>
  <si>
    <t>TC_VIO_839</t>
  </si>
  <si>
    <t>1. 펼침 영역의 발송 상세 구성 확인</t>
  </si>
  <si>
    <t>`제목` 과 `본문` 으로 구성된 Email 채널 발송 상세 표출</t>
  </si>
  <si>
    <t>[DESC 1-2a항] `Email 채널 발송 상세` 항 [공통 DESC C22]</t>
  </si>
  <si>
    <t>840</t>
  </si>
  <si>
    <t>TC_VIO_840</t>
  </si>
  <si>
    <t>1. 발송 상세의 `제목` 블록 확인</t>
  </si>
  <si>
    <t>`제목` 라벨과 제목 문자열 표출</t>
  </si>
  <si>
    <t>[DESC 1-2a항-1] `제목`</t>
  </si>
  <si>
    <t>841</t>
  </si>
  <si>
    <t>TC_VIO_841</t>
  </si>
  <si>
    <t>1. 발송 상세의 `본문` 블록 확인</t>
  </si>
  <si>
    <t>`본문` 라벨과 본문 구성 표출</t>
  </si>
  <si>
    <t>[DESC 1-2a항-2] `본문`</t>
  </si>
  <si>
    <t>842</t>
  </si>
  <si>
    <t>TC_VIO_842</t>
  </si>
  <si>
    <t>알람 상세 세부 정보의 알람 조건(VIOE-04_06_04) 과 동일한 구성으로 제공
ㄴ 위임 적용 범위가 기획 미정의 — PASS/FAIL 판정 대신 실측 상태를 `실제 결과`에 기재</t>
  </si>
  <si>
    <t>[DESC 1-2a항-2b1] [공통 DESC C10] 미정의 항목은 알람 상세 세부 정보와 동일하게 제공</t>
  </si>
  <si>
    <t>[정책 예외] 문서 기본=변경 / 이 화면=신규 [확인 불가] U-2 위임 서술이 `1-2a` `2. 본문` 직속 dash 여서 적용 범위가 두 독법으로 갈림 — ①`1-2a 본문` 한정 ②위임 서술 이후 페이지 전체(`1-2b` 포함). 위임처 순번 31 시트 633~708행 `TC_VIO_632`~`TC_VIO_707` 와 대조 필요, 기획 확인 필요</t>
  </si>
  <si>
    <t>843</t>
  </si>
  <si>
    <t>TC_VIO_843</t>
  </si>
  <si>
    <t>1. 본문의 `클러스터` 항목 확인</t>
  </si>
  <si>
    <t>`클러스터` 라벨과 클러스터명 표출
ㄴ 기획서 UI가 플레이스홀더 `{클러스터명}` 표기 — 실 값은 실측 상태를 `실제 결과`에 기재</t>
  </si>
  <si>
    <t>[DESC 1-2a항-2-a] `클러스터`</t>
  </si>
  <si>
    <t>[정책 예외] 문서 기본=변경 / 이 화면=신규 [UI↔DESC 불일치] X-12 UI: 1-2a·1-2c·1-2e 는 `{클러스터명}` / 1-2b·1-2d 는 `{cluster}` — mock 내부 토큰 통일 확인 필요</t>
  </si>
  <si>
    <t>844</t>
  </si>
  <si>
    <t>TC_VIO_844</t>
  </si>
  <si>
    <t>1. 본문의 `대상 리소스` 항목 확인</t>
  </si>
  <si>
    <t>`대상 리소스` 라벨과 대상 리소스 값 표출
ㄴ 값 표기 규칙이 이 페이지에 미정의 — PASS/FAIL 판정 대신 실측 상태를 `실제 결과`에 기재</t>
  </si>
  <si>
    <t>[DESC 1-2a항-2-b] `대상 리소스`</t>
  </si>
  <si>
    <t>[정책 예외] 문서 기본=변경 / 이 화면=신규 [확인 불가] 이 페이지는 항목명만 두고 표기 규칙이 없음 / 위임처 순번 31 `TC_VIO_672`~`TC_VIO_675` 가 4형태(`클러스터 전체`·`네임스페이스 전체`·`네임스페이스 {namespace}`·`네임스페이스 {namespace} · {리소스 유형} {전체/리소스 이름}`)를 규정 — 위임 적용 여부 확인 필요</t>
  </si>
  <si>
    <t>845</t>
  </si>
  <si>
    <t>TC_VIO_845</t>
  </si>
  <si>
    <t>1. 본문의 `내용` 영역 확인</t>
  </si>
  <si>
    <t>`내용` 라벨과 내용 Table 표출</t>
  </si>
  <si>
    <t>[DESC 1-2a항-2-c] `내용 Table`</t>
  </si>
  <si>
    <t>846</t>
  </si>
  <si>
    <t>TC_VIO_846</t>
  </si>
  <si>
    <t>1. 내용 Table 의 `조건 결합` 컬럼 확인</t>
  </si>
  <si>
    <t>`조건 결합` 컬럼이 최좌측 컬럼으로 표출
ㄴ 값 enum 이 기획 미정의 — PASS/FAIL 판정 대신 실측 상태를 `실제 결과`에 기재</t>
  </si>
  <si>
    <t>[DESC 1-2a항-2-c-i] `조건 결합` 컬럼</t>
  </si>
  <si>
    <t>[정책 예외] 문서 기본=변경 / 이 화면=신규 [확인 불가] 이 화면과 위임처 순번 31 `TC_VIO_680`·`TC_VIO_681` 이 양쪽 다 컬럼명만 두고 값 enum 을 정의하지 않음 — 「이 화면만 빠졌다」가 아니며 mock 관측값은 `-`·`AND`·`OR` 3종, 기획 확인 필요</t>
  </si>
  <si>
    <t>847</t>
  </si>
  <si>
    <t>TC_VIO_847</t>
  </si>
  <si>
    <t>1. 내용 Table 의 `구분` 컬럼 확인</t>
  </si>
  <si>
    <t>`구분` 컬럼 표출
ㄴ 값 enum 이 기획 미정의 — PASS/FAIL 판정 대신 실측 상태를 `실제 결과`에 기재</t>
  </si>
  <si>
    <t>[DESC 1-2a항-2-c-ii] `구분` 컬럼</t>
  </si>
  <si>
    <t>[정책 예외] 문서 기본=변경 / 이 화면=신규 [확인 불가] 이 화면과 위임처 순번 31 `TC_VIO_684`·`TC_VIO_685` 가 양쪽 다 컬럼명만 둠 — mock 관측값 `메트릭`·`메트릭 (임계치)`·`이벤트`·`로그` 를 enum 으로 확정하지 않음, 기획 확인 필요</t>
  </si>
  <si>
    <t>848</t>
  </si>
  <si>
    <t>TC_VIO_848</t>
  </si>
  <si>
    <t>1. 내용 Table 의 `내용` 컬럼 확인</t>
  </si>
  <si>
    <t>`내용` 컬럼 표출
ㄴ 유형별 토큰 형식이 이 페이지에 미정의 — PASS/FAIL 판정 대신 실측 상태를 `실제 결과`에 기재</t>
  </si>
  <si>
    <t>[DESC 1-2a항-2-c-iii] `내용` 컬럼</t>
  </si>
  <si>
    <t>[정책 예외] 문서 기본=변경 / 이 화면=신규 [확인 불가] 이 페이지는 항목명만 둠 / 위임처 순번 31 `TC_VIO_686`~`TC_VIO_703` 이 유형별 토큰 형식을 규정하나 위임처 `d-i` 는 4토큰이고 이 화면 mock 은 3토큰(`CPU 사용률 · 최대 80% · 초과`) — 대조 후 확인 필요</t>
  </si>
  <si>
    <t>849</t>
  </si>
  <si>
    <t>TC_VIO_849</t>
  </si>
  <si>
    <t>대상 리소스가 네임스페이스 전체인 알람의 발송 이력 행을 펼쳐 Email 발송 상세를 조회한 상태</t>
  </si>
  <si>
    <t>1. 내용 Table 의 `발생 리소스` 컬럼 확인</t>
  </si>
  <si>
    <t>`발생 리소스` 컬럼 표출</t>
  </si>
  <si>
    <t>[DESC 1-2a항-2-c-iv] `발생 리소스` 컬럼 — 이 화면 고유, 위임처에 없음</t>
  </si>
  <si>
    <t>850</t>
  </si>
  <si>
    <t>TC_VIO_850</t>
  </si>
  <si>
    <t>대상 리소스가 워크로드 전체인 알람의 발송 이력 행을 펼쳐 Email 발송 상세를 조회한 상태</t>
  </si>
  <si>
    <t>1. 내용 Table 의 `발생 리소스` 컬럼 제공 여부 확인</t>
  </si>
  <si>
    <t>`발생 리소스` 컬럼 제공</t>
  </si>
  <si>
    <t>[DESC 1-2a항-2-c-iv-1] 대상 리소스가 `네임스페이스 전체` 또는 `워크로드 전체` 인 경우 제공</t>
  </si>
  <si>
    <t>[정책 예외] 문서 기본=변경 / 이 화면=신규 [확인 불가] U-1 원문 말미의 `(1-1c, d 참고)` 가 실제 1-1항 `c`·`d`(미발송 사유)를 가리키지 않음 / `1-2c, d` 오기로 보이나 단정하지 않음 — 기획 확인 필요 [오타 의심] DESC 원문은 값을 대괄호로 인용하나 mock·위임처(순번 31 TC_VIO_673) 표기는 평문</t>
  </si>
  <si>
    <t>851</t>
  </si>
  <si>
    <t>TC_VIO_851</t>
  </si>
  <si>
    <t>대상 리소스가 클러스터 전체이고 네임스페이스 전체·워크로드 전체 어느 쪽도 아닌 알람의 발송 이력 행을 펼쳐 Email 발송 상세를 조회한 상태</t>
  </si>
  <si>
    <t>1. 내용 Table 의 컬럼 구성 확인</t>
  </si>
  <si>
    <t>`발생 리소스` 컬럼 미제공</t>
  </si>
  <si>
    <t>[DESC 1-2a항-2-c-iv-1] `(이외 미제공)` 규정</t>
  </si>
  <si>
    <t>852</t>
  </si>
  <si>
    <t>TC_VIO_852</t>
  </si>
  <si>
    <t>1. `발생 리소스` 셀의 값 확인</t>
  </si>
  <si>
    <t>해당 알람 조건을 충족하는 리소스 이름 표기
ㄴ 기획서 UI가 플레이스홀더 `{namespace}` 표기 — 실 값은 실측 상태를 `실제 결과`에 기재</t>
  </si>
  <si>
    <t>[DESC 1-2a항-2-c-iv-2] `해당 알람 조건을 충족하는 리소스 이름 표기`</t>
  </si>
  <si>
    <t>853</t>
  </si>
  <si>
    <t>TC_VIO_853</t>
  </si>
  <si>
    <t>1. 내용 Table 의 `심각도` 컬럼 확인</t>
  </si>
  <si>
    <t>`심각도` 컬럼 표출
ㄴ 범위별 표기 규칙이 이 페이지에 미정의 — PASS/FAIL 판정 대신 실측 상태를 `실제 결과`에 기재</t>
  </si>
  <si>
    <t>[DESC 1-2a항-2-c-v] `심각도` 컬럼</t>
  </si>
  <si>
    <t>[정책 예외] 문서 기본=변경 / 이 화면=신규 [확인 불가] 이 페이지는 항목명만 둠 / 위임처 순번 31 `TC_VIO_706` 이 `범위별 심각도 상이한 경우 슬래시{/}로 구분하여 제공` 을 규정하나 위임처 원문의 중괄호 표기가 같은 위임처의 소괄호 표기와 어긋남 — 위임 적용 여부와 표기 확인 필요</t>
  </si>
  <si>
    <t>854</t>
  </si>
  <si>
    <t>TC_VIO_854</t>
  </si>
  <si>
    <t>1. 내용 Table 의 `발생 횟수` 셀 값 확인</t>
  </si>
  <si>
    <t>설정한 수신 주기 동안 동일한 조건 알람이 발생한 횟수 표출
ㄴ 기획서 UI가 플레이스홀더 `{n}` 표기 — 실 값은 실측 상태를 `실제 결과`에 기재</t>
  </si>
  <si>
    <t>[DESC 1-2a항-2-c-vi] `발생 횟수 : 설정한 수신 주기동안 동일한 조건 알람이 발생한 횟수`</t>
  </si>
  <si>
    <t>855</t>
  </si>
  <si>
    <t>TC_VIO_855</t>
  </si>
  <si>
    <t>범위별 심각도가 서로 다른 조건이 등록된 알람의 발송 이력 행을 펼쳐 Email 발송 상세를 조회한 상태</t>
  </si>
  <si>
    <t>1. 해당 조건 행의 `발생 횟수` 값 확인</t>
  </si>
  <si>
    <t>범위별 심각도 횟수가 통합된 값으로 표출</t>
  </si>
  <si>
    <t>[DESC 1-2a항-2-c-vi] [강조] `(범위별 심각도 횟수 통합하여 제공)`</t>
  </si>
  <si>
    <t>856</t>
  </si>
  <si>
    <t>TC_VIO_856</t>
  </si>
  <si>
    <t>발생 횟수가 2회 이상인 조건이 있는 알람의 발송 이력 행을 펼쳐 Email 발송 상세를 조회한 상태</t>
  </si>
  <si>
    <t>1. 해당 조건 행의 `최근 발생일시` 값 확인</t>
  </si>
  <si>
    <t>최신 발생일시 표출</t>
  </si>
  <si>
    <t>[DESC 1-2a항-2-c-vii] `최근 발생일시 : 발생 횟수가 2회 이상인 경우, 최신 발생일시 표출`</t>
  </si>
  <si>
    <t>857</t>
  </si>
  <si>
    <t>TC_VIO_857</t>
  </si>
  <si>
    <t>발생 횟수가 1회 이하인 조건이 있는 알람의 발송 이력 행을 펼쳐 Email 발송 상세를 조회한 상태</t>
  </si>
  <si>
    <t>최근 발생일시 표기 관측
ㄴ 기획 미정의 항목 — PASS/FAIL 판정 대신 실측 상태를 `실제 결과`에 기재</t>
  </si>
  <si>
    <t>[확인 불가 기반] [DESC 1-2a항-2-c-vii] 발생 횟수 1회 이하일 때 표기</t>
  </si>
  <si>
    <t>[정책 예외] 문서 기본=변경 / 이 화면=신규 [확인 불가] DESC 는 2회 이상만 규정하고 1회 이하 표기를 정의하지 않음 / mock 은 `-` — 기획 확인 필요</t>
  </si>
  <si>
    <t>858</t>
  </si>
  <si>
    <t>TC_VIO_858</t>
  </si>
  <si>
    <t>AND 조건으로 결합된 조건이 등록된 알람의 발송 이력 행을 펼쳐 Email 발송 상세의 내용 Table 을 조회한 상태</t>
  </si>
  <si>
    <t>1. AND 로 결합된 조건 행들의 `발생 횟수` 와 `최근 발생일시` 표시 위치 확인</t>
  </si>
  <si>
    <t>최상단 행에만 발생 횟수와 최근 발생일시 표시</t>
  </si>
  <si>
    <t>[DESC 1-2a항-2-c-vii-x] [강조] `* AND 조건인 경우, 최상단 행에만 발생 횟수 및 최근 발생일시 표시`</t>
  </si>
  <si>
    <t>[정책 예외] 문서 기본=변경 / 이 화면=신규 [확인 불가] 같은 AND 조건이라도 1-2b 텍스트 형태는 `Section 하단에만` 으로 위치가 반대(DESC 1-2b항-3-c-ii-2-e-x) — 사전조건의 채널·형태를 반드시 Email 표 형태로 고정해야 함</t>
  </si>
  <si>
    <t>859</t>
  </si>
  <si>
    <t>TC_VIO_859</t>
  </si>
  <si>
    <t>발송된 알람 메일 본문을 메일 클라이언트에서 열람한 상태</t>
  </si>
  <si>
    <t>1. 본문 하단의 버튼 확인</t>
  </si>
  <si>
    <t>`솔루션으로 이동` 버튼 표출</t>
  </si>
  <si>
    <t>[DESC 1-2a항-2-d] [강조] `솔루션으로 이동` 버튼</t>
  </si>
  <si>
    <t>860</t>
  </si>
  <si>
    <t>TC_VIO_860</t>
  </si>
  <si>
    <t>1. `솔루션으로 이동` 버튼의 링크 대상 확인</t>
  </si>
  <si>
    <t>해당 알람이 생성된 클러스터 대시보드 링크 제공
ㄴ 링크 대상 화면 ID 가 기획 미정의 — PASS/FAIL 판정 대신 실측 상태를 `실제 결과`에 기재</t>
  </si>
  <si>
    <t>[DESC 1-2a항-2-d-1] [강조] `해당 알람이 생성된 클러스터 대시보드 링크 제공`</t>
  </si>
  <si>
    <t>[정책 예외] 문서 기본=변경 / 이 화면=신규 [확인 불가] 링크 대상 화면 ID 가 원문에 표기되지 않음 — 기획 확인 필요</t>
  </si>
  <si>
    <t>861</t>
  </si>
  <si>
    <t>TC_VIO_861</t>
  </si>
  <si>
    <t>1. 본문 내 버튼 제공 여부 확인</t>
  </si>
  <si>
    <t>`솔루션으로 이동` 버튼 제공</t>
  </si>
  <si>
    <t>[DESC 1-2a항-2-d-2] [강조] `발송 메일 본문 내에만 제공`</t>
  </si>
  <si>
    <t>862</t>
  </si>
  <si>
    <t>TC_VIO_862</t>
  </si>
  <si>
    <t>발송 메일·메시지 본문을 열지 않고 솔루션 내 상세 화면에서 발송 이력 행을 펼쳐 Email 발송 상세를 조회한 상태</t>
  </si>
  <si>
    <t>1. 발송 상세 본문 하단의 버튼 유무 확인</t>
  </si>
  <si>
    <t>`솔루션으로 이동` 버튼 미제공</t>
  </si>
  <si>
    <t>[DESC 1-2a항-2-d-2] [강조] `솔루션 내 상세 화면에서는 버튼 미제공`</t>
  </si>
  <si>
    <t>863</t>
  </si>
  <si>
    <t>TC_VIO_863</t>
  </si>
  <si>
    <t>Slack 및 사용자 지정 채널 발송 상세 표출</t>
  </si>
  <si>
    <t>[DESC 1-2b항] `Slack 및 사용자 지정 채널 발송 상세` 항 [공통 DESC C22]</t>
  </si>
  <si>
    <t>864</t>
  </si>
  <si>
    <t>TC_VIO_864</t>
  </si>
  <si>
    <t>1. 발송 상세의 수신 집계 제공 여부 확인</t>
  </si>
  <si>
    <t>`수신 집계` 제공</t>
  </si>
  <si>
    <t>[DESC 1-2b항-1] `수신 집계`</t>
  </si>
  <si>
    <t>865</t>
  </si>
  <si>
    <t>TC_VIO_865</t>
  </si>
  <si>
    <t>1. 발송 상세의 제목 구획 확인</t>
  </si>
  <si>
    <t>제목 구획 표출
ㄴ UI mock 과 Description 이 상반 — PASS/FAIL 판정 대신 실측 상태를 `실제 결과`에 기재</t>
  </si>
  <si>
    <t>[DESC 1-2b항-2] `제목`</t>
  </si>
  <si>
    <t>[정책 예외] 문서 기본=변경 / 이 화면=신규 [UI↔DESC 불일치] X-6 UI: 1-2b mock 은 `메시지` 단일 패널 / DESC 1-2b항-2·3: `제목` 과 `본문` 2항 분리 — 구획 확인 필요</t>
  </si>
  <si>
    <t>866</t>
  </si>
  <si>
    <t>TC_VIO_866</t>
  </si>
  <si>
    <t>1. 발송 상세의 본문 구획 확인</t>
  </si>
  <si>
    <t>본문 구획 표출
ㄴ UI mock 과 Description 이 상반 — PASS/FAIL 판정 대신 실측 상태를 `실제 결과`에 기재</t>
  </si>
  <si>
    <t>[DESC 1-2b항-3] `본문`</t>
  </si>
  <si>
    <t>867</t>
  </si>
  <si>
    <t>TC_VIO_867</t>
  </si>
  <si>
    <t>1. 본문의 클러스터 항목 확인</t>
  </si>
  <si>
    <t>클러스터 항목 표출
ㄴ 기획서 UI가 플레이스홀더 `클러스터 : {cluster}` 표기 — 실 값은 실측 상태를 `실제 결과`에 기재</t>
  </si>
  <si>
    <t>[DESC 1-2b항-3-a] `클러스터`</t>
  </si>
  <si>
    <t>[정책 예외] 문서 기본=변경 / 이 화면=신규 [UI↔DESC 불일치] X-12 UI: 1-2b·1-2d 는 `{cluster}` / 1-2a·1-2c·1-2e 는 `{클러스터명}` — mock 내부 토큰 통일 확인 필요</t>
  </si>
  <si>
    <t>868</t>
  </si>
  <si>
    <t>TC_VIO_868</t>
  </si>
  <si>
    <t>1. 본문의 대상 리소스 항목 확인</t>
  </si>
  <si>
    <t>대상 리소스 항목 표출
ㄴ 값 표기 규칙이 이 페이지에 미정의 — PASS/FAIL 판정 대신 실측 상태를 `실제 결과`에 기재</t>
  </si>
  <si>
    <t>[DESC 1-2b항-3-b] `대상 리소스`</t>
  </si>
  <si>
    <t>[정책 예외] 문서 기본=변경 / 이 화면=신규 [확인 불가] U-2 위임 서술이 1-2b 까지 미치는지 미정의라 위임처 표기 규칙 적용 여부를 확정할 수 없음 — 기획 확인 필요</t>
  </si>
  <si>
    <t>869</t>
  </si>
  <si>
    <t>TC_VIO_869</t>
  </si>
  <si>
    <t>1. 본문의 내용 영역 구성 형태 확인</t>
  </si>
  <si>
    <t>내용이 표가 아니라 텍스트 형태로 표출</t>
  </si>
  <si>
    <t>[DESC 1-2b항-3-c] `내용 텍스트 (화면 참고)`</t>
  </si>
  <si>
    <t>870</t>
  </si>
  <si>
    <t>TC_VIO_870</t>
  </si>
  <si>
    <t>1. 내용 텍스트의 Header 구획 확인</t>
  </si>
  <si>
    <t>Header 가 제목과 동일한 문자열로 표출</t>
  </si>
  <si>
    <t>[DESC 1-2b항-3-c-i] `Header : 제목과 동일 (1항 참고)`</t>
  </si>
  <si>
    <t>871</t>
  </si>
  <si>
    <t>TC_VIO_871</t>
  </si>
  <si>
    <t>1. 내용 텍스트의 Section 구획 확인</t>
  </si>
  <si>
    <t>Section 구획 표출</t>
  </si>
  <si>
    <t>[DESC 1-2b항-3-c-ii] `Section`</t>
  </si>
  <si>
    <t>872</t>
  </si>
  <si>
    <t>TC_VIO_872</t>
  </si>
  <si>
    <t>1. Section 의 첫 구성 요소 확인</t>
  </si>
  <si>
    <t>클러스터와 대상 리소스 정보 제공</t>
  </si>
  <si>
    <t>[DESC 1-2b항-3-c-ii-1] `클러스터, 대상 리소스 정보 제공`</t>
  </si>
  <si>
    <t>873</t>
  </si>
  <si>
    <t>TC_VIO_873</t>
  </si>
  <si>
    <t>1. Section 의 알람 조건 영역 확인</t>
  </si>
  <si>
    <t>알람 조건 정보 표출</t>
  </si>
  <si>
    <t>[DESC 1-2b항-3-c-ii-2] `알람 조건`</t>
  </si>
  <si>
    <t>874</t>
  </si>
  <si>
    <t>TC_VIO_874</t>
  </si>
  <si>
    <t>알람 조건이 2건 이상인 알람의 발송 이력 행을 펼쳐 Slack 또는 사용자 지정 채널 발송 상세를 조회한 상태</t>
  </si>
  <si>
    <t>1. 조건과 조건 사이의 구분 표기 확인</t>
  </si>
  <si>
    <t>조건 사이에 하이픈 형태의 divider 로 구분 표출</t>
  </si>
  <si>
    <t>[DESC 1-2b항-3-c-ii-2-d1] `조건간 divider(-)로 조건 구분`</t>
  </si>
  <si>
    <t>875</t>
  </si>
  <si>
    <t>TC_VIO_875</t>
  </si>
  <si>
    <t>1. 알람 조건의 첫 항목 확인</t>
  </si>
  <si>
    <t>`조건 지표` 표출</t>
  </si>
  <si>
    <t>[DESC 1-2b항-3-c-ii-2-a] `조건 지표` — 1-2a 의 `구분` 과 명칭이 다름</t>
  </si>
  <si>
    <t>876</t>
  </si>
  <si>
    <t>TC_VIO_876</t>
  </si>
  <si>
    <t>1. 알람 조건의 내용 항목 확인</t>
  </si>
  <si>
    <t>알람 내용과 심각도 표출</t>
  </si>
  <si>
    <t>[DESC 1-2b항-3-c-ii-2-b] `내용 : 알람 내용 및 심각도`</t>
  </si>
  <si>
    <t>877</t>
  </si>
  <si>
    <t>TC_VIO_877</t>
  </si>
  <si>
    <t>설정 범위별 심각도가 지정된 알람의 발송 이력 행을 펼쳐 Slack 또는 사용자 지정 채널 발송 상세를 조회한 상태</t>
  </si>
  <si>
    <t>1. 내용 항목의 심각도 표기 위치 확인</t>
  </si>
  <si>
    <t>설정 범위별 심각도가 괄호 안에 표출</t>
  </si>
  <si>
    <t>[DESC 1-2b항-3-c-ii-2-b-1] `설정 범위별 심각도 괄호 내 제공`</t>
  </si>
  <si>
    <t>878</t>
  </si>
  <si>
    <t>TC_VIO_878</t>
  </si>
  <si>
    <t>1. 심각도 표기의 아이콘과 문자열 확인</t>
  </si>
  <si>
    <t>색 원형 아이콘과 함께 `Info` · `Warning` · `Critical` 표출
ㄴ 원문은 파랑 원 `Info` · 노랑 원 `Warning` · 빨강 원 `Critical` 로 색 원형 아이콘을 문자로 표기</t>
  </si>
  <si>
    <t>[DESC 1-2b항-3-c-ii-2-b-2] `심각도 : (파랑 원)Info / (노랑 원)Warning / (빨강 원)Critical`</t>
  </si>
  <si>
    <t>879</t>
  </si>
  <si>
    <t>TC_VIO_879</t>
  </si>
  <si>
    <t>AND 조건으로 결합된 조건이 등록된 알람의 발송 이력 행을 펼쳐 Slack 또는 사용자 지정 채널 발송 상세를 조회한 상태</t>
  </si>
  <si>
    <t>1. 해당 조건의 앞머리 표기 확인</t>
  </si>
  <si>
    <t>큰따옴표 없이 대괄호로 감싼 `AND` 가 조건 앞에 표기</t>
  </si>
  <si>
    <t>[DESC 1-2b항-3-c-ii-2-b-3] [강조] 원문은 대괄호로 감싼 `AND` 를 큰따옴표로 인용해 표기 — 대괄호가 화면에 찍히는 문자라 말로 풀어 기재 [UI] p49 `[AND] 메모리 사용률` — 대괄호 있음, 큰따옴표 없음</t>
  </si>
  <si>
    <t>880</t>
  </si>
  <si>
    <t>TC_VIO_880</t>
  </si>
  <si>
    <t>1. AND 로 결합된 조건의 Section 구성 확인</t>
  </si>
  <si>
    <t>1개 section 으로 병합 표출</t>
  </si>
  <si>
    <t>[DESC 1-2b항-3-c-ii-2-b-3] [강조] `1개 section으로 제공`</t>
  </si>
  <si>
    <t>881</t>
  </si>
  <si>
    <t>TC_VIO_881</t>
  </si>
  <si>
    <t>대상 리소스가 네임스페이스 전체인 알람의 발송 이력 행을 펼쳐 Slack 또는 사용자 지정 채널 발송 상세를 조회한 상태</t>
  </si>
  <si>
    <t>1. Section 의 발생 리소스 항목 확인</t>
  </si>
  <si>
    <t>1-2a 와 동일한 형태로 발생 리소스 표출</t>
  </si>
  <si>
    <t>[DESC 1-2b항-3-c-ii-2-c] [강조] `발생 리소스 : 1-2a와 동일`</t>
  </si>
  <si>
    <t>882</t>
  </si>
  <si>
    <t>TC_VIO_882</t>
  </si>
  <si>
    <t>1. Section 의 발생 횟수 표기 문자열 확인</t>
  </si>
  <si>
    <t>`발생 {n}회` 형식으로 표출
ㄴ UI mock 과 Description 이 상반 — PASS/FAIL 판정 대신 실측 상태를 `실제 결과`에 기재</t>
  </si>
  <si>
    <t>[DESC 1-2b항-3-c-ii-2-d] `발생 횟수 : "발생 {n}회"` 표출 문자열 규정</t>
  </si>
  <si>
    <t>[정책 예외] 문서 기본=변경 / 이 화면=신규 [UI↔DESC 불일치] X-8 UI: H-1·H-2·H-6 은 `발생 횟수 : {n}` 라벨+값 / H-5 는 `- 발생 {n}회` / DESC 1-2b항-3-c-ii-2-d: `"발생 {n}회"` — mock 2종이 서로 다름, 표기 확인 필요</t>
  </si>
  <si>
    <t>883</t>
  </si>
  <si>
    <t>TC_VIO_883</t>
  </si>
  <si>
    <t>1. Section 의 최근 발생일시 표기 문자열 확인</t>
  </si>
  <si>
    <t>`최근 {YYYY-MM-DD hh:mm:ss}` 형식으로 표출
ㄴ UI mock 과 Description 이 상반 — PASS/FAIL 판정 대신 실측 상태를 `실제 결과`에 기재</t>
  </si>
  <si>
    <t>[DESC 1-2b항-3-c-ii-2-e] `최근 발생일시 : "최근 {YYYY-MM-DD hh:mm:ss}"` — 대소문자 혼용 원문 그대로</t>
  </si>
  <si>
    <t>[정책 예외] 문서 기본=변경 / 이 화면=신규 [UI↔DESC 불일치] X-8 UI: H-1·H-2·H-6 은 `최근 발생일시 : 2026-06-01 12:00:00` 라벨+값 / H-5 는 `- 최근 2026-06-01 12:00:00` / DESC: `"최근 {YYYY-MM-DD hh:mm:ss}"` — 표기 확인 필요</t>
  </si>
  <si>
    <t>884</t>
  </si>
  <si>
    <t>TC_VIO_884</t>
  </si>
  <si>
    <t>AND 조건으로 결합된 조건이 등록된 알람의 발송 이력 행을 펼쳐 Slack 또는 사용자 지정 채널 발송 상세의 텍스트 본문을 조회한 상태</t>
  </si>
  <si>
    <t>1. AND 로 결합된 조건의 발생 횟수와 최근 발생일시 표시 위치 확인</t>
  </si>
  <si>
    <t>해당 조건의 Section 하단에만 발생 횟수와 최근 발생일시 표시</t>
  </si>
  <si>
    <t>[DESC 1-2b항-3-c-ii-2-e-x] [강조] `* AND 조건인 경우, 해당 조건의 Section 하단에만 발생 횟수 및 최근 발생일시 표시`</t>
  </si>
  <si>
    <t>[정책 예외] 문서 기본=변경 / 이 화면=신규 [확인 불가] 같은 AND 조건이라도 1-2a 표 형태는 `최상단 행에만` 으로 위치가 반대(DESC 1-2a항-2-c-vii-x) — 사전조건의 채널·형태를 반드시 Slack·사용자 지정 텍스트 형태로 고정해야 함</t>
  </si>
  <si>
    <t>885</t>
  </si>
  <si>
    <t>TC_VIO_885</t>
  </si>
  <si>
    <t>발송된 알람 메시지를 Slack 또는 사용자 지정 채널에서 열람한 상태</t>
  </si>
  <si>
    <t>1. 메시지 하단의 button 확인</t>
  </si>
  <si>
    <t>`솔루션으로 이동` 버튼 표출
ㄴ 상세 화면에서의 미제공 규정이 이 경로에도 적용되는지 기획 미정의 — PASS/FAIL 판정 대신 실측 상태를 `실제 결과`에 기재</t>
  </si>
  <si>
    <t>[DESC 1-2b항-3-c-iii] `button : 솔루션으로 이동 버튼 제공 (1-2d 참고)`</t>
  </si>
  <si>
    <t>[정책 예외] 문서 기본=변경 / 이 화면=신규 [확인 불가] U-16 1-2a `d-2` 의 `솔루션 내 상세 화면에서는 버튼 미제공` 이 Slack 경로에도 적용되는지 1-2b 에 명시 없음 — 기획 확인 필요</t>
  </si>
  <si>
    <t>886</t>
  </si>
  <si>
    <t>TC_VIO_886</t>
  </si>
  <si>
    <t>1. 기간 설정 우측 날짜 범위 입력 확인</t>
  </si>
  <si>
    <t>시작·종료 날짜 입력 2칸과 캘린더 아이콘 표출
ㄴ 기획서 UI가 플레이스홀더 `0000-00-00` 표기 — 실 값은 실측 상태를 `실제 결과`에 기재</t>
  </si>
  <si>
    <t>[UI] p49 날짜 범위 입력</t>
  </si>
  <si>
    <t>[정책 예외] 문서 기본=변경 / 이 화면=신규 [확인 불가] U-7 날짜 범위 입력 형식과 유효성 규정이 이 페이지에 미정의 — 기획 확인 필요</t>
  </si>
  <si>
    <t>887</t>
  </si>
  <si>
    <t>TC_VIO_887</t>
  </si>
  <si>
    <t>1열과 `수신 대상` 2개 컬럼에 정렬 아이콘 표출</t>
  </si>
  <si>
    <t>[UI] p49 정렬 아이콘 제공 컬럼 2종 — DESC 1항-b1 미제공 규정과 정합</t>
  </si>
  <si>
    <t>888</t>
  </si>
  <si>
    <t>TC_VIO_888</t>
  </si>
  <si>
    <t>[확인 불가 기반] [UI] p49 Sort 제공 컬럼의 기본 정렬 상태</t>
  </si>
  <si>
    <t>[정책 예외] 문서 기본=변경 / 이 화면=신규 [확인 불가] U-8 기본 정렬 컬럼·방향·토글 순서가 이 페이지에 미정의 — 기획 확인 필요</t>
  </si>
  <si>
    <t>889</t>
  </si>
  <si>
    <t>TC_VIO_889</t>
  </si>
  <si>
    <t>1. `결과` 와 `수신 현황` 헤더 사이의 아이콘 확인</t>
  </si>
  <si>
    <t>물음표 아이콘 표출
ㄴ 기획 미정의 항목 — PASS/FAIL 판정 대신 실측 상태를 `실제 결과`에 기재</t>
  </si>
  <si>
    <t>[확인 불가 기반] [UI] p49 헤더 물음표 아이콘 — 귀속 컬럼 불명</t>
  </si>
  <si>
    <t>[정책 예외] 문서 기본=변경 / 이 화면=신규 [확인 불가] U-4 아이콘이 `결과` 와 `수신 현황` 사이에 단독으로 놓여 귀속 컬럼과 툴팁 문구가 미정의 [UI↔DESC 불일치] X-9 UI: 헤더 물음표 아이콘 / DESC 1항-5b: 마우스 호버 툴팁만 규정 — 기획 확인 필요</t>
  </si>
  <si>
    <t>890</t>
  </si>
  <si>
    <t>TC_VIO_890</t>
  </si>
  <si>
    <t>1. `결과` 컬럼 badge 의 표기 언어 확인</t>
  </si>
  <si>
    <t>영문 badge 로 표출
ㄴ 기획서 UI가 더미 `SENT · PartiallySent · SKIPPED · FAILED · INACTIVE` 표기 — 실 값은 실측 상태를 `실제 결과`에 기재</t>
  </si>
  <si>
    <t>[UI] p49 `결과` 영문 badge 5종</t>
  </si>
  <si>
    <t>[정책 예외] 문서 기본=변경 / 이 화면=신규 [UI↔DESC 불일치] X-2 UI: 영문 badge 5종 / DESC 1항-5: 한글 enum 5종 — 대응 관계 미명시, 매핑 확인 필요</t>
  </si>
  <si>
    <t>891</t>
  </si>
  <si>
    <t>TC_VIO_891</t>
  </si>
  <si>
    <t>1. 발송 실패 행들의 `결과` badge 철자 대조</t>
  </si>
  <si>
    <t>동일한 철자로 표출
ㄴ 기획 미정의 항목 — PASS/FAIL 판정 대신 실측 상태를 `실제 결과`에 기재</t>
  </si>
  <si>
    <t>[확인 불가 기반] [UI] p49 badge 철자 — 7행 mock 에서 `FAILED` 와 `FAILD` 병존</t>
  </si>
  <si>
    <t>[정책 예외] 문서 기본=변경 / 이 화면=신규 [오타 의심] X-3 UI: 4행 badge 는 `FAILED` / 7행 badge 는 `FAILD` — 같은 화면에서 철자가 갈림, 표기 통일 확인 필요</t>
  </si>
  <si>
    <t>892</t>
  </si>
  <si>
    <t>TC_VIO_892</t>
  </si>
  <si>
    <t>1. 각 행의 `제목` 셀 값이 제목 형식과 맞는지 확인</t>
  </si>
  <si>
    <t>전 행이 제목 형식으로 표출
ㄴ UI mock 과 Description 이 상반 — PASS/FAIL 판정 대신 실측 상태를 `실제 결과`에 기재</t>
  </si>
  <si>
    <t>[확인 불가 기반] [UI] p49 7행 `제목` 셀 이상값</t>
  </si>
  <si>
    <t>[정책 예외] 문서 기본=변경 / 이 화면=신규 [UI↔DESC 불일치] X-4 UI: 7행 `제목` 셀 값이 수신 주기 값 `알람 발생 시마다` / DESC 1항-4: 제목 형식 — mock 오기 여부 확인 필요</t>
  </si>
  <si>
    <t>893</t>
  </si>
  <si>
    <t>TC_VIO_893</t>
  </si>
  <si>
    <t>미발송 사유가 1건 이상인 발송 이력 행이 펼침 상태인 상태</t>
  </si>
  <si>
    <t>1. 미발송 사유 줄의 사유 라벨 표기 확인</t>
  </si>
  <si>
    <t>사유 라벨 표기 관측
ㄴ 기획 미정의 항목 — PASS/FAIL 판정 대신 실측 상태를 `실제 결과`에 기재</t>
  </si>
  <si>
    <t>[확인 불가 기반] [UI] p49 미발송 사유 mock 라벨 `{허용 시간 외/수신 정책 외} : `</t>
  </si>
  <si>
    <t>[정책 예외] 문서 기본=변경 / 이 화면=신규 [확인 불가] U-12 두 사유의 병합 표기인지 택일 mock 토큰인지 미정의 / DESC 1-1항-a·b 는 별도 사유로 정의 — 기획 확인 필요</t>
  </si>
  <si>
    <t>894</t>
  </si>
  <si>
    <t>TC_VIO_894</t>
  </si>
  <si>
    <t>1. 본문의 대상 리소스 값과 발생 리소스 줄 유무 확인</t>
  </si>
  <si>
    <t>대상 리소스와 발생 리소스 표기 관측
ㄴ UI mock 과 Description 이 상반 — PASS/FAIL 판정 대신 실측 상태를 `실제 결과`에 기재</t>
  </si>
  <si>
    <t>[확인 불가 기반] [UI] p49 1-2d 예시 1 캡션과 mock 불일치</t>
  </si>
  <si>
    <t>[정책 예외] 문서 기본=변경 / 이 화면=신규 [UI↔DESC 불일치] X-7 UI: 캡션은 `대상 리소스 = '네임스페이스 전체'인 경우` 이고 발생 리소스 컬럼 추가 제공을 명시하나 같은 콜아웃의 mock 본문은 `대상 리소스 : 클러스터 전체` 이고 발생 리소스 줄이 없음 — 기획 확인 필요</t>
  </si>
  <si>
    <t>895</t>
  </si>
  <si>
    <t>TC_VIO_895</t>
  </si>
  <si>
    <t>1. 알람 조건 내용 줄의 구분자 표기 대조</t>
  </si>
  <si>
    <t>전 줄이 동일한 구분자로 표기
ㄴ UI mock 과 Description 이 상반 — PASS/FAIL 판정 대신 실측 상태를 `실제 결과`에 기재</t>
  </si>
  <si>
    <t>[확인 불가 기반] [UI] p49 1-2b 조건 내용 구분자</t>
  </si>
  <si>
    <t>[정책 예외] 문서 기본=변경 / 이 화면=신규 [UI↔DESC 불일치] X-10 UI: 대괄호로 감싼 `AND` 가 붙은 `메모리 사용률` 조건의 하위 줄은 `내용 : 최대 80% 초과 (Warning)` 로 불릿 `·` 이 없고 다른 줄은 `최대 80% · 초과` — 구분자 통일 확인 필요</t>
  </si>
  <si>
    <t>896</t>
  </si>
  <si>
    <t>TC_VIO_896</t>
  </si>
  <si>
    <t>[UI] p49 푸터 `전체 수 N` 표기</t>
  </si>
  <si>
    <t>[정책 예외] 문서 기본=변경 / 이 화면=신규 [확인 불가] U-15 건수 산출 기준과 표기 규칙이 이 페이지에 미정의 — 기획 확인 필요</t>
  </si>
  <si>
    <t>897</t>
  </si>
  <si>
    <t>TC_VIO_897</t>
  </si>
  <si>
    <t>[UI] p49 푸터 페이지네이션 컨트롤</t>
  </si>
  <si>
    <t>898</t>
  </si>
  <si>
    <t>TC_VIO_898</t>
  </si>
  <si>
    <t>[UI] p49 푸터 `리스트 수` 선택기</t>
  </si>
  <si>
    <t>[정책 예외] 문서 기본=변경 / 이 화면=신규 [확인 불가] U-15 리스트 수 기본값과 선택 가능 값이 이 페이지에 미정의 — 기획 확인 필요</t>
  </si>
  <si>
    <t>899</t>
  </si>
  <si>
    <t>TC_VIO_899</t>
  </si>
  <si>
    <t>VIOE-03_01_04_13</t>
  </si>
  <si>
    <t>HPA 스케줄 목록</t>
  </si>
  <si>
    <t>LNB `워크플로우 &gt; 워크로드 &gt; 오토스케일러` 진입 전 상태</t>
  </si>
  <si>
    <t>1. LNB `오토스케일러` 진입 후 `HPA 스케줄` 탭 선택</t>
  </si>
  <si>
    <t>HPA 스케줄 목록 테이블 표출</t>
  </si>
  <si>
    <t>[DESC 2항] [UI] p78 HPA 스케줄 목록 테이블 — 콜아웃 2</t>
  </si>
  <si>
    <t>900</t>
  </si>
  <si>
    <t>TC_VIO_900</t>
  </si>
  <si>
    <t>HPA 스케줄 목록 화면 진입 상태</t>
  </si>
  <si>
    <t>1. 화면 상단 좌측 breadcrumb 경로 확인</t>
  </si>
  <si>
    <t>`워크플로우 / 워크로드 / 오토 스케일러` 경로 표출</t>
  </si>
  <si>
    <t>[UI] p78 breadcrumb 3마디</t>
  </si>
  <si>
    <t>901</t>
  </si>
  <si>
    <t>TC_VIO_901</t>
  </si>
  <si>
    <t>1. breadcrumb 마디별 서식 확인</t>
  </si>
  <si>
    <t>말단 마디 `오토 스케일러` 볼드, 앞 두 마디 회색 표출</t>
  </si>
  <si>
    <t>[UI] p78 breadcrumb 현재 위치 표기</t>
  </si>
  <si>
    <t>902</t>
  </si>
  <si>
    <t>TC_VIO_902</t>
  </si>
  <si>
    <t>1. 콘텐츠 영역 상단 페이지 타이틀 확인</t>
  </si>
  <si>
    <t>페이지 타이틀 `오토 스케일러` 표출</t>
  </si>
  <si>
    <t>[UI] p78 페이지 타이틀</t>
  </si>
  <si>
    <t>[정책 예외] 문서 기본=변경 / 이 화면=신규 [오타 의심] X-1 같은 대상을 LNB `오토스케일러`(공백 없음) / breadcrumb·페이지 타이틀 `오토 스케일러`(공백 있음) / 헤더 Page Title `HPA 스케줄 목록` 로 표기 — 표기 통일 확인 필요</t>
  </si>
  <si>
    <t>903</t>
  </si>
  <si>
    <t>TC_VIO_903</t>
  </si>
  <si>
    <t>1. 페이지 타이틀 하단 서브타이틀 확인</t>
  </si>
  <si>
    <t>[UI] p78 서브타이틀 더미 플레이스홀더</t>
  </si>
  <si>
    <t>[정책 예외] 문서 기본=변경 / 이 화면=신규 [확인 불가] U-1 서브타이틀 실 문구 미정의 — 기획 확인 필요</t>
  </si>
  <si>
    <t>904</t>
  </si>
  <si>
    <t>TC_VIO_904</t>
  </si>
  <si>
    <t>1. 페이지 타이틀 하단 탭 바 확인</t>
  </si>
  <si>
    <t>탭 `HPA` · `HPA 스케줄` · `VPA` 3개 표출</t>
  </si>
  <si>
    <t>[UI] p78 상단 탭 3개</t>
  </si>
  <si>
    <t>[정책 예외] 문서 기본=변경 / 이 화면=신규 [확인 불가] X-5 탭 구성·기본 선택·전환 규정이 Description 에 없음 — 기획 확인 필요</t>
  </si>
  <si>
    <t>905</t>
  </si>
  <si>
    <t>TC_VIO_905</t>
  </si>
  <si>
    <t>HPA 스케줄 목록 화면에서 `HPA 스케줄` 탭이 선택된 상태</t>
  </si>
  <si>
    <t>1. 선택된 `HPA 스케줄` 탭의 표기 확인</t>
  </si>
  <si>
    <t>초록 텍스트 + 하단 초록 밑줄로 선택 상태 표출</t>
  </si>
  <si>
    <t>[UI] p78 탭 선택 외형</t>
  </si>
  <si>
    <t>[정책 예외] 문서 기본=변경 / 이 화면=신규 [확인 불가] U-2 기본 선택 탭 규정 없음 — 기획 확인 필요</t>
  </si>
  <si>
    <t>906</t>
  </si>
  <si>
    <t>TC_VIO_906</t>
  </si>
  <si>
    <t>1. `HPA` 탭 클릭</t>
  </si>
  <si>
    <t>탭 전환 후 화면 상태 확인
ㄴ 기획 미정의 항목 — PASS/FAIL 판정 대신 실측 상태를 `실제 결과`에 기재</t>
  </si>
  <si>
    <t>[확인 불가 기반] [UI] p78 탭 전환 동작 미규정</t>
  </si>
  <si>
    <t>[정책 예외] 문서 기본=변경 / 이 화면=신규 [확인 불가] U-2 탭 전환 결과·각 탭 내용 미정의 — 기획 확인 필요</t>
  </si>
  <si>
    <t>907</t>
  </si>
  <si>
    <t>TC_VIO_907</t>
  </si>
  <si>
    <t>1. LNB 대분류 메뉴 목록 확인</t>
  </si>
  <si>
    <t>대분류 `대시보드` · `기본 설정` · `워크플로우` · `서비스 카탈로그` · `모니터링` 5개 표출</t>
  </si>
  <si>
    <t>[UI] p78 LNB 대분류 5개</t>
  </si>
  <si>
    <t>908</t>
  </si>
  <si>
    <t>TC_VIO_908</t>
  </si>
  <si>
    <t>LNB `워크플로우` 가 펼쳐진 상태</t>
  </si>
  <si>
    <t>1. LNB `워크플로우` 하위 메뉴 확인</t>
  </si>
  <si>
    <t>하위 메뉴 `워크로드` · `네트워크` · `스토리지` 3개 표출</t>
  </si>
  <si>
    <t>[UI] p78 LNB 워크플로우 하위 3개</t>
  </si>
  <si>
    <t>909</t>
  </si>
  <si>
    <t>TC_VIO_909</t>
  </si>
  <si>
    <t>LNB `워크플로우 &gt; 워크로드` 가 펼쳐진 상태</t>
  </si>
  <si>
    <t>1. LNB `워크로드` 하위 메뉴 확인</t>
  </si>
  <si>
    <t>하위 메뉴 `컨테이너 관리` · `작업 관리` · `구성 관리` · `오토스케일러` 4개 표출</t>
  </si>
  <si>
    <t>[UI] p78 LNB 워크로드 하위 4개</t>
  </si>
  <si>
    <t>910</t>
  </si>
  <si>
    <t>TC_VIO_910</t>
  </si>
  <si>
    <t>LNB `오토스케일러` 메뉴로 진입한 상태</t>
  </si>
  <si>
    <t>1. LNB `오토스케일러` 항목의 선택 표기 확인</t>
  </si>
  <si>
    <t>초록 텍스트 + 연초록 배경 + 좌측 초록 세로 바로 선택 상태 표출</t>
  </si>
  <si>
    <t>[UI] p78 LNB 오토스케일러 선택 외형</t>
  </si>
  <si>
    <t>[정책 예외] 문서 기본=변경 / 이 화면=신규 [오타 의심] X-1 LNB 는 `오토스케일러`(공백 없음), breadcrumb·페이지 타이틀은 `오토 스케일러`(공백 있음) — 표기 통일 확인 필요</t>
  </si>
  <si>
    <t>911</t>
  </si>
  <si>
    <t>TC_VIO_911</t>
  </si>
  <si>
    <t>1. LNB 하단 영역 확인</t>
  </si>
  <si>
    <t>`알림`(빨간 점 배지 동반) · `프로필` · 접기 아이콘 `|&lt;` 표출</t>
  </si>
  <si>
    <t>[UI] p78 LNB 하단 3요소</t>
  </si>
  <si>
    <t>[정책 예외] 문서 기본=변경 / 이 화면=신규 [확인 불가] U-16 LNB 하단 요소 동작·알림 배지 노출 조건 미정의 — 기획 확인 필요</t>
  </si>
  <si>
    <t>912</t>
  </si>
  <si>
    <t>TC_VIO_912</t>
  </si>
  <si>
    <t>클러스터 선택기와 교체 아이콘 `⇄` 표출
ㄴ 기획서 UI가 더미 `Cluster name` 표기 — 실 클러스터명은 실측 상태를 `실제 결과`에 기재</t>
  </si>
  <si>
    <t>[UI] p78 우상단 클러스터 선택기</t>
  </si>
  <si>
    <t>[정책 예외] 문서 기본=변경 / 이 화면=신규 [확인 불가] U-15 선택기 동작 미정의 — 기획 확인 필요</t>
  </si>
  <si>
    <t>913</t>
  </si>
  <si>
    <t>TC_VIO_913</t>
  </si>
  <si>
    <t>1. 탭 바 하단 필터 칩 영역 확인</t>
  </si>
  <si>
    <t>`전체 선택` 포함 초록 아웃라인 칩 7개 표출
ㄴ 기획서 UI가 더미 `Label-1` ~ `Label-6` 표기 — 실 라벨은 실측 상태를 `실제 결과`에 기재</t>
  </si>
  <si>
    <t>[UI] p78 필터 칩 7개</t>
  </si>
  <si>
    <t>[정책 예외] 문서 기본=변경 / 이 화면=신규 [확인 불가] U-3 칩 선택 동작·다중 선택 여부·`전체 선택` 의미 미정의 — 기획 확인 필요</t>
  </si>
  <si>
    <t>914</t>
  </si>
  <si>
    <t>TC_VIO_914</t>
  </si>
  <si>
    <t>필터 칩이 모두 미선택된 목록 화면 진입 상태</t>
  </si>
  <si>
    <t>1. 필터 칩 1개 클릭</t>
  </si>
  <si>
    <t>칩 선택 후 목록 상태 확인
ㄴ 기획 미정의 항목 — PASS/FAIL 판정 대신 실측 상태를 `실제 결과`에 기재</t>
  </si>
  <si>
    <t>[확인 불가 기반] [UI] p78 필터 칩 선택 동작 미규정</t>
  </si>
  <si>
    <t>[정책 예외] 문서 기본=변경 / 이 화면=신규 [확인 불가] U-3 칩 선택 시 목록 필터링 규칙 미정의 — 기획 확인 필요</t>
  </si>
  <si>
    <t>915</t>
  </si>
  <si>
    <t>TC_VIO_915</t>
  </si>
  <si>
    <t>1. 필터 칩 라벨에 더미 토큰 잔존 여부 확인</t>
  </si>
  <si>
    <t>더미 라벨 `Label-1` ~ `Label-6` 미노출</t>
  </si>
  <si>
    <t>[UI] p78 필터 칩 더미 라벨</t>
  </si>
  <si>
    <t>[정책 예외] 문서 기본=변경 / 이 화면=신규 [확인 불가] U-3 실 라벨 목록이 이 페이지에 없음 — 확정값 확인 필요</t>
  </si>
  <si>
    <t>916</t>
  </si>
  <si>
    <t>TC_VIO_916</t>
  </si>
  <si>
    <t>1. 검색 입력 좌측 아이콘 확인</t>
  </si>
  <si>
    <t>가로 3선 필터 아이콘 표출</t>
  </si>
  <si>
    <t>[UI] p78 검색 입력 좌측 필터 아이콘</t>
  </si>
  <si>
    <t>[정책 예외] 문서 기본=변경 / 이 화면=신규 [확인 불가] U-4 필터 아이콘 동작 미정의 — 기획 확인 필요</t>
  </si>
  <si>
    <t>917</t>
  </si>
  <si>
    <t>TC_VIO_917</t>
  </si>
  <si>
    <t>1. 검색 입력의 placeholder 확인</t>
  </si>
  <si>
    <t>placeholder `항목 이름 또는 값을 입력해 주세요.` 표출</t>
  </si>
  <si>
    <t>[UI] p78 검색 입력 placeholder 원문(문장 끝 마침표 포함)</t>
  </si>
  <si>
    <t>918</t>
  </si>
  <si>
    <t>TC_VIO_918</t>
  </si>
  <si>
    <t>HPA 스케줄 목록에 1건 이상 조회된 상태</t>
  </si>
  <si>
    <t>1. 검색 입력에 값 입력 후 검색 실행</t>
  </si>
  <si>
    <t>검색 실행 후 목록 상태 확인
ㄴ 기획 미정의 항목 — PASS/FAIL 판정 대신 실측 상태를 `실제 결과`에 기재</t>
  </si>
  <si>
    <t>[확인 불가 기반] [UI] p78 검색 동작 미규정</t>
  </si>
  <si>
    <t>[정책 예외] 문서 기본=변경 / 이 화면=신규 [확인 불가] U-4 검색 대상 필드·매칭 방식 미정의 — 기획 확인 필요</t>
  </si>
  <si>
    <t>919</t>
  </si>
  <si>
    <t>TC_VIO_919</t>
  </si>
  <si>
    <t>1. 검색 입력 우측 `기간 설정` 컨트롤 확인</t>
  </si>
  <si>
    <t>`기간 설정` 드롭다운과 셰브론 `∨` 표출</t>
  </si>
  <si>
    <t>[UI] p78 기간 설정 드롭다운</t>
  </si>
  <si>
    <t>[정책 예외] 문서 기본=변경 / 이 화면=신규 [확인 불가] U-4 `기간 설정` 옵션 목록·동작 미정의 — 기획 확인 필요</t>
  </si>
  <si>
    <t>920</t>
  </si>
  <si>
    <t>TC_VIO_920</t>
  </si>
  <si>
    <t>1. 기간 범위 입력 컨트롤 확인</t>
  </si>
  <si>
    <t>`Start date` · `→` · `End date` 입력과 달력 아이콘 표출
ㄴ 기획서 UI가 더미 플레이스홀더 표기 — 실 기본값은 실측 상태를 `실제 결과`에 기재</t>
  </si>
  <si>
    <t>[UI] p78 기간 범위 입력</t>
  </si>
  <si>
    <t>[정책 예외] 문서 기본=변경 / 이 화면=신규 [확인 불가] U-4 기간 필터 적용 대상 컬럼·기본 범위 미정의 — 기획 확인 필요</t>
  </si>
  <si>
    <t>921</t>
  </si>
  <si>
    <t>TC_VIO_921</t>
  </si>
  <si>
    <t>1. 툴바 최우측 생성 버튼 확인</t>
  </si>
  <si>
    <t>초록 채움 버튼 `+ 생성` 표출</t>
  </si>
  <si>
    <t>[DESC 1항] [UI] p78 생성 버튼 — 콜아웃 1</t>
  </si>
  <si>
    <t>[정책 예외] 문서 기본=변경 / 이 화면=신규 [확인 불가] X-6 DESC 1항 제목은 `생성`, UI 버튼 라벨은 `+ 생성` — 화면에 표출되는 라벨 확정 필요</t>
  </si>
  <si>
    <t>922</t>
  </si>
  <si>
    <t>TC_VIO_922</t>
  </si>
  <si>
    <t>1. `+ 생성` 버튼 클릭</t>
  </si>
  <si>
    <t>HPA 스케줄 생성 화면(VIOE-03_01_04_14)으로 이동</t>
  </si>
  <si>
    <t>[DESC 1항-B2] 클릭 시, 생성 페이지로 이동</t>
  </si>
  <si>
    <t>923</t>
  </si>
  <si>
    <t>TC_VIO_923</t>
  </si>
  <si>
    <t>1. 목록 상단 `생성` 영역의 구성과 활성 상태 확인</t>
  </si>
  <si>
    <t>`생성` 영역 동작 상태 확인
ㄴ 기획 미정의 항목 — PASS/FAIL 판정 대신 실측 상태를 `실제 결과`에 기재</t>
  </si>
  <si>
    <t>[DESC 1항-B1] [확인 불가 기반] Table 조회형 공통 정책에 따름</t>
  </si>
  <si>
    <t>[정책 예외] 문서 기본=변경 / 이 화면=신규 [확인 불가] R24-1 공통 정책의 준거 문서가 미표기이고 DESC 1항(`생성`)에 조회형 정책이 기재된 근거도 없음 — 기획 확인 필요</t>
  </si>
  <si>
    <t>924</t>
  </si>
  <si>
    <t>TC_VIO_924</t>
  </si>
  <si>
    <t>1. 목록 진입 직후 테이블의 기본 정렬 순서와 페이징 상태 확인</t>
  </si>
  <si>
    <t>목록 테이블 기본 상태 표출
ㄴ 기획 미정의 항목 — PASS/FAIL 판정 대신 실측 상태를 `실제 결과`에 기재</t>
  </si>
  <si>
    <t>[DESC 2항-B1] [확인 불가 기반] Table 조회형 공통 정책에 따름</t>
  </si>
  <si>
    <t>[정책 예외] 문서 기본=변경 / 이 화면=신규 [확인 불가] R24-1 준거 문서 미표기로 정렬 기본값·페이징·검색·빈 목록 상태 판정 불가 — 대상 문서 확인 필요</t>
  </si>
  <si>
    <t>925</t>
  </si>
  <si>
    <t>TC_VIO_925</t>
  </si>
  <si>
    <t>1. 테이블 헤더의 컬럼 구성·순서 확인</t>
  </si>
  <si>
    <t>체크박스 열 포함 컬럼 9개가 `이름` · `상태` · `클러스터` · `네임스페이스` · `스케일링 대상` · `최근 실행일시` · `생성일시` · `작업` 순으로 표출</t>
  </si>
  <si>
    <t>[UI] p78 테이블 헤더 컬럼 9개</t>
  </si>
  <si>
    <t>926</t>
  </si>
  <si>
    <t>TC_VIO_926</t>
  </si>
  <si>
    <t>1. 테이블 첫 열의 체크박스 확인</t>
  </si>
  <si>
    <t>헤더 체크박스 1개와 각 행 체크박스 표출</t>
  </si>
  <si>
    <t>[UI] p78 테이블 체크박스 열</t>
  </si>
  <si>
    <t>[정책 예외] 문서 기본=변경 / 이 화면=신규 [확인 불가] U-8 체크박스 선택 후 동작·일괄 작업 대상 규정 없음 — 기획 확인 필요</t>
  </si>
  <si>
    <t>927</t>
  </si>
  <si>
    <t>TC_VIO_927</t>
  </si>
  <si>
    <t>1. 테이블 첫 데이터 컬럼 헤더 확인</t>
  </si>
  <si>
    <t>첫 데이터 컬럼 헤더 표출
ㄴ 컬럼 라벨이 UI `이름` / DESC `스케줄 작업 이름` 로 갈림 — 실측 라벨을 `실제 결과`에 기재</t>
  </si>
  <si>
    <t>[DESC 2항-1] 스케줄 작업 이름</t>
  </si>
  <si>
    <t>[정책 예외] 문서 기본=변경 / 이 화면=신규 [UI↔DESC 불일치] X-2 UI 헤더: `이름` / DESC 2항-1: `스케줄 작업 이름` — 표기 통일 확인 필요</t>
  </si>
  <si>
    <t>928</t>
  </si>
  <si>
    <t>TC_VIO_928</t>
  </si>
  <si>
    <t>1. 각 행의 첫 데이터 컬럼 셀 표기 확인</t>
  </si>
  <si>
    <t>밑줄 링크 형태로 표출
ㄴ 기획서 UI가 더미 `Link text` 표기 — 실 값은 실측 상태를 `실제 결과`에 기재</t>
  </si>
  <si>
    <t>[UI] p78 이름 컬럼 셀 링크 외형</t>
  </si>
  <si>
    <t>929</t>
  </si>
  <si>
    <t>TC_VIO_929</t>
  </si>
  <si>
    <t>1. 목록 행의 스케줄 작업 이름 클릭</t>
  </si>
  <si>
    <t>HPA 스케줄 상세 화면(VIOE-03_01_04_16)으로 이동</t>
  </si>
  <si>
    <t>[DESC 2항-1-d1] 클릭 시, 상세 페이지로 이동</t>
  </si>
  <si>
    <t>930</t>
  </si>
  <si>
    <t>TC_VIO_930</t>
  </si>
  <si>
    <t>1. 테이블 헤더의 `상태` 컬럼 확인</t>
  </si>
  <si>
    <t>`상태` 컬럼 헤더 표출</t>
  </si>
  <si>
    <t>[DESC 2항-2] 상태</t>
  </si>
  <si>
    <t>931</t>
  </si>
  <si>
    <t>TC_VIO_931</t>
  </si>
  <si>
    <t>1. 각 행의 `상태` 컬럼 값 표기 형태 확인</t>
  </si>
  <si>
    <t>HPA 스케줄 실행 상태가 tag 형태로 표출</t>
  </si>
  <si>
    <t>[DESC 2항-2-c1] HPA 스케줄 실행 상태 표시 (tag 형태)</t>
  </si>
  <si>
    <t>932</t>
  </si>
  <si>
    <t>TC_VIO_932</t>
  </si>
  <si>
    <t>1. `상태` 컬럼의 tag 종류와 색상 확인</t>
  </si>
  <si>
    <t>tag `RUNNING`(연초록) · `COMPLETED`(연초록) · `SCHEDULED`(연파랑) · `ERROR`(연빨강) 표출
ㄴ 기획서 UI 관측값 4종 — 상태값 전수 여부는 실측 상태를 `실제 결과`에 기재</t>
  </si>
  <si>
    <t>[UI] p78 상태 tag 4종</t>
  </si>
  <si>
    <t>[정책 예외] 문서 기본=변경 / 이 화면=신규 [확인 불가] U-5 · X-3 상태값 enum 이 Description 에 없고 문서 밖 `리소스 상태값` Sheet 로 위임 — 전수 목록 확인 필요</t>
  </si>
  <si>
    <t>933</t>
  </si>
  <si>
    <t>TC_VIO_933</t>
  </si>
  <si>
    <t>1. 테이블 헤더 `상태` 우측 아이콘 확인</t>
  </si>
  <si>
    <t>`?` 원형 아이콘 표출</t>
  </si>
  <si>
    <t>[UI] p78 상태 헤더 물음표 아이콘</t>
  </si>
  <si>
    <t>[정책 예외] 문서 기본=변경 / 이 화면=신규 [확인 불가] X-7 `?` 아이콘의 역할이 Description 에 없음 — 기획 확인 필요</t>
  </si>
  <si>
    <t>934</t>
  </si>
  <si>
    <t>TC_VIO_934</t>
  </si>
  <si>
    <t>1. `상태` 표기에 마우스 호버</t>
  </si>
  <si>
    <t>툴팁 표출
ㄴ 호버 대상과 툴팁 문구가 기획 미정의 — 실측 상태를 `실제 결과`에 기재</t>
  </si>
  <si>
    <t>[DESC 2항-2-d1] [강조] 마우스 호버 시 툴팁 제공</t>
  </si>
  <si>
    <t>[정책 예외] 문서 기본=변경 / 이 화면=신규 [확인 불가] U-14 호버 대상이 헤더 `?` 아이콘인지 상태 tag 인지 미특정 / R24-2 툴팁 내용은 문서 밖 `2. Policy` &gt; `참고 문서` &gt; 기획 참고 문서 &gt; `리소스 상태값` Sheet 로 위임 — 기획 확인 필요</t>
  </si>
  <si>
    <t>935</t>
  </si>
  <si>
    <t>TC_VIO_935</t>
  </si>
  <si>
    <t>1. 테이블 헤더 `상태` 컬럼의 sort 아이콘 유무 확인</t>
  </si>
  <si>
    <t>`상태` 컬럼 헤더에 sort 아이콘 `↑↓` 미표출</t>
  </si>
  <si>
    <t>[DESC 2항-B1-d1] [UI] p78 컬럼 sort 미제공 : 상태</t>
  </si>
  <si>
    <t>936</t>
  </si>
  <si>
    <t>TC_VIO_936</t>
  </si>
  <si>
    <t>목록 2건 이상 조회 상태에서 다른 컬럼 sort·검색·필터 칩·기간 설정을 모두 미적용한 상태</t>
  </si>
  <si>
    <t>1. 테이블 헤더 `상태` 컬럼 클릭</t>
  </si>
  <si>
    <t>행 순서 기본 상태 유지</t>
  </si>
  <si>
    <t>[DESC 2항-B1-d1] 컬럼 sort 미제공 : 상태</t>
  </si>
  <si>
    <t>937</t>
  </si>
  <si>
    <t>TC_VIO_937</t>
  </si>
  <si>
    <t>1. `상태` 외 데이터 컬럼 헤더의 sort 아이콘 확인</t>
  </si>
  <si>
    <t>`이름` · `클러스터` · `네임스페이스` · `스케일링 대상` · `최근 실행일시` · `생성일시` 6개 컬럼 헤더에 sort 아이콘 `↑↓` 표출</t>
  </si>
  <si>
    <t>[DESC 2항-B1-d1] [UI] p78 sort 미제공은 `상태` 컬럼 한정</t>
  </si>
  <si>
    <t>938</t>
  </si>
  <si>
    <t>TC_VIO_938</t>
  </si>
  <si>
    <t>목록 2건 이상 조회 상태에서 sort 미적용</t>
  </si>
  <si>
    <t>1. 테이블 헤더 `이름` 컬럼의 sort 아이콘 클릭</t>
  </si>
  <si>
    <t>정렬 결과 확인
ㄴ 기획 미정의 항목 — PASS/FAIL 판정 대신 실측 상태를 `실제 결과`에 기재</t>
  </si>
  <si>
    <t>[확인 불가 기반] [UI] p78 sort 동작 규정 없음</t>
  </si>
  <si>
    <t>[정책 예외] 문서 기본=변경 / 이 화면=신규 [확인 불가] R24-1 정렬 기본값·토글 순서가 Table 조회형 공통 정책 위임이고 준거 문서 미표기 — 기획 확인 필요</t>
  </si>
  <si>
    <t>939</t>
  </si>
  <si>
    <t>TC_VIO_939</t>
  </si>
  <si>
    <t>1. 테이블 헤더 `작업` 컬럼의 sort 아이콘 유무 확인</t>
  </si>
  <si>
    <t>`작업` 컬럼 헤더에 sort 아이콘 `↑↓` 미표출</t>
  </si>
  <si>
    <t>[UI] p78 작업 컬럼 sort 아이콘 부재</t>
  </si>
  <si>
    <t>[정책 예외] 문서 기본=변경 / 이 화면=신규 [확인 불가] U-9 `작업` 컬럼 sort 부재를 규정한 근거가 Description 에 없음(2항-B1-d1 은 `상태` 만 지목) — 기획 확인 필요</t>
  </si>
  <si>
    <t>940</t>
  </si>
  <si>
    <t>TC_VIO_940</t>
  </si>
  <si>
    <t>1. 테이블 `클러스터` 컬럼 확인</t>
  </si>
  <si>
    <t>`클러스터` 컬럼 헤더와 값 표출
ㄴ 기획서 UI가 더미 `label` 표기 — 실 값은 실측 상태를 `실제 결과`에 기재</t>
  </si>
  <si>
    <t>[DESC 2항-3] 클러스터</t>
  </si>
  <si>
    <t>941</t>
  </si>
  <si>
    <t>TC_VIO_941</t>
  </si>
  <si>
    <t>1. 테이블 `네임스페이스` 컬럼 확인</t>
  </si>
  <si>
    <t>`네임스페이스` 컬럼 헤더와 값 표출
ㄴ 기획서 UI가 더미 `label` 표기 — 실 값은 실측 상태를 `실제 결과`에 기재</t>
  </si>
  <si>
    <t>[DESC 2항-4] 네임스페이스</t>
  </si>
  <si>
    <t>942</t>
  </si>
  <si>
    <t>TC_VIO_942</t>
  </si>
  <si>
    <t>1. 테이블 `스케일링 대상` 컬럼 확인</t>
  </si>
  <si>
    <t>`스케일링 대상` 컬럼 헤더와 값 표출</t>
  </si>
  <si>
    <t>[DESC 2항-5] 스케일링 대상</t>
  </si>
  <si>
    <t>943</t>
  </si>
  <si>
    <t>TC_VIO_943</t>
  </si>
  <si>
    <t>1. 각 행의 `스케일링 대상` 셀 표기 확인</t>
  </si>
  <si>
    <t>밑줄 링크와 링크 아이콘 표출
ㄴ 기획서 UI가 더미 `Link text` 표기 — 실 값은 실측 상태를 `실제 결과`에 기재</t>
  </si>
  <si>
    <t>[UI] p78 스케일링 대상 셀 링크·아이콘</t>
  </si>
  <si>
    <t>[정책 예외] 문서 기본=변경 / 이 화면=신규 [UI↔DESC 불일치] U-10 · X-4 UI: 밑줄 링크 + 링크 아이콘 / DESC 2항-5: 컬럼명만 규정 — 클릭 동작·이동 대상·아이콘 의미 확인 필요</t>
  </si>
  <si>
    <t>944</t>
  </si>
  <si>
    <t>TC_VIO_944</t>
  </si>
  <si>
    <t>1. 테이블 `최근 실행일시` 컬럼 확인</t>
  </si>
  <si>
    <t>`최근 실행일시` 컬럼 헤더와 값 표출</t>
  </si>
  <si>
    <t>[DESC 2항-6] 최근 실행일시</t>
  </si>
  <si>
    <t>945</t>
  </si>
  <si>
    <t>TC_VIO_945</t>
  </si>
  <si>
    <t>실행 이력이 있는 HPA 스케줄이 목록에 조회된 상태</t>
  </si>
  <si>
    <t>1. `최근 실행일시` · `생성일시` 컬럼 값의 일시 형식 확인</t>
  </si>
  <si>
    <t>일시 값이 `YYYY-MM-DD hh:mm:ss` 형식으로 표출</t>
  </si>
  <si>
    <t>[UI] p78 일시 마스크 원문(날짜부 대문자 + 시각부 소문자)</t>
  </si>
  <si>
    <t>[정책 예외] 문서 기본=변경 / 이 화면=신규 [오타 의심] X-8 이 화면 UI 는 `YYYY-MM-DD hh:mm:ss`, 같은 그룹 p81 UI 는 `YYYY-MM-DD HH:MM:SS` — 표기 통일 확인 필요</t>
  </si>
  <si>
    <t>946</t>
  </si>
  <si>
    <t>TC_VIO_946</t>
  </si>
  <si>
    <t>실행 이력이 없는 HPA 스케줄이 목록에 조회된 상태</t>
  </si>
  <si>
    <t>1. 해당 행의 `최근 실행일시` 컬럼 값 확인</t>
  </si>
  <si>
    <t>`No data (-)` 표출</t>
  </si>
  <si>
    <t>[DESC 2항-6-d1] 실행 이력이 없는 경우, ‘No data (-)’로 표시</t>
  </si>
  <si>
    <t>947</t>
  </si>
  <si>
    <t>TC_VIO_947</t>
  </si>
  <si>
    <t>1. 테이블 `생성일시` 컬럼 확인</t>
  </si>
  <si>
    <t>`생성일시` 컬럼 헤더와 값 표출</t>
  </si>
  <si>
    <t>[DESC 2항-7] 생성일시</t>
  </si>
  <si>
    <t>948</t>
  </si>
  <si>
    <t>TC_VIO_948</t>
  </si>
  <si>
    <t>`생성일시` 값이 없는 HPA 스케줄이 목록에 조회된 상태</t>
  </si>
  <si>
    <t>1. 해당 행의 `생성일시` 컬럼 값 확인</t>
  </si>
  <si>
    <t>`생성일시` 컬럼 표기 확인
ㄴ 기획 미정의 항목 — PASS/FAIL 판정 대신 실측 상태를 `실제 결과`에 기재</t>
  </si>
  <si>
    <t>[확인 불가 기반] [DESC 2항-7] No-data 규정 없음</t>
  </si>
  <si>
    <t>[정책 예외] 문서 기본=변경 / 이 화면=신규 [확인 불가] U-6 `생성일시` 의 No-data 표기 미정의 — `최근 실행일시` 규칙(DESC 2항-6-d1) 확장 적용 여부 기획 확인 필요</t>
  </si>
  <si>
    <t>949</t>
  </si>
  <si>
    <t>TC_VIO_949</t>
  </si>
  <si>
    <t>1. 각 행의 `작업` 컬럼 확인</t>
  </si>
  <si>
    <t>kebab 아이콘 `⋯` 표출</t>
  </si>
  <si>
    <t>[DESC 2항-8] [공통 DESC C8] 목록 `작업` 버튼 정의 — 정의처 대표 행</t>
  </si>
  <si>
    <t>950</t>
  </si>
  <si>
    <t>TC_VIO_950</t>
  </si>
  <si>
    <t>목록 행의 `작업` kebab 아이콘을 클릭해 드롭다운이 펼쳐진 상태</t>
  </si>
  <si>
    <t>1. 드롭다운의 `수정` 항목 확인</t>
  </si>
  <si>
    <t>`수정` 항목 표출
ㄴ 드롭다운 외형·항목 배치 순서가 기획 미정의 — 실측 상태를 `실제 결과`에 기재</t>
  </si>
  <si>
    <t>[DESC 2항-8-a] 수정</t>
  </si>
  <si>
    <t>[정책 예외] 문서 기본=변경 / 이 화면=신규 [확인 불가] U-12 kebab 드롭다운 펼친 상태 mock 없음 — 외형·순서 기획 확인 필요</t>
  </si>
  <si>
    <t>951</t>
  </si>
  <si>
    <t>TC_VIO_951</t>
  </si>
  <si>
    <t>1. 드롭다운의 `삭제` 항목 확인</t>
  </si>
  <si>
    <t>`삭제` 항목 표출
ㄴ 드롭다운 외형·항목 배치 순서가 기획 미정의 — 실측 상태를 `실제 결과`에 기재</t>
  </si>
  <si>
    <t>[DESC 2항-8-b] 삭제</t>
  </si>
  <si>
    <t>952</t>
  </si>
  <si>
    <t>TC_VIO_952</t>
  </si>
  <si>
    <t>1. 드롭다운의 `수정` 클릭</t>
  </si>
  <si>
    <t>HPA 스케줄 수정 화면(VIOE-03_01_04_15)으로 이동</t>
  </si>
  <si>
    <t>[DESC 2항-8-a-d1] 클릭 시, 수정 페이지로 이동</t>
  </si>
  <si>
    <t>953</t>
  </si>
  <si>
    <t>TC_VIO_953</t>
  </si>
  <si>
    <t>1. 드롭다운의 `삭제` 클릭</t>
  </si>
  <si>
    <t>삭제 팝업 표출
ㄴ 팝업 내부 구성·문구가 기획 미정의 — 실측 상태를 `실제 결과`에 기재</t>
  </si>
  <si>
    <t>[DESC 2항-8-b-d1] 클릭 시, 삭제 팝업 호출</t>
  </si>
  <si>
    <t>[정책 예외] 문서 기본=변경 / 이 화면=신규 [확인 불가] U-7 · R24-3 삭제 팝업의 정의 페이지가 미표기 — 팝업 내부 구성·문구 기획 확인 필요</t>
  </si>
  <si>
    <t>954</t>
  </si>
  <si>
    <t>TC_VIO_954</t>
  </si>
  <si>
    <t>1. 테이블 하단 좌측 전체 건수 표기 확인</t>
  </si>
  <si>
    <t>`전체 수` 라벨과 건수 표출
ㄴ 기획서 UI가 더미 토큰 `N` 표기 — 실 건수는 실측 상태를 `실제 결과`에 기재</t>
  </si>
  <si>
    <t>[UI] p78 푸터 전체 건수</t>
  </si>
  <si>
    <t>[정책 예외] 문서 기본=변경 / 이 화면=신규 [확인 불가] U-13 `전체 수` 산출 기준이 Description 에 없음 — 기획 확인 필요</t>
  </si>
  <si>
    <t>955</t>
  </si>
  <si>
    <t>TC_VIO_955</t>
  </si>
  <si>
    <t>1. 푸터 전체 건수 표기에 더미 토큰 잔존 여부 확인</t>
  </si>
  <si>
    <t>더미 토큰 `N` 미노출</t>
  </si>
  <si>
    <t>[UI] p78 푸터 전체 건수 더미 토큰</t>
  </si>
  <si>
    <t>[정책 예외] 문서 기본=변경 / 이 화면=신규 [확인 불가] U-13 실 건수 산출 기준이 이 페이지에 없음 — 확정값 확인 필요</t>
  </si>
  <si>
    <t>956</t>
  </si>
  <si>
    <t>TC_VIO_956</t>
  </si>
  <si>
    <t>1. 테이블 하단 페이지네이션 컨트롤 확인</t>
  </si>
  <si>
    <t>`≪` · `‹` · 현재 페이지 · `/ 99` · `›` · `≫` 표출
ㄴ 기획서 UI가 더미 총 페이지 `99` 표기 — 실 값은 실측 상태를 `실제 결과`에 기재</t>
  </si>
  <si>
    <t>[UI] p78 푸터 페이지네이션</t>
  </si>
  <si>
    <t>[정책 예외] 문서 기본=변경 / 이 화면=신규 [확인 불가] U-13 페이지네이션 동작 규정이 Table 조회형 공통 정책 위임이고 준거 문서 미표기 — 기획 확인 필요</t>
  </si>
  <si>
    <t>957</t>
  </si>
  <si>
    <t>TC_VIO_957</t>
  </si>
  <si>
    <t>목록이 2페이지 이상 조회된 상태</t>
  </si>
  <si>
    <t>1. 페이지네이션의 다음 페이지 버튼 `›` 클릭</t>
  </si>
  <si>
    <t>페이지 이동 후 목록 상태 확인
ㄴ 기획 미정의 항목 — PASS/FAIL 판정 대신 실측 상태를 `실제 결과`에 기재</t>
  </si>
  <si>
    <t>[확인 불가 기반] [UI] p78 페이지 이동 동작 미규정</t>
  </si>
  <si>
    <t>[정책 예외] 문서 기본=변경 / 이 화면=신규 [확인 불가] U-13 페이지 이동 동작 미정의 — 기획 확인 필요</t>
  </si>
  <si>
    <t>958</t>
  </si>
  <si>
    <t>TC_VIO_958</t>
  </si>
  <si>
    <t>`리스트 수` 선택기와 셰브론 `∨` 표출
ㄴ 기획서 UI가 더미 `20` 표기 — 기본값 여부는 실측 상태를 `실제 결과`에 기재</t>
  </si>
  <si>
    <t>[UI] p78 푸터 리스트 수 선택기</t>
  </si>
  <si>
    <t>[정책 예외] 문서 기본=변경 / 이 화면=신규 [확인 불가] U-13 페이지당 건수 선택지·기본값 미정의 — 기획 확인 필요</t>
  </si>
  <si>
    <t>959</t>
  </si>
  <si>
    <t>TC_VIO_959</t>
  </si>
  <si>
    <t>VIOE-03_01_04_14</t>
  </si>
  <si>
    <t>HPA 스케줄 생성</t>
  </si>
  <si>
    <t>HPA 스케줄 목록 화면(VIOE-03_01_04_13)에서 `+ 생성` 클릭 직후 상태</t>
  </si>
  <si>
    <t>1. 생성 화면의 표출 구성 확인</t>
  </si>
  <si>
    <t>좌측 입력 폼 카드와 우측 가이드 패널 표출</t>
  </si>
  <si>
    <t>[UI] p79 생성 화면 2단 구성</t>
  </si>
  <si>
    <t>960</t>
  </si>
  <si>
    <t>TC_VIO_960</t>
  </si>
  <si>
    <t>HPA 스케줄 생성 화면 진입 직후 상태</t>
  </si>
  <si>
    <t>`워크플로우 / 워크로드 / 오토 스케일러 / HPA 스케줄 생성` 경로 표출</t>
  </si>
  <si>
    <t>[UI] p79 breadcrumb 4마디</t>
  </si>
  <si>
    <t>961</t>
  </si>
  <si>
    <t>TC_VIO_961</t>
  </si>
  <si>
    <t>말단 마디 `HPA 스케줄 생성` 볼드, 앞 세 마디 회색 표출</t>
  </si>
  <si>
    <t>[UI] p79 breadcrumb 현재 위치 표기</t>
  </si>
  <si>
    <t>962</t>
  </si>
  <si>
    <t>TC_VIO_962</t>
  </si>
  <si>
    <t>1. 폼 카드 최상단 타이틀 확인</t>
  </si>
  <si>
    <t>카드 타이틀 `HPA 스케줄 생성` 표출</t>
  </si>
  <si>
    <t>[UI] p79 폼 카드 타이틀</t>
  </si>
  <si>
    <t>963</t>
  </si>
  <si>
    <t>TC_VIO_963</t>
  </si>
  <si>
    <t>1. 폼 카드 최상단 좌측 아이콘 확인</t>
  </si>
  <si>
    <t>뒤로 아이콘 `←` 표출</t>
  </si>
  <si>
    <t>[UI] p79 폼 카드 뒤로 아이콘</t>
  </si>
  <si>
    <t>[정책 예외] 문서 기본=변경 / 이 화면=신규 [확인 불가] U-2 `←` 클릭 동작이 Description·가이드 어디에도 없음 — 기획 확인 필요</t>
  </si>
  <si>
    <t>964</t>
  </si>
  <si>
    <t>TC_VIO_964</t>
  </si>
  <si>
    <t>1. 폼 카드 좌상단 뒤로 아이콘 `←` 클릭</t>
  </si>
  <si>
    <t>클릭 후 화면 상태 확인
ㄴ 기획 미정의 항목 — PASS/FAIL 판정 대신 실측 상태를 `실제 결과`에 기재</t>
  </si>
  <si>
    <t>[확인 불가 기반] [UI] p79 뒤로 아이콘 동작 미규정</t>
  </si>
  <si>
    <t>[정책 예외] 문서 기본=변경 / 이 화면=신규 [확인 불가] U-2 `←` 클릭 시 목록 복귀 여부 미정의 — 기획 확인 필요</t>
  </si>
  <si>
    <t>965</t>
  </si>
  <si>
    <t>TC_VIO_965</t>
  </si>
  <si>
    <t>HPA 스케줄 생성 화면으로 진입해 LNB `오토스케일러` 가 선택된 상태</t>
  </si>
  <si>
    <t>초록 텍스트 + 연초록 배경 + 좌측 초록 세로 바로 선택 상태 유지</t>
  </si>
  <si>
    <t>[UI] p79 LNB 오토스케일러 선택 외형 유지</t>
  </si>
  <si>
    <t>966</t>
  </si>
  <si>
    <t>TC_VIO_966</t>
  </si>
  <si>
    <t>`알림` · `프로필` · 접기 아이콘 `|&lt;` 표출</t>
  </si>
  <si>
    <t>[UI] p79 LNB 하단 3요소</t>
  </si>
  <si>
    <t>[정책 예외] 문서 기본=변경 / 이 화면=신규 [확인 불가] U-14 LNB 하단 요소 동작 미정의 — 기획 확인 필요</t>
  </si>
  <si>
    <t>967</t>
  </si>
  <si>
    <t>TC_VIO_967</t>
  </si>
  <si>
    <t>클러스터 선택기와 교체 아이콘 `⇄` 표출
ㄴ 기획서 UI가 더미 `Cluster name` 표기이고 변경 스티커에 일부 가려짐 — 실 표기는 실측 상태를 `실제 결과`에 기재</t>
  </si>
  <si>
    <t>[UI] p79 우상단 클러스터 선택기</t>
  </si>
  <si>
    <t>[정책 예외] 문서 기본=변경 / 이 화면=신규 [확인 불가] U-13 선택기 동작 미정의 — 기획 확인 필요</t>
  </si>
  <si>
    <t>968</t>
  </si>
  <si>
    <t>TC_VIO_968</t>
  </si>
  <si>
    <t>HPA 스케줄 생성 화면의 입력 폼 카드가 표출된 상태</t>
  </si>
  <si>
    <t>1. 이 화면이 개별 정의하지 않은 항목의 폼 구성과 기본 상태 확인</t>
  </si>
  <si>
    <t>미정의 항목 동작 상태 확인
ㄴ 기획 미정의 항목 — PASS/FAIL 판정 대신 실측 상태를 `실제 결과`에 기재</t>
  </si>
  <si>
    <t>[DESC 머리] [공통 DESC C1] [확인 불가 기반] 아래 정의하지 않은 항목은 ‘기본 모드 공통 정의’ 참고 (VIOE-00_00_01)</t>
  </si>
  <si>
    <t>[정책 예외] 문서 기본=변경 / 이 화면=신규 [확인 불가] R24-1 준거 화면 VIOE-00_00_01 이 이번 처리 범위 밖이라 대조할 정의가 없음 — 기획 확인 필요</t>
  </si>
  <si>
    <t>969</t>
  </si>
  <si>
    <t>TC_VIO_969</t>
  </si>
  <si>
    <t>1. 폼 카드의 HPA 설정 필드 섹션 구성 확인</t>
  </si>
  <si>
    <t>`기본 정보` · `대상 디플로이먼트 선택` · `레플리카 설정` · `스케일 정책` · `메트릭` 5개 섹션 표출</t>
  </si>
  <si>
    <t>[DESC 1항] [공통 DESC C12] [UI] p79 HPA 설정 필드 섹션 — 콜아웃 1</t>
  </si>
  <si>
    <t>970</t>
  </si>
  <si>
    <t>TC_VIO_970</t>
  </si>
  <si>
    <t>1. HPA 설정 필드의 구성과 기본 상태 확인</t>
  </si>
  <si>
    <t>HPA 설정 필드 동작 상태 확인
ㄴ 기획 미정의 항목 — PASS/FAIL 판정 대신 실측 상태를 `실제 결과`에 기재</t>
  </si>
  <si>
    <t>[DESC 1항-B1] [확인 불가 기반] VIOE-03_01_04-02 &gt; 1~3항과 동일하게 제공</t>
  </si>
  <si>
    <t>[정책 예외] 문서 기본=변경 / 이 화면=신규 [확인 불가] X-2 · R24-2 위임처 VIOE-03_01_04-02(순번 96)가 보류 단위라 대조할 분석서 없음 / R24-3 `1~3항` 의 항 경계 미확인 — 기획 확인 필요. 공통 DESC C-ID 발급 요청 대기 항목</t>
  </si>
  <si>
    <t>971</t>
  </si>
  <si>
    <t>TC_VIO_971</t>
  </si>
  <si>
    <t>필수 표시 `*` 와 드롭다운 표출
ㄴ 기획서 UI가 더미 값 `Cluster` 를 선택된 상태로 표기 — 진입 시 실제 초기 상태는 실측 상태를 `실제 결과`에 기재</t>
  </si>
  <si>
    <t>[UI] p79 기본 정보 클러스터 필드</t>
  </si>
  <si>
    <t>[정책 예외] 문서 기본=변경 / 이 화면=신규 [확인 불가] X-13 진입 시 클러스터 사전 선택 여부가 Description 에 없음 — 기획 확인 필요</t>
  </si>
  <si>
    <t>972</t>
  </si>
  <si>
    <t>TC_VIO_972</t>
  </si>
  <si>
    <t>1. `기본 정보` 섹션의 `네임스페이스` 필드 확인</t>
  </si>
  <si>
    <t>필수 표시 `*` 와 placeholder `네임스페이스를 선택해 주세요.` 표출</t>
  </si>
  <si>
    <t>[UI] p79 기본 정보 네임스페이스 placeholder 원문(문장 끝 마침표 포함)</t>
  </si>
  <si>
    <t>[정책 예외] 문서 기본=변경 / 이 화면=신규 [확인 불가] U-5 선택 옵션·의존 관계 미정의 — 기획 확인 필요</t>
  </si>
  <si>
    <t>973</t>
  </si>
  <si>
    <t>TC_VIO_973</t>
  </si>
  <si>
    <t>HPA 스케줄 생성 화면에서 상위 항목을 아직 선택하지 않은 진입 직후 상태</t>
  </si>
  <si>
    <t>placeholder `상위 항목을 먼저 선택해 주세요.` 와 회색 배경 비활성 외형 표출</t>
  </si>
  <si>
    <t>[UI] p79 기본 정보 이름 필드 비활성 외형</t>
  </si>
  <si>
    <t>[정책 예외] 문서 기본=변경 / 이 화면=신규 [확인 불가] U-4 `상위 항목` 이 무엇인지와 비활성 해제 조건이 미정의 — 기획 확인 필요</t>
  </si>
  <si>
    <t>974</t>
  </si>
  <si>
    <t>TC_VIO_974</t>
  </si>
  <si>
    <t>1. `이름` 필드 우측 `중복 확인` 버튼 확인</t>
  </si>
  <si>
    <t>회색 비활성 외형으로 표출</t>
  </si>
  <si>
    <t>[UI] p79 중복 확인 버튼 비활성 외형</t>
  </si>
  <si>
    <t>[정책 예외] 문서 기본=변경 / 이 화면=신규 [확인 불가] U-4 `중복 확인` 동작·활성 조건 미정의 — 기획 확인 필요</t>
  </si>
  <si>
    <t>975</t>
  </si>
  <si>
    <t>TC_VIO_975</t>
  </si>
  <si>
    <t>1. `기본 정보` 섹션의 `레이블` 컨트롤 확인</t>
  </si>
  <si>
    <t>`Key` · `Value` 2열 테이블과 placeholder `Key를 입력해 주세요.` · `Value를 입력해 주세요.` 표출</t>
  </si>
  <si>
    <t>[UI] p79 기본 정보 레이블 Key/Value 테이블</t>
  </si>
  <si>
    <t>[정책 예외] 문서 기본=변경 / 이 화면=신규 [확인 불가] U-5 `레이블` 행 추가·삭제 규칙과 입력 검증 미정의 — 기획 확인 필요</t>
  </si>
  <si>
    <t>976</t>
  </si>
  <si>
    <t>TC_VIO_976</t>
  </si>
  <si>
    <t>1. `레이블` 테이블의 행 삭제·행 추가 컨트롤 확인</t>
  </si>
  <si>
    <t>행 우측 휴지통 아이콘과 하단 `+ 필드 추가` 링크 표출</t>
  </si>
  <si>
    <t>[UI] p79 레이블 테이블 행 컨트롤</t>
  </si>
  <si>
    <t>[정책 예외] 문서 기본=변경 / 이 화면=신규 [기획 확인] X-8 화면에 `+ 필드 추가` 가 3곳(레이블·메트릭·스케줄)인데 DESC 2항-3은 스케줄 것만 규정 — 나머지 2곳의 동작·제약 규정 위치 확인 필요</t>
  </si>
  <si>
    <t>977</t>
  </si>
  <si>
    <t>TC_VIO_977</t>
  </si>
  <si>
    <t>1. `대상 디플로이먼트 선택` 섹션의 `디플로이먼트` 필드 확인</t>
  </si>
  <si>
    <t>필수 표시 `*` 와 placeholder `디플로이먼트를 선택해 주세요.` 표출</t>
  </si>
  <si>
    <t>[UI] p79 대상 디플로이먼트 선택 필드</t>
  </si>
  <si>
    <t>978</t>
  </si>
  <si>
    <t>TC_VIO_978</t>
  </si>
  <si>
    <t>이미 HPA 또는 스케줄이 설정된 디플로이먼트가 존재하는 상태</t>
  </si>
  <si>
    <t>1. `디플로이먼트` 드롭다운 목록 확인</t>
  </si>
  <si>
    <t>이미 HPA 또는 스케줄이 설정된 디플로이먼트는 목록에서 제외되어 표출</t>
  </si>
  <si>
    <t>[UI] p79 가이드 패널 대상 디플로이먼트 선택 목록 필터링 규칙</t>
  </si>
  <si>
    <t>[정책 예외] 문서 기본=변경 / 이 화면=신규 [기획 확인] X-9 · R24-4 이 필터링 규칙이 가이드 문구에만 있고 Description 에 없음 — 위임처 VIOE-03_01_04-02 소관인지 규정 위치 확인 필요</t>
  </si>
  <si>
    <t>979</t>
  </si>
  <si>
    <t>TC_VIO_979</t>
  </si>
  <si>
    <t>HPA 스케줄 생성 화면의 우측 가이드 패널이 표출된 상태</t>
  </si>
  <si>
    <t>1. 가이드 패널 `대상 디플로이먼트 선택` 섹션 문구 확인</t>
  </si>
  <si>
    <t>`디플로이먼트` 항목과 스케줄 기반 오토 스케일링 대상 선택 안내 문구 2줄 표출</t>
  </si>
  <si>
    <t>[UI] p79 가이드 패널 대상 디플로이먼트 선택 섹션</t>
  </si>
  <si>
    <t>서브타이틀 텍스트 표출</t>
  </si>
  <si>
    <t>980</t>
  </si>
  <si>
    <t>TC_VIO_980</t>
  </si>
  <si>
    <t>1. `레플리카 설정` 섹션의 `최소 레플리카 수` 필드 확인</t>
  </si>
  <si>
    <t>필수 표시 `*` 와 placeholder `최소 레플리카 수를 입력해 주세요.` 표출</t>
  </si>
  <si>
    <t>[UI] p79 레플리카 설정 최소 필드</t>
  </si>
  <si>
    <t>[정책 예외] 문서 기본=변경 / 이 화면=신규 [확인 불가] U-5 입력 범위·검증 규칙 미정의 — 기획 확인 필요</t>
  </si>
  <si>
    <t>981</t>
  </si>
  <si>
    <t>TC_VIO_981</t>
  </si>
  <si>
    <t>1. `레플리카 설정` 섹션의 `최대 레플리카 수` 필드 확인</t>
  </si>
  <si>
    <t>필수 표시 `*` 와 placeholder `최대 레플리카 수를 입력해 주세요.` 표출</t>
  </si>
  <si>
    <t>[UI] p79 레플리카 설정 최대 필드</t>
  </si>
  <si>
    <t>[정책 예외] 문서 기본=변경 / 이 화면=신규 [확인 불가] U-5 최소·최대 값 간 대소 관계 검증 규칙 미정의 — 기획 확인 필요</t>
  </si>
  <si>
    <t>982</t>
  </si>
  <si>
    <t>TC_VIO_982</t>
  </si>
  <si>
    <t>1. 레플리카 수 입력 필드의 스테퍼 컨트롤 확인</t>
  </si>
  <si>
    <t>감소 `−` · 증가 `+` 스테퍼 표출</t>
  </si>
  <si>
    <t>[UI] p79 레플리카 수 스테퍼</t>
  </si>
  <si>
    <t>[정책 예외] 문서 기본=변경 / 이 화면=신규 [확인 불가] U-5 스테퍼 증감 단위·상한 미정의 — 기획 확인 필요</t>
  </si>
  <si>
    <t>983</t>
  </si>
  <si>
    <t>TC_VIO_983</t>
  </si>
  <si>
    <t>전환된 탭 화면 노출</t>
  </si>
  <si>
    <t>1. `스케일 정책` 섹션의 `스케일아웃 대기 시간` 필드 확인</t>
  </si>
  <si>
    <t>필수 표시 `*` 와 입력값, 필드 우측 단위 라벨 `초` 표출
ㄴ 기획서 UI가 값 `30` 표기 — 기본값 여부는 실측 상태를 `실제 결과`에 기재</t>
  </si>
  <si>
    <t>[UI] p79 스케일 정책 스케일아웃 대기 시간</t>
  </si>
  <si>
    <t>[정책 예외] 문서 기본=변경 / 이 화면=신규 [오타 의심] X-11 폼 라벨은 `스케일아웃`(붙여 씀), 가이드 패널은 `스케일 아웃`(띄어 씀) — 표기 통일 확인 필요 / [확인 불가] U-6 기본값·입력 범위 미정의</t>
  </si>
  <si>
    <t>984</t>
  </si>
  <si>
    <t>TC_VIO_984</t>
  </si>
  <si>
    <t>1. `스케일 정책` 섹션의 `스케일 인 대기 시간` 필드 확인</t>
  </si>
  <si>
    <t>필수 표시 `*` 와 입력값, 필드 우측 단위 라벨 `초` 표출
ㄴ 기획서 UI가 값 `300` 표기 — 기본값 여부는 실측 상태를 `실제 결과`에 기재</t>
  </si>
  <si>
    <t>[UI] p79 스케일 정책 스케일 인 대기 시간</t>
  </si>
  <si>
    <t>[정책 예외] 문서 기본=변경 / 이 화면=신규 [확인 불가] U-6 기본값·입력 범위 미정의 — 기획 확인 필요</t>
  </si>
  <si>
    <t>985</t>
  </si>
  <si>
    <t>TC_VIO_985</t>
  </si>
  <si>
    <t>1. `메트릭` 섹션의 테이블 헤더 확인</t>
  </si>
  <si>
    <t>`유형` · `메트릭` · `값` 3열과 액션 열 표출</t>
  </si>
  <si>
    <t>[UI] p79 메트릭 테이블 헤더 3열</t>
  </si>
  <si>
    <t>[정책 예외] 문서 기본=변경 / 이 화면=신규 [오타 의심] X-6 폼 라벨은 `메트릭`, 가이드 패널 섹션 제목은 `매트릭` — 표기 통일 확인 필요</t>
  </si>
  <si>
    <t>986</t>
  </si>
  <si>
    <t>TC_VIO_986</t>
  </si>
  <si>
    <t>HPA 스케줄 생성 화면의 `메트릭` 테이블에서 `유형` 을 선택하지 않은 상태</t>
  </si>
  <si>
    <t>1. `메트릭` 테이블 행의 2열·3열 상태 확인</t>
  </si>
  <si>
    <t>placeholder `유형을 먼저 선택해 주세요.` 와 회색 비활성 외형 표출</t>
  </si>
  <si>
    <t>[UI] p79 메트릭 테이블 유형 미선택 시 비활성 외형</t>
  </si>
  <si>
    <t>[정책 예외] 문서 기본=변경 / 이 화면=신규 [확인 불가] U-8 비활성 해제 조건이 Description 에 없음 — 기획 확인 필요</t>
  </si>
  <si>
    <t>987</t>
  </si>
  <si>
    <t>TC_VIO_987</t>
  </si>
  <si>
    <t>1. `메트릭` 테이블의 `유형` 드롭다운 열기</t>
  </si>
  <si>
    <t>선택 가능한 유형 옵션 목록 확인
ㄴ 기획 미정의 항목 — PASS/FAIL 판정 대신 실측 상태를 `실제 결과`에 기재</t>
  </si>
  <si>
    <t>[확인 불가 기반] [UI] p79 메트릭 유형 드롭다운 옵션 미규정</t>
  </si>
  <si>
    <t>[정책 예외] 문서 기본=변경 / 이 화면=신규 [확인 불가] U-8 가이드 패널의 계열 4종이 곧 옵션인지 명시 없음 — 옵션 목록 기획 확인 필요</t>
  </si>
  <si>
    <t>988</t>
  </si>
  <si>
    <t>TC_VIO_988</t>
  </si>
  <si>
    <t>HPA 스케줄 목록 화면 진입 상태
멀티 클러스터로 테넌트 네비게이터 선택된 상태</t>
  </si>
  <si>
    <t>`전체 선택` 포함, 클러스터 별로 표출</t>
  </si>
  <si>
    <t>1. `메트릭` 테이블 하단·행 우측 컨트롤 확인</t>
  </si>
  <si>
    <t>[UI] p79 메트릭 테이블 행 컨트롤</t>
  </si>
  <si>
    <t>[정책 예외] 문서 기본=변경 / 이 화면=신규 [기획 확인] X-8 메트릭 테이블의 `+ 필드 추가` 는 DESC 2항-3(스케줄) 규정 밖 — 동작·제약 규정 위치 확인 필요</t>
  </si>
  <si>
    <t>989</t>
  </si>
  <si>
    <t>TC_VIO_989</t>
  </si>
  <si>
    <t>칩 선택 후 목록 상태 확인</t>
  </si>
  <si>
    <t>1. 가이드 패널 메트릭 섹션의 계열 목록 확인</t>
  </si>
  <si>
    <t>계열 `Resource`(하위 4) · `Pods`(하위 2) · `Object`(하위 1) · `Externa`(하위 3) 4계열 표출</t>
  </si>
  <si>
    <t>[UI] p79 가이드 패널 메트릭 계열 4종·하위 10항목</t>
  </si>
  <si>
    <t>VQ-599</t>
  </si>
  <si>
    <t>[정책 예외] 문서 기본=변경 / 이 화면=신규 [오타 의심] X-7 계열명이 `Externa` 로 표기됨(`External` 의 마지막 글자 누락 추정), 같은 목록의 `Resource`·`Pods`·`Object` 는 온전 — 표기 확인 필요</t>
  </si>
  <si>
    <t>990</t>
  </si>
  <si>
    <t>TC_VIO_990</t>
  </si>
  <si>
    <t>1. 폼 카드의 `스케줄 설정` 섹션 확인</t>
  </si>
  <si>
    <t>필수 표시 `*` 를 동반한 `스케줄` 라벨과 스케줄 테이블 표출</t>
  </si>
  <si>
    <t>[DESC 2항] [공통 DESC C12] [UI] p79 스케줄 설정 섹션 — 콜아웃 2</t>
  </si>
  <si>
    <t>991</t>
  </si>
  <si>
    <t>TC_VIO_991</t>
  </si>
  <si>
    <t>HPA 스케줄 생성 화면의 `스케줄 설정` 섹션이 표출된 상태</t>
  </si>
  <si>
    <t>1. 스케줄 테이블의 구성과 행 추가·삭제 컨트롤 확인</t>
  </si>
  <si>
    <t>스케줄 테이블 동작 상태 확인
ㄴ 기획 미정의 항목 — PASS/FAIL 판정 대신 실측 상태를 `실제 결과`에 기재</t>
  </si>
  <si>
    <t>[DESC 2항-B1] [확인 불가 기반] Table 생성형 공통 정책에 따름</t>
  </si>
  <si>
    <t>[정책 예외] 문서 기본=변경 / 이 화면=신규 [확인 불가] 준거 문서가 미표기라 행 추가·삭제·검증 기본 동작 판정 불가 — 대상 문서 확인 필요</t>
  </si>
  <si>
    <t>992</t>
  </si>
  <si>
    <t>TC_VIO_992</t>
  </si>
  <si>
    <t>1. 스케줄 테이블 헤더의 1번째 컬럼 확인</t>
  </si>
  <si>
    <t>필수 표시 `*` 를 동반한 `예약일시` 컬럼 표출</t>
  </si>
  <si>
    <t>[DESC 2항-1] 예약일시</t>
  </si>
  <si>
    <t>993</t>
  </si>
  <si>
    <t>TC_VIO_993</t>
  </si>
  <si>
    <t>1. 스케줄 테이블 `예약일시` 셀의 입력 컨트롤 확인</t>
  </si>
  <si>
    <t>placeholder `Select date` 와 달력 아이콘 표출</t>
  </si>
  <si>
    <t>[UI] p79 스케줄 예약일시 셀 placeholder 원문(영문 소문자 date)</t>
  </si>
  <si>
    <t>994</t>
  </si>
  <si>
    <t>TC_VIO_994</t>
  </si>
  <si>
    <t>1. 스케줄 테이블 `예약일시` 입력 클릭</t>
  </si>
  <si>
    <t>Date/Time Picker 표출</t>
  </si>
  <si>
    <t>[DESC 2항-1-d1] 클릭 시, Date/Time Picker 호출</t>
  </si>
  <si>
    <t>[정책 예외] 문서 기본=변경 / 이 화면=신규 [확인 불가] U-3 Picker 내부 외형·조작 방식·확인 취소 버튼이 mock 에 없음 — 기획 확인 필요</t>
  </si>
  <si>
    <t>995</t>
  </si>
  <si>
    <t>TC_VIO_995</t>
  </si>
  <si>
    <t>스케줄 첫 행의 `예약일시` Date/Time Picker 를 연 상태(이전 스케줄 행 없음)</t>
  </si>
  <si>
    <t>1. Picker 에서 현재 시점 이전 일자 선택 시도</t>
  </si>
  <si>
    <t>이미 지난 일자 선택 불가</t>
  </si>
  <si>
    <t>[DESC 2항-1-d2] 이미 지난 일자는 선택할 수 없음</t>
  </si>
  <si>
    <t>[K8s] 오토케일러 &gt; hpa 스케줄러 "전체" 필터 해제한 경우, 무한 로딩됨</t>
  </si>
  <si>
    <t>996</t>
  </si>
  <si>
    <t>TC_VIO_996</t>
  </si>
  <si>
    <t>1. Picker 에서 현재 시점 이전 일시로 설정 시도</t>
  </si>
  <si>
    <t>오류 메시지 `현재 시간 이후로 설정해 주세요.` 표출</t>
  </si>
  <si>
    <t>[DESC 2항-1-d3] 현재 시점 이전으로 선택 시 오류 메시지 제공</t>
  </si>
  <si>
    <t>[정책 예외] 문서 기본=변경 / 이 화면=신규 [확인 불가] 오류 메시지의 노출 위치·지속 시간 미정의 — 기획 확인 필요</t>
  </si>
  <si>
    <t>997</t>
  </si>
  <si>
    <t>TC_VIO_997</t>
  </si>
  <si>
    <t>1. 스케줄 테이블 헤더의 2번째 컬럼 확인</t>
  </si>
  <si>
    <t>`종료일시` 컬럼이 필수 표시 `*` 없이 표출</t>
  </si>
  <si>
    <t>[DESC 2항-2] [UI] p79 종료일시 컬럼 — 필수 표시 없음</t>
  </si>
  <si>
    <t>[정책 예외] 문서 기본=변경 / 이 화면=신규 [기획 확인] X-3 UI 와 가이드 문구는 `종료일시` 를 선택 항목으로 두는데 DESC 2항-2 는 필수 여부를 규정하지 않음 — 규정 확인 필요</t>
  </si>
  <si>
    <t>998</t>
  </si>
  <si>
    <t>TC_VIO_998</t>
  </si>
  <si>
    <t>검색 실행 후 목록 상태 확인</t>
  </si>
  <si>
    <t>1. 스케줄 테이블 `종료일시` 입력 클릭</t>
  </si>
  <si>
    <t>[DESC 2항-2-d1] 클릭 시, Date/Time Picker 호출</t>
  </si>
  <si>
    <t>[정책 예외] 문서 기본=변경 / 이 화면=신규 [확인 불가] U-3 Picker 내부 mock 없음 — 기획 확인 필요</t>
  </si>
  <si>
    <t>999</t>
  </si>
  <si>
    <t>TC_VIO_999</t>
  </si>
  <si>
    <t>스케줄 첫 행의 `예약일시` 가 설정된 상태에서 이전 스케줄 행이 없고 `종료일시` Picker 를 연 상태</t>
  </si>
  <si>
    <t>1. Picker 에서 `예약일시` 보다 이전 일자 선택 시도</t>
  </si>
  <si>
    <t>예약일자 보다 이전 일자 선택 불가</t>
  </si>
  <si>
    <t>[DESC 2항-2-d2] 예약일자 보다 이전 일자는 선택할 수 없음</t>
  </si>
  <si>
    <t>[정책 예외] 문서 기본=변경 / 이 화면=신규 [오타 의심] T-3 같은 항의 항목명은 `예약일시` 인데 이 규정만 `예약일자` 로 표기 — 표기 통일 확인 필요</t>
  </si>
  <si>
    <t>1000</t>
  </si>
  <si>
    <t>TC_VIO_1000</t>
  </si>
  <si>
    <t>`Start date` · `→` · `End date` 입력과 달력 아이콘 표출</t>
  </si>
  <si>
    <t>1. Picker 에서 `예약일시` 이전 일시로 설정 시도</t>
  </si>
  <si>
    <t>오류 메시지 `예약 시간 이후로 설정해 주세요.` 표출</t>
  </si>
  <si>
    <t>[DESC 2항-2-d3] 예약일시 이전으로 선택 시 오류 메시지 제공</t>
  </si>
  <si>
    <t>[정책 예외] 문서 기본=변경 / 이 화면=신규 [오타 의심] T-3 규정 본문은 `예약일자`, 오류 문구는 `예약 시간` 으로 어휘가 갈림 — 표기 통일 확인 필요</t>
  </si>
  <si>
    <t>목록 테이블 기본 상태 표출</t>
  </si>
  <si>
    <t>밑줄 링크 형태로 표출</t>
  </si>
  <si>
    <t>tag `RUNNING`(연초록) · `COMPLETED`(연초록) · `SCHEDULED`(연파랑) · `ERROR`(연빨강) 표출</t>
  </si>
  <si>
    <t>툴팁 표출</t>
  </si>
  <si>
    <t>정렬 결과 확인</t>
  </si>
  <si>
    <t>최근 실행일시 확인 필요</t>
  </si>
  <si>
    <t>`클러스터` 컬럼 헤더와 값 표출</t>
  </si>
  <si>
    <t>`네임스페이스` 컬럼 헤더와 값 표출</t>
  </si>
  <si>
    <t>밑줄 링크와 링크 아이콘 표출</t>
  </si>
  <si>
    <t>`수정` 항목 표출</t>
  </si>
  <si>
    <t>`삭제` 항목 표출</t>
  </si>
  <si>
    <t>`전체 수` 라벨과 건수 표출</t>
  </si>
  <si>
    <t>`≪` · `‹` · 현재 페이지 · `/ 99` · `›` · `≫` 표출</t>
  </si>
  <si>
    <t>페이지 다음페이지 이동</t>
  </si>
  <si>
    <t>`리스트 수` 선택기 값에 맞는 페이지로 이동</t>
  </si>
  <si>
    <t>필수 표시 `*` 와 default 값 3표출</t>
  </si>
  <si>
    <t>필수 표시 `*` 와 default 값 5표출</t>
  </si>
  <si>
    <t>필수 표시 `*` 와 default 값 300표출</t>
  </si>
  <si>
    <t>선택 가능한 유형 옵션 목록 확인
ㄴ"Resource, Pods, Objects, External"</t>
  </si>
  <si>
    <t>TC_VIO_1001</t>
  </si>
  <si>
    <t>스케줄 첫 행의 `예약일시` 와 그 외 필수 입력을 모두 채우고 `종료일시` 만 비운 상태</t>
  </si>
  <si>
    <t>1. `종료일시` 만 비운 상태에서 폼 하단 `생성` 클릭</t>
  </si>
  <si>
    <t>`종료일시` 미입력에 대한 필수 입력 오류 미표출
ㄴ 생성 성공 후 동작은 기획 미정의 — 실측 상태를 `실제 결과`에 기재</t>
  </si>
  <si>
    <t>TC_VIO_1002</t>
  </si>
  <si>
    <t>1. 스케줄 테이블 하단의 행 추가 컨트롤 확인</t>
  </si>
  <si>
    <t>`+ 필드 추가` 표출</t>
  </si>
  <si>
    <t>TC_VIO_1003</t>
  </si>
  <si>
    <t>스케줄 첫 행의 `예약일시` 와 `종료일시` 가 모두 설정된 상태</t>
  </si>
  <si>
    <t>1. `+ 필드 추가` 클릭</t>
  </si>
  <si>
    <t>스케줄 행 1개 추가</t>
  </si>
  <si>
    <t>TC_VIO_1004</t>
  </si>
  <si>
    <t>스케줄 마지막 행의 `종료일시` 를 비워 둔 상태</t>
  </si>
  <si>
    <t>1. `+ 필드 추가` 의 활성 상태 확인</t>
  </si>
  <si>
    <t>`+ 필드 추가` 가 disabled 상태로 표출되어 추가 불가</t>
  </si>
  <si>
    <t>TC_VIO_1005</t>
  </si>
  <si>
    <t>앞선 스케줄 행의 `종료일시` 가 설정된 상태에서 `+ 필드 추가` 로 스케줄 행을 추가한 상태</t>
  </si>
  <si>
    <t>1. 추가된 행의 `예약일시` 를 이전 필드 `종료일시` 이후 일시로 설정</t>
  </si>
  <si>
    <t>추가된 필드의 예약일시 설정 가능</t>
  </si>
  <si>
    <t>TC_VIO_1006</t>
  </si>
  <si>
    <t>1. 추가된 행의 `예약일시` 를 이전 필드 `종료일시` 이전 일시로 설정 시도</t>
  </si>
  <si>
    <t>오류 메시지 `이전 스케줄의 종료일시 이후로 설정해 주세요.` 표출</t>
  </si>
  <si>
    <t>TC_VIO_1007</t>
  </si>
  <si>
    <t>`+ 필드 추가` 로 스케줄 행이 2개 이상인 상태</t>
  </si>
  <si>
    <t>1. 추가된 스케줄 행 우측 휴지통 아이콘 클릭</t>
  </si>
  <si>
    <t>해당 스케줄 행 삭제</t>
  </si>
  <si>
    <t>TC_VIO_1008</t>
  </si>
  <si>
    <t>스케줄 행이 첫 행 1개만 있는 상태</t>
  </si>
  <si>
    <t>1. 첫 스케줄 행 우측 휴지통 아이콘 클릭</t>
  </si>
  <si>
    <t>클릭 후 첫 행 상태 확인
ㄴ 기획 미정의 항목 — PASS/FAIL 판정 대신 실측 상태를 `실제 결과`에 기재</t>
  </si>
  <si>
    <t>TC_VIO_1009</t>
  </si>
  <si>
    <t>예약된 스케줄로 HPA 가 생성된 상태</t>
  </si>
  <si>
    <t>1. 예약 스케줄로 생성된 HPA 의 이름 정책 적용 여부 확인</t>
  </si>
  <si>
    <t>예약된 스케줄로 HPA 생성 시 이름 정책 적용
ㄴ 생성된 HPA 이름의 표출 위치가 이 화면에 없음 — 실측 위치를 `실제 결과`에 기재</t>
  </si>
  <si>
    <t>TC_VIO_1010</t>
  </si>
  <si>
    <t>1. 생성된 HPA 이름의 구성 형식 확인</t>
  </si>
  <si>
    <t>HPA이름이 `{스케줄 이름}-{예약일시}` 형식으로 산출</t>
  </si>
  <si>
    <t>TC_VIO_1011</t>
  </si>
  <si>
    <t>1. HPA 이름에 포함된 예약일시 부분의 표기 형식 확인</t>
  </si>
  <si>
    <t>예약일시가 `yymmdd-hhmmss` 형식으로 표기</t>
  </si>
  <si>
    <t>TC_VIO_1012</t>
  </si>
  <si>
    <t>스케줄 이름이 63자를 초과하는 스케줄로 HPA 가 생성된 상태</t>
  </si>
  <si>
    <t>1. 생성된 HPA 이름의 스케줄 이름 부분 길이 확인</t>
  </si>
  <si>
    <t>스케줄 이름을 49자까지 표기한 뒤 예약일시 표기</t>
  </si>
  <si>
    <t>TC_VIO_1013</t>
  </si>
  <si>
    <t>스케줄 이름이 정확히 63자인 스케줄로 HPA 가 생성된 상태</t>
  </si>
  <si>
    <t>스케줄 이름 63자 전체 표기 후 예약일시 표기</t>
  </si>
  <si>
    <t>TC_VIO_1014</t>
  </si>
  <si>
    <t>1. 폼 카드 하단 액션 영역 확인</t>
  </si>
  <si>
    <t>`취소` 텍스트 버튼과 `생성` 초록 채움 버튼 표출</t>
  </si>
  <si>
    <t>TC_VIO_1015</t>
  </si>
  <si>
    <t>1. 폼 하단 `취소` 클릭</t>
  </si>
  <si>
    <t>TC_VIO_1016</t>
  </si>
  <si>
    <t>HPA 스케줄 생성 화면의 필수 입력을 모두 채운 상태</t>
  </si>
  <si>
    <t>1. 폼 하단 `생성` 클릭</t>
  </si>
  <si>
    <t>TC_VIO_1017</t>
  </si>
  <si>
    <t>HPA 스케줄 생성 화면의 필수 입력 중 1개 이상을 비워 둔 상태</t>
  </si>
  <si>
    <t>클릭 후 유효성 검사 결과 확인
ㄴ 기획 미정의 항목 — PASS/FAIL 판정 대신 실측 상태를 `실제 결과`에 기재</t>
  </si>
  <si>
    <t>TC_VIO_1018</t>
  </si>
  <si>
    <t>1. 가이드 패널의 아코디언 섹션 목록 확인</t>
  </si>
  <si>
    <t>`기본 정보` · `대상 디플로이먼트 선택` · `레플리카 설정` · `스케일 정책` · `매트릭` · `스케줄 설정` 6개 섹션과 토글 아이콘 `∨` 표출</t>
  </si>
  <si>
    <t>TC_VIO_1019</t>
  </si>
  <si>
    <t>1. 가이드 패널 `기본 정보` 섹션의 하위 문구 확인</t>
  </si>
  <si>
    <t>`기본 정보` 섹션 하위 문구 확인
ㄴ 기획서 이미지 판독 불가(변경 스티커가 해당 구간을 덮음) — PASS/FAIL 판정 대신 실측 상태를 `실제 결과`에 기재</t>
  </si>
  <si>
    <t>TC_VIO_1020</t>
  </si>
  <si>
    <t>1. 가이드 패널 `레플리카 설정` 섹션의 항목 제목 확인</t>
  </si>
  <si>
    <t>항목 제목 확인
ㄴ 기획서 가이드가 `최소 레플리카 수` 를 2회 표기하고 `최대` 항목이 없음 — 실측 표기를 `실제 결과`에 기재</t>
  </si>
  <si>
    <t>TC_VIO_1021</t>
  </si>
  <si>
    <t>1. 가이드 패널 `스케일 정책` 섹션의 항목 제목 확인</t>
  </si>
  <si>
    <t>항목 `스케일 아웃 대기 시간` · `스케일 인 대기 시간` 표출</t>
  </si>
  <si>
    <t>TC_VIO_1022</t>
  </si>
  <si>
    <t>1. 가이드 패널 `스케줄 설정` 섹션의 항목 목록 확인</t>
  </si>
  <si>
    <t>항목 `예약일시` · `종료일시` · `스케줄 추가하기` 3개 표출</t>
  </si>
  <si>
    <t>TC_VIO_1023</t>
  </si>
  <si>
    <t>VIOE-03_01_04_15</t>
  </si>
  <si>
    <t>HPA 스케줄 수정</t>
  </si>
  <si>
    <t>HPA 스케줄 목록 화면(VIOE-03_01_04_13)에서 행 작업의 `수정` 을 클릭해 진입한 직후 상태</t>
  </si>
  <si>
    <t>1. 수정 화면의 표출 구성 확인</t>
  </si>
  <si>
    <t>TC_VIO_1024</t>
  </si>
  <si>
    <t>HPA 스케줄 수정 화면 진입 직후 상태</t>
  </si>
  <si>
    <t>`워크플로우 / 워크로드 / 오토 스케일러 / HPA 스케줄 수정` 경로 표출</t>
  </si>
  <si>
    <t>TC_VIO_1025</t>
  </si>
  <si>
    <t>말단 마디 `HPA 스케줄 수정` 볼드, 앞 세 마디 회색 표출</t>
  </si>
  <si>
    <t>TC_VIO_1026</t>
  </si>
  <si>
    <t>카드 타이틀 `HPA 스케줄 수정` 표출</t>
  </si>
  <si>
    <t>TC_VIO_1027</t>
  </si>
  <si>
    <t>TC_VIO_1028</t>
  </si>
  <si>
    <t>TC_VIO_1029</t>
  </si>
  <si>
    <t>1. LNB 대분류 항목 확인</t>
  </si>
  <si>
    <t>`대시보드` · `기본 설정` · `워크플로우` · `서비스 카탈로그` · `모니터링` 5개 표출</t>
  </si>
  <si>
    <t>TC_VIO_1030</t>
  </si>
  <si>
    <t>1. LNB `워크플로우` 하위 항목 확인</t>
  </si>
  <si>
    <t>`워크플로우` 하위 항목 확인
ㄴ 기획서 이미지 판독 불가(변경 스티커가 해당 구간을 덮음) — PASS/FAIL 판정 대신 실측 상태를 `실제 결과`에 기재</t>
  </si>
  <si>
    <t>TC_VIO_1031</t>
  </si>
  <si>
    <t>HPA 스케줄 수정 화면으로 진입해 LNB `오토스케일러` 가 선택된 상태</t>
  </si>
  <si>
    <t>1. LNB `워크로드` 하위 항목과 선택 표기 확인</t>
  </si>
  <si>
    <t>`컨테이너 관리` · `작업 관리` · `구성 관리` · `오토스케일러` 4개 표출, `오토스케일러` 는 초록 텍스트 + 연초록 배경 + 좌측 초록 세로 바로 선택 상태 유지</t>
  </si>
  <si>
    <t>TC_VIO_1032</t>
  </si>
  <si>
    <t>TC_VIO_1033</t>
  </si>
  <si>
    <t>TC_VIO_1034</t>
  </si>
  <si>
    <t>HPA 스케줄 목록에서 스케줄을 선택해 수정 화면에 진입한 직후 상태</t>
  </si>
  <si>
    <t>1. 폼 각 필드의 값 채움 상태 확인</t>
  </si>
  <si>
    <t>생성 시 입력한 값이 입력된 상태로 표출
ㄴ 기획서 UI mock 은 `레이블` · `메트릭` 이 placeholder 상태 — 프리필 대상 범위는 실측 상태를 `실제 결과`에 기재</t>
  </si>
  <si>
    <t>TC_VIO_1035</t>
  </si>
  <si>
    <t>HPA 스케줄 수정 화면의 입력 폼 카드가 표출된 상태</t>
  </si>
  <si>
    <t>TC_VIO_1036</t>
  </si>
  <si>
    <t>1. 폼 카드의 `기본 정보` 섹션 구성 확인</t>
  </si>
  <si>
    <t>`클러스터` · `네임스페이스` · `이름` · `레이블` 필드 표출</t>
  </si>
  <si>
    <t>TC_VIO_1037</t>
  </si>
  <si>
    <t>HPA 스케줄 목록에서 스케줄을 선택해 수정 화면에 진입한 상태</t>
  </si>
  <si>
    <t>1. `기본 정보` 섹션의 `클러스터` 필드 상태 확인</t>
  </si>
  <si>
    <t>선택한 스케줄의 클러스터명이 disable 상태로 표출
ㄴ 기획서 UI가 더미 값 `ClusterName` 표기 — 실 값은 실측 상태를 `실제 결과`에 기재</t>
  </si>
  <si>
    <t>TC_VIO_1038</t>
  </si>
  <si>
    <t>1. `기본 정보` 섹션의 `네임스페이스` 필드 상태 확인</t>
  </si>
  <si>
    <t>선택한 스케줄의 네임스페이스명이 disable 상태로 표출
ㄴ 기획서 UI가 더미 값 `NameSpace` 표기 — 실 값은 실측 상태를 `실제 결과`에 기재</t>
  </si>
  <si>
    <t>TC_VIO_1039</t>
  </si>
  <si>
    <t>1. `기본 정보` 섹션의 `이름` 필드와 우측 버튼 확인</t>
  </si>
  <si>
    <t>입력값이 채워진 활성 입력 필드와 `중복 확인` 버튼 표출
ㄴ 기획서 UI가 더미 값 `입력한 이름` 표기 — 실 값은 실측 상태를 `실제 결과`에 기재</t>
  </si>
  <si>
    <t>TC_VIO_1040</t>
  </si>
  <si>
    <t>TC_VIO_1041</t>
  </si>
  <si>
    <t>TC_VIO_1042</t>
  </si>
  <si>
    <t>1. 폼 카드의 `대상 디플로이먼트 선택` 섹션 확인</t>
  </si>
  <si>
    <t>섹션 헤더 `대상 디플로이먼트 선택` 과 필수 표시 `*` 를 동반한 `디플로이먼트` 필드 표출</t>
  </si>
  <si>
    <t>TC_VIO_1043</t>
  </si>
  <si>
    <t>1. `대상 디플로이먼트 선택` 섹션의 `디플로이먼트` 필드 상태 확인</t>
  </si>
  <si>
    <t>선택한 스케줄에 할당된 디플로이먼트명이 disable 상태로 표출
ㄴ 기획서 UI가 더미 값 `{Deployment-name}` 표기 — 실 값은 실측 상태를 `실제 결과`에 기재</t>
  </si>
  <si>
    <t>TC_VIO_1044</t>
  </si>
  <si>
    <t>필수 표시 `*` 와 값, 감소 `−` · 증가 `+` 스테퍼 표출
ㄴ 기획서 UI가 더미 값 `n` 표기 — 실 값은 실측 상태를 `실제 결과`에 기재</t>
  </si>
  <si>
    <t>TC_VIO_1045</t>
  </si>
  <si>
    <t>TC_VIO_1046</t>
  </si>
  <si>
    <t>필수 표시 `*` 와 값, 필드 우측 단위 라벨 `초` 표출
ㄴ 기획서 UI가 값 `30` 표기 — 기본값 여부는 실측 상태를 `실제 결과`에 기재</t>
  </si>
  <si>
    <t>TC_VIO_1047</t>
  </si>
  <si>
    <t>필수 표시 `*` 와 값, 필드 우측 단위 라벨 `초` 표출
ㄴ 기획서 UI가 값 `300` 표기 — 기본값 여부는 실측 상태를 `실제 결과`에 기재</t>
  </si>
  <si>
    <t>TC_VIO_1048</t>
  </si>
  <si>
    <t>TC_VIO_1049</t>
  </si>
  <si>
    <t>HPA 스케줄 수정 화면의 `메트릭` 테이블에서 `유형` 을 선택하지 않은 상태</t>
  </si>
  <si>
    <t>TC_VIO_1050</t>
  </si>
  <si>
    <t>TC_VIO_1051</t>
  </si>
  <si>
    <t>TC_VIO_1052</t>
  </si>
  <si>
    <t>HPA 스케줄 수정 화면의 `스케줄 설정` 섹션이 표출된 상태</t>
  </si>
  <si>
    <t>1. 스케줄 테이블 헤더 컬럼 확인</t>
  </si>
  <si>
    <t>`예약일시` 는 필수 표시 `*` 를 동반하고 `종료일시` 는 필수 표시 없이 표출</t>
  </si>
  <si>
    <t>TC_VIO_1053</t>
  </si>
  <si>
    <t>이미 실행중인 스케줄을 선택해 수정 화면에 진입한 상태</t>
  </si>
  <si>
    <t>1. 스케줄 테이블 `예약일시` 셀의 외형 확인</t>
  </si>
  <si>
    <t>`예약일시` 셀이 disable 상태로 표출</t>
  </si>
  <si>
    <t>TC_VIO_1054</t>
  </si>
  <si>
    <t>1. `예약일시` 셀 클릭 후 값 변경 시도</t>
  </si>
  <si>
    <t>예약일시 수정 불가</t>
  </si>
  <si>
    <t>TC_VIO_1055</t>
  </si>
  <si>
    <t>1. 스케줄 테이블 `종료일시` 셀의 외형 확인</t>
  </si>
  <si>
    <t>`종료일시` 셀이 활성 상태로 표출</t>
  </si>
  <si>
    <t>TC_VIO_1056</t>
  </si>
  <si>
    <t>실행 중인 스케줄을 삭제하고 폼 하단 `수정` 을 클릭한 상태</t>
  </si>
  <si>
    <t>1. 삭제한 스케줄로 생성된 HPA 의 존재 여부 확인</t>
  </si>
  <si>
    <t>해당 HPA 삭제</t>
  </si>
  <si>
    <t>TC_VIO_1057</t>
  </si>
  <si>
    <t>1. `실행 이력` 테이블의 해당 스케줄 행 `종료일시` 확인</t>
  </si>
  <si>
    <t>종료일시가 수정 시점으로 변경되어 표출</t>
  </si>
  <si>
    <t>TC_VIO_1058</t>
  </si>
  <si>
    <t>1. 스케줄 테이블 행 우측 컨트롤 확인</t>
  </si>
  <si>
    <t>행 우측 휴지통 아이콘 표출</t>
  </si>
  <si>
    <t>TC_VIO_1059</t>
  </si>
  <si>
    <t>`+ 필드 추가` 링크 표출</t>
  </si>
  <si>
    <t>TC_VIO_1060</t>
  </si>
  <si>
    <t>1. 폼 카드의 `실행 이력` 섹션 확인</t>
  </si>
  <si>
    <t>`실행 이력` 섹션과 이력 테이블 표출</t>
  </si>
  <si>
    <t>TC_VIO_1061</t>
  </si>
  <si>
    <t>수정 대상 스케줄에 실행 이력이 1건 이상 존재하는 상태</t>
  </si>
  <si>
    <t>1. `실행 이력` 테이블 본문 확인</t>
  </si>
  <si>
    <t>스케줄 실행 이력 표출</t>
  </si>
  <si>
    <t>TC_VIO_1062</t>
  </si>
  <si>
    <t>HPA 스케줄 수정 화면의 `실행 이력` 섹션이 표출된 상태</t>
  </si>
  <si>
    <t>1. `실행 이력` 테이블의 컬럼 구성·값 형식을 확인</t>
  </si>
  <si>
    <t>실행 이력 상세 정의 적용 상태 확인
ㄴ 기획 미정의 항목 — PASS/FAIL 판정 대신 실측 상태를 `실제 결과`에 기재</t>
  </si>
  <si>
    <t>TC_VIO_1063</t>
  </si>
  <si>
    <t>1. `실행 이력` 테이블 헤더 컬럼 확인</t>
  </si>
  <si>
    <t>`예약일시` · `종료일시` · `실행 결과` · `HPA` 4개 컬럼 표출, `예약일시` · `종료일시` · `HPA` 에 정렬 아이콘 `↑↓` 표출</t>
  </si>
  <si>
    <t>TC_VIO_1064</t>
  </si>
  <si>
    <t>1. `실행 결과` 컬럼 헤더의 아이콘 확인</t>
  </si>
  <si>
    <t>`?` 원형 아이콘 표출, 정렬 아이콘 미표출</t>
  </si>
  <si>
    <t>TC_VIO_1065</t>
  </si>
  <si>
    <t>1. `실행 결과` 컬럼의 값 표기 확인</t>
  </si>
  <si>
    <t>실행 상태가 tag 형태로 표출
ㄴ 기획서 UI mock 은 `RUNNING` · `COMPLETED` · `SCHEDULED` · `ERROR` 4종만 표기 — 값 전수는 실측 상태를 `실제 결과`에 기재</t>
  </si>
  <si>
    <t>TC_VIO_1066</t>
  </si>
  <si>
    <t>1. `실행 이력` · `스케줄 설정` 테이블의 일시 값 표기 형식 확인</t>
  </si>
  <si>
    <t>TC_VIO_1067</t>
  </si>
  <si>
    <t>1. `실행 이력` 테이블 `HPA` 컬럼의 값 표기 확인</t>
  </si>
  <si>
    <t>HPA 이름이 밑줄·링크 없이 평문으로 표출
ㄴ 기획서 UI가 더미 값 `HPA 명` 표기 — 실 값은 실측 상태를 `실제 결과`에 기재</t>
  </si>
  <si>
    <t>TC_VIO_1068</t>
  </si>
  <si>
    <t>수정 대상 스케줄의 실행 이력이 정확히 5건인 상태</t>
  </si>
  <si>
    <t>1. `실행 이력` 테이블 본문 행 수 확인</t>
  </si>
  <si>
    <t>5건 전부 한 페이지에 표출</t>
  </si>
  <si>
    <t>TC_VIO_1069</t>
  </si>
  <si>
    <t>수정 대상 스케줄의 실행 이력이 6건인 상태</t>
  </si>
  <si>
    <t>1. `실행 이력` 테이블 본문 행 수와 하단 컨트롤 확인</t>
  </si>
  <si>
    <t>5건 표출 후 페이지네이션 제공</t>
  </si>
  <si>
    <t>TC_VIO_1070</t>
  </si>
  <si>
    <t>수정 대상 스케줄의 실행 이력이 4건인 상태</t>
  </si>
  <si>
    <t>4건 전부 한 페이지에 표출</t>
  </si>
  <si>
    <t>TC_VIO_1071</t>
  </si>
  <si>
    <t>1. `실행 이력` 테이블 푸터 좌측 확인</t>
  </si>
  <si>
    <t>전체 건수 표기 표출
ㄴ 기획서 UI가 더미 `전체 수 N` 표기 — 실 값은 실측 상태를 `실제 결과`에 기재</t>
  </si>
  <si>
    <t>TC_VIO_1072</t>
  </si>
  <si>
    <t>1. `실행 이력` 테이블 푸터 중앙 확인</t>
  </si>
  <si>
    <t>`≪` · `‹` · 현재 페이지 · `›` · `≫` 컨트롤 표출
ㄴ 기획서 UI가 더미 `1` · `/ 99` 표기 — 실 값은 실측 상태를 `실제 결과`에 기재</t>
  </si>
  <si>
    <t>TC_VIO_1073</t>
  </si>
  <si>
    <t>1. `실행 이력` 테이블 푸터 우측 확인</t>
  </si>
  <si>
    <t>`리스트 수 5` 드롭다운 표출</t>
  </si>
  <si>
    <t>TC_VIO_1074</t>
  </si>
  <si>
    <t>`취소` 텍스트 버튼과 `수정` 초록 채움 버튼 표출</t>
  </si>
  <si>
    <t>TC_VIO_1075</t>
  </si>
  <si>
    <t>TC_VIO_1076</t>
  </si>
  <si>
    <t>HPA 스케줄 수정 화면의 필수 입력을 모두 채운 상태</t>
  </si>
  <si>
    <t>1. 폼 하단 `수정` 클릭</t>
  </si>
  <si>
    <t>TC_VIO_1077</t>
  </si>
  <si>
    <t>HPA 스케줄 수정 화면의 필수 입력 중 1개 이상을 비워 둔 상태</t>
  </si>
  <si>
    <t>TC_VIO_1078</t>
  </si>
  <si>
    <t>HPA 스케줄 수정 화면의 우측 가이드 패널이 표출된 상태</t>
  </si>
  <si>
    <t>TC_VIO_1079</t>
  </si>
  <si>
    <t>TC_VIO_1080</t>
  </si>
  <si>
    <t>`디플로이먼트` 항목과 선택 안내·목록 제외 안내 문구 2줄 표출</t>
  </si>
  <si>
    <t>TC_VIO_1081</t>
  </si>
  <si>
    <t>TC_VIO_1082</t>
  </si>
  <si>
    <t>TC_VIO_1083</t>
  </si>
  <si>
    <t>1. 가이드 패널 `매트릭` 섹션의 계열 목록 확인</t>
  </si>
  <si>
    <t>TC_VIO_1084</t>
  </si>
  <si>
    <t>TC_VIO_1085</t>
  </si>
  <si>
    <t>VIOE-03_01_04_16</t>
  </si>
  <si>
    <t>HPA 스케줄 상세</t>
  </si>
  <si>
    <t>HPA 스케줄 목록 화면(VIOE-03_01_04_13)에서 스케줄 이름을 클릭해 진입한 직후 상태</t>
  </si>
  <si>
    <t>1. 상세 화면의 표출 구성 확인</t>
  </si>
  <si>
    <t>좌측 `기본 정보` 패널과 우측 `스케줄 실행 이력` · `예정된 스케줄` 테이블 표출</t>
  </si>
  <si>
    <t>TC_VIO_1086</t>
  </si>
  <si>
    <t>HPA 스케줄 상세 화면 진입 직후 상태</t>
  </si>
  <si>
    <t>`워크플로우 / 워크로드 / 오토 스케일러 / HPA 스케줄 상세` 경로 표출</t>
  </si>
  <si>
    <t>TC_VIO_1087</t>
  </si>
  <si>
    <t>말단 마디 `HPA 스케줄 상세` 볼드, 앞 세 마디 회색 표출</t>
  </si>
  <si>
    <t>TC_VIO_1088</t>
  </si>
  <si>
    <t>1. 카드 최상단 타이틀 확인</t>
  </si>
  <si>
    <t>카드 타이틀 표출
ㄴ 기획서 UI가 더미 토큰 `{리소스명}` 표기 — 실 표기는 실측 상태를 `실제 결과`에 기재</t>
  </si>
  <si>
    <t>TC_VIO_1089</t>
  </si>
  <si>
    <t>1. 카드 최상단 좌측 아이콘 확인</t>
  </si>
  <si>
    <t>TC_VIO_1090</t>
  </si>
  <si>
    <t>1. 카드 좌상단 뒤로 아이콘 `←` 클릭</t>
  </si>
  <si>
    <t>TC_VIO_1091</t>
  </si>
  <si>
    <t>TC_VIO_1092</t>
  </si>
  <si>
    <t>`워크로드` · `네트워크` · `스토리지` 3개 표출</t>
  </si>
  <si>
    <t>TC_VIO_1093</t>
  </si>
  <si>
    <t>HPA 스케줄 상세 화면으로 진입해 LNB `오토스케일러` 가 선택된 상태</t>
  </si>
  <si>
    <t>TC_VIO_1094</t>
  </si>
  <si>
    <t>TC_VIO_1095</t>
  </si>
  <si>
    <t>클러스터 선택기와 교체 아이콘 `⇄` 표출
ㄴ 기획서 UI가 더미 `Cluster name` 표기 — 실 표기는 실측 상태를 `실제 결과`에 기재</t>
  </si>
  <si>
    <t>TC_VIO_1096</t>
  </si>
  <si>
    <t>1. 카드 헤더 우측의 액션 버튼 구성 확인</t>
  </si>
  <si>
    <t>`수정` · `삭제` 2개 버튼 표출</t>
  </si>
  <si>
    <t>TC_VIO_1097</t>
  </si>
  <si>
    <t>1. 카드 헤더의 `수정` 버튼 확인</t>
  </si>
  <si>
    <t>흰 배경 + 회색 테두리의 `수정` 버튼 표출</t>
  </si>
  <si>
    <t>TC_VIO_1098</t>
  </si>
  <si>
    <t>1. 카드 헤더의 `삭제` 버튼 확인</t>
  </si>
  <si>
    <t>빨간 테두리·빨간 라벨과 휴지통 아이콘을 동반한 `삭제` 버튼 표출</t>
  </si>
  <si>
    <t>TC_VIO_1099</t>
  </si>
  <si>
    <t>1. 카드 헤더의 `수정` 클릭</t>
  </si>
  <si>
    <t>TC_VIO_1100</t>
  </si>
  <si>
    <t>1. 카드 헤더의 `삭제` 클릭</t>
  </si>
  <si>
    <t>TC_VIO_1101</t>
  </si>
  <si>
    <t>HPA 스케줄 상세 화면의 `기본 정보` 패널이 표출된 상태</t>
  </si>
  <si>
    <t>1. `기본 정보` 패널의 항목 구성 확인</t>
  </si>
  <si>
    <t>`이름` · `상태` · `클러스터` · `네임스페이스` · `레이블` · `스케일링 대상` · `최소 파드 수` · `최대 파드 수` · `생성일시` 9개 항목 표출</t>
  </si>
  <si>
    <t>TC_VIO_1102</t>
  </si>
  <si>
    <t>1. `기본 정보` 패널의 `이름` 항목 확인</t>
  </si>
  <si>
    <t>`이름` 항목과 값 표출
ㄴ 기획서 UI가 더미 토큰 `{스케줄명}` 표기 — 실 값은 실측 상태를 `실제 결과`에 기재</t>
  </si>
  <si>
    <t>TC_VIO_1103</t>
  </si>
  <si>
    <t>실행 중인 HPA 스케줄의 상세 화면이 표출된 상태</t>
  </si>
  <si>
    <t>1. `기본 정보` 패널의 `상태` 항목 확인</t>
  </si>
  <si>
    <t>`상태` 항목과 상태 tag 표출
ㄴ 기획서 UI mock 은 `RUNNING` 1종만 표기 — 실 값은 실측 상태를 `실제 결과`에 기재</t>
  </si>
  <si>
    <t>TC_VIO_1104</t>
  </si>
  <si>
    <t>1. `기본 정보` 패널의 `클러스터` 항목 확인</t>
  </si>
  <si>
    <t>`클러스터` 항목과 값 표출
ㄴ 기획서 UI가 더미 토큰 `{클러스터명}` 표기 — 실 값은 실측 상태를 `실제 결과`에 기재</t>
  </si>
  <si>
    <t>TC_VIO_1105</t>
  </si>
  <si>
    <t>1. `기본 정보` 패널의 `네임스페이스` 항목 확인</t>
  </si>
  <si>
    <t>`네임스페이스` 항목과 값 표출
ㄴ 기획서 UI가 더미 토큰 `{namespace}` 표기 — 실 값은 실측 상태를 `실제 결과`에 기재</t>
  </si>
  <si>
    <t>TC_VIO_1106</t>
  </si>
  <si>
    <t>1. `기본 정보` 패널의 `레이블` 항목 확인</t>
  </si>
  <si>
    <t>`레이블` 항목과 TAG chip 목록 표출
ㄴ 기획서 UI가 더미 chip 13개를 표기하고 첫 chip 은 디자인 주석 — 실 값은 실측 상태를 `실제 결과`에 기재</t>
  </si>
  <si>
    <t>TC_VIO_1107</t>
  </si>
  <si>
    <t>1. `기본 정보` 패널의 `스케일링 대상` 항목 확인</t>
  </si>
  <si>
    <t>`스케일링 대상` 항목과 밑줄 링크 값, 우측 클립 형태 아이콘 표출
ㄴ 기획서 UI가 더미 토큰 `{deployment}` 표기 — 실 값은 실측 상태를 `실제 결과`에 기재</t>
  </si>
  <si>
    <t>TC_VIO_1108</t>
  </si>
  <si>
    <t>1. `스케일링 대상` 값의 링크 클릭</t>
  </si>
  <si>
    <t>TC_VIO_1109</t>
  </si>
  <si>
    <t>1. `기본 정보` 패널의 `최소 파드 수` 항목 확인</t>
  </si>
  <si>
    <t>`최소 파드 수` 항목과 값 표출
ㄴ 기획서 UI가 값 `1` 표기 — 실 값은 실측 상태를 `실제 결과`에 기재</t>
  </si>
  <si>
    <t>TC_VIO_1110</t>
  </si>
  <si>
    <t>1. `기본 정보` 패널의 `최대 파드 수` 항목 확인</t>
  </si>
  <si>
    <t>`최대 파드 수` 항목과 값 표출
ㄴ 기획서 UI가 값 `5` 표기 — 실 값은 실측 상태를 `실제 결과`에 기재</t>
  </si>
  <si>
    <t>TC_VIO_1111</t>
  </si>
  <si>
    <t>1. `기본 정보` 패널의 `생성일시` 항목 확인</t>
  </si>
  <si>
    <t>`생성일시` 항목과 `YYYY-MM-DD HH:MM:SS` 형식 값 표출</t>
  </si>
  <si>
    <t>TC_VIO_1112</t>
  </si>
  <si>
    <t>1. `기본 정보` 패널 헤더의 아이콘 확인</t>
  </si>
  <si>
    <t>패널 헤더 좌측에 접기 아이콘 `⊡` 표출</t>
  </si>
  <si>
    <t>TC_VIO_1113</t>
  </si>
  <si>
    <t>HPA 스케줄 상세 화면의 `스케줄 실행 이력` 테이블이 표출된 상태</t>
  </si>
  <si>
    <t>1. `스케줄 실행 이력` 섹션 구성 확인</t>
  </si>
  <si>
    <t>`스케줄 실행 이력` 제목과 이력 테이블 표출</t>
  </si>
  <si>
    <t>TC_VIO_1114</t>
  </si>
  <si>
    <t>1. `스케줄 실행 이력` 테이블 헤더의 1번째 컬럼 확인</t>
  </si>
  <si>
    <t>`예약일시` 컬럼과 정렬 아이콘 `↑↓` 표출</t>
  </si>
  <si>
    <t>TC_VIO_1115</t>
  </si>
  <si>
    <t>HPA 스케줄 상세 화면에 스케줄 실행 이력이 1건 이상 표출된 상태</t>
  </si>
  <si>
    <t>1. `스케줄 실행 이력` 테이블 `예약일시` 컬럼의 값 확인</t>
  </si>
  <si>
    <t>스케줄이 실행된 날짜 및 시간 표출</t>
  </si>
  <si>
    <t>TC_VIO_1116</t>
  </si>
  <si>
    <t>1. `스케줄 실행 이력` 테이블 헤더의 2번째 컬럼 확인</t>
  </si>
  <si>
    <t>`종료일시` 컬럼과 정렬 아이콘 `↑↓` 표출</t>
  </si>
  <si>
    <t>TC_VIO_1117</t>
  </si>
  <si>
    <t>1. `스케줄 실행 이력` 테이블 `종료일시` 컬럼의 값 확인</t>
  </si>
  <si>
    <t>스케줄이 종료된 날짜 및 시간 표출</t>
  </si>
  <si>
    <t>TC_VIO_1118</t>
  </si>
  <si>
    <t>1. `스케줄 실행 이력` 테이블 헤더의 3번째 컬럼 확인</t>
  </si>
  <si>
    <t>`실행 결과` 컬럼과 `?` 원형 아이콘 표출, 정렬 아이콘 미표출</t>
  </si>
  <si>
    <t>TC_VIO_1119</t>
  </si>
  <si>
    <t>HPA 스케줄 실행 상태가 tag 형태로 표출
ㄴ 기획서 UI mock 은 `RUNNING` · `COMPLETED` · `SCHEDULED` · `ERROR` 4종만 표기 — 값 전수는 실측 상태를 `실제 결과`에 기재</t>
  </si>
  <si>
    <t>TC_VIO_1120</t>
  </si>
  <si>
    <t>1. `실행 결과` 영역에 마우스 호버</t>
  </si>
  <si>
    <t>툴팁 제공
ㄴ 툴팁 트리거 위치와 문구가 기획 미정의 — 실측 상태를 `실제 결과`에 기재</t>
  </si>
  <si>
    <t>TC_VIO_1121</t>
  </si>
  <si>
    <t>1. `스케줄 실행 이력` 테이블 헤더의 4번째 컬럼 확인</t>
  </si>
  <si>
    <t>컬럼과 정렬 아이콘 `↑↓` 표출
ㄴ DESC 항목명은 `이름`, UI 컬럼 헤더는 `HPA` 로 갈림 — 실측 표기를 `실제 결과`에 기재</t>
  </si>
  <si>
    <t>TC_VIO_1122</t>
  </si>
  <si>
    <t>1. `스케줄 실행 이력` 테이블 4번째 컬럼의 값 확인</t>
  </si>
  <si>
    <t>해당 스케줄로 생성한 HPA 이름 표출
ㄴ 기획서 UI가 더미 값 `HPA명` 표기 — 실 값은 실측 상태를 `실제 결과`에 기재</t>
  </si>
  <si>
    <t>TC_VIO_1123</t>
  </si>
  <si>
    <t>실행이 성공하여 현재 동작하고 있는 스케줄의 이력 행이 표출된 상태</t>
  </si>
  <si>
    <t>1. 해당 행의 HPA 이름 클릭</t>
  </si>
  <si>
    <t>해당 HPA 의 상세 화면(VIOE-03_01_04-05)으로 이동</t>
  </si>
  <si>
    <t>TC_VIO_1124</t>
  </si>
  <si>
    <t>실행이 성공하여 현재 동작하고 있는 상태가 아닌 스케줄의 이력 행이 표출된 상태</t>
  </si>
  <si>
    <t>1. 해당 행의 HPA 이름 표기 확인</t>
  </si>
  <si>
    <t>HPA 이름이 밑줄·링크 없이 평문으로 표출</t>
  </si>
  <si>
    <t>TC_VIO_1125</t>
  </si>
  <si>
    <t>1. `스케줄 실행 이력` 테이블의 일시 값 표기 형식 확인</t>
  </si>
  <si>
    <t>TC_VIO_1126</t>
  </si>
  <si>
    <t>1. `스케줄 실행 이력` 테이블 푸터 확인</t>
  </si>
  <si>
    <t>전체 건수 표기, `≪` · `‹` · 현재 페이지 · `›` · `≫` 컨트롤, 페이지당 건수 드롭다운 표출
ㄴ 기획서 UI가 더미 `전체 수 N` · `1` · `/ 99` · `리스트 수 10` 표기 — 실 값은 실측 상태를 `실제 결과`에 기재</t>
  </si>
  <si>
    <t>TC_VIO_1127</t>
  </si>
  <si>
    <t>HPA 스케줄 상세 화면의 `예정된 스케줄` 테이블이 표출된 상태</t>
  </si>
  <si>
    <t>1. `예정된 스케줄` 섹션 구성 확인</t>
  </si>
  <si>
    <t>`예정된 스케줄` 제목과 `예약일시` · `종료일시` · `삭제` 3개 컬럼 테이블 표출</t>
  </si>
  <si>
    <t>TC_VIO_1128</t>
  </si>
  <si>
    <t>1. `예정된 스케줄` 테이블 헤더의 1번째 컬럼 확인</t>
  </si>
  <si>
    <t>TC_VIO_1129</t>
  </si>
  <si>
    <t>HPA 스케줄 상세 화면에 실행 예정인 스케줄이 1건 이상 표출된 상태</t>
  </si>
  <si>
    <t>1. `예정된 스케줄` 테이블 `예약일시` 컬럼의 값 확인</t>
  </si>
  <si>
    <t>예정된 스케줄의 실행 날짜 및 시간 표출</t>
  </si>
  <si>
    <t>TC_VIO_1130</t>
  </si>
  <si>
    <t>1. `예정된 스케줄` 테이블 헤더의 2번째 컬럼 확인</t>
  </si>
  <si>
    <t>TC_VIO_1131</t>
  </si>
  <si>
    <t>1. `예정된 스케줄` 테이블 `종료일시` 컬럼의 값 확인</t>
  </si>
  <si>
    <t>예정된 스케줄의 종료 날짜 및 시간 표출</t>
  </si>
  <si>
    <t>TC_VIO_1132</t>
  </si>
  <si>
    <t>1. `예정된 스케줄` 테이블 헤더의 3번째 컬럼과 행 컨트롤 확인</t>
  </si>
  <si>
    <t>`삭제` 컬럼 헤더와 행별 휴지통 아이콘 표출</t>
  </si>
  <si>
    <t>TC_VIO_1133</t>
  </si>
  <si>
    <t>1. `예정된 스케줄` 행의 휴지통 아이콘 클릭</t>
  </si>
  <si>
    <t>스케줄 삭제 팝업 표출</t>
  </si>
  <si>
    <t>TC_VIO_1134</t>
  </si>
  <si>
    <t>1. `예정된 스케줄` 테이블의 일시 값 표기 형식 확인</t>
  </si>
  <si>
    <t>`YYYY-MM-DD HH:MM:SS` 형식으로 표출</t>
  </si>
  <si>
    <t>TC_VIO_1135</t>
  </si>
  <si>
    <t>1. `예정된 스케줄` 테이블 푸터 확인</t>
  </si>
  <si>
    <t>전체 건수 표기, `≪` · `‹` · 현재 페이지 · `›` · `≫` 컨트롤, `리스트 수 10` 드롭다운 표출
ㄴ 기획서 UI가 더미 `전체 수 N` · `1` · `/ 99` 표기 — 실 값은 실측 상태를 `실제 결과`에 기재</t>
  </si>
  <si>
    <t>TC_VIO_1136</t>
  </si>
  <si>
    <t>스케줄 삭제 팝업</t>
  </si>
  <si>
    <t>`예정된 스케줄` 행의 휴지통 아이콘을 클릭해 스케줄 삭제 팝업이 표출된 상태</t>
  </si>
  <si>
    <t>1. 팝업 타이틀 확인</t>
  </si>
  <si>
    <t>팝업 타이틀 `스케줄 삭제` 표출</t>
  </si>
  <si>
    <t>TC_VIO_1137</t>
  </si>
  <si>
    <t>1. 팝업의 삭제 대상 목록 박스 확인</t>
  </si>
  <si>
    <t>삭제 대상이 {예약일시} 형식으로 표기</t>
  </si>
  <si>
    <t>TC_VIO_1138</t>
  </si>
  <si>
    <t>1. 팝업 본문의 확인 문구와 건수 표기 확인</t>
  </si>
  <si>
    <t>`선택한 항목을 삭제하시겠습니까?` 문구와 `총 1개` 표기 표출</t>
  </si>
  <si>
    <t>TC_VIO_1139</t>
  </si>
  <si>
    <t>스케줄 삭제 팝업이 표출되고 확인 체크박스가 체크된 상태</t>
  </si>
  <si>
    <t>1. 팝업의 확인 체크박스 확인</t>
  </si>
  <si>
    <t>초록 채움 체크 상태와 라벨 `확인했습니다.` 표출</t>
  </si>
  <si>
    <t>TC_VIO_1140</t>
  </si>
  <si>
    <t>1. 팝업 푸터의 버튼 확인</t>
  </si>
  <si>
    <t>`취소` 텍스트 버튼과 빨간 테두리·빨간 라벨의 `삭제` 버튼 표출</t>
  </si>
  <si>
    <t>TC_VIO_1141</t>
  </si>
  <si>
    <t>1. 팝업의 `취소` 클릭</t>
  </si>
  <si>
    <t>TC_VIO_1142</t>
  </si>
  <si>
    <t>1. 팝업의 `삭제` 클릭</t>
  </si>
  <si>
    <t>TC_VIO_1143</t>
  </si>
  <si>
    <t>1. 팝업의 삭제 대상 목록 외 구성(문구·체크박스·버튼 배치) 확인</t>
  </si>
  <si>
    <t>공통 팝업 구성 적용 상태 확인
ㄴ 기획 미정의 항목 — PASS/FAIL 판정 대신 실측 상태를 `실제 결과`에 기재</t>
  </si>
  <si>
    <t>TC_VIO_1144</t>
  </si>
  <si>
    <t>1. 팝업 삭제 대상 목록의 일시 표기 형식 확인</t>
  </si>
  <si>
    <t>TC_VIO_1145</t>
  </si>
  <si>
    <t>VIOE-03_02_05-01</t>
  </si>
  <si>
    <t>HTTP라우트 목록</t>
  </si>
  <si>
    <t>HTTP라우트 목록 화면(VIOE-03_02_05-01)으로 진입한 직후 상태</t>
  </si>
  <si>
    <t>1. 화면 전체 구성 확인</t>
  </si>
  <si>
    <t>상단 탭 바 · 필터 칩 · 검색 툴바 · 목록 테이블 · 푸터로 구성된 HTTP라우트 목록 화면 표출</t>
  </si>
  <si>
    <t>TC_VIO_1146</t>
  </si>
  <si>
    <t>`워크플로우 / 네트워크 / 게이트웨이 API` 경로 표출</t>
  </si>
  <si>
    <t>TC_VIO_1147</t>
  </si>
  <si>
    <t>말단 마디 `게이트웨이 API` 볼드, 앞 두 마디 회색 표출</t>
  </si>
  <si>
    <t>TC_VIO_1148</t>
  </si>
  <si>
    <t>1. 콘텐츠 영역 최상단 페이지 타이틀 확인</t>
  </si>
  <si>
    <t>페이지 타이틀 `게이트웨이 API` 표출</t>
  </si>
  <si>
    <t>TC_VIO_1149</t>
  </si>
  <si>
    <t>1. 페이지 타이틀 하단의 서브타이틀 확인</t>
  </si>
  <si>
    <t>서브타이틀 텍스트 표출
ㄴ 기획서 UI가 더미 플레이스홀더 `Subtitle` 표기 — 실 문구는 실측 상태를 `실제 결과`에 기재</t>
  </si>
  <si>
    <t>TC_VIO_1150</t>
  </si>
  <si>
    <t>1. 콘텐츠 헤더의 탭 바 구성 확인</t>
  </si>
  <si>
    <t>`HTTP라우트` · `게이트웨이` · `게이트웨이 클래스` 탭 3개 표출</t>
  </si>
  <si>
    <t>TC_VIO_1151</t>
  </si>
  <si>
    <t>HTTP라우트 목록 화면에서 `HTTP라우트` 탭이 선택된 상태</t>
  </si>
  <si>
    <t>1. 선택된 탭의 표기 확인</t>
  </si>
  <si>
    <t>`HTTP라우트` 탭이 초록 텍스트와 하단 초록 밑줄로 선택 상태 표출</t>
  </si>
  <si>
    <t>TC_VIO_1152</t>
  </si>
  <si>
    <t>1. 탭 바 하단의 필터 칩 구성 확인</t>
  </si>
  <si>
    <t>`전체` 칩과 클러스터 칩 12개, 합계 13개 표출
ㄴ 기획서 UI가 더미 라벨 `ClusterName1` ~ `ClusterName12` 표기 — 실 라벨은 실측 상태를 `실제 결과`에 기재</t>
  </si>
  <si>
    <t>TC_VIO_1153</t>
  </si>
  <si>
    <t>HTTP라우트 목록 화면에서 클러스터 필터 칩 2개가 선택된 상태</t>
  </si>
  <si>
    <t>1. 선택된 필터 칩의 표기 확인</t>
  </si>
  <si>
    <t>선택된 칩 2개가 초록 텍스트와 초록 테두리로 표출되고 `전체` 칩은 비선택 상태 표출</t>
  </si>
  <si>
    <t>TC_VIO_1154</t>
  </si>
  <si>
    <t>TC_VIO_1155</t>
  </si>
  <si>
    <t>TC_VIO_1156</t>
  </si>
  <si>
    <t>HTTP라우트 목록 화면으로 진입해 LNB `게이트웨이 API` 가 선택된 상태</t>
  </si>
  <si>
    <t>1. LNB `네트워크` 하위 항목과 선택 표기 확인</t>
  </si>
  <si>
    <t>`서비스` · `인그레스` · `게이트웨이 API` · `네트워크 폴리시` · `서비스 메시` 5개 표출, `게이트웨이 API` 는 초록 텍스트 + 연초록 배경 + 좌측 초록 세로 바로 선택 상태 유지</t>
  </si>
  <si>
    <t>TC_VIO_1157</t>
  </si>
  <si>
    <t>TC_VIO_1158</t>
  </si>
  <si>
    <t>TC_VIO_1159</t>
  </si>
  <si>
    <t>아이콘과 라벨로 구성된 `모니터링 현황` 버튼 표출</t>
  </si>
  <si>
    <t>TC_VIO_1160</t>
  </si>
  <si>
    <t>1. 검색 입력 좌측의 필터 아이콘 확인</t>
  </si>
  <si>
    <t>가로 3선 형태의 필터 아이콘 표출</t>
  </si>
  <si>
    <t>TC_VIO_1161</t>
  </si>
  <si>
    <t>1. 툴바의 검색 입력 placeholder 확인</t>
  </si>
  <si>
    <t>placeholder `항목 이름 또는 값을 입력해 주세요.` 표출 (문장 끝 마침표 포함)</t>
  </si>
  <si>
    <t>TC_VIO_1162</t>
  </si>
  <si>
    <t>1. 툴바의 `기간 설정` 드롭다운 확인</t>
  </si>
  <si>
    <t>`기간 설정` 라벨과 펼침 아이콘 `∨` 로 구성된 드롭다운 표출</t>
  </si>
  <si>
    <t>TC_VIO_1163</t>
  </si>
  <si>
    <t>1. 툴바의 기간 범위 입력 확인</t>
  </si>
  <si>
    <t>시작·종료 입력이 화살표 `→` 로 이어지고 달력 아이콘을 동반한 단일 컨트롤 표출
ㄴ 기획서 UI가 더미 플레이스홀더 `Start date` · `End date` 표기 — 실 표기는 실측 상태를 `실제 결과`에 기재</t>
  </si>
  <si>
    <t>TC_VIO_1164</t>
  </si>
  <si>
    <t>1. 툴바 최우측의 생성 버튼 확인</t>
  </si>
  <si>
    <t>초록 채움 배경에 `+` 아이콘을 동반한 `+ 생성` 버튼 표출</t>
  </si>
  <si>
    <t>TC_VIO_1165</t>
  </si>
  <si>
    <t>1. 목록 상단 조회 영역의 구성과 기본 상태 확인</t>
  </si>
  <si>
    <t>Table 조회형 공통 정책의 구성 적용 상태 확인
ㄴ 기획 미정의 항목 — PASS/FAIL 판정 대신 실측 상태를 `실제 결과`에 기재</t>
  </si>
  <si>
    <t>TC_VIO_1166</t>
  </si>
  <si>
    <t>1. 툴바의 `+ 생성` 클릭</t>
  </si>
  <si>
    <t>HTTP라우트 생성 페이지(VIOE-03_02_05-14)로 이동</t>
  </si>
  <si>
    <t>TC_VIO_1167</t>
  </si>
  <si>
    <t>HTTP라우트 목록 테이블이 표출된 상태</t>
  </si>
  <si>
    <t>1. 목록 테이블 헤더의 컬럼 구성 확인</t>
  </si>
  <si>
    <t>체크박스 열과 `이름` · `상태` · `클러스터` · `네임스페이스` · `레이블` · `게이트웨이` · `라우팅 규칙 수` · `생성일시` · `작업` 컬럼, 합계 10열 표출</t>
  </si>
  <si>
    <t>TC_VIO_1168</t>
  </si>
  <si>
    <t>1. 목록 테이블 첫 번째 열 확인</t>
  </si>
  <si>
    <t>헤더 체크박스 1개와 행별 체크박스 표출</t>
  </si>
  <si>
    <t>TC_VIO_1169</t>
  </si>
  <si>
    <t>TC_VIO_1170</t>
  </si>
  <si>
    <t>HTTP라우트 목록 테이블이 표출되고 확인 대상 컬럼을 데이터 컬럼 `상태` 하나로 한정한 상태</t>
  </si>
  <si>
    <t>1. 목록 테이블 헤더의 `상태` 컬럼 표기 확인</t>
  </si>
  <si>
    <t>`상태` 컬럼 헤더에 정렬 아이콘 `↑↓` 미표출</t>
  </si>
  <si>
    <t>TC_VIO_1171</t>
  </si>
  <si>
    <t>HTTP라우트 목록 테이블이 표출되고 확인 대상 컬럼을 데이터 컬럼 `레이블` 하나로 한정한 상태</t>
  </si>
  <si>
    <t>1. 목록 테이블 헤더의 `레이블` 컬럼 표기 확인</t>
  </si>
  <si>
    <t>`레이블` 컬럼 헤더에 정렬 아이콘 `↑↓` 미표출</t>
  </si>
  <si>
    <t>TC_VIO_1172</t>
  </si>
  <si>
    <t>목록 툴바의 필터를 펼쳐 검색 필터 항목 목록이 표출되고 확인 대상을 검색 필터 항목 목록 하나로 한정한 상태</t>
  </si>
  <si>
    <t>1. 검색 필터 항목 목록에서 `라우팅 규칙 수` 제공 여부 확인</t>
  </si>
  <si>
    <t>검색 필터 항목 목록에 `라우팅 규칙 수` 미표출</t>
  </si>
  <si>
    <t>TC_VIO_1173</t>
  </si>
  <si>
    <t>1. 목록 테이블 헤더의 1번째 데이터 컬럼 확인</t>
  </si>
  <si>
    <t>`이름` 컬럼과 정렬 아이콘 `↑↓` 표출</t>
  </si>
  <si>
    <t>TC_VIO_1174</t>
  </si>
  <si>
    <t>HTTP라우트 목록에 HTTP라우트가 1건 이상 표출된 상태</t>
  </si>
  <si>
    <t>1. `이름` 컬럼 셀의 값 표기 확인</t>
  </si>
  <si>
    <t>밑줄 링크 형태의 HTTP라우트 이름 표출, 셀 폭을 넘는 긴 이름은 줄바꿈되어 표출
ㄴ 기획서 UI가 더미 값 `Link text` 와 63자 예시 이름 표기 — 실 값은 실측 상태를 `실제 결과`에 기재</t>
  </si>
  <si>
    <t>TC_VIO_1175</t>
  </si>
  <si>
    <t>1. `이름` 컬럼의 HTTP라우트 이름 클릭</t>
  </si>
  <si>
    <t>HTTP라우트 상세 페이지(VIOE-03_02_05-17)로 이동</t>
  </si>
  <si>
    <t>TC_VIO_1176</t>
  </si>
  <si>
    <t>1. 목록 테이블 헤더의 2번째 데이터 컬럼 확인</t>
  </si>
  <si>
    <t>`상태` 컬럼과 `?` 원형 아이콘 표출</t>
  </si>
  <si>
    <t>TC_VIO_1177</t>
  </si>
  <si>
    <t>1. `상태` 컬럼 셀의 값 표기 확인</t>
  </si>
  <si>
    <t>HTTP라우트 상태가 tag 형태로 표출
ㄴ 기획서 UI mock 은 `READY` · `PENDING` · `INVALID` 3종만 표기 — 값 전수는 실측 상태를 `실제 결과`에 기재</t>
  </si>
  <si>
    <t>TC_VIO_1178</t>
  </si>
  <si>
    <t>1. `상태` 영역에 마우스 호버</t>
  </si>
  <si>
    <t>TC_VIO_1179</t>
  </si>
  <si>
    <t>1. 목록 테이블 헤더의 3번째 데이터 컬럼 확인</t>
  </si>
  <si>
    <t>`클러스터` 컬럼과 정렬 아이콘 `↑↓` 표출</t>
  </si>
  <si>
    <t>TC_VIO_1180</t>
  </si>
  <si>
    <t>1. 목록 테이블 헤더의 4번째 데이터 컬럼 확인</t>
  </si>
  <si>
    <t>`네임스페이스` 컬럼과 정렬 아이콘 `↑↓` 표출</t>
  </si>
  <si>
    <t>TC_VIO_1181</t>
  </si>
  <si>
    <t>1. 목록 테이블 헤더의 5번째 데이터 컬럼 확인</t>
  </si>
  <si>
    <t>`레이블` 컬럼 표출</t>
  </si>
  <si>
    <t>TC_VIO_1182</t>
  </si>
  <si>
    <t>1. `레이블` 컬럼 셀의 값 표기 확인</t>
  </si>
  <si>
    <t>레이블이 tag pill 로 표출되고, 값이 없으면 `-`, 다건이면 pill 3개와 `+N` 축약으로 표출
ㄴ 기획서 UI mock 20행에서 무값 1행 · pill 1개 18행 · pill 3개와 `+N` 1행을 관측한 값 — 실 표기는 실측 상태를 `실제 결과`에 기재</t>
  </si>
  <si>
    <t>TC_VIO_1183</t>
  </si>
  <si>
    <t>1. 목록 테이블 헤더의 6번째 데이터 컬럼 확인</t>
  </si>
  <si>
    <t>`게이트웨이` 컬럼과 정렬 아이콘 `↑↓` 표출</t>
  </si>
  <si>
    <t>TC_VIO_1184</t>
  </si>
  <si>
    <t>1. `게이트웨이` 컬럼 셀의 값 표기 확인</t>
  </si>
  <si>
    <t>밑줄 링크 형태의 게이트웨이 이름과 사슬 형태 링크 아이콘 표출
ㄴ 기획서 UI가 더미 값 `Link text` 표기 — 실 값은 실측 상태를 `실제 결과`에 기재</t>
  </si>
  <si>
    <t>TC_VIO_1185</t>
  </si>
  <si>
    <t>1. `게이트웨이` 컬럼의 게이트웨이 이름 클릭</t>
  </si>
  <si>
    <t>해당 게이트웨이 상세 화면(VIOE-03_02_05-11)으로 이동</t>
  </si>
  <si>
    <t>TC_VIO_1186</t>
  </si>
  <si>
    <t>1. 목록 테이블 헤더의 7번째 데이터 컬럼 확인</t>
  </si>
  <si>
    <t>`라우팅 규칙 수` 컬럼과 정렬 아이콘 `↑↓` 표출</t>
  </si>
  <si>
    <t>TC_VIO_1187</t>
  </si>
  <si>
    <t>1. 목록 테이블 헤더의 8번째 데이터 컬럼 확인</t>
  </si>
  <si>
    <t>`생성일시` 컬럼과 정렬 아이콘 `↑↓` 표출
ㄴ 기획서 UI 셀 값이 더미 숫자 마스크 `8888-88-88 88:88:88` 표기 — 실 값과 일시 형식은 실측 상태를 `실제 결과`에 기재</t>
  </si>
  <si>
    <t>TC_VIO_1188</t>
  </si>
  <si>
    <t>1. 목록 테이블 헤더의 마지막 컬럼과 행별 컨트롤 확인</t>
  </si>
  <si>
    <t>`작업` 컬럼 헤더와 행별 수평 3점 `⋯` 아이콘 표출, `작업` 컬럼 헤더에 정렬 아이콘 미표출</t>
  </si>
  <si>
    <t>TC_VIO_1189</t>
  </si>
  <si>
    <t>HTTP라우트 목록 행의 `작업` `⋯` 을 클릭해 드롭다운이 펼쳐진 상태</t>
  </si>
  <si>
    <t>1. 펼쳐진 드롭다운의 항목 구성 확인</t>
  </si>
  <si>
    <t>`수정` · `삭제` 2개 항목 제공
ㄴ 드롭다운 외형과 항목 배치 순서는 기획 미정의 — 실측 상태를 `실제 결과`에 기재</t>
  </si>
  <si>
    <t>TC_VIO_1190</t>
  </si>
  <si>
    <t>HTTP라우트 수정 페이지(VIOE-03_02_05-16)로 이동</t>
  </si>
  <si>
    <t>TC_VIO_1191</t>
  </si>
  <si>
    <t>TC_VIO_1192</t>
  </si>
  <si>
    <t>연결 게이트웨이 수가 0건인 HTTP라우트 행의 `작업` `⋯` 을 클릭해 드롭다운이 펼쳐진 상태</t>
  </si>
  <si>
    <t>TC_VIO_1193</t>
  </si>
  <si>
    <t>연결 게이트웨이 수가 1건 이상인 HTTP라우트 행의 `작업` `⋯` 을 클릭해 드롭다운이 펼쳐진 상태</t>
  </si>
  <si>
    <t>삭제되지 않고 1-1 팝업 표출
ㄴ 1-1 팝업의 내용과 형태가 기획 미정의 — 실측 상태를 `실제 결과`에 기재</t>
  </si>
  <si>
    <t>TC_VIO_1194</t>
  </si>
  <si>
    <t>1. 목록 테이블 푸터 좌측의 전체 건수 표기 확인</t>
  </si>
  <si>
    <t>전체 건수 표기 표출
ㄴ 기획서 UI가 더미 토큰 `전체 수 N` 표기 — 실 값은 실측 상태를 `실제 결과`에 기재</t>
  </si>
  <si>
    <t>TC_VIO_1195</t>
  </si>
  <si>
    <t>1. 목록 테이블 푸터의 페이지네이션 확인</t>
  </si>
  <si>
    <t>`≪` · `‹` · 현재 페이지 · 전체 페이지 · `›` · `≫` 컨트롤 표출
ㄴ 기획서 UI가 더미 `1` · `/ 99` 표기 — 실 값은 실측 상태를 `실제 결과`에 기재</t>
  </si>
  <si>
    <t>TC_VIO_1196</t>
  </si>
  <si>
    <t>1. 목록 테이블 푸터 우측의 페이지당 건수 드롭다운 확인</t>
  </si>
  <si>
    <t>`리스트 수 20` 라벨과 펼침 아이콘 `∨` 표출</t>
  </si>
  <si>
    <t>TC_VIO_1197</t>
  </si>
  <si>
    <t>HTTP라우트 삭제 팝업</t>
  </si>
  <si>
    <t>목록 행의 `작업` `⋯` 을 클릭해 HTTP라우트 삭제 팝업이 표출된 상태</t>
  </si>
  <si>
    <t>팝업 타이틀 `HTTP라우트 삭제` 표출</t>
  </si>
  <si>
    <t>TC_VIO_1198</t>
  </si>
  <si>
    <t>`선택한 항목을 삭제하시겠습니까?` 문구와 `총 1개` 표기 표출
ㄴ 기획서 UI 건수가 mock 값 — 실 값은 실측 상태를 `실제 결과`에 기재</t>
  </si>
  <si>
    <t>TC_VIO_1199</t>
  </si>
  <si>
    <t>테두리 박스 안에 bullet 목록으로 삭제 대상 자원 이름 표출
ㄴ 기획서 UI가 중괄호 플레이스홀더 {자원 이름} 표기 — 실 값은 실측 상태를 `실제 결과`에 기재</t>
  </si>
  <si>
    <t>TC_VIO_1200</t>
  </si>
  <si>
    <t>HTTP라우트 삭제 팝업이 표출되고 확인 체크박스가 미체크인 상태</t>
  </si>
  <si>
    <t>미체크 상태의 체크박스와 라벨 `확인했습니다.` 표출</t>
  </si>
  <si>
    <t>TC_VIO_1201</t>
  </si>
  <si>
    <t>1. 팝업의 경고 문구 확인</t>
  </si>
  <si>
    <t>빨간 원형 `!` 아이콘과 빨간 텍스트 `연결된 서비스 트래픽이 중단될 수 있습니다.` 표출</t>
  </si>
  <si>
    <t>TC_VIO_1202</t>
  </si>
  <si>
    <t>`취소` 텍스트 버튼과 회색 비활성 외형의 `삭제` 버튼 표출</t>
  </si>
  <si>
    <t>TC_VIO_1203</t>
  </si>
  <si>
    <t>TC_VIO_1204</t>
  </si>
  <si>
    <t>VIOE-03_02_05-02</t>
  </si>
  <si>
    <t>HTTP라우트 생성 (기본 모드)</t>
  </si>
  <si>
    <t>HTTP라우트 목록에서 `+ 생성` 을 클릭해 HTTP라우트 생성 화면(기본 모드)으로 진입한 직후 상태</t>
  </si>
  <si>
    <t>`모드` · `기본 정보` · `스택` 세 섹션의 입력 폼과 우측 `기본 모드 가이드` 패널, 하단 액션 바로 구성된 생성 화면 표출</t>
  </si>
  <si>
    <t>TC_VIO_1205</t>
  </si>
  <si>
    <t>HTTP라우트 생성 화면(기본 모드)이 표출된 상태</t>
  </si>
  <si>
    <t>`워크플로우 / 네트워크 / 게이트웨이 API / HTTP라우트 생성` 경로 표출</t>
  </si>
  <si>
    <t>TC_VIO_1206</t>
  </si>
  <si>
    <t>말단 마디 `HTTP라우트 생성` 볼드, 앞 세 마디 회색 표출</t>
  </si>
  <si>
    <t>TC_VIO_1207</t>
  </si>
  <si>
    <t>1. 콘텐츠 헤더 좌측 아이콘 확인</t>
  </si>
  <si>
    <t>뒤로 가기 아이콘 `←` 표출</t>
  </si>
  <si>
    <t>TC_VIO_1208</t>
  </si>
  <si>
    <t>1. 콘텐츠 헤더의 화면 타이틀 확인</t>
  </si>
  <si>
    <t>화면 타이틀 `HTTP라우트 생성` 표출</t>
  </si>
  <si>
    <t>TC_VIO_1209</t>
  </si>
  <si>
    <t>TC_VIO_1210</t>
  </si>
  <si>
    <t>TC_VIO_1211</t>
  </si>
  <si>
    <t>HTTP라우트 생성 화면(기본 모드)으로 진입해 LNB `게이트웨이 API` 가 선택된 상태</t>
  </si>
  <si>
    <t>TC_VIO_1212</t>
  </si>
  <si>
    <t>TC_VIO_1213</t>
  </si>
  <si>
    <t>TC_VIO_1214</t>
  </si>
  <si>
    <t>TC_VIO_1215</t>
  </si>
  <si>
    <t>1. 생성 화면 진입 직후 폼의 구성과 기본 상태 확인</t>
  </si>
  <si>
    <t>생성 화면 공통 정책의 구성 적용 상태 확인
ㄴ 기획 미정의 항목 — PASS/FAIL 판정 대신 실측 상태를 `실제 결과`에 기재</t>
  </si>
  <si>
    <t>TC_VIO_1216</t>
  </si>
  <si>
    <t>기본 모드 공통 정의의 구성 적용 상태 확인
ㄴ 위임처 VIOE-00_00_01 이 이번 처리 범위 밖(보류)이라 원문 대조 불가 — 실측 상태를 `실제 결과`에 기재</t>
  </si>
  <si>
    <t>TC_VIO_1217</t>
  </si>
  <si>
    <t>1. 폼 최상단 섹션 제목 확인</t>
  </si>
  <si>
    <t>섹션 제목 `모드` 표출</t>
  </si>
  <si>
    <t>TC_VIO_1218</t>
  </si>
  <si>
    <t>1. `모드` 섹션의 라디오 카드 구성 확인</t>
  </si>
  <si>
    <t>`모드 선택` 라벨과 필수 표시, `기본 모드` · `고급 모드` 라디오 카드 2개 표출</t>
  </si>
  <si>
    <t>TC_VIO_1219</t>
  </si>
  <si>
    <t>HTTP라우트 생성 화면에서 `모드 선택` 이 `기본 모드` 인 상태</t>
  </si>
  <si>
    <t>1. 선택된 라디오 카드의 표기 확인</t>
  </si>
  <si>
    <t>`기본 모드` 카드가 초록 테두리 + 연초록 배경 + 채워진 초록 라디오로 선택 상태 표출, `고급 모드` 카드는 빈 라디오로 표출</t>
  </si>
  <si>
    <t>TC_VIO_1220</t>
  </si>
  <si>
    <t>1. 라디오 카드별 설명 문구 확인</t>
  </si>
  <si>
    <t>`기본 모드` 는 `입력 필드 기반으로 리소스를 생성합니다.`, `고급 모드` 는 `YAML 기반으로 리소스를 생성합니다.` 표출</t>
  </si>
  <si>
    <t>TC_VIO_1221</t>
  </si>
  <si>
    <t>1. 두 번째 섹션 제목 확인</t>
  </si>
  <si>
    <t>TC_VIO_1222</t>
  </si>
  <si>
    <t>`클러스터` 라벨과 필수 표시, 드롭다운 표출
ㄴ 기획서 UI가 더미 값 `Cluster` 표기 — 실 값은 실측 상태를 `실제 결과`에 기재</t>
  </si>
  <si>
    <t>TC_VIO_1223</t>
  </si>
  <si>
    <t>`네임스페이스` 라벨과 필수 표시, placeholder `네임스페이스를 선택해 주세요.` 드롭다운 표출</t>
  </si>
  <si>
    <t>TC_VIO_1224</t>
  </si>
  <si>
    <t>HTTP라우트 생성 화면에서 `클러스터` 와 `네임스페이스` 를 모두 선택하지 않은 상태</t>
  </si>
  <si>
    <t>`이름` 라벨과 필수 표시, 회색 비활성 외형의 입력 필드와 placeholder `상위 항목을 먼저 선택해 주세요.` 표출</t>
  </si>
  <si>
    <t>TC_VIO_1225</t>
  </si>
  <si>
    <t>1. `이름` 입력 우측의 버튼 확인</t>
  </si>
  <si>
    <t>회색 비활성 외형의 `중복 확인` 버튼 표출</t>
  </si>
  <si>
    <t>TC_VIO_1226</t>
  </si>
  <si>
    <t>1. `기본 정보` 섹션의 `레이블` 테이블 헤더 확인</t>
  </si>
  <si>
    <t>`Key` · `Value` 컬럼과 행 액션 열로 구성된 Key/Value 테이블 표출</t>
  </si>
  <si>
    <t>TC_VIO_1227</t>
  </si>
  <si>
    <t>1. `레이블` 테이블의 데이터 행과 하단 컨트롤 확인</t>
  </si>
  <si>
    <t>placeholder `Key를 입력해 주세요.` · `Value를 입력해 주세요.` 입력 1행과 행 삭제 휴지통 아이콘, 하단 초록 링크 `+ 필드 추가` 표출</t>
  </si>
  <si>
    <t>TC_VIO_1228</t>
  </si>
  <si>
    <t>1. 세 번째 섹션 제목 확인</t>
  </si>
  <si>
    <t>섹션 제목 `스택` 표출</t>
  </si>
  <si>
    <t>TC_VIO_1229</t>
  </si>
  <si>
    <t>1. `스택` 섹션의 `게이트웨이` 필드 확인</t>
  </si>
  <si>
    <t>`게이트웨이` 라벨과 필수 표시, placeholder `게이트웨이를 선택해 주세요.` 드롭다운 표출</t>
  </si>
  <si>
    <t>TC_VIO_1230</t>
  </si>
  <si>
    <t>HTTP라우트 생성 화면에서 클러스터와 네임스페이스를 선택한 뒤 `게이트웨이` 드롭다운을 펼친 상태</t>
  </si>
  <si>
    <t>1. 펼쳐진 옵션 목록의 구성 확인</t>
  </si>
  <si>
    <t>선택한 클러스터 및 네임스페이스에 생성된 게이트웨이 목록 표출</t>
  </si>
  <si>
    <t>TC_VIO_1231</t>
  </si>
  <si>
    <t>1. `스택` 섹션의 `호스트 이름` 필드 확인</t>
  </si>
  <si>
    <t>`호스트 이름` 라벨과 placeholder `호스트 이름을 입력해 주세요.` 입력 필드 표출, 라벨에 필수 표시 미표출</t>
  </si>
  <si>
    <t>TC_VIO_1232</t>
  </si>
  <si>
    <t>1. `호스트 이름` 에 도메인 형식의 값을 입력</t>
  </si>
  <si>
    <t>입력값이 그대로 유지되고 유효성 문구 미표출</t>
  </si>
  <si>
    <t>TC_VIO_1233</t>
  </si>
  <si>
    <t>1. `호스트 이름` 에 콜론이 포함된 값을 입력</t>
  </si>
  <si>
    <t>콜론 문자 입력 불가
ㄴ 콜론 입력 시의 유효성 문구가 기획 미정의 — 실측 상태를 `실제 결과`에 기재</t>
  </si>
  <si>
    <t>TC_VIO_1234</t>
  </si>
  <si>
    <t>1. `호스트 이름` 에 도메인 형식이 아닌 값을 입력</t>
  </si>
  <si>
    <t>유효성 문구 `“도메인 형식으로 입력해 주세요.”` 표출</t>
  </si>
  <si>
    <t>TC_VIO_1235</t>
  </si>
  <si>
    <t>1. `스택` 섹션의 `라우팅 규칙 설정` 영역 확인</t>
  </si>
  <si>
    <t>`라우팅 규칙 설정` 라벨과 필수 표시, 안내 문구 `HTTP요청을 처리할 규칙을 설정합니다. 라우팅 규칙은 순번대로 평가됩니다.` 표출</t>
  </si>
  <si>
    <t>TC_VIO_1236</t>
  </si>
  <si>
    <t>HTTP라우트 생성 화면(기본 모드)에 라우팅 규칙 카드가 1개 표출된 상태</t>
  </si>
  <si>
    <t>1. `라우팅 규칙 설정` 영역의 규칙 표출 형태 확인</t>
  </si>
  <si>
    <t>라우팅 규칙이 카드 형태로 표출</t>
  </si>
  <si>
    <t>TC_VIO_1237</t>
  </si>
  <si>
    <t>1. 라우팅 규칙 카드의 Header 영역 구성 확인</t>
  </si>
  <si>
    <t>드래그 핸들 · collapse 토글 · 순번 배지 · 요약 정보 · 삭제 버튼으로 구성된 카드 Header 영역 표출</t>
  </si>
  <si>
    <t>TC_VIO_1238</t>
  </si>
  <si>
    <t>1. 카드 Header 영역 좌측의 드래그 핸들 확인</t>
  </si>
  <si>
    <t>드래그 핸들이 항상 활성화 상태로 표출</t>
  </si>
  <si>
    <t>TC_VIO_1239</t>
  </si>
  <si>
    <t>HTTP라우트 생성 화면(기본 모드)에 라우팅 규칙 카드가 2개 이상 표출된 상태</t>
  </si>
  <si>
    <t>1. 카드의 드래그 핸들을 잡고 다른 카드 위치로 Drag &amp; Drop</t>
  </si>
  <si>
    <t>카드 순서가 Drop 한 위치로 변경</t>
  </si>
  <si>
    <t>TC_VIO_1240</t>
  </si>
  <si>
    <t>HTTP라우트 생성 화면에서 라우팅 규칙 카드를 드래그 중인 상태</t>
  </si>
  <si>
    <t>1. 드래그 중인 카드의 외형 확인</t>
  </si>
  <si>
    <t>해당 카드 dimmed 처리
ㄴ 기획서 mock 3-2 는 드래그 중인 카드를 그림자와 함께 선명하게 그리고 원위치 잔상을 흐리게 그려 대상이 갈림 — 실측 상태를 `실제 결과`에 기재</t>
  </si>
  <si>
    <t>TC_VIO_1241</t>
  </si>
  <si>
    <t>HTTP라우트 생성 화면에서 라우팅 규칙 카드를 드래그해 다른 카드 사이에 올려둔 상태</t>
  </si>
  <si>
    <t>1. Drop 될 위치의 표기 확인</t>
  </si>
  <si>
    <t>Drop 될 위치에 Line 표시</t>
  </si>
  <si>
    <t>TC_VIO_1242</t>
  </si>
  <si>
    <t>1. 카드 Header 영역의 collapse 토글 확인</t>
  </si>
  <si>
    <t>collapse 토글 아이콘 표출</t>
  </si>
  <si>
    <t>TC_VIO_1243</t>
  </si>
  <si>
    <t>HTTP라우트 생성 화면(기본 모드)으로 진입해 라우팅 규칙 카드를 조작하지 않은 직후 상태</t>
  </si>
  <si>
    <t>1. 라우팅 규칙 카드의 접힘 상태 확인</t>
  </si>
  <si>
    <t>카드가 펼침 상태로 표출</t>
  </si>
  <si>
    <t>TC_VIO_1244</t>
  </si>
  <si>
    <t>HTTP라우트 생성 화면에 펼침 상태의 라우팅 규칙 카드가 표출되고 해당 카드 내 입력값 오류가 없는 상태</t>
  </si>
  <si>
    <t>1. 카드 Header 영역의 collapse 토글 클릭</t>
  </si>
  <si>
    <t>카드가 닫힘 상태로 표출</t>
  </si>
  <si>
    <t>TC_VIO_1245</t>
  </si>
  <si>
    <t>HTTP라우트 생성 화면에 펼침 상태의 라우팅 규칙 카드가 표출되고 해당 카드 내 입력값 오류가 있는 상태</t>
  </si>
  <si>
    <t>카드가 펼침 상태 유지</t>
  </si>
  <si>
    <t>TC_VIO_1246</t>
  </si>
  <si>
    <t>1. 카드 Header 영역의 요약 정보 확인</t>
  </si>
  <si>
    <t>카드 요약 정보 표출</t>
  </si>
  <si>
    <t>TC_VIO_1247</t>
  </si>
  <si>
    <t>HTTP라우트 생성 화면의 라우팅 규칙 카드에 요청 경로와 대상 값을 모두 입력한 상태</t>
  </si>
  <si>
    <t>1. 카드 Header 영역 요약 정보의 항목 순서 확인</t>
  </si>
  <si>
    <t>요청 경로 입력값 다음에 화살표 `→` 와 대상 입력값 순으로 표출</t>
  </si>
  <si>
    <t>TC_VIO_1248</t>
  </si>
  <si>
    <t>HTTP라우트 생성 화면의 라우팅 규칙 카드에 요청 경로 유형과 값을 입력한 상태</t>
  </si>
  <si>
    <t>1. 요약 정보의 요청 경로 표기 형식 확인</t>
  </si>
  <si>
    <t>요청 경로가 유형과 값을 공백 1칸으로 구분한 `{유형} {값}` 형식으로 표출
ㄴ 기획서 mock 3-1 이 예시값 `PathPrefix /api` 표기 — 실 값은 실측 상태를 `실제 결과`에 기재</t>
  </si>
  <si>
    <t>TC_VIO_1249</t>
  </si>
  <si>
    <t>HTTP라우트 생성 화면의 라우팅 규칙 카드에 대상 서비스와 포트를 입력한 상태</t>
  </si>
  <si>
    <t>1. 요약 정보의 대상 표기 형식 확인</t>
  </si>
  <si>
    <t>대상이 이름과 포트를 콜론 좌우 공백 1칸씩으로 구분한 `{이름} : {포트}` 형식으로 표출
ㄴ 기획서 mock 3-1 이 예시값 `api-gateway : 8000` 표기 — 실 값은 실측 상태를 `실제 결과`에 기재</t>
  </si>
  <si>
    <t>TC_VIO_1250</t>
  </si>
  <si>
    <t>1. 카드 Header 영역 우측의 삭제 버튼 확인</t>
  </si>
  <si>
    <t>휴지통 아이콘 형태의 삭제 버튼 표출</t>
  </si>
  <si>
    <t>TC_VIO_1251</t>
  </si>
  <si>
    <t>1. 라우팅 규칙 카드가 1개인 상태에서 삭제 버튼의 활성 상태 확인</t>
  </si>
  <si>
    <t>삭제 버튼이 회색 비활성 외형으로 표출</t>
  </si>
  <si>
    <t>TC_VIO_1252</t>
  </si>
  <si>
    <t>1. 각 카드의 삭제 버튼 활성 상태 확인</t>
  </si>
  <si>
    <t>삭제 버튼이 활성 외형으로 표출</t>
  </si>
  <si>
    <t>TC_VIO_1253</t>
  </si>
  <si>
    <t>1. 카드 Header 영역의 삭제 버튼 클릭</t>
  </si>
  <si>
    <t>해당 카드 삭제</t>
  </si>
  <si>
    <t>TC_VIO_1254</t>
  </si>
  <si>
    <t>1. 라우팅 규칙 카드 본문의 첫 번째 소제목 확인</t>
  </si>
  <si>
    <t>소제목 `요청 경로(Path)` 표출</t>
  </si>
  <si>
    <t>TC_VIO_1255</t>
  </si>
  <si>
    <t>HTTP라우트 생성 화면의 라우팅 규칙 카드에서 `유형` 드롭다운을 펼친 상태</t>
  </si>
  <si>
    <t>1. 펼쳐진 옵션 목록과 기본 선택값 확인</t>
  </si>
  <si>
    <t>`PathPrefix` · `Exact` 2개 옵션 표출, 기본 선택값은 `PathPrefix`</t>
  </si>
  <si>
    <t>TC_VIO_1256</t>
  </si>
  <si>
    <t>1. `요청 경로(Path)` 의 `값` 필드 확인</t>
  </si>
  <si>
    <t>`값` 라벨과 필수 표시, 입력 필드 표출</t>
  </si>
  <si>
    <t>TC_VIO_1257</t>
  </si>
  <si>
    <t>HTTP라우트 생성 화면(기본 모드)으로 진입해 라우팅 규칙 카드의 `값` 을 조작하지 않은 직후 상태</t>
  </si>
  <si>
    <t>1. `요청 경로(Path)` 의 `값` 입력값 확인</t>
  </si>
  <si>
    <t>`/` 가 입력된 상태로 표출</t>
  </si>
  <si>
    <t>TC_VIO_1258</t>
  </si>
  <si>
    <t>1. `요청 경로(Path)` 의 `값` 에 슬래시로 시작하지 않는 값을 입력</t>
  </si>
  <si>
    <t>절대 경로 형식 위반으로 유효성 검증 실패 처리</t>
  </si>
  <si>
    <t>TC_VIO_1259</t>
  </si>
  <si>
    <t>유효성 문구 `“경로(/path) 형태로 입력해 주세요.”` 표출</t>
  </si>
  <si>
    <t>TC_VIO_1260</t>
  </si>
  <si>
    <t>1. 라우팅 규칙 카드 본문의 두 번째 소제목 확인</t>
  </si>
  <si>
    <t>구분선 아래 소제목 `대상(BackendRefs)` 표출</t>
  </si>
  <si>
    <t>TC_VIO_1261</t>
  </si>
  <si>
    <t>1. `대상(BackendRefs)` 의 `서비스` 필드 확인</t>
  </si>
  <si>
    <t>`서비스` 라벨과 필수 표시, 드롭다운 표출</t>
  </si>
  <si>
    <t>TC_VIO_1262</t>
  </si>
  <si>
    <t>HTTP라우트 생성 화면에서 `기본 정보` 의 `네임스페이스` 를 선택하지 않은 상태</t>
  </si>
  <si>
    <t>1. `대상(BackendRefs)` 의 `서비스` 드롭다운 활성 상태 확인</t>
  </si>
  <si>
    <t>`서비스` 드롭다운이 회색 비활성 외형으로 표출</t>
  </si>
  <si>
    <t>TC_VIO_1263</t>
  </si>
  <si>
    <t>1. 비활성 상태인 `서비스` 드롭다운의 placeholder 확인</t>
  </si>
  <si>
    <t>placeholder `“네임스페이스를 먼저 선택해 주세요.”` 표출</t>
  </si>
  <si>
    <t>TC_VIO_1264</t>
  </si>
  <si>
    <t>1. `기본 정보` 의 `네임스페이스` 선택</t>
  </si>
  <si>
    <t>`대상(BackendRefs)` 의 `서비스` 드롭다운이 활성 상태로 전환</t>
  </si>
  <si>
    <t>TC_VIO_1265</t>
  </si>
  <si>
    <t>HTTP라우트 생성 화면에서 `기본 정보` 의 `네임스페이스` 를 선택하고 `서비스` 를 아직 선택하지 않은 상태</t>
  </si>
  <si>
    <t>1. 활성 상태인 `서비스` 드롭다운의 placeholder 확인</t>
  </si>
  <si>
    <t>placeholder `“서비스를 선택해 주세요.”` 표출</t>
  </si>
  <si>
    <t>TC_VIO_1266</t>
  </si>
  <si>
    <t>HTTP라우트 생성 화면에서 클러스터와 네임스페이스를 선택한 뒤 `서비스` 드롭다운을 펼친 상태</t>
  </si>
  <si>
    <t>선택한 클러스터 및 네임스페이스 내 생성된 서비스 목록 표출</t>
  </si>
  <si>
    <t>TC_VIO_1267</t>
  </si>
  <si>
    <t>1. `대상(BackendRefs)` 의 `포트` 필드 확인</t>
  </si>
  <si>
    <t>`포트` 라벨과 필수 표시, 드롭다운 표출</t>
  </si>
  <si>
    <t>TC_VIO_1268</t>
  </si>
  <si>
    <t>HTTP라우트 생성 화면에서 `대상(BackendRefs)` 의 `서비스` 를 선택하지 않은 상태</t>
  </si>
  <si>
    <t>1. `포트` 드롭다운 활성 상태 확인</t>
  </si>
  <si>
    <t>`포트` 드롭다운이 회색 비활성 외형으로 표출</t>
  </si>
  <si>
    <t>TC_VIO_1269</t>
  </si>
  <si>
    <t>1. 비활성 상태인 `포트` 드롭다운의 placeholder 확인</t>
  </si>
  <si>
    <t>placeholder `“서비스를 먼저 선택해 주세요.”` 표출</t>
  </si>
  <si>
    <t>TC_VIO_1270</t>
  </si>
  <si>
    <t>1. `대상(BackendRefs)` 의 `서비스` 선택</t>
  </si>
  <si>
    <t>`포트` 드롭다운이 활성 상태로 전환</t>
  </si>
  <si>
    <t>TC_VIO_1271</t>
  </si>
  <si>
    <t>HTTP라우트 생성 화면에서 `대상(BackendRefs)` 의 `서비스` 를 선택한 뒤 `포트` 드롭다운을 펼친 상태</t>
  </si>
  <si>
    <t>선택한 서비스에 정의된 포트 목록 표출, 기본 선택값은 목록 중 가장 작은 값</t>
  </si>
  <si>
    <t>TC_VIO_1272</t>
  </si>
  <si>
    <t>1. 라우팅 규칙 카드 목록 하단의 버튼 확인</t>
  </si>
  <si>
    <t>초록 링크 형태의 `+ 필드 추가` 버튼 표출</t>
  </si>
  <si>
    <t>TC_VIO_1273</t>
  </si>
  <si>
    <t>1. `+ 필드 추가` 버튼의 활성 상태 확인</t>
  </si>
  <si>
    <t>버튼이 항상 활성화 상태로 표출</t>
  </si>
  <si>
    <t>TC_VIO_1274</t>
  </si>
  <si>
    <t>1. 라우팅 규칙 카드 목록 하단의 `+ 필드 추가` 클릭</t>
  </si>
  <si>
    <t>라우팅 규칙 카드 1개 추가</t>
  </si>
  <si>
    <t>TC_VIO_1275</t>
  </si>
  <si>
    <t>HTTP라우트 생성 화면에 라우팅 규칙 카드가 1개 이상 표출되고 각 카드의 접힘/펼침 상태를 확정한 뒤 collapse 토글을 조작하지 않은 상태</t>
  </si>
  <si>
    <t>1. `+ 필드 추가` 클릭 후 기존 카드의 접힘/펼침 상태 확인</t>
  </si>
  <si>
    <t>기존 카드가 클릭 전 접힘/펼침 상태 유지</t>
  </si>
  <si>
    <t>TC_VIO_1276</t>
  </si>
  <si>
    <t>1. 화면 우측 패널의 타이틀 확인</t>
  </si>
  <si>
    <t>패널 타이틀 `기본 모드 가이드` 표출</t>
  </si>
  <si>
    <t>TC_VIO_1277</t>
  </si>
  <si>
    <t>HTTP라우트 생성 화면에서 `기본 모드 가이드` 패널의 `스택` 아코디언만 펼쳐진 상태</t>
  </si>
  <si>
    <t>1. 가이드 패널의 아코디언 구성과 펼침 상태 확인</t>
  </si>
  <si>
    <t>`모드 선택` · `기본 정보` · `스택` 아코디언 3개 표출, `모드 선택` 과 `기본 정보` 는 접힘 `&gt;`, `스택` 은 펼침 `∨` 상태</t>
  </si>
  <si>
    <t>TC_VIO_1278</t>
  </si>
  <si>
    <t>HTTP라우트 생성 화면에서 `기본 모드 가이드` 패널의 `스택` 아코디언이 펼쳐진 상태</t>
  </si>
  <si>
    <t>1. `스택` 아코디언의 `게이트웨이` 설명 확인</t>
  </si>
  <si>
    <t>`게이트웨이` 항목과 설명 `해당 HTTP라우트가 연결될 게이트웨이를 지정합니다.` 표출</t>
  </si>
  <si>
    <t>TC_VIO_1279</t>
  </si>
  <si>
    <t>1. `스택` 아코디언의 `호스트 이름` 설명 확인</t>
  </si>
  <si>
    <t>`호스트 이름` 항목과 설명 `해당 HTTP라우트가 처리할 도메인을 지정합니다. 선택한 게이트웨이의 리스너에 호스트가 설정된 경우, 리스너와 HTTP라우트에 공통으로 포함되는 호스트를 대상으로 합니다.` 표출</t>
  </si>
  <si>
    <t>TC_VIO_1280</t>
  </si>
  <si>
    <t>1. `스택` 아코디언의 `라우팅 규칙 설정` 설명 확인</t>
  </si>
  <si>
    <t>`라우팅 규칙 설정` 항목과 설명 `HTTP요청을 처리하기 위한 라우팅 규칙을 정의합니다. 라우팅 규칙은 순번대로 평가됩니다.` 표출</t>
  </si>
  <si>
    <t>TC_VIO_1281</t>
  </si>
  <si>
    <t>1. `라우팅 규칙 설정` 하위 첫 번째 bullet 과 그 하위 항목 확인</t>
  </si>
  <si>
    <t>`경로(Path): 지정한 경로와 일치하는 요청에 해당 규칙을 적용합니다.` 와 하위 `Exact: URL 경로의 대소문자를 구분하여 정확하게 일치하는지 확인합니다.` · `PathPrefix: URL 경로의 접두사를 기준으로 일치하는지 확인합니다.` 표출</t>
  </si>
  <si>
    <t>TC_VIO_1282</t>
  </si>
  <si>
    <t>1. `라우팅 규칙 설정` 하위 두 번째 bullet 확인</t>
  </si>
  <si>
    <t>`대상(BackendRefs): 일치하는 요청을 보낼 서비스 리소스를 지정합니다.` 표출</t>
  </si>
  <si>
    <t>TC_VIO_1283</t>
  </si>
  <si>
    <t>1. 화면 하단 액션 바의 좌측 버튼 확인</t>
  </si>
  <si>
    <t>TC_VIO_1284</t>
  </si>
  <si>
    <t>HTTP라우트 생성 화면(기본 모드)으로 진입해 필수 입력 필드를 채우지 않은 직후 상태</t>
  </si>
  <si>
    <t>1. 화면 하단 액션 바의 우측 버튼 확인</t>
  </si>
  <si>
    <t>초록 채움 배경의 `생성` 버튼이 활성 외형으로 표출
ㄴ Description·위임처 모두 활성 조건 규정이 없어 기획 미정의 — 실측 상태를 `실제 결과`에 기재</t>
  </si>
  <si>
    <t>TC_VIO_1285</t>
  </si>
  <si>
    <t>VIOE-03_02_05-03</t>
  </si>
  <si>
    <t>HTTP라우트 생성 (고급 모드)</t>
  </si>
  <si>
    <t>HTTP라우트 생성 화면에서 `모드 선택` 을 `고급 모드` 로 전환해 고급 모드 생성 화면으로 진입한 직후 상태</t>
  </si>
  <si>
    <t>`모드` 섹션과 본문 영역, 우측 `고급 모드 가이드` 패널, 하단 액션 바로 구성된 고급 모드 생성 화면 표출</t>
  </si>
  <si>
    <t>TC_VIO_1286</t>
  </si>
  <si>
    <t>HTTP라우트 생성 화면(고급 모드)이 표출된 상태</t>
  </si>
  <si>
    <t>TC_VIO_1287</t>
  </si>
  <si>
    <t>TC_VIO_1288</t>
  </si>
  <si>
    <t>TC_VIO_1289</t>
  </si>
  <si>
    <t>TC_VIO_1290</t>
  </si>
  <si>
    <t>TC_VIO_1291</t>
  </si>
  <si>
    <t>TC_VIO_1292</t>
  </si>
  <si>
    <t>HTTP라우트 생성 화면(고급 모드)으로 진입해 LNB `게이트웨이 API` 가 선택된 상태</t>
  </si>
  <si>
    <t>TC_VIO_1293</t>
  </si>
  <si>
    <t>TC_VIO_1294</t>
  </si>
  <si>
    <t>TC_VIO_1295</t>
  </si>
  <si>
    <t>TC_VIO_1296</t>
  </si>
  <si>
    <t>1. 고급 모드 생성 화면 진입 직후 폼의 구성과 기본 상태 확인</t>
  </si>
  <si>
    <t>TC_VIO_1297</t>
  </si>
  <si>
    <t>1. 이 화면 Description 이 개별 정의하지 않은 항목의 구성과 기본 상태 확인</t>
  </si>
  <si>
    <t>고급 모드 공통 정의의 구성 적용 상태 확인
ㄴ 위임처 VIOE-00_00_02 가 이번 처리 범위 밖(보류)이라 원문 대조 불가 — 실측 상태를 `실제 결과`에 기재</t>
  </si>
  <si>
    <t>TC_VIO_1298</t>
  </si>
  <si>
    <t>TC_VIO_1299</t>
  </si>
  <si>
    <t>TC_VIO_1300</t>
  </si>
  <si>
    <t>HTTP라우트 생성 화면에서 `모드 선택` 이 `고급 모드` 인 상태</t>
  </si>
  <si>
    <t>`고급 모드` 카드가 초록 테두리 + 연초록 배경 + 채워진 초록 라디오로 선택 상태 표출, `기본 모드` 카드는 빈 라디오로 표출</t>
  </si>
  <si>
    <t>TC_VIO_1301</t>
  </si>
  <si>
    <t>TC_VIO_1302</t>
  </si>
  <si>
    <t>1. 폼 본문 영역의 구성과 기본 상태 확인</t>
  </si>
  <si>
    <t>고급 모드 공통 정의의 본문 폼 구성 적용 상태 확인
ㄴ 기획서가 이 영역의 mock 을 생략했고 위임처도 처리 범위 밖 — PASS/FAIL 판정 대신 실측 상태를 `실제 결과`에 기재</t>
  </si>
  <si>
    <t>TC_VIO_1303</t>
  </si>
  <si>
    <t>1. YAML 유효성 검사 실행 후 결과 메시지 영역 확인</t>
  </si>
  <si>
    <t>유효성 검사 결과 메시지 표출
ㄴ 기획 미정의 항목 — PASS/FAIL 판정 대신 실측 상태를 `실제 결과`에 기재</t>
  </si>
  <si>
    <t>TC_VIO_1304</t>
  </si>
  <si>
    <t>TC_VIO_1305</t>
  </si>
  <si>
    <t>HTTP라우트 생성 화면(고급 모드)에서 YAML 유효성 검사를 성공한 상태</t>
  </si>
  <si>
    <t>초록 채움 배경의 `생성` 버튼이 활성 외형으로 표출</t>
  </si>
  <si>
    <t>TC_VIO_1306</t>
  </si>
  <si>
    <t>패널 타이틀 `고급 모드 가이드` 표출</t>
  </si>
  <si>
    <t>TC_VIO_1307</t>
  </si>
  <si>
    <t>HTTP라우트 생성 화면(고급 모드) 우측에 `고급 모드 가이드` 패널이 표출된 상태</t>
  </si>
  <si>
    <t>1. 가이드 패널의 항목 표출 형태 확인</t>
  </si>
  <si>
    <t>전 항목이 펼쳐진 단일 스크롤 목록으로 표출</t>
  </si>
  <si>
    <t>TC_VIO_1308</t>
  </si>
  <si>
    <t>1. 가이드 패널의 최상위 항목 구성 확인</t>
  </si>
  <si>
    <t>`apiVersion` · `kind` · `metadata` · `spec` 4개 최상위 항목 표출</t>
  </si>
  <si>
    <t>TC_VIO_1309</t>
  </si>
  <si>
    <t>1. 가이드 패널 `apiVersion` 항목의 설명 확인</t>
  </si>
  <si>
    <t>`apiVersion` 항목과 설명 `Kubernetes API 버전을 명시합니다. 리소스 종류에 따라 올바른 API 버전을 사용해야 합니다.` 표출</t>
  </si>
  <si>
    <t>TC_VIO_1310</t>
  </si>
  <si>
    <t>1. 가이드 패널 `kind` 항목의 설명 확인</t>
  </si>
  <si>
    <t>`kind` 항목과 설명 `생성하려는 리소스의 유형을 명시합니다.` 표출</t>
  </si>
  <si>
    <t>TC_VIO_1311</t>
  </si>
  <si>
    <t>1. 가이드 패널 `metadata` 항목의 설명 확인</t>
  </si>
  <si>
    <t>`metadata` 항목과 설명 `생성하려는 리소스의 메타데이터를 정의합니다.` 표출, 하위 bullet 4개 표출</t>
  </si>
  <si>
    <t>TC_VIO_1312</t>
  </si>
  <si>
    <t>1. `metadata` 하위 `name` 항목 확인</t>
  </si>
  <si>
    <t>`name: 리소스의 이름을 지정합니다.` 와 예시 코드 칩 `example` 표출
ㄴ 예시 칩은 기획서 mock 의 예시값 — 실 값은 실측 상태를 `실제 결과`에 기재</t>
  </si>
  <si>
    <t>TC_VIO_1313</t>
  </si>
  <si>
    <t>1. `metadata` 하위 `namespace` 항목 확인</t>
  </si>
  <si>
    <t>`namespace: 해당 리소스가 속할 네임스페이스를 지정합니다.` 와 예시 코드 칩 `default` 표출</t>
  </si>
  <si>
    <t>TC_VIO_1314</t>
  </si>
  <si>
    <t>1. `metadata` 하위 `labels` 항목 확인</t>
  </si>
  <si>
    <t>`labels: 해당 리소스에 적용할 레이블을 정의합니다.` 와 예시 코드 칩 `app: my-app` · `environment: production` 2개가 쉼표로 구분되어 표출</t>
  </si>
  <si>
    <t>TC_VIO_1315</t>
  </si>
  <si>
    <t>1. `metadata` 하위 `annotations` 항목 확인</t>
  </si>
  <si>
    <t>`annotations: 해당 리소스에 대한 추가 정보를 제공할 때 사용합니다.` 와 예시 코드 칩 `description: "resource for example"` 표출</t>
  </si>
  <si>
    <t>TC_VIO_1316</t>
  </si>
  <si>
    <t>1. 가이드 패널 `spec` 항목의 설명 확인</t>
  </si>
  <si>
    <t>`spec` 항목과 설명 `생성하려는 리소스의 동작을 정의하는 주요 설정입니다.` 표출, 하위 bullet 3개 표출</t>
  </si>
  <si>
    <t>TC_VIO_1317</t>
  </si>
  <si>
    <t>1. `spec` 하위 `parentRefs` 항목 확인</t>
  </si>
  <si>
    <t>`parentRefs: 해당 HTTP라우트가 연결될 게이트웨이를 지정합니다.` 와 하위 항목 4개 표출</t>
  </si>
  <si>
    <t>TC_VIO_1318</t>
  </si>
  <si>
    <t>1. `parentRefs` 하위 `group` 항목 확인</t>
  </si>
  <si>
    <t>`group: 참조할 리소스의 API Group을 지정합니다.` 와 예시 코드 칩 `gateway.networking.k8s.io` 및 `(기본값)` 표기 표출</t>
  </si>
  <si>
    <t>TC_VIO_1319</t>
  </si>
  <si>
    <t>1. `parentRefs` 하위 `kind` 항목 확인</t>
  </si>
  <si>
    <t>`kind: 참조할 리소스의 종류를 지정합니다.` 와 예시 코드 칩 `Gateway` 및 `(기본값)` 표기 표출</t>
  </si>
  <si>
    <t>TC_VIO_1320</t>
  </si>
  <si>
    <t>1. `parentRefs` 하위 `name` 항목 확인</t>
  </si>
  <si>
    <t>`name: 연결할 게이트웨이 이름을 입력합니다.` 와 예시 코드 칩 `example-gateway` 표출</t>
  </si>
  <si>
    <t>TC_VIO_1321</t>
  </si>
  <si>
    <t>1. `parentRefs` 하위 `namespace` 항목 확인</t>
  </si>
  <si>
    <t>`namespace: 다른 네임스페이스에 존재하는 리소스를 참조하는 경우, 해당 네임스페이스 이름을 입력합니다. 이 경우, 게이트웨이의 지원 여부 확인이 필요합니다.` 표출, 예시 칩 미표출</t>
  </si>
  <si>
    <t>TC_VIO_1322</t>
  </si>
  <si>
    <t>1. `spec` 하위 `hostname` 항목 확인</t>
  </si>
  <si>
    <t>`hostname: 해당 HTTP라우트가 처리할 도메인을 지정합니다. 선택한 게이트웨이의 리스너에 호스트가 설정된 경우, 리스너와 HTTP라우트에 공통으로 포함되는 호스트를 대상으로 합니다.` 와 예시 코드 칩 `“www.example.com”` 표출</t>
  </si>
  <si>
    <t>TC_VIO_1323</t>
  </si>
  <si>
    <t>1. `spec` 하위 `rules` 항목 확인</t>
  </si>
  <si>
    <t>`rules: HTTP요청을 처리하기 위한 라우팅 규칙을 정의합니다. 라우팅 규칙은 순번대로 평가됩니다.` 와 하위 항목 2개 표출</t>
  </si>
  <si>
    <t>TC_VIO_1324</t>
  </si>
  <si>
    <t>1. `rules` 하위 `matches` 항목 확인</t>
  </si>
  <si>
    <t>`matches: 정의한 값과 일치하는 요청에 해당 규칙을 적용합니다.` 와 하위 항목 1개 표출</t>
  </si>
  <si>
    <t>TC_VIO_1325</t>
  </si>
  <si>
    <t>1. `matches` 하위 `path` 항목 확인</t>
  </si>
  <si>
    <t>`path: URL 경로를 기준으로 일치 여부를 확인합니다.` 와 하위 항목 2개 표출</t>
  </si>
  <si>
    <t>TC_VIO_1326</t>
  </si>
  <si>
    <t>1. `path` 하위 `type` 항목 확인</t>
  </si>
  <si>
    <t>`type:` 과 하위 `Exact : URL 경로의 대소문자를 구분하여 정확하게 일치하는지 확인합니다.` · `PathPrefix (기본값) : URL 경로의 접두사를 기준으로 일치하는지 확인합니다.` 2개 표출</t>
  </si>
  <si>
    <t>TC_VIO_1327</t>
  </si>
  <si>
    <t>1. `path` 하위 `value` 항목 확인</t>
  </si>
  <si>
    <t>`value: URL 경로를 입력합니다.` 와 예시 코드 칩 `/` 및 `(기본값)` 표기 표출</t>
  </si>
  <si>
    <t>TC_VIO_1328</t>
  </si>
  <si>
    <t>1. `rules` 하위 두 번째 항목의 필드명과 설명 확인</t>
  </si>
  <si>
    <t>`backendrRefs: 일치하는 요청을 보낼 API 객체를 정의합니다.` 와 하위 항목 6개 표출</t>
  </si>
  <si>
    <t>TC_VIO_1329</t>
  </si>
  <si>
    <t>1. `backendrRefs` 하위 `group` 항목 확인</t>
  </si>
  <si>
    <t>`group: 참조할 리소스의 API Group을 지정합니다.` 와 빈 값이 기본값으로 표기된 예시 코드 칩 및 `(기본값)` 표기 표출</t>
  </si>
  <si>
    <t>TC_VIO_1330</t>
  </si>
  <si>
    <t>1. `backendrRefs` 하위 `kind` 항목 확인</t>
  </si>
  <si>
    <t>`kind: 참조할 리소스의 종류를 지정합니다.` 와 예시 코드 칩 `“Service”` 및 `(기본값)` 표기 표출</t>
  </si>
  <si>
    <t>TC_VIO_1331</t>
  </si>
  <si>
    <t>1. `backendrRefs` 하위 `name` 항목 확인</t>
  </si>
  <si>
    <t>`name: 참조할 리소스의 이름을 입력합니다.` 와 예시 코드 칩 `example-svc` 표출</t>
  </si>
  <si>
    <t>TC_VIO_1332</t>
  </si>
  <si>
    <t>1. `backendrRefs` 하위 `namespace` 항목 확인</t>
  </si>
  <si>
    <t>`namespace: 다른 네임스페이스에 존재하는 리소스를 참조하는 경우, 해당 네임스페이스 이름을 입력합니다. 이 경우, 네임스페이스 지원 여부 확인이 필요합니다.` 표출</t>
  </si>
  <si>
    <t>TC_VIO_1333</t>
  </si>
  <si>
    <t>1. `backendrRefs` 하위 `port` 항목 확인</t>
  </si>
  <si>
    <t>`port: 해당 리소스에 사용할 대상 포트 번호를 지정합니다. 참조 대상이 “Service"인 경우, 서비스 포트 번호를 입력합니다.` 표출</t>
  </si>
  <si>
    <t>TC_VIO_1334</t>
  </si>
  <si>
    <t>1. `backendrRefs` 하위 `weight` 항목 확인</t>
  </si>
  <si>
    <t>`weight: 참조된 백엔드로 전달되는 요청의 비율을 지정할 수 있습니다. “0”으로 설정 시, 트래픽을 전달하지 않습니다.` 와 예시 코드 칩 `1` 및 `(기본값)` 표기 표출</t>
  </si>
  <si>
    <t>TC_VIO_1335</t>
  </si>
  <si>
    <t>VIOE-03_02_05-04</t>
  </si>
  <si>
    <t>HTTP라우트 수정</t>
  </si>
  <si>
    <t>HTTP라우트 수정 화면(VIOE-03_02_05-04)에 진입한 직후 상태</t>
  </si>
  <si>
    <t>콘텐츠 헤더와 본문 영역, 우측 `고급 모드 가이드` 패널, 하단 액션 바가 배치된 HTTP라우트 수정 화면 표출</t>
  </si>
  <si>
    <t>TC_VIO_1336</t>
  </si>
  <si>
    <t>HTTP라우트 수정 화면(VIOE-03_02_05-04)이 표출된 상태</t>
  </si>
  <si>
    <t>`워크플로우 / 네트워크 / 게이트웨이 API / HTTP라우트 수정` 경로 표출</t>
  </si>
  <si>
    <t>TC_VIO_1337</t>
  </si>
  <si>
    <t>말단 마디 `HTTP라우트 수정` 볼드 표출</t>
  </si>
  <si>
    <t>TC_VIO_1338</t>
  </si>
  <si>
    <t>TC_VIO_1339</t>
  </si>
  <si>
    <t>화면 타이틀 `HTTP라우트 수정` 표출</t>
  </si>
  <si>
    <t>TC_VIO_1340</t>
  </si>
  <si>
    <t>TC_VIO_1341</t>
  </si>
  <si>
    <t>TC_VIO_1342</t>
  </si>
  <si>
    <t>HTTP라우트 수정 화면에 진입해 LNB `게이트웨이 API` 가 선택된 상태</t>
  </si>
  <si>
    <t>TC_VIO_1343</t>
  </si>
  <si>
    <t>TC_VIO_1344</t>
  </si>
  <si>
    <t>1. 화면 우상단 클러스터 선택 영역 확인</t>
  </si>
  <si>
    <t>`Cluster name` 라벨과 교체 아이콘 `⇄` 표출</t>
  </si>
  <si>
    <t>TC_VIO_1345</t>
  </si>
  <si>
    <t>차트 아이콘과 `모니터링 현황` 라벨 버튼 표출</t>
  </si>
  <si>
    <t>TC_VIO_1346</t>
  </si>
  <si>
    <t>1. 이 화면이 개별 정의하지 않은 항목의 본문 폼 구성과 기본 상태 확인</t>
  </si>
  <si>
    <t>수정 화면 공통 정책에 따른 폼 구성으로 본문 영역 표출
ㄴ 준거 화면 VIOE-00_00_03 이 기획서에 없어 대조 기준이 성립하지 않음 — 실측 상태를 `실제 결과` 에 기재</t>
  </si>
  <si>
    <t>TC_VIO_1347</t>
  </si>
  <si>
    <t>1. 우측 `고급 모드 가이드` 패널의 구성 확인</t>
  </si>
  <si>
    <t>HTTP라우트 생성 화면(VIOE-03_02_05-03)의 `고급 모드 가이드` 와 동일한 구성으로 가이드 패널 표출</t>
  </si>
  <si>
    <t>TC_VIO_1348</t>
  </si>
  <si>
    <t>1. 콘텐츠 우측 가이드 패널의 타이틀 확인</t>
  </si>
  <si>
    <t>TC_VIO_1349</t>
  </si>
  <si>
    <t>1. 하단 액션 바 좌측 버튼 확인</t>
  </si>
  <si>
    <t>TC_VIO_1350</t>
  </si>
  <si>
    <t>1. 하단 액션 바 우측 버튼 확인</t>
  </si>
  <si>
    <t>초록 채움 활성 외형의 `생성` 버튼 표출</t>
  </si>
  <si>
    <t>TC_VIO_1351</t>
  </si>
  <si>
    <t>VIOE-03_02_05-05</t>
  </si>
  <si>
    <t>HTTP라우트 상세 - 세부 정보</t>
  </si>
  <si>
    <t>HTTP라우트 상세 화면(VIOE-03_02_05-05)에 진입한 직후 상태</t>
  </si>
  <si>
    <t>콘텐츠 헤더와 우상단 액션 버튼, 좌측 `기본 정보` 패널, 탭 바, 탭 하단 콘텐츠 영역으로 구성된 HTTP라우트 상세 화면 표출</t>
  </si>
  <si>
    <t>TC_VIO_1352</t>
  </si>
  <si>
    <t>HTTP라우트 상세 화면(VIOE-03_02_05-05)의 `세부 정보` 탭이 표출된 상태</t>
  </si>
  <si>
    <t>`워크플로우 / 네트워크 / 게이트웨이 API / HTTP라우트 상세` 경로 표출</t>
  </si>
  <si>
    <t>TC_VIO_1353</t>
  </si>
  <si>
    <t>말단 마디 `HTTP라우트 상세` 볼드, 앞 세 마디 회색 표출</t>
  </si>
  <si>
    <t>TC_VIO_1354</t>
  </si>
  <si>
    <t>TC_VIO_1355</t>
  </si>
  <si>
    <t>1. 콘텐츠 헤더의 페이지 타이틀 확인</t>
  </si>
  <si>
    <t>리소스 이름이 볼드로 표출</t>
  </si>
  <si>
    <t>TC_VIO_1356</t>
  </si>
  <si>
    <t>TC_VIO_1357</t>
  </si>
  <si>
    <t>TC_VIO_1358</t>
  </si>
  <si>
    <t>HTTP라우트 상세 화면에 진입해 LNB `게이트웨이 API` 가 선택된 상태</t>
  </si>
  <si>
    <t>TC_VIO_1359</t>
  </si>
  <si>
    <t>TC_VIO_1360</t>
  </si>
  <si>
    <t>TC_VIO_1361</t>
  </si>
  <si>
    <t>TC_VIO_1362</t>
  </si>
  <si>
    <t>1. 콘텐츠 헤더 우측 영역 확인</t>
  </si>
  <si>
    <t>화면 단위 액션 버튼 2개가 콘텐츠 헤더 우상단에 배치돼 표출</t>
  </si>
  <si>
    <t>TC_VIO_1363</t>
  </si>
  <si>
    <t>1. 이 화면이 개별 정의하지 않은 항목의 화면 구성과 기본 상태 확인</t>
  </si>
  <si>
    <t>상세 화면 공통 정책에 따른 구성으로 화면 표출
ㄴ 준거 문서가 특정되지 않아 대조 기준이 성립하지 않음 — 실측 상태를 `실제 결과` 에 기재</t>
  </si>
  <si>
    <t>TC_VIO_1364</t>
  </si>
  <si>
    <t>1. 우상단 액션 버튼의 종류와 동작 대상 확인</t>
  </si>
  <si>
    <t>HTTP라우트 목록(VIOE-03_02_05-01)의 `작업` 버튼과 동일한 동작을 제공하는 `수정` · `삭제` 버튼 표출</t>
  </si>
  <si>
    <t>TC_VIO_1365</t>
  </si>
  <si>
    <t>1. 우상단 좌측 액션 버튼 확인</t>
  </si>
  <si>
    <t>회색 외곽선 버튼 `수정` 표출</t>
  </si>
  <si>
    <t>TC_VIO_1366</t>
  </si>
  <si>
    <t>HTTP라우트 상세 화면이 표출된 상태</t>
  </si>
  <si>
    <t>1. 우상단 `수정` 클릭</t>
  </si>
  <si>
    <t>TC_VIO_1367</t>
  </si>
  <si>
    <t>1. 우상단 우측 액션 버튼 확인</t>
  </si>
  <si>
    <t>회색 외곽선에 빨간 휴지통 아이콘과 빨간 텍스트로 `삭제` 버튼 표출</t>
  </si>
  <si>
    <t>TC_VIO_1368</t>
  </si>
  <si>
    <t>연결 게이트웨이 수가 0건인 HTTP라우트의 상세 화면이 표출된 상태</t>
  </si>
  <si>
    <t>1. 우상단 `삭제` 클릭</t>
  </si>
  <si>
    <t>TC_VIO_1369</t>
  </si>
  <si>
    <t>연결 게이트웨이 수가 1건 이상인 HTTP라우트의 상세 화면이 표출된 상태</t>
  </si>
  <si>
    <t>삭제되지 않고 1-1 팝업 표출
ㄴ 1-1 팝업의 내용과 형태가 기획 미정의 — 실측 상태를 `실제 결과` 에 기재</t>
  </si>
  <si>
    <t>TC_VIO_1370</t>
  </si>
  <si>
    <t>1. 콘텐츠 좌측 패널의 헤더와 항목 구성 확인</t>
  </si>
  <si>
    <t>패널 헤더 `기본 정보` 와 항목 8개가 `이름` · `상태` · `클러스터` · `네임스페이스` · `레이블` · `게이트웨이` · `호스트이름` · `생성일시` 순으로 표출</t>
  </si>
  <si>
    <t>TC_VIO_1371</t>
  </si>
  <si>
    <t>라벨 `이름` 과 리소스 이름 값 표출</t>
  </si>
  <si>
    <t>TC_VIO_1372</t>
  </si>
  <si>
    <t>라벨 `상태` 와 상태 값이 pill 형태로 표출</t>
  </si>
  <si>
    <t>TC_VIO_1373</t>
  </si>
  <si>
    <t>라벨 `클러스터` 와 클러스터 이름 값 표출</t>
  </si>
  <si>
    <t>TC_VIO_1374</t>
  </si>
  <si>
    <t>라벨 `네임스페이스` 와 네임스페이스 이름 값 표출</t>
  </si>
  <si>
    <t>TC_VIO_1375</t>
  </si>
  <si>
    <t>라벨 `레이블` 과 레이블 값이 tag pill 형태로 표출</t>
  </si>
  <si>
    <t>TC_VIO_1376</t>
  </si>
  <si>
    <t>1. `기본 정보` 패널의 `게이트웨이` 항목 확인</t>
  </si>
  <si>
    <t>라벨 `게이트웨이` 와 값이 밑줄 링크 외형 + 링크 아이콘으로 표출</t>
  </si>
  <si>
    <t>TC_VIO_1377</t>
  </si>
  <si>
    <t>1. `기본 정보` 패널의 `호스트이름` 항목 확인</t>
  </si>
  <si>
    <t>라벨과 호스트 이름 값 표출</t>
  </si>
  <si>
    <t>TC_VIO_1378</t>
  </si>
  <si>
    <t>라벨 `생성일시` 와 일시 값 표출</t>
  </si>
  <si>
    <t>TC_VIO_1379</t>
  </si>
  <si>
    <t>1. `기본 정보` 패널 헤더 우측 아이콘 확인</t>
  </si>
  <si>
    <t>패널 접기 아이콘 `⊡` 표출</t>
  </si>
  <si>
    <t>TC_VIO_1380</t>
  </si>
  <si>
    <t>1. `기본 정보` 패널 우측 상단의 탭 영역 확인</t>
  </si>
  <si>
    <t>콘텐츠 영역 상단에 탭 바 표출</t>
  </si>
  <si>
    <t>TC_VIO_1381</t>
  </si>
  <si>
    <t>1. 탭 바의 탭 구성 확인</t>
  </si>
  <si>
    <t>`세부 정보` · `YAML` 2개 탭 표출</t>
  </si>
  <si>
    <t>TC_VIO_1382</t>
  </si>
  <si>
    <t>HTTP라우트 상세 화면(VIOE-03_02_05-05)에 진입해 탭을 한 번도 전환하지 않은 직후 상태</t>
  </si>
  <si>
    <t>`세부 정보` 탭이 기본 선택되어 초록 텍스트 + 하단 초록 밑줄로 표출</t>
  </si>
  <si>
    <t>TC_VIO_1383</t>
  </si>
  <si>
    <t>HTTP라우트 상세 화면에서 `세부 정보` 탭이 선택된 상태</t>
  </si>
  <si>
    <t>1. `YAML` 탭 클릭</t>
  </si>
  <si>
    <t>탭 하단 영역이 `YAML` 탭 고유 정보로 갱신되어 표출</t>
  </si>
  <si>
    <t>TC_VIO_1384</t>
  </si>
  <si>
    <t>1. 선택된 탭과 하단 영역의 대응 확인</t>
  </si>
  <si>
    <t>선택된 탭에 대응하는 정보만 하단 영역에 표출</t>
  </si>
  <si>
    <t>TC_VIO_1385</t>
  </si>
  <si>
    <t>1. `세부 정보` 탭 하단 영역의 구성 확인</t>
  </si>
  <si>
    <t>`연결 리소스` 테이블과 `라우팅 규칙` 카드 영역이 순서대로 표출</t>
  </si>
  <si>
    <t>TC_VIO_1386</t>
  </si>
  <si>
    <t>HTTP라우트 상세 화면에서 `YAML` 탭이 선택된 상태</t>
  </si>
  <si>
    <t>1. 하단 영역의 표출 내용 확인</t>
  </si>
  <si>
    <t>YAML 탭 화면(VIOE-03_02_05-06)에 정의된 내용이 하단 영역에 표출</t>
  </si>
  <si>
    <t>TC_VIO_1387</t>
  </si>
  <si>
    <t>1. `세부 정보` 탭 하단 첫 영역 확인</t>
  </si>
  <si>
    <t>`연결 리소스` 테이블 영역 표출</t>
  </si>
  <si>
    <t>TC_VIO_1388</t>
  </si>
  <si>
    <t>1. `연결 리소스` 테이블의 표출 대상 확인</t>
  </si>
  <si>
    <t>HTTP라우트 생성 시 지정한 게이트웨이 정보와 그 리스너 정보 표출</t>
  </si>
  <si>
    <t>TC_VIO_1389</t>
  </si>
  <si>
    <t>1. `연결 리소스` 게이트웨이 테이블의 헤더 컬럼 확인</t>
  </si>
  <si>
    <t>`게이트웨이` · `상태` · `게이트웨이 주소` 3개 컬럼 표출</t>
  </si>
  <si>
    <t>TC_VIO_1390</t>
  </si>
  <si>
    <t>HTTP라우트 상세 화면 `세부 정보` 탭의 `연결 리소스` 게이트웨이 테이블 헤더가 표출된 상태</t>
  </si>
  <si>
    <t>1. 게이트웨이 테이블 `상태` 컬럼 헤더의 정렬 아이콘 확인</t>
  </si>
  <si>
    <t>`상태` 컬럼 헤더에 정렬 아이콘 미표출</t>
  </si>
  <si>
    <t>TC_VIO_1391</t>
  </si>
  <si>
    <t>1. 게이트웨이 테이블의 `게이트웨이` · `게이트웨이 주소` 컬럼 헤더 확인</t>
  </si>
  <si>
    <t>두 컬럼 헤더에 정렬 아이콘 `↑↓` 표출</t>
  </si>
  <si>
    <t>TC_VIO_1392</t>
  </si>
  <si>
    <t>1. 게이트웨이 테이블 `상태` 컬럼 헤더의 부가 아이콘 확인</t>
  </si>
  <si>
    <t>`상태` 컬럼 헤더 우측에 `?` 원형 아이콘 표출</t>
  </si>
  <si>
    <t>TC_VIO_1393</t>
  </si>
  <si>
    <t>1. 게이트웨이 테이블 행 좌측의 펼침 컨트롤 확인</t>
  </si>
  <si>
    <t>행 좌측에 펼침 chevron 표출</t>
  </si>
  <si>
    <t>TC_VIO_1394</t>
  </si>
  <si>
    <t>`연결 리소스` 게이트웨이 테이블에서 대상 게이트웨이 행이 접힌 상태</t>
  </si>
  <si>
    <t>1. 해당 행의 펼침 chevron 클릭</t>
  </si>
  <si>
    <t>해당 게이트웨이에 정의된 리스너 목록이 하위 테이블로 표출</t>
  </si>
  <si>
    <t>TC_VIO_1395</t>
  </si>
  <si>
    <t>`연결 리소스` 게이트웨이 행을 펼쳐 리스너 하위 테이블이 표출된 상태</t>
  </si>
  <si>
    <t>1. 리스너 하위 테이블의 헤더 컬럼 확인</t>
  </si>
  <si>
    <t>`리스너` · `상태` · `프로토콜` · `포트` · `호스트` 5개 컬럼 표출</t>
  </si>
  <si>
    <t>TC_VIO_1396</t>
  </si>
  <si>
    <t>1. 리스너 하위 테이블 `상태` 컬럼 헤더 확인</t>
  </si>
  <si>
    <t>`상태` 컬럼 헤더에 정렬 아이콘 미표출, `?` 원형 아이콘 표출</t>
  </si>
  <si>
    <t>TC_VIO_1397</t>
  </si>
  <si>
    <t>1. 리스너 행의 `상태` 값 표기 확인</t>
  </si>
  <si>
    <t>상태 값이 pill 형태로 표출</t>
  </si>
  <si>
    <t>TC_VIO_1398</t>
  </si>
  <si>
    <t>1. 리스너 행의 `포트` 값 표기 확인</t>
  </si>
  <si>
    <t>포트 값이 회색 pill 형태로 표출</t>
  </si>
  <si>
    <t>TC_VIO_1399</t>
  </si>
  <si>
    <t>1. `연결 리소스` 테이블 하단 좌측 영역 확인</t>
  </si>
  <si>
    <t>전체 건수 표기 표출</t>
  </si>
  <si>
    <t>TC_VIO_1400</t>
  </si>
  <si>
    <t>1. `연결 리소스` 테이블 하단 중앙 영역 확인</t>
  </si>
  <si>
    <t>페이지네이션 컨트롤 `≪` `‹` 현재 페이지 `›` `≫` 표출</t>
  </si>
  <si>
    <t>TC_VIO_1401</t>
  </si>
  <si>
    <t>1. `연결 리소스` 테이블 하단 우측 영역 확인</t>
  </si>
  <si>
    <t>페이지당 건수 드롭다운 `리스트 수 10` 표출</t>
  </si>
  <si>
    <t>TC_VIO_1402</t>
  </si>
  <si>
    <t>1. `세부 정보` 탭 하단 두 번째 영역 확인</t>
  </si>
  <si>
    <t>`라우팅 규칙` 카드 영역 표출</t>
  </si>
  <si>
    <t>TC_VIO_1403</t>
  </si>
  <si>
    <t>1. `라우팅 규칙` 카드의 표출 대상 확인</t>
  </si>
  <si>
    <t>HTTP라우트 생성 시 정의한 요청 조건과 백엔드 정보 표출</t>
  </si>
  <si>
    <t>TC_VIO_1404</t>
  </si>
  <si>
    <t>라우팅 규칙이 2건 이상 정의된 HTTP라우트의 상세 화면 `세부 정보` 탭이 표출된 상태</t>
  </si>
  <si>
    <t>1. `라우팅 규칙` 카드의 나열 순서 확인</t>
  </si>
  <si>
    <t>카드가 사용자 정의순으로 정렬되어 표출</t>
  </si>
  <si>
    <t>TC_VIO_1405</t>
  </si>
  <si>
    <t>요청 조건과 백엔드가 n:m 관계로 정의된 라우팅 규칙을 가진 HTTP라우트의 상세 화면 `세부 정보` 탭이 표출된 상태</t>
  </si>
  <si>
    <t>1. 해당 라우팅 규칙의 카드 분할 여부 확인</t>
  </si>
  <si>
    <t>1개 카드 안에 해당 조건의 전체 정의 조건이 함께 표출</t>
  </si>
  <si>
    <t>TC_VIO_1406</t>
  </si>
  <si>
    <t>1. `라우팅 규칙` 카드의 번호 배지와 좌우 그룹 연결 표기 확인</t>
  </si>
  <si>
    <t>카드 좌상단에 회색 원형 번호 배지, 좌측 요청 그룹과 우측 대상 그룹 사이에 `→` 기호 표출</t>
  </si>
  <si>
    <t>TC_VIO_1407</t>
  </si>
  <si>
    <t>1. `라우팅 규칙` 카드 좌측 그룹의 라벨 확인</t>
  </si>
  <si>
    <t>좌측 그룹 라벨 표출</t>
  </si>
  <si>
    <t>TC_VIO_1408</t>
  </si>
  <si>
    <t>1. `라우팅 규칙` 카드 좌측 그룹 라벨 우측의 숫자 확인</t>
  </si>
  <si>
    <t>해당 조건에 포함된 matches 조건 수가 숫자로 표출</t>
  </si>
  <si>
    <t>TC_VIO_1409</t>
  </si>
  <si>
    <t>1. `라우팅 규칙` 카드 좌측 테이블의 헤더 확인</t>
  </si>
  <si>
    <t>`유형` 컬럼 헤더 표출</t>
  </si>
  <si>
    <t>TC_VIO_1410</t>
  </si>
  <si>
    <t>라우팅 규칙에 `path` 유형 요청 조건이 정의된 HTTP라우트의 상세 화면 `세부 정보` 탭이 표출된 상태</t>
  </si>
  <si>
    <t>1. 해당 조건 행의 `유형` 값 확인</t>
  </si>
  <si>
    <t>`유형` 컬럼에 `path` 표출</t>
  </si>
  <si>
    <t>TC_VIO_1411</t>
  </si>
  <si>
    <t>라우팅 규칙에 `headers` 유형 요청 조건이 정의된 HTTP라우트의 상세 화면 `세부 정보` 탭이 표출된 상태</t>
  </si>
  <si>
    <t>`유형` 컬럼에 `headers` 표출</t>
  </si>
  <si>
    <t>TC_VIO_1412</t>
  </si>
  <si>
    <t>라우팅 규칙에 `method` 유형 요청 조건이 정의된 HTTP라우트의 상세 화면 `세부 정보` 탭이 표출된 상태</t>
  </si>
  <si>
    <t>`유형` 컬럼에 `method` 표출</t>
  </si>
  <si>
    <t>TC_VIO_1413</t>
  </si>
  <si>
    <t>라우팅 규칙에 `queryParams` 유형 요청 조건이 정의된 HTTP라우트의 상세 화면 `세부 정보` 탭이 표출된 상태</t>
  </si>
  <si>
    <t>`유형` 컬럼에 `queryParams` 표출</t>
  </si>
  <si>
    <t>TC_VIO_1414</t>
  </si>
  <si>
    <t>1. `라우팅 규칙` 카드 좌측 테이블 `값` 컬럼의 표기 형태 확인</t>
  </si>
  <si>
    <t>각 유형에 설정된 값이 Tag 형태로 표출</t>
  </si>
  <si>
    <t>TC_VIO_1415</t>
  </si>
  <si>
    <t>1. `라우팅 규칙` 카드 우측 그룹의 라벨 확인</t>
  </si>
  <si>
    <t>우측 그룹 라벨 `대상(BackendRefs)` 표출</t>
  </si>
  <si>
    <t>TC_VIO_1416</t>
  </si>
  <si>
    <t>1. `라우팅 규칙` 카드 우측 그룹 라벨 우측의 숫자 확인</t>
  </si>
  <si>
    <t>해당 조건에 포함된 backendrefs 조건 수가 숫자로 표출</t>
  </si>
  <si>
    <t>TC_VIO_1417</t>
  </si>
  <si>
    <t>1. `라우팅 규칙` 카드 우측 테이블의 `서비스` 컬럼 확인</t>
  </si>
  <si>
    <t>`서비스` 컬럼 헤더와 백엔드 서비스 이름 값 표출</t>
  </si>
  <si>
    <t>TC_VIO_1418</t>
  </si>
  <si>
    <t>1. `라우팅 규칙` 카드 우측 테이블의 `포트` 컬럼 확인</t>
  </si>
  <si>
    <t>`포트` 컬럼 헤더와 포트 값이 pill 형태로 표출</t>
  </si>
  <si>
    <t>TC_VIO_1419</t>
  </si>
  <si>
    <t>1. `라우팅 규칙` 카드 우측 테이블의 `가중치` 컬럼 확인</t>
  </si>
  <si>
    <t>`가중치` 컬럼 헤더와 가중치 값이 우측 정렬로 표출</t>
  </si>
  <si>
    <t>TC_VIO_1420</t>
  </si>
  <si>
    <t>VIOE-03_02_05-06</t>
  </si>
  <si>
    <t>HTTP라우트 상세 - YAML</t>
  </si>
  <si>
    <t>HTTP라우트 상세 화면에서 `YAML` 탭을 선택한 직후 상태</t>
  </si>
  <si>
    <t>콘텐츠 헤더와 우상단 액션 버튼, 접힌 좌측 패널, 탭 바, 코드 에디터 영역으로 구성된 YAML 탭 화면 표출</t>
  </si>
  <si>
    <t>TC_VIO_1421</t>
  </si>
  <si>
    <t>HTTP라우트 상세 화면에서 `YAML` 탭이 선택되어 YAML 화면(VIOE-03_02_05-06)이 표출된 상태</t>
  </si>
  <si>
    <t>TC_VIO_1422</t>
  </si>
  <si>
    <t>말단 마디 `HTTP라우트 상세` 볼드 표출</t>
  </si>
  <si>
    <t>TC_VIO_1423</t>
  </si>
  <si>
    <t>TC_VIO_1424</t>
  </si>
  <si>
    <t>TC_VIO_1425</t>
  </si>
  <si>
    <t>TC_VIO_1426</t>
  </si>
  <si>
    <t>TC_VIO_1427</t>
  </si>
  <si>
    <t>YAML 탭 화면(VIOE-03_02_05-06)에 진입해 LNB `게이트웨이 API` 가 선택된 상태</t>
  </si>
  <si>
    <t>TC_VIO_1428</t>
  </si>
  <si>
    <t>TC_VIO_1429</t>
  </si>
  <si>
    <t>TC_VIO_1430</t>
  </si>
  <si>
    <t>TC_VIO_1431</t>
  </si>
  <si>
    <t>1. 콘텐츠 헤더 우측 좌측 버튼 확인</t>
  </si>
  <si>
    <t>TC_VIO_1432</t>
  </si>
  <si>
    <t>1. 콘텐츠 헤더 우측 최우측 버튼 확인</t>
  </si>
  <si>
    <t>TC_VIO_1433</t>
  </si>
  <si>
    <t>1. 콘텐츠 영역 상단 탭 바의 탭 구성 확인</t>
  </si>
  <si>
    <t>TC_VIO_1434</t>
  </si>
  <si>
    <t>HTTP라우트 상세 화면에서 `YAML` 탭을 선택한 상태</t>
  </si>
  <si>
    <t>1. 탭 바의 선택 표기 확인</t>
  </si>
  <si>
    <t>`YAML` 탭이 초록 텍스트 + 하단 초록 밑줄로 선택 상태 표출</t>
  </si>
  <si>
    <t>TC_VIO_1435</t>
  </si>
  <si>
    <t>HTTP라우트 상세 화면에서 `YAML` 탭이 선택되고 좌측 `기본 정보` 패널이 접힌 상태</t>
  </si>
  <si>
    <t>1. 탭 바 좌측 영역 확인</t>
  </si>
  <si>
    <t>폭이 좁은 세로 스트립과 펼침 토글 `▶` 만 표출되고 `기본 정보` 항목 값 미표출</t>
  </si>
  <si>
    <t>TC_VIO_1436</t>
  </si>
  <si>
    <t>1. 콘텐츠 영역 대부분을 차지하는 패널 확인</t>
  </si>
  <si>
    <t>다크 배경의 코드 에디터 영역 표출</t>
  </si>
  <si>
    <t>TC_VIO_1437</t>
  </si>
  <si>
    <t>1. 코드 에디터 영역의 표출 내용 확인</t>
  </si>
  <si>
    <t>해당 HTTP라우트의 YAML 파일 내용 표출
ㄴ 표출 대상 리소스와 키 순서·들여쓰기 형식이 기획 미정의 — 실측 상태를 `실제 결과` 에 기재</t>
  </si>
  <si>
    <t>TC_VIO_1438</t>
  </si>
  <si>
    <t>1. 코드 에디터 본문의 표기 형태 확인</t>
  </si>
  <si>
    <t>구문 강조가 적용된 코드 본문 표출</t>
  </si>
  <si>
    <t>TC_VIO_1439</t>
  </si>
  <si>
    <t>1. 코드 에디터 좌측 거터 확인</t>
  </si>
  <si>
    <t>코드 각 줄에 대응하는 줄 번호 표출</t>
  </si>
  <si>
    <t>TC_VIO_1440</t>
  </si>
  <si>
    <t>HTTP라우트 생성 화면(고급 모드)으로 진입해 YAML 유효성 검사를 실행하지 않은 직후 상태</t>
  </si>
  <si>
    <t>회색 비활성 외형의 `생성` 버튼 표출</t>
  </si>
  <si>
    <t>TC_VIO_1441</t>
  </si>
  <si>
    <t>VIOE-03_02_05-07</t>
  </si>
  <si>
    <t>게이트웨이 목록</t>
  </si>
  <si>
    <t>게이트웨이 목록 화면(VIOE-03_02_05-07)으로 진입한 직후 상태</t>
  </si>
  <si>
    <t>상단 탭 바 · 필터 칩 · 검색 툴바 · 목록 테이블 · 푸터로 구성된 게이트웨이 목록 화면 표출</t>
  </si>
  <si>
    <t>TC_VIO_1442</t>
  </si>
  <si>
    <t>TC_VIO_1443</t>
  </si>
  <si>
    <t>TC_VIO_1444</t>
  </si>
  <si>
    <t>TC_VIO_1445</t>
  </si>
  <si>
    <t>TC_VIO_1446</t>
  </si>
  <si>
    <t>TC_VIO_1447</t>
  </si>
  <si>
    <t>게이트웨이 목록 화면에서 `게이트웨이` 탭이 선택된 상태</t>
  </si>
  <si>
    <t>`게이트웨이` 탭이 초록 텍스트와 하단 초록 밑줄로 선택 상태 표출</t>
  </si>
  <si>
    <t>TC_VIO_1448</t>
  </si>
  <si>
    <t>TC_VIO_1449</t>
  </si>
  <si>
    <t>게이트웨이 목록 화면에서 클러스터 필터 칩 2개가 선택된 상태</t>
  </si>
  <si>
    <t>TC_VIO_1450</t>
  </si>
  <si>
    <t>TC_VIO_1451</t>
  </si>
  <si>
    <t>TC_VIO_1452</t>
  </si>
  <si>
    <t>게이트웨이 목록 화면으로 진입해 LNB `게이트웨이 API` 가 선택된 상태</t>
  </si>
  <si>
    <t>`서비스` · `인그레스` · `게이트웨이 API` · `네트워크 폴리시` · `서비스 메시` 5개 표출, `게이트웨이 API` 는 초록 텍스트 + 연초록 배경으로 선택 상태 유지</t>
  </si>
  <si>
    <t>TC_VIO_1453</t>
  </si>
  <si>
    <t>TC_VIO_1454</t>
  </si>
  <si>
    <t>TC_VIO_1455</t>
  </si>
  <si>
    <t>TC_VIO_1456</t>
  </si>
  <si>
    <t>TC_VIO_1457</t>
  </si>
  <si>
    <t>TC_VIO_1458</t>
  </si>
  <si>
    <t>TC_VIO_1459</t>
  </si>
  <si>
    <t>TC_VIO_1460</t>
  </si>
  <si>
    <t>TC_VIO_1461</t>
  </si>
  <si>
    <t>1. 목록 화면의 조회 툴바와 목록 테이블·푸터 표출 확인</t>
  </si>
  <si>
    <t>검색 입력·기간 설정 툴바, 목록 테이블, 페이지네이션 푸터가 함께 표출
ㄴ 준거 문서가 기획 미정의 — 세부 동작은 실측 상태를 `실제 결과`에 기재</t>
  </si>
  <si>
    <t>TC_VIO_1462</t>
  </si>
  <si>
    <t>게이트웨이 생성 페이지(VIOE-03_02_05-14)로 이동</t>
  </si>
  <si>
    <t>TC_VIO_1463</t>
  </si>
  <si>
    <t>게이트웨이 목록 테이블이 표출된 상태</t>
  </si>
  <si>
    <t>체크박스 열과 `이름` · `상태` · `클러스터` · `네임스페이스` · `게이트웨이 클래스` · `게이트웨이 주소` · `연결 라우트 수` · `생성일시` · `작업` 컬럼, 합계 10열 표출</t>
  </si>
  <si>
    <t>TC_VIO_1464</t>
  </si>
  <si>
    <t>TC_VIO_1465</t>
  </si>
  <si>
    <t>1. 목록 테이블 본문 행과 헤더 표출 확인</t>
  </si>
  <si>
    <t>헤더 10열과 페이지당 20행 단위의 목록 본문 표출
ㄴ 준거 문서가 기획 미정의 — 정렬 기본값·페이징·빈 목록 상태는 실측 상태를 `실제 결과`에 기재</t>
  </si>
  <si>
    <t>TC_VIO_1466</t>
  </si>
  <si>
    <t>게이트웨이 목록 테이블이 표출되고 확인 대상 컬럼을 데이터 컬럼 `상태` 하나로 한정한 상태</t>
  </si>
  <si>
    <t>TC_VIO_1467</t>
  </si>
  <si>
    <t>1. 검색 필터 항목 목록에서 `연결 라우트 수` 제공 여부 확인</t>
  </si>
  <si>
    <t>검색 필터 항목 목록에 `연결 라우트 수` 미표출</t>
  </si>
  <si>
    <t>TC_VIO_1468</t>
  </si>
  <si>
    <t>TC_VIO_1469</t>
  </si>
  <si>
    <t>게이트웨이 목록에 게이트웨이가 1건 이상 표출된 상태</t>
  </si>
  <si>
    <t>밑줄 링크 형태의 게이트웨이 이름 표출, 셀 폭을 넘는 긴 이름은 줄바꿈되어 표출
ㄴ 기획서 UI가 더미 값 `Link text` 와 63자 예시 이름 표기 — 실 값은 실측 상태를 `실제 결과`에 기재</t>
  </si>
  <si>
    <t>TC_VIO_1470</t>
  </si>
  <si>
    <t>1. `이름` 컬럼의 게이트웨이 이름 클릭</t>
  </si>
  <si>
    <t>게이트웨이 상세 페이지(VIOE-03_02_05-17)로 이동</t>
  </si>
  <si>
    <t>TC_VIO_1471</t>
  </si>
  <si>
    <t>TC_VIO_1472</t>
  </si>
  <si>
    <t>게이트웨이 상태가 tag 형태로 표출
ㄴ 기획서 UI mock 은 `READY` · `PENDING` · `INVALID` 3종만 표기 — 값 전수는 실측 상태를 `실제 결과`에 기재</t>
  </si>
  <si>
    <t>TC_VIO_1473</t>
  </si>
  <si>
    <t>TC_VIO_1474</t>
  </si>
  <si>
    <t>TC_VIO_1475</t>
  </si>
  <si>
    <t>TC_VIO_1476</t>
  </si>
  <si>
    <t>`게이트웨이 클래스` 컬럼과 정렬 아이콘 `↑↓` 표출</t>
  </si>
  <si>
    <t>TC_VIO_1477</t>
  </si>
  <si>
    <t>1. `게이트웨이 클래스` 컬럼 셀의 값 표기 확인</t>
  </si>
  <si>
    <t>밑줄 링크 형태의 게이트웨이 클래스 이름과 사슬 형태 링크 아이콘 표출
ㄴ 기획서 UI가 더미 값 `Link text` 표기 — 실 값은 실측 상태를 `실제 결과`에 기재</t>
  </si>
  <si>
    <t>TC_VIO_1478</t>
  </si>
  <si>
    <t>1. `게이트웨이 클래스` 컬럼의 게이트웨이 클래스 이름 클릭</t>
  </si>
  <si>
    <t>해당 게이트웨이 클래스 상세 화면(VIOE-03_02_05-18)으로 이동</t>
  </si>
  <si>
    <t>TC_VIO_1479</t>
  </si>
  <si>
    <t>`게이트웨이 주소` 컬럼과 정렬 아이콘 `↑↓` 표출</t>
  </si>
  <si>
    <t>TC_VIO_1480</t>
  </si>
  <si>
    <t>1. `게이트웨이 주소` 컬럼 셀의 값 표기 확인</t>
  </si>
  <si>
    <t>해당 게이트웨이에 할당된 주소 표출
ㄴ 기획서 UI 셀 값이 더미 `label` 이라 주소 형식과 미할당 표기는 실측 상태를 `실제 결과`에 기재</t>
  </si>
  <si>
    <t>TC_VIO_1481</t>
  </si>
  <si>
    <t>`연결 라우트 수` 컬럼과 정렬 아이콘 `↑↓` 표출</t>
  </si>
  <si>
    <t>TC_VIO_1482</t>
  </si>
  <si>
    <t>TC_VIO_1483</t>
  </si>
  <si>
    <t>TC_VIO_1484</t>
  </si>
  <si>
    <t>게이트웨이 목록 행의 `작업` `⋯` 을 클릭해 드롭다운이 펼쳐진 상태</t>
  </si>
  <si>
    <t>TC_VIO_1485</t>
  </si>
  <si>
    <t>게이트웨이 수정 페이지(VIOE-03_02_05-16)로 이동</t>
  </si>
  <si>
    <t>TC_VIO_1486</t>
  </si>
  <si>
    <t>TC_VIO_1487</t>
  </si>
  <si>
    <t>연결 게이트웨이 수가 0건인 게이트웨이 행의 `작업` `⋯` 을 클릭해 드롭다운이 펼쳐진 상태</t>
  </si>
  <si>
    <t>TC_VIO_1488</t>
  </si>
  <si>
    <t>연결 게이트웨이 수가 1건 이상인 게이트웨이 행의 `작업` `⋯` 을 클릭해 드롭다운이 펼쳐진 상태</t>
  </si>
  <si>
    <t>TC_VIO_1489</t>
  </si>
  <si>
    <t>TC_VIO_1490</t>
  </si>
  <si>
    <t>TC_VIO_1491</t>
  </si>
  <si>
    <t>TC_VIO_1492</t>
  </si>
  <si>
    <t>게이트웨이 삭제 팝업</t>
  </si>
  <si>
    <t>목록 행의 `작업` `⋯` 을 클릭해 게이트웨이 삭제 팝업이 표출된 상태</t>
  </si>
  <si>
    <t>팝업 타이틀 `게이트웨이 삭제` 표출</t>
  </si>
  <si>
    <t>TC_VIO_1493</t>
  </si>
  <si>
    <t>TC_VIO_1494</t>
  </si>
  <si>
    <t>TC_VIO_1495</t>
  </si>
  <si>
    <t>게이트웨이 삭제 팝업이 표출되고 확인 체크박스가 미체크인 상태</t>
  </si>
  <si>
    <t>TC_VIO_1496</t>
  </si>
  <si>
    <t>빨간 원형 `!` 아이콘과 빨간 텍스트 `연결된 라우트의 서비스 트래픽이 중단될 수 있습니다.` 표출</t>
  </si>
  <si>
    <t>TC_VIO_1497</t>
  </si>
  <si>
    <t>TC_VIO_1498</t>
  </si>
  <si>
    <t>TC_VIO_1499</t>
  </si>
  <si>
    <t>VIOE-03_02_05-08</t>
  </si>
  <si>
    <t>게이트웨이 생성 (기본 모드)</t>
  </si>
  <si>
    <t>게이트웨이 생성 (기본 모드) 화면(VIOE-03_02_05-08)으로 진입한 직후 상태</t>
  </si>
  <si>
    <t>`모드` · `기본 정보` · `스펙` 3개 섹션과 우측 `기본 모드 가이드` 패널, 하단 액션 버튼으로 구성된 게이트웨이 생성 화면 표출</t>
  </si>
  <si>
    <t>TC_VIO_1500</t>
  </si>
  <si>
    <t>`워크플로우 / 네트워크 / 게이트웨이 API / 게이트웨이 생성` 경로 표출</t>
  </si>
  <si>
    <t>TC_VIO_1501</t>
  </si>
  <si>
    <t>말단 마디 `게이트웨이 생성` 볼드, 앞 세 마디 회색 표출</t>
  </si>
  <si>
    <t>TC_VIO_1502</t>
  </si>
  <si>
    <t>1. 콘텐츠 영역 최상단 화면 헤더 확인</t>
  </si>
  <si>
    <t>뒤로가기 아이콘 `←` 와 타이틀 `게이트웨이 생성` 표출</t>
  </si>
  <si>
    <t>TC_VIO_1503</t>
  </si>
  <si>
    <t>TC_VIO_1504</t>
  </si>
  <si>
    <t>TC_VIO_1505</t>
  </si>
  <si>
    <t>게이트웨이 생성 (기본 모드) 화면으로 진입해 LNB `게이트웨이 API` 가 선택된 상태</t>
  </si>
  <si>
    <t>TC_VIO_1506</t>
  </si>
  <si>
    <t>TC_VIO_1507</t>
  </si>
  <si>
    <t>TC_VIO_1508</t>
  </si>
  <si>
    <t>1. 생성 폼의 섹션 구성과 하단 액션 영역 표출 확인</t>
  </si>
  <si>
    <t>`모드` · `기본 정보` · `스펙` 섹션이 위에서 아래 순서로 표출되고 폼 하단 우측에 액션 버튼 영역 표출
ㄴ 준거 문서가 기획 미정의 — 필수 검증·저장·이탈 처리는 실측 상태를 `실제 결과`에 기재</t>
  </si>
  <si>
    <t>TC_VIO_1509</t>
  </si>
  <si>
    <t>1. `기본 정보` 섹션의 필드 구성과 순서 확인</t>
  </si>
  <si>
    <t>`클러스터` · `네임스페이스` · `이름` · `레이블` 4개 필드가 이 순서로 표출
ㄴ 준거 문서가 처리 범위 밖 화면이라 각 필드의 규정은 실측 상태를 `실제 결과`에 기재</t>
  </si>
  <si>
    <t>TC_VIO_1510</t>
  </si>
  <si>
    <t>1. `모드` 섹션의 `모드 선택` 라디오 카드 구성 확인</t>
  </si>
  <si>
    <t>`기본 모드` 카드(설명 `입력 필드 기반으로 리소스를 생성합니다.`)와 `고급 모드` 카드(설명 `YAML 기반으로 리소스를 생성합니다.`) 2개 표출</t>
  </si>
  <si>
    <t>TC_VIO_1511</t>
  </si>
  <si>
    <t>게이트웨이 생성 (기본 모드) 화면에서 `모드 선택` 이 `기본 모드` 인 상태</t>
  </si>
  <si>
    <t>1. 선택된 모드 카드의 표기 확인</t>
  </si>
  <si>
    <t>`기본 모드` 카드가 초록 테두리와 연초록 배경으로 선택 상태 표출</t>
  </si>
  <si>
    <t>TC_VIO_1512</t>
  </si>
  <si>
    <t>필수 표시 `*` 를 동반한 `클러스터` 드롭다운 표출
ㄴ 기획서 UI가 더미 값 `Cluster` 표기 — 실 값은 실측 상태를 `실제 결과`에 기재</t>
  </si>
  <si>
    <t>TC_VIO_1513</t>
  </si>
  <si>
    <t>필수 표시 `*` 를 동반한 `네임스페이스` 드롭다운과 placeholder `네임스페이스를 선택해 주세요.` 표출</t>
  </si>
  <si>
    <t>TC_VIO_1514</t>
  </si>
  <si>
    <t>게이트웨이 생성 (기본 모드) 화면에 진입해 `클러스터`·`네임스페이스` 를 아직 선택하지 않은 상태</t>
  </si>
  <si>
    <t>필수 표시 `*` 를 동반한 `이름` 입력 필드가 비활성 외형으로 표출되고 placeholder `상위 항목을 먼저 선택해 주세요.` 와 `중복 확인` 버튼 표출</t>
  </si>
  <si>
    <t>TC_VIO_1515</t>
  </si>
  <si>
    <t>1. `기본 정보` 섹션의 `레이블` 필드 확인</t>
  </si>
  <si>
    <t>`Key` · `Value` 2열 table 과 placeholder `Key를 입력해 주세요.` · `Value를 입력해 주세요.`, 행 삭제 아이콘, `+ 필드 추가` 표출</t>
  </si>
  <si>
    <t>TC_VIO_1516</t>
  </si>
  <si>
    <t>1. `스펙` 섹션의 `게이트웨이 클래스` 필드 확인</t>
  </si>
  <si>
    <t>필수 표시 `*` 를 동반한 `게이트웨이 클래스` 드롭다운과 placeholder `게이트웨이 클래스를 선택해 주세요.` 표출</t>
  </si>
  <si>
    <t>TC_VIO_1517</t>
  </si>
  <si>
    <t>게이트웨이 생성 (기본 모드) 화면에서 `클러스터` 를 선택한 상태</t>
  </si>
  <si>
    <t>1. `게이트웨이 클래스` 드롭다운을 펼쳐 옵션 목록 확인</t>
  </si>
  <si>
    <t>선택한 클러스터에 생성된 게이트웨이 클래스 목록 표출</t>
  </si>
  <si>
    <t>TC_VIO_1518</t>
  </si>
  <si>
    <t>1. `스펙` 섹션의 `리스너` 영역 구성 확인</t>
  </si>
  <si>
    <t>설명 `게이트웨이가 수신할 트래픽 규칙을 정의합니다.` 와 `리스너 이름` · `프로토콜` · `포트` · `호스트` 컬럼으로 구성된 table, `+ 필드 추가` 표출</t>
  </si>
  <si>
    <t>TC_VIO_1519</t>
  </si>
  <si>
    <t>1. `리스너` table 의 `리스너 이름` 컬럼 확인</t>
  </si>
  <si>
    <t>필수 표시 `*` 를 동반한 `리스너 이름` 컬럼과 placeholder `리스너 이름을 입력해 주세요.` 표출</t>
  </si>
  <si>
    <t>TC_VIO_1520</t>
  </si>
  <si>
    <t>게이트웨이 생성 (기본 모드) 화면의 `리스너` table 1행이 입력 가능한 상태</t>
  </si>
  <si>
    <t>1. `리스너 이름` 에 특수문자로 시작하는 값 입력</t>
  </si>
  <si>
    <t>영소문자 또는 숫자로 시작하지 않은 값에 대해 오류 표출</t>
  </si>
  <si>
    <t>TC_VIO_1521</t>
  </si>
  <si>
    <t>1. `리스너 이름` 에 특수문자로 끝나는 값 입력</t>
  </si>
  <si>
    <t>영소문자 또는 숫자로 끝나지 않은 값에 대해 오류 표출</t>
  </si>
  <si>
    <t>TC_VIO_1522</t>
  </si>
  <si>
    <t>1. `리스너 이름` 에 영소문자·숫자가 아닌 문자로 시작하는 값을 입력한 뒤 오류 문구 확인</t>
  </si>
  <si>
    <t>오류 메시지 `영소문자 또는 숫자로 시작하거나 끝나야 합니다.` 표출</t>
  </si>
  <si>
    <t>TC_VIO_1523</t>
  </si>
  <si>
    <t>1. `리스너 이름` 에 영소문자·숫자·특수문자 `-` 로만 구성된 값 입력</t>
  </si>
  <si>
    <t>입력값 그대로 유지되고 오류 미표출</t>
  </si>
  <si>
    <t>TC_VIO_1524</t>
  </si>
  <si>
    <t>1. `리스너 이름` 에 영대문자를 포함한 값 입력</t>
  </si>
  <si>
    <t>입력 가능 문자에 없는 문자에 대해 거부 처리
ㄴ 거부 방식과 문구가 기획 미정의 — 실측 상태를 `실제 결과`에 기재</t>
  </si>
  <si>
    <t>TC_VIO_1525</t>
  </si>
  <si>
    <t>1. `리스너 이름` 에 특수문자 `-` 와 `.` 을 연속으로 포함한 값 입력</t>
  </si>
  <si>
    <t>특수문자 연속 사용에 대해 오류 표출</t>
  </si>
  <si>
    <t>TC_VIO_1526</t>
  </si>
  <si>
    <t>1. `리스너 이름` 에 특수문자를 연속으로 입력한 뒤 오류 문구 확인</t>
  </si>
  <si>
    <t>오류 메시지 `특수문자는 연속으로 사용할 수 없습니다.` 표출</t>
  </si>
  <si>
    <t>TC_VIO_1527</t>
  </si>
  <si>
    <t>1. `리스너 이름` 에 1자 입력</t>
  </si>
  <si>
    <t>글자 수 하한 1자 입력 허용</t>
  </si>
  <si>
    <t>TC_VIO_1528</t>
  </si>
  <si>
    <t>1. `리스너 이름` 에 63자 입력</t>
  </si>
  <si>
    <t>글자 수 상한 63자 입력 허용</t>
  </si>
  <si>
    <t>TC_VIO_1529</t>
  </si>
  <si>
    <t>1. `리스너 이름` 에 64자 입력 시도</t>
  </si>
  <si>
    <t>63자를 넘는 입력 제한
ㄴ 입력 차단인지 오류 문구 표출인지 기획 미정의 — 실측 상태를 `실제 결과`에 기재</t>
  </si>
  <si>
    <t>TC_VIO_1530</t>
  </si>
  <si>
    <t>게이트웨이 생성 (기본 모드) 화면의 `리스너` table 에 리스너 1행이 이미 입력되고 `+ 필드 추가` 로 행을 추가한 상태</t>
  </si>
  <si>
    <t>1. 추가한 행의 `리스너 이름` 에 앞 행과 동일한 이름 입력</t>
  </si>
  <si>
    <t>중복 이름 추가 불가 처리</t>
  </si>
  <si>
    <t>TC_VIO_1531</t>
  </si>
  <si>
    <t>1. 추가한 행의 `리스너 이름` 에 중복 이름을 입력한 뒤 문구 확인</t>
  </si>
  <si>
    <t>유효성 문구 `중복된 이름입니다. 다시 입력해 주세요.` 표출</t>
  </si>
  <si>
    <t>TC_VIO_1532</t>
  </si>
  <si>
    <t>1. `리스너` table 의 `프로토콜` 컬럼 확인</t>
  </si>
  <si>
    <t>필수 표시 `*` 를 동반한 `프로토콜` 컬럼과 placeholder `프로토콜을 선택해 주세요.`, 펼침 아이콘 `∨` 표출</t>
  </si>
  <si>
    <t>TC_VIO_1533</t>
  </si>
  <si>
    <t>1. `프로토콜` 드롭다운을 펼쳐 옵션 확인</t>
  </si>
  <si>
    <t>`HTTP` · `HTTPS` 2종 제공
ㄴ 옵션 배치 순서와 목록 외형이 기획 미정의 — 실측 상태를 `실제 결과`에 기재</t>
  </si>
  <si>
    <t>TC_VIO_1534</t>
  </si>
  <si>
    <t>게이트웨이 생성 (기본 모드) 화면의 `리스너` table 1행에서 `프로토콜` 을 아직 선택하지 않은 상태</t>
  </si>
  <si>
    <t>1. `프로토콜` 에서 `HTTPS` 선택</t>
  </si>
  <si>
    <t>해당 리스너 행에 필드 1개 추가 제공
ㄴ 추가되는 필드의 명칭이 기획서 안에서 갈려 단정 불가 — 실측 상태를 `실제 결과`에 기재</t>
  </si>
  <si>
    <t>TC_VIO_1535</t>
  </si>
  <si>
    <t>1. `리스너` table 의 `포트` 컬럼 확인</t>
  </si>
  <si>
    <t>필수 표시 `*` 를 동반한 `포트` 컬럼과 placeholder `1~65535`, 감소 `−` · 증가 `+` 스테퍼 표출</t>
  </si>
  <si>
    <t>TC_VIO_1536</t>
  </si>
  <si>
    <t>1. `포트` 에 1 입력</t>
  </si>
  <si>
    <t>입력 가능 범위 하한 1 입력 허용</t>
  </si>
  <si>
    <t>TC_VIO_1537</t>
  </si>
  <si>
    <t>1. `포트` 에 65535 입력</t>
  </si>
  <si>
    <t>입력 가능 범위 상한 65535 입력 허용</t>
  </si>
  <si>
    <t>TC_VIO_1538</t>
  </si>
  <si>
    <t>1. `포트` 에 65536 입력 시도</t>
  </si>
  <si>
    <t>입력 가능 범위를 넘는 값 제한
ㄴ 입력 차단인지 오류 문구 표출인지 기획 미정의 — 실측 상태를 `실제 결과`에 기재</t>
  </si>
  <si>
    <t>TC_VIO_1539</t>
  </si>
  <si>
    <t>1. `리스너` table 의 `호스트` 컬럼 확인</t>
  </si>
  <si>
    <t>`호스트` 컬럼과 placeholder `호스트를 입력해 주세요.` 표출, 컬럼 헤더에 필수 표시 `*` 미표출</t>
  </si>
  <si>
    <t>TC_VIO_1540</t>
  </si>
  <si>
    <t>1. `호스트` 에 도메인 형식 값 입력</t>
  </si>
  <si>
    <t>도메인 형식 입력값 허용
ㄴ 도메인 형식의 구체 규칙이 기획 미정의 — 허용 범위는 실측 상태를 `실제 결과`에 기재</t>
  </si>
  <si>
    <t>TC_VIO_1541</t>
  </si>
  <si>
    <t>1. `호스트` 에 콜론 `:` 을 포함한 값 입력</t>
  </si>
  <si>
    <t>콜론 입력 불가 처리</t>
  </si>
  <si>
    <t>TC_VIO_1542</t>
  </si>
  <si>
    <t>1. `호스트` 에 도메인 형식이 아닌 값을 입력한 뒤 문구 확인</t>
  </si>
  <si>
    <t>유효성 문구 `도메인 형식으로 입력해 주세요.` 표출</t>
  </si>
  <si>
    <t>TC_VIO_1543</t>
  </si>
  <si>
    <t>게이트웨이 생성 (기본 모드) 화면에서 `리스너` table 을 가로 스크롤해 `참조 시크릿` 컬럼이 표출된 상태</t>
  </si>
  <si>
    <t>1. `리스너` table 의 `참조 시크릿` 컬럼 확인</t>
  </si>
  <si>
    <t>`참조 시크릿` 컬럼과 `?` 원형 아이콘, 행 삭제 열을 포함한 6열 표출</t>
  </si>
  <si>
    <t>TC_VIO_1544</t>
  </si>
  <si>
    <t>1. `참조 시크릿` 컬럼 헤더에 마우스 호버</t>
  </si>
  <si>
    <t>툴팁 `HTTPS 프로토콜 사용 시, TLS 인증서가 저장된 시크릿을 지정합니다.` 표출</t>
  </si>
  <si>
    <t>TC_VIO_1545</t>
  </si>
  <si>
    <t>게이트웨이 생성 (기본 모드) 화면의 `리스너` table 1행에서 `프로토콜` 이 `HTTPS` 가 아닌 상태</t>
  </si>
  <si>
    <t>1. 해당 행의 `참조 시크릿` 셀 상태 확인</t>
  </si>
  <si>
    <t>`참조 시크릿` 셀이 회색 비활성 외형으로 표출되고 placeholder `참조 시크릿을 선택해 주세요.` 표출</t>
  </si>
  <si>
    <t>TC_VIO_1546</t>
  </si>
  <si>
    <t>게이트웨이 생성 (기본 모드) 화면의 `리스너` table 1행에서 `프로토콜` 을 `HTTPS` 로 선택한 상태</t>
  </si>
  <si>
    <t>`참조 시크릿` 셀 활성화</t>
  </si>
  <si>
    <t>TC_VIO_1547</t>
  </si>
  <si>
    <t>게이트웨이 생성 (기본 모드) 화면에서 `클러스터`·`네임스페이스` 를 선택하고 `리스너` 1행의 `프로토콜` 을 `HTTPS` 로 선택한 상태</t>
  </si>
  <si>
    <t>1. `참조 시크릿` 을 펼쳐 옵션 목록 확인</t>
  </si>
  <si>
    <t>선택한 클러스터와 네임스페이스 내 생성된 시크릿 목록 제공</t>
  </si>
  <si>
    <t>TC_VIO_1548</t>
  </si>
  <si>
    <t>게이트웨이 생성 (기본 모드) 화면에서 `모드 선택` 이 `기본 모드` 이고 `리스너` 1행의 `프로토콜` 을 `HTTPS` 로 선택해 `참조 시크릿` 이 활성인 상태</t>
  </si>
  <si>
    <t>1. 해당 행에서 TLS mode 를 선택하는 컨트롤 제공 여부 확인</t>
  </si>
  <si>
    <t>TLS mode 선택 컨트롤 미표출
ㄴ 기본 모드에서 Terminate 만 지원한다는 제약이 화면에 어떻게 반영되는지 기획 미정의 — 실측 상태를 `실제 결과`에 기재</t>
  </si>
  <si>
    <t>TC_VIO_1549</t>
  </si>
  <si>
    <t>게이트웨이 생성 (기본 모드) 화면의 `리스너` table 1행에서 `프로토콜` 을 `HTTPS` 로 선택해 `참조 시크릿` 이 활성이고 입력값 없는 필드가 1개 이상인 상태</t>
  </si>
  <si>
    <t>1. `리스너` table 하단 영역 확인</t>
  </si>
  <si>
    <t>table 하단에 유효성 문구 추가 제공
ㄴ 문구 내용이 기획 미정의 — 실측 상태를 `실제 결과`에 기재</t>
  </si>
  <si>
    <t>TC_VIO_1550</t>
  </si>
  <si>
    <t>1. `리스너` 영역의 `+ 필드 추가` 클릭</t>
  </si>
  <si>
    <t>`리스너` table 에 입력 행 1개 추가</t>
  </si>
  <si>
    <t>TC_VIO_1551</t>
  </si>
  <si>
    <t>1. `스펙` 섹션의 `라우트 수신` 영역 구성 확인</t>
  </si>
  <si>
    <t>필수 표시 `*` 를 동반한 `라우트 수신` 라벨과 설명 `게이트웨이에 연결 가능한 Route 범위를 정의합니다.` 표출</t>
  </si>
  <si>
    <t>TC_VIO_1552</t>
  </si>
  <si>
    <t>게이트웨이 생성 (기본 모드) 화면에 진입해 `라우트 수신` 을 아직 변경하지 않은 상태</t>
  </si>
  <si>
    <t>1. `라우트 수신` 라디오 구성과 선택 상태 확인</t>
  </si>
  <si>
    <t>`Same` · `All` · `Selector` 라디오 3개 표출, `Same` 이 기본 선택 상태로 표출</t>
  </si>
  <si>
    <t>TC_VIO_1553</t>
  </si>
  <si>
    <t>게이트웨이 생성 (기본 모드) 화면에서 `라우트 수신` 이 `Same` 인 상태</t>
  </si>
  <si>
    <t>1. `라우트 수신` 에서 `Selector` 선택</t>
  </si>
  <si>
    <t>`네임스페이스 셀렉터` 필드 추가 제공</t>
  </si>
  <si>
    <t>TC_VIO_1554</t>
  </si>
  <si>
    <t>게이트웨이 생성 (기본 모드) 화면에서 `라우트 수신` 을 `Selector` 로 선택한 상태</t>
  </si>
  <si>
    <t>1. 추가된 필드의 라벨 확인</t>
  </si>
  <si>
    <t>필수 표시 `*` 를 동반한 `네임스페이스 셀렉터` 라벨 표출</t>
  </si>
  <si>
    <t>TC_VIO_1555</t>
  </si>
  <si>
    <t>1. `네임스페이스 셀렉터` 의 입력 구성 확인</t>
  </si>
  <si>
    <t>`Key` · `Value` 2열 필드 표출</t>
  </si>
  <si>
    <t>TC_VIO_1556</t>
  </si>
  <si>
    <t>게이트웨이 생성 (기본 모드) 화면에서 `라우트 수신` 을 `Selector` 로 선택해 `네임스페이스 셀렉터` 가 표출된 상태</t>
  </si>
  <si>
    <t>1. `네임스페이스 셀렉터` 의 `+ 필드 추가` 클릭</t>
  </si>
  <si>
    <t>`Key` · `Value` 입력 행 1개 추가
ㄴ 각 입력값의 규칙은 처리 범위 밖 화면에 위임돼 기획 미정의 — 실측 상태를 `실제 결과`에 기재</t>
  </si>
  <si>
    <t>TC_VIO_1557</t>
  </si>
  <si>
    <t>게이트웨이 생성 (기본 모드) 화면에 진입해 `기본 모드 가이드` 패널의 `스펙` 아코디언만 펼쳐진 상태</t>
  </si>
  <si>
    <t>1. 우측 가이드 패널의 타이틀과 아코디언 구성 확인</t>
  </si>
  <si>
    <t>패널 타이틀 `기본 모드 가이드` 와 `모드 선택` · `기본 정보` · `스펙` 아코디언 3개 표출, `스펙` 만 펼침 상태 표출</t>
  </si>
  <si>
    <t>TC_VIO_1558</t>
  </si>
  <si>
    <t>1. 가이드 패널 `스펙` 의 `게이트웨이 클래스` 설명 확인</t>
  </si>
  <si>
    <t>설명 `선택사항으로, 리소스에 적용할 레이블을 추가하여 관리할 수 있습니다.` 표출</t>
  </si>
  <si>
    <t>TC_VIO_1559</t>
  </si>
  <si>
    <t>1. 가이드 패널 `스펙` 의 `리스너` 설명과 하위 항목 확인</t>
  </si>
  <si>
    <t>설명 `해당 게이트웨이가 수신할 트래픽 규칙을 정의합니다.` 와 `리스너 이름` · `프로토콜` · `포트` · `호스트` · `참조 시크릿` 5개 항목 표출</t>
  </si>
  <si>
    <t>TC_VIO_1560</t>
  </si>
  <si>
    <t>1. 가이드 패널 `스펙` 의 `라우트 수신` 설명과 하위 항목 확인</t>
  </si>
  <si>
    <t>설명 `해당 게이트웨이에 연결 가능한 Route 범위를 정의합니다.` 와 `Same` · `All` · `Selector` 3개 항목 표출</t>
  </si>
  <si>
    <t>TC_VIO_1561</t>
  </si>
  <si>
    <t>1. 폼 하단 우측의 액션 버튼 확인</t>
  </si>
  <si>
    <t>`취소` 텍스트 버튼과 `생성` 버튼 표출
ㄴ `생성` 버튼의 초기 활성·비활성 조건이 기획 미정의 — 실측 상태를 `실제 결과`에 기재</t>
  </si>
  <si>
    <t>TC_VIO_1562</t>
  </si>
  <si>
    <t>1. 폼 하단의 `취소` 클릭</t>
  </si>
  <si>
    <t>TC_VIO_1563</t>
  </si>
  <si>
    <t>VIOE-03_02_05-09</t>
  </si>
  <si>
    <t>게이트웨이 생성 (고급 모드)</t>
  </si>
  <si>
    <t>게이트웨이 생성 (고급 모드) 화면(VIOE-03_02_05-09)으로 진입한 직후 상태</t>
  </si>
  <si>
    <t>`모드` 섹션과 폼 본문 영역, 폼 하단 액션 버튼, 우측 `고급 모드 가이드` 패널로 구성된 게이트웨이 생성 화면 표출</t>
  </si>
  <si>
    <t>TC_VIO_1564</t>
  </si>
  <si>
    <t>TC_VIO_1565</t>
  </si>
  <si>
    <t>TC_VIO_1566</t>
  </si>
  <si>
    <t>TC_VIO_1567</t>
  </si>
  <si>
    <t>TC_VIO_1568</t>
  </si>
  <si>
    <t>TC_VIO_1569</t>
  </si>
  <si>
    <t>게이트웨이 생성 (고급 모드) 화면으로 진입해 LNB `게이트웨이 API` 가 선택된 상태</t>
  </si>
  <si>
    <t>TC_VIO_1570</t>
  </si>
  <si>
    <t>TC_VIO_1571</t>
  </si>
  <si>
    <t>TC_VIO_1572</t>
  </si>
  <si>
    <t>`모드` 섹션과 폼 본문 영역이 위에서 아래 순서로 표출되고 폼 하단 우측에 액션 버튼 영역 표출
ㄴ 준거 문서가 기획 미정의 — 필수 검증·저장·이탈 처리는 실측 상태를 `실제 결과`에 기재</t>
  </si>
  <si>
    <t>TC_VIO_1573</t>
  </si>
  <si>
    <t>게이트웨이 생성 화면에서 `모드 선택` 이 `고급 모드` 인 상태</t>
  </si>
  <si>
    <t>1. 폼 본문 영역의 표출 여부 확인</t>
  </si>
  <si>
    <t>`모드` 섹션 아래에 폼 본문 영역 표출
ㄴ 준거 문서가 처리 범위 밖 화면이라 본문 구성은 실측 상태를 `실제 결과`에 기재</t>
  </si>
  <si>
    <t>TC_VIO_1574</t>
  </si>
  <si>
    <t>TC_VIO_1575</t>
  </si>
  <si>
    <t>`고급 모드` 카드가 초록 테두리와 연초록 배경으로 선택 상태 표출</t>
  </si>
  <si>
    <t>TC_VIO_1576</t>
  </si>
  <si>
    <t>1. 폼 본문 영역의 구성 확인</t>
  </si>
  <si>
    <t>폼 카드 안쪽에 본문 영역 표출
ㄴ 기획서 UI mock 이 편집용 생략 표기로 대체돼 입력 컨트롤이 그려져 있지 않음 — 실 구성은 실측 상태를 `실제 결과`에 기재</t>
  </si>
  <si>
    <t>TC_VIO_1577</t>
  </si>
  <si>
    <t>1. 폼 본문 영역에서 클러스터·네임스페이스·이름·레이블 입력 필드 제공 여부 확인</t>
  </si>
  <si>
    <t>필드 제공 여부 확인
ㄴ 기획 미정의 항목 — PASS/FAIL 판정 대신 실측 상태를 `실제 결과`에 기재</t>
  </si>
  <si>
    <t>TC_VIO_1578</t>
  </si>
  <si>
    <t>게이트웨이 생성 (고급 모드) 화면에서 우측 `고급 모드 가이드` 패널이 표출된 상태</t>
  </si>
  <si>
    <t>1. 우측 가이드 패널의 타이틀과 최상위 블록 구성 확인</t>
  </si>
  <si>
    <t>패널 타이틀 `고급 모드 가이드` 와 `apiVersion` · `kind` · `metadata` · `spec` 최상위 블록 4개 표출</t>
  </si>
  <si>
    <t>TC_VIO_1579</t>
  </si>
  <si>
    <t>1. 가이드 패널 `apiVersion` 블록 확인</t>
  </si>
  <si>
    <t>설명 `Kubernetes API 버전을 명시합니다. 리소스 종류에 따라 올바른 API 버전을 사용해야 합니다.` 표출</t>
  </si>
  <si>
    <t>TC_VIO_1580</t>
  </si>
  <si>
    <t>1. 가이드 패널 `kind` 블록 확인</t>
  </si>
  <si>
    <t>설명 `생성하려는 리소스의 유형을 명시합니다.` 표출, 하위 항목과 예시 값 미표출</t>
  </si>
  <si>
    <t>TC_VIO_1581</t>
  </si>
  <si>
    <t>1. 가이드 패널 `metadata` 블록과 하위 항목 확인</t>
  </si>
  <si>
    <t>설명 `생성하려는 리소스의 메타데이터를 정의합니다.` 와 `name` · `namespace` · `labels` · `annotations` 4개 항목 표출</t>
  </si>
  <si>
    <t>TC_VIO_1582</t>
  </si>
  <si>
    <t>1. 가이드 패널 `spec` 블록과 하위 항목 확인</t>
  </si>
  <si>
    <t>설명 `생성하려는 리소스의 동작을 정의하는 주요 설정입니다.` 와 `gatewayClassName` · `listeners` 2개 항목 표출</t>
  </si>
  <si>
    <t>TC_VIO_1583</t>
  </si>
  <si>
    <t>1. 가이드 패널 `listeners` 하위 항목 확인</t>
  </si>
  <si>
    <t>`name` · `protocol` · `port` · `hostname` · `tls` 5개 항목 표출</t>
  </si>
  <si>
    <t>TC_VIO_1584</t>
  </si>
  <si>
    <t>1. 가이드 패널 `tls` 하위 항목과 `mode` 값 확인</t>
  </si>
  <si>
    <t>`mode` · `certificateRefs` 2개 항목 표출, `mode` 하위에 `Terminate` 와 `Passthrough` 2종 표출</t>
  </si>
  <si>
    <t>TC_VIO_1585</t>
  </si>
  <si>
    <t>1. 가이드 패널 `certificateRefs` 하위 항목 확인</t>
  </si>
  <si>
    <t>`group` · `kind` · `name` · `namespace` 4개 항목 표출, `group` 과 `kind` 에 `(기본값)` 표기 동반</t>
  </si>
  <si>
    <t>TC_VIO_1586</t>
  </si>
  <si>
    <t>1. 가이드 패널 `allowedRoutes` 항목과 `from` 하위 값 확인</t>
  </si>
  <si>
    <t>설명 `해당 게이트웨이에 연결 가능한 Route 범위를 정의합니다.` 와 `from` 하위 `Same` · `All` · `Selector` 3종 표출</t>
  </si>
  <si>
    <t>TC_VIO_1587</t>
  </si>
  <si>
    <t>1. 가이드 패널 `Selector` 하위 항목 확인</t>
  </si>
  <si>
    <t>`matchLables` 항목 표출</t>
  </si>
  <si>
    <t>TC_VIO_1588</t>
  </si>
  <si>
    <t>1. 가이드 패널의 예시 값 표기 형태 확인</t>
  </si>
  <si>
    <t>각 항목의 예시 값이 회색 배경 칩에 빨간 글자로 표출</t>
  </si>
  <si>
    <t>TC_VIO_1589</t>
  </si>
  <si>
    <t>`취소` 텍스트 버튼과 `생성` 버튼이 이 순서로 표출
ㄴ `생성` 버튼의 활성 조건이 기획 미정의 — 실측 상태를 `실제 결과`에 기재</t>
  </si>
  <si>
    <t>TC_VIO_1590</t>
  </si>
  <si>
    <t>TC_VIO_1591</t>
  </si>
  <si>
    <t>VIOE-03_02_05-10</t>
  </si>
  <si>
    <t>게이트웨이 수정</t>
  </si>
  <si>
    <t>게이트웨이 수정 화면(VIOE-03_02_05-10)에 진입한 직후 상태</t>
  </si>
  <si>
    <t>화면 헤더와 폼 본문 영역, 폼 하단 액션 버튼, 우측 `고급 모드 가이드` 패널로 구성된 게이트웨이 수정 화면 표출</t>
  </si>
  <si>
    <t>TC_VIO_1592</t>
  </si>
  <si>
    <t>`워크플로우 / 네트워크 / 게이트웨이 API / 게이트웨이 수정` 경로 표출</t>
  </si>
  <si>
    <t>TC_VIO_1593</t>
  </si>
  <si>
    <t>말단 마디 `게이트웨이 수정` 볼드, 앞 세 마디 회색 표출</t>
  </si>
  <si>
    <t>TC_VIO_1594</t>
  </si>
  <si>
    <t>뒤로가기 아이콘 `←` 와 타이틀 `게이트웨이 수정` 표출</t>
  </si>
  <si>
    <t>TC_VIO_1595</t>
  </si>
  <si>
    <t>TC_VIO_1596</t>
  </si>
  <si>
    <t>TC_VIO_1597</t>
  </si>
  <si>
    <t>게이트웨이 수정 화면에 진입해 LNB `게이트웨이 API` 가 선택된 상태</t>
  </si>
  <si>
    <t>TC_VIO_1598</t>
  </si>
  <si>
    <t>TC_VIO_1599</t>
  </si>
  <si>
    <t>TC_VIO_1600</t>
  </si>
  <si>
    <t>TC_VIO_1601</t>
  </si>
  <si>
    <t>1. 수정 폼의 본문 영역과 하단 액션 영역 표출 확인</t>
  </si>
  <si>
    <t>화면 타이틀 아래에 폼 본문 영역이 표출되고 폼 하단 우측에 액션 버튼 영역 표출
ㄴ 준거 문서가 처리 범위 밖 화면이라 본문 구성·저장 처리는 실측 상태를 `실제 결과`에 기재</t>
  </si>
  <si>
    <t>TC_VIO_1602</t>
  </si>
  <si>
    <t>TC_VIO_1603</t>
  </si>
  <si>
    <t>1. 화면에서 `모드 선택` 라디오 제공 여부 확인</t>
  </si>
  <si>
    <t>`모드 선택` 제공 여부 확인
ㄴ 기획 미정의 항목 — PASS/FAIL 판정 대신 실측 상태를 `실제 결과`에 기재</t>
  </si>
  <si>
    <t>TC_VIO_1604</t>
  </si>
  <si>
    <t>1. 화면 우측 가이드 패널의 타이틀 확인</t>
  </si>
  <si>
    <t>TC_VIO_1605</t>
  </si>
  <si>
    <t>1. `고급 모드 가이드` 패널의 본문 구성 확인</t>
  </si>
  <si>
    <t>패널 본문 구성 확인
ㄴ 기획 미정의 항목 — PASS/FAIL 판정 대신 실측 상태를 `실제 결과`에 기재</t>
  </si>
  <si>
    <t>TC_VIO_1606</t>
  </si>
  <si>
    <t>`취소` 텍스트 버튼과 `생성` 버튼이 이 순서로 표출
ㄴ 주 버튼의 활성 조건이 기획 미정의 — 실측 상태를 `실제 결과`에 기재</t>
  </si>
  <si>
    <t>TC_VIO_1607</t>
  </si>
  <si>
    <t>TC_VIO_1608</t>
  </si>
  <si>
    <t>VIOE-03_02_05-11</t>
  </si>
  <si>
    <t>게이트웨이 상세 - 세부 정보</t>
  </si>
  <si>
    <t>게이트웨이 상세 화면(VIOE-03_02_05-11)에 진입한 직후 상태</t>
  </si>
  <si>
    <t>화면 헤더와 우상단 Action Button, 좌측 `기본 정보` 패널, 우측 탭 영역으로 구성된 게이트웨이 상세 화면 표출</t>
  </si>
  <si>
    <t>TC_VIO_1609</t>
  </si>
  <si>
    <t>`워크플로우 / 네트워크 / 게이트웨이 API / 게이트웨이 상세` 경로 표출</t>
  </si>
  <si>
    <t>TC_VIO_1610</t>
  </si>
  <si>
    <t>말단 마디 `게이트웨이 상세` 볼드, 앞 세 마디 회색 표출</t>
  </si>
  <si>
    <t>TC_VIO_1611</t>
  </si>
  <si>
    <t>뒤로가기 아이콘 `←` 와 리소스 이름 타이틀 표출
ㄴ 기획서 UI가 중괄호 플레이스홀더 표기 — 실 문자열은 실측 상태를 `실제 결과`에 기재</t>
  </si>
  <si>
    <t>TC_VIO_1612</t>
  </si>
  <si>
    <t>게이트웨이 상세 화면에 진입해 LNB `게이트웨이 API` 가 선택된 상태</t>
  </si>
  <si>
    <t>TC_VIO_1613</t>
  </si>
  <si>
    <t>TC_VIO_1614</t>
  </si>
  <si>
    <t>TC_VIO_1615</t>
  </si>
  <si>
    <t>1. 화면 우상단 Action Button 영역 확인</t>
  </si>
  <si>
    <t>`수정` · `삭제` 버튼이 이 순서로 표출</t>
  </si>
  <si>
    <t>TC_VIO_1616</t>
  </si>
  <si>
    <t>1. 상세 화면의 영역 배치 확인</t>
  </si>
  <si>
    <t>화면 우상단에 Action Button 영역, 좌측에 `기본 정보` 패널, 우측에 탭 영역 표출
ㄴ 준거 문서가 기획 미정의 — 레이아웃 세부·이탈 확인·오류 처리는 실측 상태를 `실제 결과`에 기재</t>
  </si>
  <si>
    <t>TC_VIO_1617</t>
  </si>
  <si>
    <t>1. Action Button 영역의 버튼 구성과 라벨 확인</t>
  </si>
  <si>
    <t>`수정` · `삭제` 2개 버튼 표출, `삭제` 는 휴지통 아이콘과 빨간 테두리·빨간 글자로 표출</t>
  </si>
  <si>
    <t>TC_VIO_1618</t>
  </si>
  <si>
    <t>1. Action Button 영역의 `수정` 버튼 확인</t>
  </si>
  <si>
    <t>회색 테두리와 검정 글자의 `수정` 버튼 표출</t>
  </si>
  <si>
    <t>TC_VIO_1619</t>
  </si>
  <si>
    <t>1. Action Button 영역의 `수정` 클릭</t>
  </si>
  <si>
    <t>게이트웨이 수정 화면으로 이동
ㄴ 목록 화면 정의가 적은 이동 대상 화면 ID가 실측 화면과 어긋나 도착 화면 ID는 기획 미정의 — 실측 상태를 `실제 결과`에 기재</t>
  </si>
  <si>
    <t>TC_VIO_1620</t>
  </si>
  <si>
    <t>1. Action Button 영역의 `삭제` 버튼 확인</t>
  </si>
  <si>
    <t>휴지통 아이콘을 동반한 `삭제` 버튼이 빨간 테두리와 빨간 글자로 표출</t>
  </si>
  <si>
    <t>TC_VIO_1621</t>
  </si>
  <si>
    <t>연결 게이트웨이 수가 0건인 게이트웨이의 상세 화면에 진입한 상태</t>
  </si>
  <si>
    <t>1. Action Button 영역의 `삭제` 클릭</t>
  </si>
  <si>
    <t>TC_VIO_1622</t>
  </si>
  <si>
    <t>연결 게이트웨이 수가 1건 이상인 게이트웨이의 상세 화면에 진입한 상태</t>
  </si>
  <si>
    <t>TC_VIO_1623</t>
  </si>
  <si>
    <t>1. 화면 좌측 `기본 정보` 패널 확인</t>
  </si>
  <si>
    <t>패널 제목 `기본 정보` 와 접기·펼치기 아이콘, 항목 8개 표출</t>
  </si>
  <si>
    <t>TC_VIO_1624</t>
  </si>
  <si>
    <t>1. `기본 정보` 패널의 1번째 항목 확인</t>
  </si>
  <si>
    <t>`이름` 항목과 값 표출
ㄴ 기획서 UI가 중괄호 플레이스홀더 표기 — 실 값은 실측 상태를 `실제 결과`에 기재</t>
  </si>
  <si>
    <t>TC_VIO_1625</t>
  </si>
  <si>
    <t>1. `기본 정보` 패널의 2번째 항목 확인</t>
  </si>
  <si>
    <t>`상태` 항목과 tag 형태의 상태 값 표출
ㄴ 기획서 UI mock 은 `READY` 1종만 표기 — 값 전수는 실측 상태를 `실제 결과`에 기재</t>
  </si>
  <si>
    <t>TC_VIO_1626</t>
  </si>
  <si>
    <t>1. `기본 정보` 패널의 3번째 항목 확인</t>
  </si>
  <si>
    <t>`클러스터` 항목과 값 표출
ㄴ 기획서 UI가 중괄호 플레이스홀더 표기 — 실 값은 실측 상태를 `실제 결과`에 기재</t>
  </si>
  <si>
    <t>TC_VIO_1627</t>
  </si>
  <si>
    <t>1. `기본 정보` 패널의 4번째 항목 확인</t>
  </si>
  <si>
    <t>`네임스페이스` 항목과 값 표출
ㄴ 기획서 UI가 중괄호 플레이스홀더 표기 — 실 값은 실측 상태를 `실제 결과`에 기재</t>
  </si>
  <si>
    <t>TC_VIO_1628</t>
  </si>
  <si>
    <t>1. `기본 정보` 패널의 5번째 항목 확인</t>
  </si>
  <si>
    <t>`레이블` 항목과 tag 형태의 값 표출
ㄴ 기획서 UI mock 은 tag 3개 고정 표기 — 실 값과 개수는 실측 상태를 `실제 결과`에 기재</t>
  </si>
  <si>
    <t>TC_VIO_1629</t>
  </si>
  <si>
    <t>1. `기본 정보` 패널의 6번째 항목 확인</t>
  </si>
  <si>
    <t>`게이트웨이 클래스` 항목과 밑줄 링크 형태의 값, 사슬 형태 아이콘 표출
ㄴ 기획서 UI가 더미 라벨 표기 — 실 값은 실측 상태를 `실제 결과`에 기재</t>
  </si>
  <si>
    <t>TC_VIO_1630</t>
  </si>
  <si>
    <t>1. `기본 정보` 패널의 7번째 항목 확인</t>
  </si>
  <si>
    <t>`게이트웨이 주소` 항목과 값 표출
ㄴ 기획서 UI가 중괄호 플레이스홀더 표기 — 실 값은 실측 상태를 `실제 결과`에 기재</t>
  </si>
  <si>
    <t>TC_VIO_1631</t>
  </si>
  <si>
    <t>1. `기본 정보` 패널의 8번째 항목 확인</t>
  </si>
  <si>
    <t>`생성일시` 항목과 일시 값 표출
ㄴ 기획서 UI 값이 더미 마스크 `YYYY-MM-DD hh:mm:ss` 표기 — 실 값과 일시 형식은 실측 상태를 `실제 결과`에 기재</t>
  </si>
  <si>
    <t>TC_VIO_1632</t>
  </si>
  <si>
    <t>1. 화면 우측 탭 영역 확인</t>
  </si>
  <si>
    <t>탭 바와 그 하단의 정보 영역으로 구성된 탭 영역 표출</t>
  </si>
  <si>
    <t>TC_VIO_1633</t>
  </si>
  <si>
    <t>1. 탭 바의 구성과 선택 상태 확인</t>
  </si>
  <si>
    <t>`세부 정보` · `연결 라우트` · `YAML` 탭 3개 표출, `세부 정보` 가 기본 선택 상태로 초록 텍스트와 하단 초록 밑줄 표출</t>
  </si>
  <si>
    <t>TC_VIO_1634</t>
  </si>
  <si>
    <t>게이트웨이 상세 화면에서 `세부 정보` 탭이 선택된 상태</t>
  </si>
  <si>
    <t>1. `연결 라우트` 탭 클릭</t>
  </si>
  <si>
    <t>탭 하단 영역이 해당 탭 고유 정보로 갱신</t>
  </si>
  <si>
    <t>TC_VIO_1635</t>
  </si>
  <si>
    <t>1. 탭 3개를 차례로 선택해 하단 영역 확인</t>
  </si>
  <si>
    <t>탭마다 서로 다른 정보 영역 표출</t>
  </si>
  <si>
    <t>TC_VIO_1636</t>
  </si>
  <si>
    <t>`리스너` 영역과 `상태` 영역이 이 순서로 표출</t>
  </si>
  <si>
    <t>TC_VIO_1637</t>
  </si>
  <si>
    <t>게이트웨이 상세 화면에서 `연결 라우트` 탭이 선택된 상태</t>
  </si>
  <si>
    <t>1. `연결 라우트` 탭 하단 영역의 표출 여부 확인</t>
  </si>
  <si>
    <t>`연결 라우트` 탭 고유 정보 영역 표출
ㄴ 표출 항목의 구성은 이 화면 기획 미정의 — 실측 상태를 `실제 결과`에 기재</t>
  </si>
  <si>
    <t>TC_VIO_1638</t>
  </si>
  <si>
    <t>게이트웨이 상세 화면에서 `YAML` 탭이 선택된 상태</t>
  </si>
  <si>
    <t>1. `YAML` 탭 하단 영역의 표출 여부 확인</t>
  </si>
  <si>
    <t>`YAML` 탭 고유 정보 영역 표출
ㄴ 표출 항목의 구성은 이 화면 기획 미정의 — 실측 상태를 `실제 결과`에 기재</t>
  </si>
  <si>
    <t>TC_VIO_1639</t>
  </si>
  <si>
    <t>1. `세부 정보` 탭 하단의 첫 번째 영역 제목 확인</t>
  </si>
  <si>
    <t>섹션 제목 `리스너` 표출</t>
  </si>
  <si>
    <t>TC_VIO_1640</t>
  </si>
  <si>
    <t>게이트웨이 상세 화면 `세부 정보` 탭의 `리스너` table 이 표출된 상태</t>
  </si>
  <si>
    <t>1. `리스너` table 의 컬럼 구성 확인</t>
  </si>
  <si>
    <t>`이름` · `상태` · `프로토콜` · `포트` · `호스트` 컬럼 5개와 행 좌측의 펼침 토글 표출</t>
  </si>
  <si>
    <t>TC_VIO_1641</t>
  </si>
  <si>
    <t>게이트웨이 상세 화면 `리스너` table 이 표출되고 확인 대상 컬럼을 `상태` 하나로 한정한 상태</t>
  </si>
  <si>
    <t>1. `리스너` table 헤더의 `상태` 컬럼 표기 확인</t>
  </si>
  <si>
    <t>TC_VIO_1642</t>
  </si>
  <si>
    <t>1. `리스너` table 1행의 펼침 토글 클릭</t>
  </si>
  <si>
    <t>해당 행 하단에 `세부 상태` table 표출</t>
  </si>
  <si>
    <t>TC_VIO_1643</t>
  </si>
  <si>
    <t>게이트웨이 상세 화면 `리스너` table 1행을 펼쳐 `세부 상태` table 이 표출되고 확인 대상을 `업데이트 일시` 를 제외한 컬럼으로 한정한 상태</t>
  </si>
  <si>
    <t>1. `세부 상태` table 헤더의 컬럼별 정렬 아이콘 확인</t>
  </si>
  <si>
    <t>`유형` · `상태` · `이유` · `메시지` 컬럼 헤더에 정렬 아이콘 `↑↓` 미표출, `업데이트 일시` 컬럼에만 정렬 아이콘 표출</t>
  </si>
  <si>
    <t>TC_VIO_1644</t>
  </si>
  <si>
    <t>게이트웨이 상세 화면 `리스너` table 에서 1행의 펼침 토글을 눌러 `세부 상태` table 이 표출된 상태</t>
  </si>
  <si>
    <t>1. `세부 상태` table 의 `상태` 컬럼 영역에 마우스 호버</t>
  </si>
  <si>
    <t>TC_VIO_1645</t>
  </si>
  <si>
    <t>1. `세부 상태` table 의 `상태` 컬럼 값 표기 확인</t>
  </si>
  <si>
    <t>실제 상태값이 `OK` 또는 `ERROR` 로 치환되어 표출</t>
  </si>
  <si>
    <t>TC_VIO_1646</t>
  </si>
  <si>
    <t>게이트웨이 상세 화면 `리스너` 행을 펼쳐 `세부 상태` table 에 `유형` 이 `Accepted` 인 행이 표출된 상태</t>
  </si>
  <si>
    <t>1. `Accepted` 행의 `상태` 컬럼 값 확인</t>
  </si>
  <si>
    <t>실제 상태값이 True 이면 `OK`, False 이면 `ERROR` 로 표출</t>
  </si>
  <si>
    <t>TC_VIO_1647</t>
  </si>
  <si>
    <t>게이트웨이 상세 화면 `리스너` 행을 펼쳐 `세부 상태` table 에 Programmed 유형 행이 표출된 상태</t>
  </si>
  <si>
    <t>1. Programmed 유형 행의 `상태` 컬럼 값 확인</t>
  </si>
  <si>
    <t>TC_VIO_1648</t>
  </si>
  <si>
    <t>게이트웨이 상세 화면 `리스너` 행을 펼쳐 `세부 상태` table 에 ResolvedRefs 유형 행이 표출된 상태</t>
  </si>
  <si>
    <t>1. ResolvedRefs 유형 행의 `상태` 컬럼 값 확인</t>
  </si>
  <si>
    <t>TC_VIO_1649</t>
  </si>
  <si>
    <t>게이트웨이 상세 화면 `리스너` 행을 펼쳐 `세부 상태` table 에 `유형` 이 `Conflicted` 인 행이 표출된 상태</t>
  </si>
  <si>
    <t>1. `Conflicted` 행의 `상태` 컬럼 값 확인</t>
  </si>
  <si>
    <t>실제 상태값이 False 이면 `OK`, True 이면 `ERROR` 로 표출</t>
  </si>
  <si>
    <t>TC_VIO_1650</t>
  </si>
  <si>
    <t>1. `세부 정보` 탭 하단의 두 번째 영역 제목 확인</t>
  </si>
  <si>
    <t>섹션 제목 `상태` 표출</t>
  </si>
  <si>
    <t>TC_VIO_1651</t>
  </si>
  <si>
    <t>게이트웨이 상세 화면 `세부 정보` 탭의 `상태` table 이 표출된 상태</t>
  </si>
  <si>
    <t>1. `상태` table 의 컬럼 구성과 표출 내용 확인</t>
  </si>
  <si>
    <t>`유형` · `상태` · `업데이트 일시` · `이유` · `메시지` 컬럼 5개와 상태 정보 행 표출</t>
  </si>
  <si>
    <t>TC_VIO_1652</t>
  </si>
  <si>
    <t>게이트웨이 상세 화면 `상태` table 이 표출되고 확인 대상을 `업데이트 일시` 를 제외한 컬럼으로 한정한 상태</t>
  </si>
  <si>
    <t>1. `상태` table 헤더의 컬럼별 정렬 아이콘 확인</t>
  </si>
  <si>
    <t>TC_VIO_1653</t>
  </si>
  <si>
    <t>1. `상태` table 의 `상태` 컬럼 영역에 마우스 호버</t>
  </si>
  <si>
    <t>TC_VIO_1654</t>
  </si>
  <si>
    <t>1. `리스너` table `포트` 컬럼 셀의 값 표기 확인</t>
  </si>
  <si>
    <t>`포트` 값이 tag 형태로 표출
ㄴ 기획서 UI가 더미 표기 — 실 값은 실측 상태를 `실제 결과`에 기재</t>
  </si>
  <si>
    <t>TC_VIO_1655</t>
  </si>
  <si>
    <t>1. `상태` table `상태` 컬럼 셀의 값 표기 확인</t>
  </si>
  <si>
    <t>상태 값이 tag 형태로 표출
ㄴ 기획서 UI mock 은 `TRUE` 표기 — 실 값과 표기 규칙은 실측 상태를 `실제 결과`에 기재</t>
  </si>
  <si>
    <t>TC_VIO_1656</t>
  </si>
  <si>
    <t>1. `세부 상태` table `메시지` 컬럼 우측 아이콘 확인</t>
  </si>
  <si>
    <t>`메시지` 값 우측에 복사 아이콘 표출</t>
  </si>
  <si>
    <t>TC_VIO_1657</t>
  </si>
  <si>
    <t>1. `리스너` table 푸터 확인</t>
  </si>
  <si>
    <t>전체 건수 표기와 페이지네이션, 페이지당 건수 드롭다운 표출
ㄴ 기획서 UI가 더미 `전체 수 N` · `1` · `/ 99` · `리스트 수 10` 표기 — 실 값은 실측 상태를 `실제 결과`에 기재</t>
  </si>
  <si>
    <t>TC_VIO_1658</t>
  </si>
  <si>
    <t>1. `상태` table 하단의 푸터 영역 확인</t>
  </si>
  <si>
    <t>푸터 영역 표출 여부 확인
ㄴ 기획 미정의 항목 — PASS/FAIL 판정 대신 실측 상태를 `실제 결과`에 기재</t>
  </si>
  <si>
    <t>TC_VIO_1659</t>
  </si>
  <si>
    <t>VIOE-03_02_05-12</t>
  </si>
  <si>
    <t>게이트웨이 상세 - 연결 라우트</t>
  </si>
  <si>
    <t>게이트웨이 상세 화면(VIOE-03_02_05-12)의 `연결 라우트` 탭에 진입한 직후 상태</t>
  </si>
  <si>
    <t>화면 헤더와 우상단 Action Button, 탭 바, `라우트 수신 정책` 영역, `HTTP라우트` 목록 영역으로 구성된 게이트웨이 상세 `연결 라우트` 탭 화면 표출</t>
  </si>
  <si>
    <t>TC_VIO_1660</t>
  </si>
  <si>
    <t>TC_VIO_1661</t>
  </si>
  <si>
    <t>TC_VIO_1662</t>
  </si>
  <si>
    <t>게이트웨이 상세 화면 `연결 라우트` 탭에서 LNB `워크플로우` 가 확장된 상태</t>
  </si>
  <si>
    <t>1. LNB 대분류 항목과 확장 상태 확인</t>
  </si>
  <si>
    <t>`대시보드` · `기본 설정` · `워크플로우` · `서비스 카탈로그` · `모니터링` 5개 표출, `워크플로우` 만 확장 상태 표출</t>
  </si>
  <si>
    <t>TC_VIO_1663</t>
  </si>
  <si>
    <t>게이트웨이 상세 화면 `연결 라우트` 탭에 진입해 LNB `게이트웨이 API` 가 선택된 상태</t>
  </si>
  <si>
    <t>`서비스` · `인그레스` · `게이트웨이 API` · `네트워크 폴리시` · `서비스 메시` 5개 표출, `게이트웨이 API` 는 초록 텍스트와 연초록 배경, 좌측 초록 세로 바로 선택 상태 표출</t>
  </si>
  <si>
    <t>TC_VIO_1664</t>
  </si>
  <si>
    <t>`알림` · `프로필` 항목과 접기 아이콘 `|&lt;` 표출</t>
  </si>
  <si>
    <t>TC_VIO_1665</t>
  </si>
  <si>
    <t>TC_VIO_1666</t>
  </si>
  <si>
    <t>차트 아이콘과 라벨로 구성된 `모니터링 현황` 버튼 표출</t>
  </si>
  <si>
    <t>TC_VIO_1667</t>
  </si>
  <si>
    <t>TC_VIO_1668</t>
  </si>
  <si>
    <t>1. 화면 우상단 Action Button 영역의 `수정` 버튼 확인</t>
  </si>
  <si>
    <t>TC_VIO_1669</t>
  </si>
  <si>
    <t>1. 화면 우상단 Action Button 영역의 `삭제` 버튼 확인</t>
  </si>
  <si>
    <t>휴지통 아이콘을 동반한 `삭제` 버튼이 빨간 아이콘과 빨간 글자로 표출</t>
  </si>
  <si>
    <t>TC_VIO_1670</t>
  </si>
  <si>
    <t>`세부 정보` · `연결 라우트` · `YAML` 탭 3개 표출, `연결 라우트` 는 초록 텍스트와 하단 초록 밑줄로 선택 상태 표출</t>
  </si>
  <si>
    <t>TC_VIO_1671</t>
  </si>
  <si>
    <t>게이트웨이 상세 화면 `연결 라우트` 탭에서 탭 바 좌측 패널이 접힌 상태</t>
  </si>
  <si>
    <t>1. 탭 바 좌측의 세로 스트립 확인</t>
  </si>
  <si>
    <t>라벨과 값이 표출되지 않는 세로 스트립과 펼침 토글 `▸` 표출</t>
  </si>
  <si>
    <t>TC_VIO_1672</t>
  </si>
  <si>
    <t>1. 콘텐츠 영역 첫 번째 섹션 제목 확인</t>
  </si>
  <si>
    <t>섹션 제목 `라우트 수신 정책` 표출</t>
  </si>
  <si>
    <t>TC_VIO_1673</t>
  </si>
  <si>
    <t>생성 시 수신 정책을 정의한 게이트웨이의 상세 화면 `연결 라우트` 탭에 진입한 상태</t>
  </si>
  <si>
    <t>1. `라우트 수신 정책` 영역의 표출 값 확인</t>
  </si>
  <si>
    <t>게이트웨이 생성 시 정의한 수신 정책 값 표출
ㄴ 표출 항목의 구성과 값 집합이 기획 미정의 — 실측 상태를 `실제 결과`에 기재</t>
  </si>
  <si>
    <t>TC_VIO_1674</t>
  </si>
  <si>
    <t>1. `라우트 수신 정책` 영역의 `범위` 항목 확인</t>
  </si>
  <si>
    <t>`범위` 라벨과 값 표출
ㄴ 기획서 UI가 더미 토큰 표기 — 실 값은 실측 상태를 `실제 결과`에 기재</t>
  </si>
  <si>
    <t>TC_VIO_1675</t>
  </si>
  <si>
    <t>1. `라우트 수신 정책` 영역의 `네임스페이스 셀렉터` 항목 확인</t>
  </si>
  <si>
    <t>`네임스페이스 셀렉터` 라벨과 tag 형태의 값 표출
ㄴ 기획서 UI mock 은 tag 3개 더미 표기 — 실 값과 개수는 실측 상태를 `실제 결과`에 기재</t>
  </si>
  <si>
    <t>TC_VIO_1676</t>
  </si>
  <si>
    <t>1. `라우트 수신 정책` 영역의 항목 배치 확인</t>
  </si>
  <si>
    <t>`범위` 와 `네임스페이스 셀렉터` 가 세로 구분선을 사이에 둔 2열로 표출</t>
  </si>
  <si>
    <t>TC_VIO_1677</t>
  </si>
  <si>
    <t>1. 콘텐츠 영역 두 번째 섹션 제목 확인</t>
  </si>
  <si>
    <t>섹션 제목 `HTTP라우트` 표출</t>
  </si>
  <si>
    <t>TC_VIO_1678</t>
  </si>
  <si>
    <t>해당 게이트웨이를 참조하는 HTTP라우트가 1건 이상 존재하는 상태에서 `연결 라우트` 탭에 진입한 상태</t>
  </si>
  <si>
    <t>1. `HTTP라우트` 영역의 목록 표출 확인</t>
  </si>
  <si>
    <t>해당 게이트웨이를 참조하는 HTTP라우트 목록 표출</t>
  </si>
  <si>
    <t>TC_VIO_1679</t>
  </si>
  <si>
    <t>해당 게이트웨이를 참조하는 HTTP라우트와 참조하지 않는 HTTP라우트가 함께 존재하는 상태에서 `연결 라우트` 탭에 진입한 상태</t>
  </si>
  <si>
    <t>1. `HTTP라우트` 목록의 행 구성 확인</t>
  </si>
  <si>
    <t>해당 게이트웨이를 참조하는 HTTP라우트만 표출, 참조하지 않는 HTTP라우트는 목록에서 제외</t>
  </si>
  <si>
    <t>TC_VIO_1680</t>
  </si>
  <si>
    <t>1. `HTTP라우트` 영역 상단의 검색 입력 확인</t>
  </si>
  <si>
    <t>필터 아이콘과 placeholder `항목 이름 또는 값을 입력해 주세요.` 를 갖춘 검색 입력 표출</t>
  </si>
  <si>
    <t>TC_VIO_1681</t>
  </si>
  <si>
    <t>게이트웨이 상세 화면 `연결 라우트` 탭에서 `HTTP라우트` 목록이 표출된 상태</t>
  </si>
  <si>
    <t>1. `HTTP라우트` table 의 컬럼 구성 확인</t>
  </si>
  <si>
    <t>`이름` · `상태` · `네임스페이스` · `라우팅 규칙 수` · `생성일시` 컬럼 5개 표출</t>
  </si>
  <si>
    <t>TC_VIO_1682</t>
  </si>
  <si>
    <t>1. `HTTP라우트` table 헤더의 정렬 아이콘 표출 여부 확인</t>
  </si>
  <si>
    <t>`이름` · `네임스페이스` · `라우팅 규칙 수` · `생성일시` 4개 컬럼 헤더에 정렬 아이콘 `↑↓` 표출</t>
  </si>
  <si>
    <t>TC_VIO_1683</t>
  </si>
  <si>
    <t>`HTTP라우트` 목록이 표출되고 확인 대상 컬럼을 `상태` 하나로 한정한 상태</t>
  </si>
  <si>
    <t>1. `HTTP라우트` table 헤더의 `상태` 컬럼 표기 확인</t>
  </si>
  <si>
    <t>`상태` 컬럼 헤더에 정렬 아이콘 `↑↓` 미표출, 물음표 원형 아이콘 표출</t>
  </si>
  <si>
    <t>TC_VIO_1684</t>
  </si>
  <si>
    <t>1. `HTTP라우트` table 의 `이름` 컬럼 값 확인</t>
  </si>
  <si>
    <t>`이름` 컬럼 값이 밑줄 링크 형태로 표출
ㄴ 기획서 UI가 더미 토큰 표기 — 실 값은 실측 상태를 `실제 결과`에 기재</t>
  </si>
  <si>
    <t>TC_VIO_1685</t>
  </si>
  <si>
    <t>1. `HTTP라우트` table 의 `상태` 컬럼 값 확인</t>
  </si>
  <si>
    <t>`상태` 컬럼 값이 tag 형태로 표출
ㄴ 기획서 UI mock 은 `READY` 와 `PENDING` 2종만 표기 — 값 전수는 실측 상태를 `실제 결과`에 기재</t>
  </si>
  <si>
    <t>TC_VIO_1686</t>
  </si>
  <si>
    <t>1. `HTTP라우트` table 의 `네임스페이스` 컬럼 값 확인</t>
  </si>
  <si>
    <t>`네임스페이스` 컬럼 값 표출
ㄴ 기획서 UI가 더미 토큰 표기 — 실 값은 실측 상태를 `실제 결과`에 기재</t>
  </si>
  <si>
    <t>TC_VIO_1687</t>
  </si>
  <si>
    <t>1. `HTTP라우트` table 의 `라우팅 규칙 수` 컬럼 값 확인</t>
  </si>
  <si>
    <t>`라우팅 규칙 수` 컬럼 값 표출
ㄴ 기획서 UI가 더미 토큰 표기 — 실 값은 실측 상태를 `실제 결과`에 기재</t>
  </si>
  <si>
    <t>TC_VIO_1688</t>
  </si>
  <si>
    <t>1. `HTTP라우트` table 의 `생성일시` 컬럼 값 확인</t>
  </si>
  <si>
    <t>`생성일시` 컬럼에 일시 값 표출
ㄴ 기획서 UI 값이 더미 마스크 `8888-88-88 88:88:88` 표기 — 실 값과 일시 형식은 실측 상태를 `실제 결과`에 기재</t>
  </si>
  <si>
    <t>TC_VIO_1689</t>
  </si>
  <si>
    <t>1. `HTTP라우트` table 본문의 데이터 행 확인</t>
  </si>
  <si>
    <t>`HTTP라우트` table 본문에 데이터 행 표출
ㄴ 기획서 UI mock 의 10행은 더미 — 실 행 수는 실측 상태를 `실제 결과`에 기재</t>
  </si>
  <si>
    <t>TC_VIO_1690</t>
  </si>
  <si>
    <t>1. `HTTP라우트` table 하단 좌측 푸터 확인</t>
  </si>
  <si>
    <t>`전체 수` 라벨과 건수 값 표출
ㄴ 기획서 UI 값이 더미 표기 — 실 건수는 실측 상태를 `실제 결과`에 기재</t>
  </si>
  <si>
    <t>TC_VIO_1691</t>
  </si>
  <si>
    <t>1. `HTTP라우트` table 하단 우측 페이지네이션 확인</t>
  </si>
  <si>
    <t>처음 `≪` · 이전 `‹` · 현재 페이지 · 전체 페이지 · 다음 `›` · 마지막 `≫` 으로 구성된 페이지네이션 표출
ㄴ 기획서 UI 값이 더미 `1` `/ 99` 표기 — 실 페이지 수는 실측 상태를 `실제 결과`에 기재</t>
  </si>
  <si>
    <t>TC_VIO_1692</t>
  </si>
  <si>
    <t>1. `HTTP라우트` table 하단 우측 리스트 수 선택기 확인</t>
  </si>
  <si>
    <t>`리스트 수` 라벨과 선택 값, 펼침 아이콘 `⌄` 로 구성된 선택기 표출
ㄴ 기획서 UI 값이 더미 `10` 표기 — 실 기본값과 선택 옵션은 실측 상태를 `실제 결과`에 기재</t>
  </si>
  <si>
    <t>TC_VIO_1693</t>
  </si>
  <si>
    <t>VIOE-03_02_05-13</t>
  </si>
  <si>
    <t>게이트웨이 상세 - YAML</t>
  </si>
  <si>
    <t>게이트웨이 상세 화면(VIOE-03_02_05-13)의 `YAML` 탭에 진입한 직후 상태</t>
  </si>
  <si>
    <t>화면 헤더와 우상단 Action Button, 탭 바, 콘텐츠 영역 대부분을 차지하는 코드 에디터로 구성된 게이트웨이 상세 `YAML` 탭 화면 표출</t>
  </si>
  <si>
    <t>TC_VIO_1694</t>
  </si>
  <si>
    <t>TC_VIO_1695</t>
  </si>
  <si>
    <t>TC_VIO_1696</t>
  </si>
  <si>
    <t>게이트웨이 상세 화면 `YAML` 탭에서 LNB `워크플로우` 가 확장된 상태</t>
  </si>
  <si>
    <t>TC_VIO_1697</t>
  </si>
  <si>
    <t>게이트웨이 상세 화면 `YAML` 탭에 진입해 LNB `게이트웨이 API` 가 선택된 상태</t>
  </si>
  <si>
    <t>TC_VIO_1698</t>
  </si>
  <si>
    <t>TC_VIO_1699</t>
  </si>
  <si>
    <t>TC_VIO_1700</t>
  </si>
  <si>
    <t>TC_VIO_1701</t>
  </si>
  <si>
    <t>TC_VIO_1702</t>
  </si>
  <si>
    <t>TC_VIO_1703</t>
  </si>
  <si>
    <t>TC_VIO_1704</t>
  </si>
  <si>
    <t>`세부 정보` · `연결 라우트` · `YAML` 탭 3개 표출, `YAML` 은 초록 텍스트로 선택 상태 표출</t>
  </si>
  <si>
    <t>TC_VIO_1705</t>
  </si>
  <si>
    <t>게이트웨이 상세 화면 `YAML` 탭에서 탭 바 좌측 패널이 접힌 상태</t>
  </si>
  <si>
    <t>TC_VIO_1706</t>
  </si>
  <si>
    <t>1. 콘텐츠 영역의 탭 하단 영역 확인</t>
  </si>
  <si>
    <t>코드 에디터 형태의 `YAML` 영역 표출</t>
  </si>
  <si>
    <t>TC_VIO_1707</t>
  </si>
  <si>
    <t>게이트웨이 상세 화면에서 `YAML` 탭이 선택되고 코드 에디터가 표출된 상태</t>
  </si>
  <si>
    <t>1. 코드 에디터에 표출된 내용 확인</t>
  </si>
  <si>
    <t>해당 게이트웨이의 YAML 파일 내용 표출
ㄴ 표출 대상과 형식이 기획 미정의 — 실측 상태를 `실제 결과`에 기재</t>
  </si>
  <si>
    <t>TC_VIO_1708</t>
  </si>
  <si>
    <t>1. 코드 에디터 영역의 외형 확인</t>
  </si>
  <si>
    <t>짙은 배경의 코드 에디터 패널이 탭 하단 영역 대부분을 차지하도록 표출</t>
  </si>
  <si>
    <t>TC_VIO_1709</t>
  </si>
  <si>
    <t>1. 코드 에디터 좌측 줄 번호 거터 확인</t>
  </si>
  <si>
    <t>코드 에디터 좌측에 줄 번호 거터 표출
ㄴ 줄 번호 제공 범위가 기획 미정의 — 실측 상태를 `실제 결과`에 기재</t>
  </si>
  <si>
    <t>TC_VIO_1710</t>
  </si>
  <si>
    <t>1. 코드 에디터 본문의 구문 강조 확인</t>
  </si>
  <si>
    <t>코드 본문이 요소별로 색을 달리해 구문 강조 표출
ㄴ 기획서 UI mock 이 YAML 이 아닌 JS 디자인 샘플이라 YAML 강조 규칙은 실측 상태를 `실제 결과`에 기재</t>
  </si>
  <si>
    <t>TC_VIO_1711</t>
  </si>
  <si>
    <t>VIOE-03_02_05-14</t>
  </si>
  <si>
    <t>게이트웨이 클래스 목록</t>
  </si>
  <si>
    <t>게이트웨이 클래스 목록 화면(VIOE-03_02_05-14)에 진입한 직후 상태</t>
  </si>
  <si>
    <t>페이지 헤더와 탭 바, 클러스터 칩 필터, 검색·기간 필터, 목록 table, 페이지네이션으로 구성된 게이트웨이 클래스 목록 화면 표출</t>
  </si>
  <si>
    <t>TC_VIO_1712</t>
  </si>
  <si>
    <t>`워크플로우 / 네트워크 / 게이트웨이 API` 3마디 경로 표출</t>
  </si>
  <si>
    <t>TC_VIO_1713</t>
  </si>
  <si>
    <t>TC_VIO_1714</t>
  </si>
  <si>
    <t>게이트웨이 클래스 목록 화면에서 LNB `워크플로우` 가 확장된 상태</t>
  </si>
  <si>
    <t>TC_VIO_1715</t>
  </si>
  <si>
    <t>게이트웨이 클래스 목록 화면에 진입해 LNB `게이트웨이 API` 가 선택된 상태</t>
  </si>
  <si>
    <t>TC_VIO_1716</t>
  </si>
  <si>
    <t>TC_VIO_1717</t>
  </si>
  <si>
    <t>TC_VIO_1718</t>
  </si>
  <si>
    <t>TC_VIO_1719</t>
  </si>
  <si>
    <t>페이지 타이틀 `게이트웨이 API` 볼드 표출</t>
  </si>
  <si>
    <t>TC_VIO_1720</t>
  </si>
  <si>
    <t>1. 페이지 타이틀 하단의 Subtitle 영역 확인</t>
  </si>
  <si>
    <t>페이지 타이틀 하단에 회색 Subtitle 텍스트 표출
ㄴ 기획서 UI가 플레이스홀더 문자열을 그대로 표기 — 실 문구는 실측 상태를 `실제 결과`에 기재</t>
  </si>
  <si>
    <t>TC_VIO_1721</t>
  </si>
  <si>
    <t>게이트웨이 API 화면에서 `게이트웨이 클래스` 탭이 선택된 상태</t>
  </si>
  <si>
    <t>`HTTP라우트` · `게이트웨이` · `게이트웨이 클래스` 탭 3개 표출, `게이트웨이 클래스` 는 초록 텍스트와 하단 초록 밑줄로 선택 상태 표출</t>
  </si>
  <si>
    <t>TC_VIO_1722</t>
  </si>
  <si>
    <t>게이트웨이 클래스 목록 화면에서 클러스터 칩 2개가 선택된 상태</t>
  </si>
  <si>
    <t>1. 필터 영역의 클러스터 칩 구성과 선택 표기 확인</t>
  </si>
  <si>
    <t>`전체` 를 포함한 클러스터 칩 13개 표출, 선택된 칩 2개는 초록 외곽선과 초록 텍스트로 표출
ㄴ 기획서 UI가 더미 클러스터명 표기 — 실 칩 구성은 실측 상태를 `실제 결과`에 기재</t>
  </si>
  <si>
    <t>TC_VIO_1723</t>
  </si>
  <si>
    <t>1. 필터 영역의 검색 입력 확인</t>
  </si>
  <si>
    <t>TC_VIO_1724</t>
  </si>
  <si>
    <t>1. 필터 영역의 기간 설정 선택기 확인</t>
  </si>
  <si>
    <t>`기간 설정` 라벨과 펼침 아이콘 `⌄` 로 구성된 선택기 표출</t>
  </si>
  <si>
    <t>TC_VIO_1725</t>
  </si>
  <si>
    <t>1. 필터 영역의 기간 입력 확인</t>
  </si>
  <si>
    <t>시작일 입력과 종료일 입력이 화살표 `→` 로 이어지고 각 입력에 달력 아이콘 표출
ㄴ 기획서 UI가 더미 영문 placeholder 표기 — 실 문구는 실측 상태를 `실제 결과`에 기재</t>
  </si>
  <si>
    <t>TC_VIO_1726</t>
  </si>
  <si>
    <t>1. 필터 영역 우측의 생성 버튼 확인</t>
  </si>
  <si>
    <t>초록 배경에 흰 글자로 플러스 아이콘을 동반한 `+ 생성` 버튼 표출</t>
  </si>
  <si>
    <t>TC_VIO_1727</t>
  </si>
  <si>
    <t>1. 화면의 조회형 구성 확인</t>
  </si>
  <si>
    <t>필터 영역과 목록 table, 하단 페이지네이션을 갖춘 조회형 화면 구성 표출
ㄴ 준거 문서가 기획 미정의 — 세부 구성 일치 여부는 실측 상태를 `실제 결과`에 기재</t>
  </si>
  <si>
    <t>TC_VIO_1728</t>
  </si>
  <si>
    <t>1. 필터 영역 우측의 `+ 생성` 클릭</t>
  </si>
  <si>
    <t>게이트웨이 클래스 생성 페이지로 이동
ㄴ 기획서가 적은 이동 대상 화면 ID 가 이 화면 자신이라 도착 화면 ID 는 기획 미정의 — 실측 상태를 `실제 결과`에 기재</t>
  </si>
  <si>
    <t>TC_VIO_1729</t>
  </si>
  <si>
    <t>1. 필터 영역 하단의 목록 영역 확인</t>
  </si>
  <si>
    <t>컬럼 헤더와 데이터 행으로 구성된 게이트웨이 클래스 목록 table 표출</t>
  </si>
  <si>
    <t>TC_VIO_1730</t>
  </si>
  <si>
    <t>게이트웨이 클래스 목록 화면에서 목록 table 이 표출된 상태</t>
  </si>
  <si>
    <t>1. 목록 table 의 조회 기능 구성 확인</t>
  </si>
  <si>
    <t>컬럼 헤더의 정렬 아이콘과 상단 검색 입력, 하단 페이지네이션을 갖춘 조회형 table 표출
ㄴ 준거 문서가 기획 미정의 — 세부 구성 일치 여부는 실측 상태를 `실제 결과`에 기재</t>
  </si>
  <si>
    <t>TC_VIO_1731</t>
  </si>
  <si>
    <t>목록 table 이 표출되고 확인 대상 컬럼을 `상태` 하나로 한정한 상태</t>
  </si>
  <si>
    <t>1. 목록 table 헤더의 `상태` 컬럼 표기 확인</t>
  </si>
  <si>
    <t>TC_VIO_1732</t>
  </si>
  <si>
    <t>목록 table 이 표출되고 확인 대상 컬럼을 `레이블` 하나로 한정한 상태</t>
  </si>
  <si>
    <t>1. 목록 table 헤더의 `레이블` 컬럼 표기 확인</t>
  </si>
  <si>
    <t>TC_VIO_1733</t>
  </si>
  <si>
    <t>1. 목록 table 헤더의 정렬 아이콘 표출 범위 확인</t>
  </si>
  <si>
    <t>`이름` · `클러스터` · `컨트롤러` · `연결 게이트웨이 수` · `생성일시` 5개 컬럼 헤더에 정렬 아이콘 `↑↓` 표출</t>
  </si>
  <si>
    <t>TC_VIO_1734</t>
  </si>
  <si>
    <t>검색 입력의 필터 항목 목록을 펼치고 확인 대상을 `연결 게이트웨이 수` 하나로 한정한 상태</t>
  </si>
  <si>
    <t>1. 검색 필터 항목 목록에서 `연결 게이트웨이 수` 제공 여부 확인</t>
  </si>
  <si>
    <t>검색 필터 항목에 `연결 게이트웨이 수` 미제공
ㄴ 필터 항목 목록의 관측 경로가 기획 미정의 — 실측 상태를 `실제 결과`에 기재</t>
  </si>
  <si>
    <t>TC_VIO_1735</t>
  </si>
  <si>
    <t>1. 목록 table 의 1번째 데이터 컬럼 확인</t>
  </si>
  <si>
    <t>`이름` 컬럼과 밑줄 링크 형태의 값 표출
ㄴ 기획서 UI가 더미 토큰 표기 — 실 값은 실측 상태를 `실제 결과`에 기재</t>
  </si>
  <si>
    <t>TC_VIO_1736</t>
  </si>
  <si>
    <t>1. 목록 table 행의 `이름` 값 클릭</t>
  </si>
  <si>
    <t>게이트웨이 클래스 상세 페이지로 이동
ㄴ 기획서가 적은 이동 대상 화면 ID 가 실측 화면과 어긋나 도착 화면 ID 는 기획 미정의 — 실측 상태를 `실제 결과`에 기재</t>
  </si>
  <si>
    <t>TC_VIO_1737</t>
  </si>
  <si>
    <t>1. 목록 table 의 2번째 데이터 컬럼 확인</t>
  </si>
  <si>
    <t>`상태` 컬럼 헤더와 물음표 원형 아이콘 표출</t>
  </si>
  <si>
    <t>TC_VIO_1738</t>
  </si>
  <si>
    <t>1. 목록 table `상태` 컬럼의 값 확인</t>
  </si>
  <si>
    <t>게이트웨이 클래스 상태가 pill tag 형태로 표출
ㄴ 기획서 UI mock 은 `ACCEPTED` · `PENDING` · `INVALID` 3종만 표기 — 값 전수는 실측 상태를 `실제 결과`에 기재</t>
  </si>
  <si>
    <t>TC_VIO_1739</t>
  </si>
  <si>
    <t>목록 table 이 표출되고 `상태` 컬럼 헤더의 물음표 아이콘에 마우스를 올린 상태</t>
  </si>
  <si>
    <t>1. `상태` 컬럼 헤더의 물음표 아이콘에 마우스 호버</t>
  </si>
  <si>
    <t>상태값 설명 툴팁 표출
ㄴ 툴팁 문구와 항목 수가 기획 미정의 — 실측 상태를 `실제 결과`에 기재</t>
  </si>
  <si>
    <t>TC_VIO_1740</t>
  </si>
  <si>
    <t>1. 목록 table 의 3번째 데이터 컬럼 확인</t>
  </si>
  <si>
    <t>`클러스터` 컬럼과 값 표출
ㄴ 기획서 UI가 더미 토큰 표기 — 실 값은 실측 상태를 `실제 결과`에 기재</t>
  </si>
  <si>
    <t>TC_VIO_1741</t>
  </si>
  <si>
    <t>1. 목록 table 의 4번째 데이터 컬럼 확인</t>
  </si>
  <si>
    <t>`레이블` 컬럼과 tag 형태의 값 표출
ㄴ 기획서 UI mock 에 무값 · tag 1개 · tag 다건 축약 3형태가 있으나 규정이 미정의 — 실측 상태를 `실제 결과`에 기재</t>
  </si>
  <si>
    <t>TC_VIO_1742</t>
  </si>
  <si>
    <t>1. 목록 table 의 5번째 데이터 컬럼 확인</t>
  </si>
  <si>
    <t>`컨트롤러` 컬럼과 값 표출
ㄴ 기획서 UI가 더미 토큰 표기 — 실 값은 실측 상태를 `실제 결과`에 기재</t>
  </si>
  <si>
    <t>TC_VIO_1743</t>
  </si>
  <si>
    <t>1. 목록 table 의 6번째 데이터 컬럼 확인</t>
  </si>
  <si>
    <t>`연결 게이트웨이 수` 컬럼과 값 표출
ㄴ 기획서 UI 값이 수치가 아닌 더미 토큰 표기 — 실 값은 실측 상태를 `실제 결과`에 기재</t>
  </si>
  <si>
    <t>TC_VIO_1744</t>
  </si>
  <si>
    <t>1. 목록 table 의 7번째 데이터 컬럼 확인</t>
  </si>
  <si>
    <t>`생성일시` 컬럼과 일시 값 표출
ㄴ 기획서 UI 값이 더미 마스크 `8888-88-88 88:88:88` 표기 — 실 값과 일시 형식은 실측 상태를 `실제 결과`에 기재</t>
  </si>
  <si>
    <t>TC_VIO_1745</t>
  </si>
  <si>
    <t>1. 목록 table 의 8번째 데이터 컬럼 확인</t>
  </si>
  <si>
    <t>`작업` 컬럼과 행별 더보기 아이콘 `⋯` 표출</t>
  </si>
  <si>
    <t>TC_VIO_1746</t>
  </si>
  <si>
    <t>목록 table 행의 `작업` 더보기를 펼친 상태</t>
  </si>
  <si>
    <t>1. `작업` 더보기 메뉴의 `수정` 항목 확인</t>
  </si>
  <si>
    <t>`수정` 메뉴 항목 표출
ㄴ 메뉴의 라벨 위치와 아이콘이 기획 미정의 — 실측 상태를 `실제 결과`에 기재</t>
  </si>
  <si>
    <t>TC_VIO_1747</t>
  </si>
  <si>
    <t>1. `작업` 더보기 메뉴의 `수정` 클릭</t>
  </si>
  <si>
    <t>게이트웨이 클래스 수정 페이지로 이동
ㄴ 기획서가 적은 이동 대상 화면 ID 가 실측 화면과 어긋나 도착 화면 ID 는 기획 미정의 — 실측 상태를 `실제 결과`에 기재</t>
  </si>
  <si>
    <t>TC_VIO_1748</t>
  </si>
  <si>
    <t>1. `작업` 더보기 메뉴의 `삭제` 항목 확인</t>
  </si>
  <si>
    <t>`삭제` 메뉴 항목 표출
ㄴ 메뉴의 라벨 위치와 아이콘이 기획 미정의 — 실측 상태를 `실제 결과`에 기재</t>
  </si>
  <si>
    <t>TC_VIO_1749</t>
  </si>
  <si>
    <t>`연결 게이트웨이 수` 가 0건인 게이트웨이 클래스 행의 `작업` 더보기를 펼친 상태</t>
  </si>
  <si>
    <t>1. `작업` 더보기 메뉴의 `삭제` 클릭</t>
  </si>
  <si>
    <t>삭제 팝업 표출
ㄴ 삭제 팝업의 구성과 문구가 기획 미정의 — 실측 상태를 `실제 결과`에 기재</t>
  </si>
  <si>
    <t>TC_VIO_1750</t>
  </si>
  <si>
    <t>`연결 게이트웨이 수` 가 1건 이상인 게이트웨이 클래스 행의 `작업` 더보기를 펼친 상태</t>
  </si>
  <si>
    <t>삭제되지 않고 알림 팝업 표출</t>
  </si>
  <si>
    <t>TC_VIO_1751</t>
  </si>
  <si>
    <t>알림</t>
  </si>
  <si>
    <t>`연결 게이트웨이 수` 가 1건 이상인 게이트웨이 클래스에서 `삭제` 를 실행해 알림 팝업이 표출된 상태</t>
  </si>
  <si>
    <t>팝업 타이틀 `알림` 표출</t>
  </si>
  <si>
    <t>TC_VIO_1752</t>
  </si>
  <si>
    <t>1. 팝업 본문 문구 확인</t>
  </si>
  <si>
    <t>본문 문구 `연결된 게이트웨이가 있어 삭제할 수 없습니다.` 표출</t>
  </si>
  <si>
    <t>TC_VIO_1753</t>
  </si>
  <si>
    <t>1. 팝업 하단 버튼 구성 확인</t>
  </si>
  <si>
    <t>초록 배경에 흰 글자의 `확인` 버튼 1개 표출</t>
  </si>
  <si>
    <t>TC_VIO_1754</t>
  </si>
  <si>
    <t>1. 목록 table 헤더 좌측 첫 칸 확인</t>
  </si>
  <si>
    <t>컬럼 헤더 좌측 첫 칸에 체크박스 표출</t>
  </si>
  <si>
    <t>TC_VIO_1755</t>
  </si>
  <si>
    <t>1. 목록 table 데이터 행 좌측 첫 칸 확인</t>
  </si>
  <si>
    <t>각 데이터 행 좌측 첫 칸에 체크박스 표출</t>
  </si>
  <si>
    <t>TC_VIO_1756</t>
  </si>
  <si>
    <t>1. 목록 table 본문의 데이터 행 확인</t>
  </si>
  <si>
    <t>목록 table 본문에 게이트웨이 클래스 데이터 행 표출
ㄴ 기획서 UI mock 의 20행은 더미 — 실 행 수는 실측 상태를 `실제 결과`에 기재</t>
  </si>
  <si>
    <t>TC_VIO_1757</t>
  </si>
  <si>
    <t>1. 목록 table 첫 행의 긴 `이름` 값 표출 형태 확인</t>
  </si>
  <si>
    <t>컬럼 폭을 넘는 긴 이름 값이 잘리지 않고 여러 줄로 줄바꿈되어 표출
ㄴ 기획서 UI가 더미 값 표기 — 줄바꿈 기준은 실측 상태를 `실제 결과`에 기재</t>
  </si>
  <si>
    <t>TC_VIO_1758</t>
  </si>
  <si>
    <t>1. 목록 table 하단 좌측 푸터 확인</t>
  </si>
  <si>
    <t>TC_VIO_1759</t>
  </si>
  <si>
    <t>1. 목록 table 하단 우측 페이지네이션 확인</t>
  </si>
  <si>
    <t>TC_VIO_1760</t>
  </si>
  <si>
    <t>1. 목록 table 하단 우측 리스트 수 선택기 확인</t>
  </si>
  <si>
    <t>`리스트 수` 라벨과 선택 값, 펼침 아이콘 `⌄` 로 구성된 선택기 표출
ㄴ 기획서 UI 값이 더미 `20` 표기 — 실 기본값과 선택 옵션은 실측 상태를 `실제 결과`에 기재</t>
  </si>
  <si>
    <t>TC_VIO_1761</t>
  </si>
  <si>
    <t>VIOE-03_02_05-15</t>
  </si>
  <si>
    <t>게이트웨이 클래스 생성 (기본 모드)</t>
  </si>
  <si>
    <t>게이트웨이 클래스 생성 화면(VIOE-03_02_05-15)에 진입한 직후 상태</t>
  </si>
  <si>
    <t>화면 헤더와 `모드` · `기본 정보` · `스펙` 입력 섹션, 하단 액션 버튼, 우측 가이드 패널로 구성된 게이트웨이 클래스 생성 화면 표출</t>
  </si>
  <si>
    <t>TC_VIO_1762</t>
  </si>
  <si>
    <t>`워크플로우 / 네트워크 / 게이트웨이 API / 게이트웨이 클래스 생성` 경로 표출</t>
  </si>
  <si>
    <t>TC_VIO_1763</t>
  </si>
  <si>
    <t>말단 마디 `게이트웨이 클래스 생성` 볼드, 앞 세 마디 회색 표출</t>
  </si>
  <si>
    <t>TC_VIO_1764</t>
  </si>
  <si>
    <t>게이트웨이 클래스 생성 화면에서 LNB `워크플로우` 가 확장된 상태</t>
  </si>
  <si>
    <t>TC_VIO_1765</t>
  </si>
  <si>
    <t>게이트웨이 클래스 생성 화면에 진입해 LNB `게이트웨이 API` 가 선택된 상태</t>
  </si>
  <si>
    <t>TC_VIO_1766</t>
  </si>
  <si>
    <t>TC_VIO_1767</t>
  </si>
  <si>
    <t>TC_VIO_1768</t>
  </si>
  <si>
    <t>TC_VIO_1769</t>
  </si>
  <si>
    <t>뒤로가기 아이콘 `←` 와 타이틀 `게이트웨이 클래스 생성` 표출</t>
  </si>
  <si>
    <t>TC_VIO_1770</t>
  </si>
  <si>
    <t>1. 생성 화면의 영역 배치 확인</t>
  </si>
  <si>
    <t>좌측 입력 폼 영역과 우측 가이드 패널, 하단 액션 버튼 영역으로 구성된 생성 화면 표출
ㄴ 준거 문서가 기획 미정의 — 세부 구성 일치 여부는 실측 상태를 `실제 결과`에 기재</t>
  </si>
  <si>
    <t>TC_VIO_1771</t>
  </si>
  <si>
    <t>1. 이 화면에 개별 정의되지 않은 입력 항목의 제공 여부 확인</t>
  </si>
  <si>
    <t>`모드 선택` · `클러스터` · `이름` · `레이블` 등 개별 정의되지 않은 항목이 기본 모드 공통 정의를 따라 표출</t>
  </si>
  <si>
    <t>TC_VIO_1772</t>
  </si>
  <si>
    <t>1. 입력 폼 영역의 섹션 구성 확인</t>
  </si>
  <si>
    <t>`모드` · `기본 정보` · `스펙` 3개 섹션이 이 순서로 표출</t>
  </si>
  <si>
    <t>TC_VIO_1773</t>
  </si>
  <si>
    <t>게이트웨이 클래스 생성 화면에 진입해 `모드 선택` 이 기본값 상태인 상태</t>
  </si>
  <si>
    <t>1. `모드` 섹션의 `모드 선택` 카드 구성과 선택 상태 확인</t>
  </si>
  <si>
    <t>`기본 모드` · `고급 모드` 카드 2개 표출, `기본 모드` 가 초록 외곽선과 채운 라디오로 선택 상태 표출</t>
  </si>
  <si>
    <t>TC_VIO_1774</t>
  </si>
  <si>
    <t>게이트웨이 클래스 생성 화면에서 `모드 선택` 이 `기본 모드` 인 상태</t>
  </si>
  <si>
    <t>1. `모드 선택` 의 `고급 모드` 카드 선택</t>
  </si>
  <si>
    <t>YAML 기반의 입력 화면으로 변경
ㄴ 전환 대상 화면 ID 가 기획 미정의 — 실측 상태를 `실제 결과`에 기재</t>
  </si>
  <si>
    <t>TC_VIO_1775</t>
  </si>
  <si>
    <t>필수 표시가 붙은 `클러스터` select 와 펼침 아이콘 `⌄` 표출
ㄴ 기획서 UI 값이 더미 토큰 표기 — 기본 선택값은 실측 상태를 `실제 결과`에 기재</t>
  </si>
  <si>
    <t>TC_VIO_1776</t>
  </si>
  <si>
    <t>필수 표시가 붙은 `이름` 입력 필드와 placeholder `이름을 입력해 주세요.` 표출</t>
  </si>
  <si>
    <t>TC_VIO_1777</t>
  </si>
  <si>
    <t>게이트웨이 클래스 생성 화면에 진입해 `클러스터` 를 선택하지 않은 상태</t>
  </si>
  <si>
    <t>1. `이름` 입력 필드의 기본 상태 확인</t>
  </si>
  <si>
    <t>`이름` 입력 필드 비활성 상태로 표출</t>
  </si>
  <si>
    <t>TC_VIO_1778</t>
  </si>
  <si>
    <t>1. `이름` 입력 필드 우측의 버튼 확인</t>
  </si>
  <si>
    <t>TC_VIO_1779</t>
  </si>
  <si>
    <t>1. `중복 확인` 버튼의 기본 상태 확인</t>
  </si>
  <si>
    <t>`중복 확인` 버튼 비활성 상태로 표출</t>
  </si>
  <si>
    <t>TC_VIO_1780</t>
  </si>
  <si>
    <t>`이름` 입력 필드에 입력할 수 있는 상태</t>
  </si>
  <si>
    <t>1. `이름` 에 마침표를 포함한 값 입력 시도</t>
  </si>
  <si>
    <t>마침표가 입력되지 않거나 입력값 정책 미충족으로 처리
ㄴ 거부 방식과 오류 문구가 기획 미정의 — 실측 상태를 `실제 결과`에 기재</t>
  </si>
  <si>
    <t>TC_VIO_1781</t>
  </si>
  <si>
    <t>1. `기본 정보` 섹션의 `레이블` 영역 확인</t>
  </si>
  <si>
    <t>`Key` · `Value` 헤더와 입력 행, 행 삭제 휴지통 아이콘, `+ 필드 추가` 링크 표출</t>
  </si>
  <si>
    <t>TC_VIO_1782</t>
  </si>
  <si>
    <t>1. 입력 폼 각 필드의 필수 표시 확인</t>
  </si>
  <si>
    <t>`모드 선택` · `클러스터` · `이름` · `컨트롤러` 4개 필드 라벨에 빨간 별표 표출, `레이블` 라벨에는 미표출</t>
  </si>
  <si>
    <t>TC_VIO_1783</t>
  </si>
  <si>
    <t>1. `스펙` 섹션의 `컨트롤러` 필드 확인</t>
  </si>
  <si>
    <t>필수 표시가 붙은 `컨트롤러` 입력 필드와 placeholder `컨트롤러를 입력해 주세요.` 표출</t>
  </si>
  <si>
    <t>TC_VIO_1784</t>
  </si>
  <si>
    <t>`컨트롤러` 입력 필드에 입력값 정책을 벗어난 값을 입력한 상태</t>
  </si>
  <si>
    <t>1. `컨트롤러` 입력값 정책 적용 여부 확인</t>
  </si>
  <si>
    <t>입력값 정책 미충족 상태로 처리
ㄴ 검증 시점이 기획 미정의 — 실측 상태를 `실제 결과`에 기재</t>
  </si>
  <si>
    <t>TC_VIO_1785</t>
  </si>
  <si>
    <t>게이트웨이 클래스 생성 화면 `스펙` 섹션의 `컨트롤러` 입력 필드에 커서를 둔 상태</t>
  </si>
  <si>
    <t>1. `컨트롤러` 에 도메인 접두사가 포함된 경로 형식으로 값 입력</t>
  </si>
  <si>
    <t>도메인과 경로를 슬래시로 이은 형식의 값이 정상 입력</t>
  </si>
  <si>
    <t>TC_VIO_1786</t>
  </si>
  <si>
    <t>1. `컨트롤러` 에 도메인 접두사가 없는 값 입력</t>
  </si>
  <si>
    <t>입력값 정책 미충족으로 처리
ㄴ 오류 문구와 검증 시점이 기획 미정의 — 실측 상태를 `실제 결과`에 기재</t>
  </si>
  <si>
    <t>TC_VIO_1787</t>
  </si>
  <si>
    <t>1. `컨트롤러` 에 영소문자만 포함한 값 입력</t>
  </si>
  <si>
    <t>영소문자가 정상 입력</t>
  </si>
  <si>
    <t>TC_VIO_1788</t>
  </si>
  <si>
    <t>1. `컨트롤러` 에 숫자를 포함한 값 입력</t>
  </si>
  <si>
    <t>숫자가 정상 입력</t>
  </si>
  <si>
    <t>TC_VIO_1789</t>
  </si>
  <si>
    <t>1. `컨트롤러` 에 슬래시를 포함한 값 입력</t>
  </si>
  <si>
    <t>슬래시가 정상 입력</t>
  </si>
  <si>
    <t>TC_VIO_1790</t>
  </si>
  <si>
    <t>1. `컨트롤러` 에 하이픈을 포함한 값 입력</t>
  </si>
  <si>
    <t>하이픈이 정상 입력</t>
  </si>
  <si>
    <t>TC_VIO_1791</t>
  </si>
  <si>
    <t>1. `컨트롤러` 에 언더바를 포함한 값 입력</t>
  </si>
  <si>
    <t>언더바가 정상 입력</t>
  </si>
  <si>
    <t>TC_VIO_1792</t>
  </si>
  <si>
    <t>1. `컨트롤러` 에 마침표를 포함한 값 입력</t>
  </si>
  <si>
    <t>마침표가 정상 입력</t>
  </si>
  <si>
    <t>TC_VIO_1793</t>
  </si>
  <si>
    <t>1. `컨트롤러` 에 입력 가능 문자 6종에 없는 특수문자 입력</t>
  </si>
  <si>
    <t>TC_VIO_1794</t>
  </si>
  <si>
    <t>1. `컨트롤러` 에 영대문자를 포함한 값 입력</t>
  </si>
  <si>
    <t>영대문자 입력에 대한 처리 결과 표출
ㄴ 거부인지 소문자 자동 변환인지 기획 미정의 — 실측 상태를 `실제 결과`에 기재</t>
  </si>
  <si>
    <t>TC_VIO_1795</t>
  </si>
  <si>
    <t>1. `컨트롤러` 에 1자 값 입력</t>
  </si>
  <si>
    <t>글자수 하한값 1자가 정상 입력</t>
  </si>
  <si>
    <t>TC_VIO_1796</t>
  </si>
  <si>
    <t>1. `컨트롤러` 에 253자 값 입력</t>
  </si>
  <si>
    <t>글자수 상한값 253자가 정상 입력</t>
  </si>
  <si>
    <t>TC_VIO_1797</t>
  </si>
  <si>
    <t>1. `컨트롤러` 에 254자 값 입력 시도</t>
  </si>
  <si>
    <t>254번째 글자부터 입력되지 않거나 글자수 제한 미충족으로 처리
ㄴ 초과 입력 차단 방식이 기획 미정의 — 실측 상태를 `실제 결과`에 기재</t>
  </si>
  <si>
    <t>TC_VIO_1798</t>
  </si>
  <si>
    <t>`컨트롤러` 입력 필드가 비어 있는 상태</t>
  </si>
  <si>
    <t>1. `컨트롤러` 를 비운 채 입력값 검증 시도</t>
  </si>
  <si>
    <t>글자수 하한 미충족으로 처리
ㄴ 검증 시점과 미입력 시 처리가 기획 미정의 — 실측 상태를 `실제 결과`에 기재</t>
  </si>
  <si>
    <t>TC_VIO_1799</t>
  </si>
  <si>
    <t>`컨트롤러` 에 입력값 정책을 미충족하는 값을 입력해 오류가 표출된 상태</t>
  </si>
  <si>
    <t>1. 표출된 오류 메시지 문구 확인</t>
  </si>
  <si>
    <t>오류 메시지 `“도메인을 포함한 경로(예: example.com/gateway-controller) 형태로 입력해 주세요.”` 표출</t>
  </si>
  <si>
    <t>TC_VIO_1800</t>
  </si>
  <si>
    <t>1. 화면 하단 액션 영역의 `취소` 버튼 확인</t>
  </si>
  <si>
    <t>텍스트 형태의 `취소` 버튼 표출</t>
  </si>
  <si>
    <t>TC_VIO_1801</t>
  </si>
  <si>
    <t>1. 화면 하단 액션 영역의 `생성` 버튼 확인</t>
  </si>
  <si>
    <t>초록 채움 형태의 `생성` 버튼 표출</t>
  </si>
  <si>
    <t>TC_VIO_1802</t>
  </si>
  <si>
    <t>1. 화면 우측 가이드 패널의 제목 확인</t>
  </si>
  <si>
    <t>가이드 패널 제목 `기본 모드 가이드` 표출</t>
  </si>
  <si>
    <t>TC_VIO_1803</t>
  </si>
  <si>
    <t>게이트웨이 클래스 생성 화면 우측 가이드 패널에서 `스펙` 아코디언만 펼쳐진 상태</t>
  </si>
  <si>
    <t>`모드 선택` · `기본 정보` · `스펙` 아코디언 3개 표출, `스펙` 만 펼침 상태로 표출</t>
  </si>
  <si>
    <t>TC_VIO_1804</t>
  </si>
  <si>
    <t>1. 펼쳐진 `스펙` 아코디언의 내용 확인</t>
  </si>
  <si>
    <t>항목명 `컨트롤러` 와 설명 문구 `해당 게이트웨이 클래스를 관리할 컨트롤러를 지정합니다.` 표출</t>
  </si>
  <si>
    <t>TC_VIO_1805</t>
  </si>
  <si>
    <t>VIOE-03_02_05-16</t>
  </si>
  <si>
    <t>게이트웨이 클래스 생성 (고급 모드)</t>
  </si>
  <si>
    <t>게이트웨이 클래스 생성 (고급 모드) 화면(VIOE-03_02_05-16)으로 진입한 직후 상태</t>
  </si>
  <si>
    <t>`모드` 섹션과 폼 본문 영역, 폼 하단 액션 버튼, 우측 `고급 모드 가이드` 패널로 구성된 게이트웨이 클래스 생성 화면 표출</t>
  </si>
  <si>
    <t>TC_VIO_1806</t>
  </si>
  <si>
    <t>TC_VIO_1807</t>
  </si>
  <si>
    <t>TC_VIO_1808</t>
  </si>
  <si>
    <t>TC_VIO_1809</t>
  </si>
  <si>
    <t>TC_VIO_1810</t>
  </si>
  <si>
    <t>`워크로드` · `네트워크` · `스토리지` 3개 표출, `네트워크` 만 확장 상태 표출</t>
  </si>
  <si>
    <t>TC_VIO_1811</t>
  </si>
  <si>
    <t>게이트웨이 클래스 생성 (고급 모드) 화면으로 진입해 LNB `게이트웨이 API` 가 선택된 상태</t>
  </si>
  <si>
    <t>TC_VIO_1812</t>
  </si>
  <si>
    <t>TC_VIO_1813</t>
  </si>
  <si>
    <t>TC_VIO_1814</t>
  </si>
  <si>
    <t>TC_VIO_1815</t>
  </si>
  <si>
    <t>TC_VIO_1816</t>
  </si>
  <si>
    <t>게이트웨이 클래스 생성 화면에서 `모드 선택` 이 `고급 모드` 인 상태</t>
  </si>
  <si>
    <t>1. 이 화면에 개별 정의되지 않은 항목의 제공 여부 확인</t>
  </si>
  <si>
    <t>`클러스터 선택` · `YAML 에디터 영역` · `YAML 유효성 검사` 등 개별 정의되지 않은 항목이 고급 모드 공통 정의를 따라 표출
ㄴ 준거 문서가 처리 범위 밖 화면이라 각 항목의 적용 결과는 실측 상태를 `실제 결과`에 기재</t>
  </si>
  <si>
    <t>TC_VIO_1817</t>
  </si>
  <si>
    <t>`모드` 섹션 1개만 표출</t>
  </si>
  <si>
    <t>TC_VIO_1818</t>
  </si>
  <si>
    <t>1. `모드` 섹션의 `모드 선택` 카드 구성 확인</t>
  </si>
  <si>
    <t>TC_VIO_1819</t>
  </si>
  <si>
    <t>`모드 선택` 라벨에만 빨간 별표 표출</t>
  </si>
  <si>
    <t>TC_VIO_1820</t>
  </si>
  <si>
    <t>`고급 모드` 카드가 초록 외곽선과 연초록 배경, 초록으로 채운 라디오로 선택 상태 표출</t>
  </si>
  <si>
    <t>TC_VIO_1821</t>
  </si>
  <si>
    <t>1. `모드 선택` 의 `기본 모드` 카드 선택</t>
  </si>
  <si>
    <t>입력 필드 기반의 생성 화면으로 변경
ㄴ 전환 대상 화면 ID 가 기획 미정의 — 실측 상태를 `실제 결과`에 기재</t>
  </si>
  <si>
    <t>TC_VIO_1822</t>
  </si>
  <si>
    <t>TC_VIO_1823</t>
  </si>
  <si>
    <t>1. 폼 본문 영역에서 클러스터 선택 필드의 제공 여부 확인</t>
  </si>
  <si>
    <t>클러스터 선택 필드 제공 여부와 기본 선택값 확인
ㄴ 기획 미정의 항목 — PASS/FAIL 판정 대신 실측 상태를 `실제 결과`에 기재</t>
  </si>
  <si>
    <t>TC_VIO_1824</t>
  </si>
  <si>
    <t>1. 폼 본문 영역에서 YAML 입력 에디터의 제공 여부 확인</t>
  </si>
  <si>
    <t>YAML 입력 에디터 제공 여부 확인
ㄴ 기획 미정의 항목 — PASS/FAIL 판정 대신 실측 상태를 `실제 결과`에 기재</t>
  </si>
  <si>
    <t>TC_VIO_1825</t>
  </si>
  <si>
    <t>1. 폼 본문 영역에서 YAML 유효성 검사 실행 수단의 제공 여부 확인</t>
  </si>
  <si>
    <t>YAML 유효성 검사 실행 수단 제공 여부와 실행 결과 확인
ㄴ 기획 미정의 항목 — PASS/FAIL 판정 대신 실측 상태를 `실제 결과`에 기재</t>
  </si>
  <si>
    <t>TC_VIO_1826</t>
  </si>
  <si>
    <t>1. YAML 유효성 검사 결과 메시지의 제공 여부 확인</t>
  </si>
  <si>
    <t>유효성 실행 안내 메시지와 검사 실행 후 성공·실패 결과 메시지 제공 여부 확인
ㄴ 기획 미정의 항목 — PASS/FAIL 판정 대신 실측 상태를 `실제 결과`에 기재</t>
  </si>
  <si>
    <t>TC_VIO_1827</t>
  </si>
  <si>
    <t>1. 폼 하단 액션 영역의 `취소` 버튼 확인</t>
  </si>
  <si>
    <t>TC_VIO_1828</t>
  </si>
  <si>
    <t>1. 폼 하단 액션 영역의 `생성` 버튼 확인</t>
  </si>
  <si>
    <t>`취소` 버튼 우측에 초록 채움 형태의 `생성` 버튼 표출</t>
  </si>
  <si>
    <t>TC_VIO_1829</t>
  </si>
  <si>
    <t>게이트웨이 클래스 생성 화면에서 `고급 모드` 를 선택하고 YAML 유효성 검사를 실행하지 않은 상태</t>
  </si>
  <si>
    <t>1. `생성` 버튼의 기본 상태 확인</t>
  </si>
  <si>
    <t>`생성` 버튼 비활성 상태로 표출</t>
  </si>
  <si>
    <t>TC_VIO_1830</t>
  </si>
  <si>
    <t>게이트웨이 클래스 생성 고급 모드 화면에서 YAML 유효성 검사가 성공한 상태</t>
  </si>
  <si>
    <t>1. YAML 유효성 검사 성공 후 `생성` 버튼 상태 확인</t>
  </si>
  <si>
    <t>`생성` 버튼 활성 상태로 전환
ㄴ 유효성 검사 실행 수단이 이 화면 mock 에 그려져 있지 않아 실행 경로는 실측 상태를 `실제 결과`에 기재</t>
  </si>
  <si>
    <t>TC_VIO_1831</t>
  </si>
  <si>
    <t>1. 폼 하단의 `생성` 클릭</t>
  </si>
  <si>
    <t>자원이 생성되고 목록 화면으로 이동
ㄴ 이동 대상 목록 화면 ID 가 기획 미정의 — 실측 상태를 `실제 결과`에 기재</t>
  </si>
  <si>
    <t>TC_VIO_1832</t>
  </si>
  <si>
    <t>1. 자원 생성이 실패하는 조건에서 `생성` 클릭</t>
  </si>
  <si>
    <t>오류 메시지 호출
ㄴ 오류 메시지 문구와 호출 형태가 기획 미정의 — 실측 상태를 `실제 결과`에 기재</t>
  </si>
  <si>
    <t>TC_VIO_1833</t>
  </si>
  <si>
    <t>게이트웨이 클래스 생성 (고급 모드) 화면에서 우측 `고급 모드 가이드` 패널이 표출된 상태</t>
  </si>
  <si>
    <t>TC_VIO_1834</t>
  </si>
  <si>
    <t>`YAML 설정` 아코디언 1개 표출, 펼침 아이콘 `⌄` 와 함께 펼쳐진 상태로 표출</t>
  </si>
  <si>
    <t>TC_VIO_1835</t>
  </si>
  <si>
    <t>게이트웨이 클래스 생성 (고급 모드) 화면 우측 `고급 모드 가이드` 패널에서 `YAML 설정` 아코디언이 펼쳐진 상태</t>
  </si>
  <si>
    <t>항목명 `apiVersion` 과 설명 `Kubernetes API 버전을 명시합니다. 리소스 종류에 따라 올바른 API 버전을 사용해야 합니다.` 표출</t>
  </si>
  <si>
    <t>TC_VIO_1836</t>
  </si>
  <si>
    <t>항목명 `kind` 와 설명 `생성하려는 리소스의 유형을 명시합니다.` 표출, 하위 항목과 예시 값 미표출</t>
  </si>
  <si>
    <t>TC_VIO_1837</t>
  </si>
  <si>
    <t>설명 `생성하려는 리소스의 메타데이터를 정의합니다.` 와 `name` · `labels` · `annotations` 3개 하위 항목 표출</t>
  </si>
  <si>
    <t>TC_VIO_1838</t>
  </si>
  <si>
    <t>1. 가이드 패널 `metadata` 하위 항목의 예시 값 표기 확인</t>
  </si>
  <si>
    <t>`name` 예시 `example`, `labels` 예시 `app: my-app` 과 `environment: production`, `annotations` 예시 `description: "resource for example"` 이 빨간 글자 칩으로 표출</t>
  </si>
  <si>
    <t>TC_VIO_1839</t>
  </si>
  <si>
    <t>설명 `생성하려는 리소스의 동작을 정의하는 주요 설정입니다.` 와 하위 항목 `controllername` 의 설명 `해당 게이트웨이 클래스를 관리할 컨트롤러를 지정합니다.`, 예시 `example.com/gateway-controller` 표출</t>
  </si>
  <si>
    <t>TC_VIO_1840</t>
  </si>
  <si>
    <t>1. 가이드 패널 `metadata` 하위 항목에서 `namespace` 도움말의 표출 여부 확인</t>
  </si>
  <si>
    <t>`namespace` 도움말 미표출</t>
  </si>
  <si>
    <t>TC_VIO_1841</t>
  </si>
  <si>
    <t>1. 가이드 패널 타이틀 줄에서 접기 버튼의 표출 여부 확인</t>
  </si>
  <si>
    <t>접기 버튼 미표출</t>
  </si>
  <si>
    <t>TC_VIO_1842</t>
  </si>
  <si>
    <t>VIOE-03_02_05-17</t>
  </si>
  <si>
    <t>게이트웨이 클래스 수정</t>
  </si>
  <si>
    <t>게이트웨이 클래스 수정 화면(VIOE-03_02_05-17)에 진입한 직후 상태</t>
  </si>
  <si>
    <t>화면 헤더와 본문 영역, 하단 액션 버튼, 우측 `고급 모드 가이드` 패널로 구성된 게이트웨이 클래스 수정 화면 표출</t>
  </si>
  <si>
    <t>TC_VIO_1843</t>
  </si>
  <si>
    <t>`워크플로우 / 네트워크 / 게이트웨이 API / 게이트웨이 클래스 수정` 경로 표출</t>
  </si>
  <si>
    <t>TC_VIO_1844</t>
  </si>
  <si>
    <t>말단 마디 `게이트웨이 클래스 수정` 볼드, 앞 세 마디 회색 표출</t>
  </si>
  <si>
    <t>TC_VIO_1845</t>
  </si>
  <si>
    <t>뒤로가기 아이콘 `←` 와 타이틀 `게이트웨이 클래스 수정` 표출</t>
  </si>
  <si>
    <t>TC_VIO_1846</t>
  </si>
  <si>
    <t>TC_VIO_1847</t>
  </si>
  <si>
    <t>TC_VIO_1848</t>
  </si>
  <si>
    <t>게이트웨이 클래스 수정 화면에 진입해 LNB `게이트웨이 API` 가 선택된 상태</t>
  </si>
  <si>
    <t>TC_VIO_1849</t>
  </si>
  <si>
    <t>TC_VIO_1850</t>
  </si>
  <si>
    <t>TC_VIO_1851</t>
  </si>
  <si>
    <t>TC_VIO_1852</t>
  </si>
  <si>
    <t>1. 수정 화면의 영역 배치 확인</t>
  </si>
  <si>
    <t>화면 헤더 아래에 본문 영역이 표출되고 본문 하단 우측에 액션 버튼 영역 표출
ㄴ 준거 문서가 기획 미정의 — 필수 검증·저장·이탈 처리는 실측 상태를 `실제 결과`에 기재</t>
  </si>
  <si>
    <t>TC_VIO_1853</t>
  </si>
  <si>
    <t>1. 화면 우측 가이드 패널의 제공 여부 확인</t>
  </si>
  <si>
    <t>화면 우측에 고급 모드 가이드 패널 표출
ㄴ 패널 본문이 기획서 mock 에서 생략 표기에 가려져 구성은 실측 상태를 `실제 결과`에 기재</t>
  </si>
  <si>
    <t>TC_VIO_1854</t>
  </si>
  <si>
    <t>1. 수정 화면 본문 영역의 구성 확인</t>
  </si>
  <si>
    <t>본문 영역 구성 확인
ㄴ 기획 미정의 항목 — PASS/FAIL 판정 대신 실측 상태를 `실제 결과`에 기재</t>
  </si>
  <si>
    <t>TC_VIO_1855</t>
  </si>
  <si>
    <t>TC_VIO_1856</t>
  </si>
  <si>
    <t>1. 화면 하단 액션 영역의 `수정` 버튼 확인</t>
  </si>
  <si>
    <t>`취소` 버튼 우측에 `수정` 버튼 표출
ㄴ 버튼의 초기 활성 여부가 기획 미정의 — 실측 상태를 `실제 결과`에 기재</t>
  </si>
  <si>
    <t>TC_VIO_1857</t>
  </si>
  <si>
    <t>게이트웨이 클래스 수정 화면에서 우측 `고급 모드 가이드` 패널이 표출된 상태</t>
  </si>
  <si>
    <t>1. 가이드 패널의 타이틀 확인</t>
  </si>
  <si>
    <t>TC_VIO_1858</t>
  </si>
  <si>
    <t>1. 가이드 패널 본문의 구성 확인</t>
  </si>
  <si>
    <t>TC_VIO_1859</t>
  </si>
  <si>
    <t>타이틀 줄에 접기 버튼 미표출</t>
  </si>
  <si>
    <t>TC_VIO_1860</t>
  </si>
  <si>
    <t>VIOE-03_02_05-18</t>
  </si>
  <si>
    <t>게이트웨이 클래스 상세 - 세부 정보</t>
  </si>
  <si>
    <t>게이트웨이 클래스 상세 화면(VIOE-03_02_05-18)에 진입한 직후 상태</t>
  </si>
  <si>
    <t>화면 헤더와 우상단 액션 버튼 영역, 좌측 `기본 정보` 패널, 탭 바와 탭 하단 정보 영역으로 구성된 게이트웨이 클래스 상세 화면 표출</t>
  </si>
  <si>
    <t>TC_VIO_1861</t>
  </si>
  <si>
    <t>`워크플로우 / 네트워크 / 게이트웨이 API / 게이트웨이 클래스 상세` 경로 표출</t>
  </si>
  <si>
    <t>TC_VIO_1862</t>
  </si>
  <si>
    <t>말단 마디 `게이트웨이 클래스 상세` 볼드, 앞 세 마디 회색 표출</t>
  </si>
  <si>
    <t>TC_VIO_1863</t>
  </si>
  <si>
    <t>뒤로가기 아이콘 `←` 와 조회 대상 리소스 이름 타이틀 표출
ㄴ 기획서 UI가 더미 플레이스홀더 표기 — 실 타이틀 문자열은 실측 상태를 `실제 결과`에 기재</t>
  </si>
  <si>
    <t>TC_VIO_1864</t>
  </si>
  <si>
    <t>TC_VIO_1865</t>
  </si>
  <si>
    <t>TC_VIO_1866</t>
  </si>
  <si>
    <t>게이트웨이 클래스 상세 화면에 진입해 LNB `게이트웨이 API` 가 선택된 상태</t>
  </si>
  <si>
    <t>TC_VIO_1867</t>
  </si>
  <si>
    <t>TC_VIO_1868</t>
  </si>
  <si>
    <t>TC_VIO_1869</t>
  </si>
  <si>
    <t>TC_VIO_1870</t>
  </si>
  <si>
    <t>1. 화면 우상단 액션 버튼 영역 확인</t>
  </si>
  <si>
    <t>화면 타이틀 우측에 액션 버튼 2개로 구성된 영역 표출</t>
  </si>
  <si>
    <t>TC_VIO_1871</t>
  </si>
  <si>
    <t>화면 헤더와 액션 버튼 영역, 좌측 정보 패널, 탭 바와 탭 하단 영역이 상세 화면 배치로 표출
ㄴ 준거 문서가 기획 미정의 — 공통 배치 규칙 적용 여부는 실측 상태를 `실제 결과`에 기재</t>
  </si>
  <si>
    <t>TC_VIO_1872</t>
  </si>
  <si>
    <t>1. 액션 버튼 2개의 라벨 확인</t>
  </si>
  <si>
    <t>`수정` 과 `삭제` 버튼이 이 순서로 표출</t>
  </si>
  <si>
    <t>TC_VIO_1873</t>
  </si>
  <si>
    <t>1. 액션 버튼 영역의 `수정` 버튼 확인</t>
  </si>
  <si>
    <t>회색 외곽선 텍스트 형태의 `수정` 버튼 표출</t>
  </si>
  <si>
    <t>TC_VIO_1874</t>
  </si>
  <si>
    <t>1. 액션 버튼 영역의 `수정` 클릭</t>
  </si>
  <si>
    <t>게이트웨이 클래스 수정 페이지로 이동
ㄴ 도착 화면 ID 가 기획 미정의 — 실측 상태를 `실제 결과`에 기재</t>
  </si>
  <si>
    <t>TC_VIO_1875</t>
  </si>
  <si>
    <t>1. 액션 버튼 영역의 `삭제` 버튼 확인</t>
  </si>
  <si>
    <t>회색 외곽선 안에 빨간 휴지통 아이콘과 빨간 텍스트로 구성된 `삭제` 버튼 표출</t>
  </si>
  <si>
    <t>TC_VIO_1876</t>
  </si>
  <si>
    <t>게이트웨이 클래스 상세 화면에서 해당 클래스의 연결 게이트웨이가 0건인 상태</t>
  </si>
  <si>
    <t>1. 액션 버튼 영역의 `삭제` 클릭</t>
  </si>
  <si>
    <t>삭제 팝업 호출
ㄴ 삭제 팝업의 구성과 문구가 기획 미정의 — 실측 상태를 `실제 결과`에 기재</t>
  </si>
  <si>
    <t>TC_VIO_1877</t>
  </si>
  <si>
    <t>게이트웨이 클래스 상세 화면에서 해당 클래스의 연결 게이트웨이가 1건 이상인 상태</t>
  </si>
  <si>
    <t>삭제되지 않고 삭제 불가 알림 팝업 호출
ㄴ 알림 팝업의 구성과 문구가 기획 미정의 — 실측 상태를 `실제 결과`에 기재</t>
  </si>
  <si>
    <t>TC_VIO_1878</t>
  </si>
  <si>
    <t>게이트웨이 클래스 상세 화면에서 `기본 정보` 패널이 펼쳐진 상태</t>
  </si>
  <si>
    <t>1. 콘텐츠 영역 좌측 패널의 제목 확인</t>
  </si>
  <si>
    <t>패널 제목 `기본 정보` 와 좌측 접기 아이콘 표출</t>
  </si>
  <si>
    <t>TC_VIO_1879</t>
  </si>
  <si>
    <t>1. `기본 정보` 패널의 필드 구성과 순서 확인</t>
  </si>
  <si>
    <t>`이름` · `상태` · `클러스터` · `레이블` · `컨트롤러` · `생성일시` 6개 필드가 이 순서로 표출</t>
  </si>
  <si>
    <t>TC_VIO_1880</t>
  </si>
  <si>
    <t>1. `기본 정보` 패널의 `이름` 필드 확인</t>
  </si>
  <si>
    <t>라벨 `이름` 과 값 표출
ㄴ 기획서 UI 값이 더미 플레이스홀더 표기 — 실 값은 실측 상태를 `실제 결과`에 기재</t>
  </si>
  <si>
    <t>TC_VIO_1881</t>
  </si>
  <si>
    <t>1. `기본 정보` 패널의 `상태` 필드 확인</t>
  </si>
  <si>
    <t>라벨 `상태` 와 배지 형태의 상태 값 표출
ㄴ 기획서 UI 값이 더미 표기 — 실 값은 실측 상태를 `실제 결과`에 기재</t>
  </si>
  <si>
    <t>TC_VIO_1882</t>
  </si>
  <si>
    <t>1. `기본 정보` 패널의 `클러스터` 필드 확인</t>
  </si>
  <si>
    <t>라벨 `클러스터` 와 값 표출
ㄴ 기획서 UI 값이 더미 플레이스홀더 표기 — 실 값은 실측 상태를 `실제 결과`에 기재</t>
  </si>
  <si>
    <t>TC_VIO_1883</t>
  </si>
  <si>
    <t>1. `기본 정보` 패널의 `레이블` 필드 확인</t>
  </si>
  <si>
    <t>라벨 `레이블` 과 칩 형태의 값 표출
ㄴ 기획서 UI 값이 더미 칩 표기 — 실 값과 개수는 실측 상태를 `실제 결과`에 기재</t>
  </si>
  <si>
    <t>TC_VIO_1884</t>
  </si>
  <si>
    <t>1. `기본 정보` 패널의 `컨트롤러` 필드 확인</t>
  </si>
  <si>
    <t>라벨 `컨트롤러` 와 값 표출
ㄴ 기획서 UI 값이 더미 플레이스홀더 표기 — 실 값은 실측 상태를 `실제 결과`에 기재</t>
  </si>
  <si>
    <t>TC_VIO_1885</t>
  </si>
  <si>
    <t>1. `기본 정보` 패널의 `생성일시` 필드와 값 형식 확인</t>
  </si>
  <si>
    <t>라벨 `생성일시` 와 `YYYY-MM-DD hh:mm:ss` 형식의 값 표출</t>
  </si>
  <si>
    <t>TC_VIO_1886</t>
  </si>
  <si>
    <t>1. 콘텐츠 영역의 탭 바 표출 확인</t>
  </si>
  <si>
    <t>`기본 정보` 패널 우측 영역 상단에 탭 바 표출</t>
  </si>
  <si>
    <t>TC_VIO_1887</t>
  </si>
  <si>
    <t>1. 탭 바의 탭 항목 확인</t>
  </si>
  <si>
    <t>`세부 정보` 와 `YAML` 탭 2개가 이 순서로 표출</t>
  </si>
  <si>
    <t>TC_VIO_1888</t>
  </si>
  <si>
    <t>1. 화면 진입 직후 선택된 탭 확인</t>
  </si>
  <si>
    <t>`세부 정보` 탭이 초록 텍스트와 하단 초록 실선으로 선택 상태 표출</t>
  </si>
  <si>
    <t>TC_VIO_1889</t>
  </si>
  <si>
    <t>게이트웨이 클래스 상세 화면에서 `세부 정보` 탭이 선택된 상태</t>
  </si>
  <si>
    <t>1. 선택된 탭에 따른 하단 영역 확인</t>
  </si>
  <si>
    <t>탭 하단 영역에 `세부 정보` 탭 고유 정보 표출</t>
  </si>
  <si>
    <t>TC_VIO_1890</t>
  </si>
  <si>
    <t>1. 탭 바의 `YAML` 탭 선택</t>
  </si>
  <si>
    <t>`YAML` 탭이 선택 상태로 전환되고 하단 영역이 `YAML` 탭 고유 정보로 전환</t>
  </si>
  <si>
    <t>TC_VIO_1891</t>
  </si>
  <si>
    <t>1. `세부 정보` 탭 하단 영역의 섹션 구성 확인</t>
  </si>
  <si>
    <t>`연결 게이트웨이` 섹션과 `상태` 섹션이 위에서 아래 순서로 표출</t>
  </si>
  <si>
    <t>TC_VIO_1892</t>
  </si>
  <si>
    <t>1. `YAML` 탭 선택 시 표출되는 정보 확인</t>
  </si>
  <si>
    <t>`YAML` 탭 고유 정보 표출
ㄴ 기획 미정의 항목 — PASS/FAIL 판정 대신 실측 상태를 `실제 결과`에 기재</t>
  </si>
  <si>
    <t>TC_VIO_1893</t>
  </si>
  <si>
    <t>1. 탭 하단 첫 번째 섹션의 제목 확인</t>
  </si>
  <si>
    <t>섹션 제목 `연결 게이트웨이` 표출</t>
  </si>
  <si>
    <t>TC_VIO_1894</t>
  </si>
  <si>
    <t>게이트웨이 클래스 상세 화면 `세부 정보` 탭에서 `연결 게이트웨이` 목록에 데이터가 1건 이상 있는 상태</t>
  </si>
  <si>
    <t>1. `연결 게이트웨이` 섹션의 목록 표출 확인</t>
  </si>
  <si>
    <t>해당 게이트웨이 클래스를 참조하는 게이트웨이 목록이 표 형태로 표출</t>
  </si>
  <si>
    <t>TC_VIO_1895</t>
  </si>
  <si>
    <t>1. `연결 게이트웨이` 테이블의 컬럼 구성 확인</t>
  </si>
  <si>
    <t>`이름` · `상태` · `게이트웨이 주소` 컬럼 3개가 이 순서로 표출</t>
  </si>
  <si>
    <t>TC_VIO_1896</t>
  </si>
  <si>
    <t>1. `연결 게이트웨이` 테이블 `이름` 컬럼 값의 표기 확인</t>
  </si>
  <si>
    <t>`이름` 컬럼 값이 밑줄 링크 형태로 표출
ㄴ 기획서 UI 값이 더미 표기 — 실 값과 긴 이름의 말줄임 여부는 실측 상태를 `실제 결과`에 기재</t>
  </si>
  <si>
    <t>TC_VIO_1897</t>
  </si>
  <si>
    <t>1. `연결 게이트웨이` 테이블 `상태` 컬럼 값의 표기 확인</t>
  </si>
  <si>
    <t>`상태` 컬럼 값이 배지 형태로 표출
ㄴ 기획서 UI 값이 더미 표기 — 실 값과 배지 색은 실측 상태를 `실제 결과`에 기재</t>
  </si>
  <si>
    <t>TC_VIO_1898</t>
  </si>
  <si>
    <t>1. `연결 게이트웨이` 테이블 하단의 요약과 페이지네이션 확인</t>
  </si>
  <si>
    <t>전체 건수 요약과 페이지 이동 컨트롤, 리스트 수 선택 컨트롤 표출
ㄴ 기획서 UI 값이 더미 숫자 표기 — 실 값은 실측 상태를 `실제 결과`에 기재</t>
  </si>
  <si>
    <t>TC_VIO_1899</t>
  </si>
  <si>
    <t>1. `연결 게이트웨이` 테이블 `이름` 컬럼 헤더의 정렬 아이콘 표출 여부 확인</t>
  </si>
  <si>
    <t>`이름` 컬럼 헤더에 정렬 아이콘 표출
ㄴ 정렬 제공 여부가 기획 미정의 — PASS/FAIL 판정 대신 실측 상태를 `실제 결과`에 기재</t>
  </si>
  <si>
    <t>TC_VIO_1900</t>
  </si>
  <si>
    <t>1. `연결 게이트웨이` 테이블 `상태` 컬럼 헤더의 툴팁 아이콘 확인</t>
  </si>
  <si>
    <t>`상태` 컬럼 헤더에 원형 물음표 툴팁 아이콘 표출</t>
  </si>
  <si>
    <t>TC_VIO_1901</t>
  </si>
  <si>
    <t>1. 탭 하단 두 번째 섹션의 제목 확인</t>
  </si>
  <si>
    <t>TC_VIO_1902</t>
  </si>
  <si>
    <t>게이트웨이 클래스 상세 화면 `세부 정보` 탭에서 `상태` 섹션이 표출된 상태</t>
  </si>
  <si>
    <t>1. `상태` 섹션의 테이블 구성 확인</t>
  </si>
  <si>
    <t>`유형` · `상태` · `업데이트 일시` · `이유` · `메시지` 컬럼 5개로 구성된 상태 정보 테이블 표출</t>
  </si>
  <si>
    <t>TC_VIO_1903</t>
  </si>
  <si>
    <t>1. `상태` 테이블 각 컬럼 헤더의 정렬 아이콘 표출 여부 확인</t>
  </si>
  <si>
    <t>`상태` 테이블 전 컬럼 헤더에 정렬 아이콘 미표출</t>
  </si>
  <si>
    <t>TC_VIO_1904</t>
  </si>
  <si>
    <t>1. `상태` 테이블 `상태` 컬럼 헤더의 툴팁 아이콘 확인 후 호버</t>
  </si>
  <si>
    <t>`상태` 컬럼 헤더에 원형 물음표 툴팁 아이콘이 표출되고 호버 시 툴팁 노출
ㄴ 툴팁 문구가 기획 미정의 — 실측 상태를 `실제 결과`에 기재</t>
  </si>
  <si>
    <t>TC_VIO_1905</t>
  </si>
  <si>
    <t>1. `상태` 테이블 데이터 행의 값 표기 확인</t>
  </si>
  <si>
    <t>`유형` 컬럼은 평문, `상태` 컬럼은 배지 형태로 표출
ㄴ 기획서 UI 값이 더미 표기 — 실 값은 실측 상태를 `실제 결과`에 기재</t>
  </si>
  <si>
    <t>TC_VIO_1906</t>
  </si>
  <si>
    <t>1. `상태` 테이블 `업데이트 일시` 컬럼 값의 형식 확인</t>
  </si>
  <si>
    <t>`YYYY-MM-DD hh:mm:ss` 형식의 값 표출</t>
  </si>
  <si>
    <t>TC_VIO_1907</t>
  </si>
  <si>
    <t>1. `상태` 테이블 `메시지` 컬럼 값의 표출 형태 확인</t>
  </si>
  <si>
    <t>긴 메시지가 여러 줄로 줄바꿈되어 표출되고 값 옆에 복사 아이콘 표출
ㄴ 기획서 UI 값이 더미 문구 표기 — 실 값은 실측 상태를 `실제 결과`에 기재</t>
  </si>
  <si>
    <t>TC_VIO_1908</t>
  </si>
  <si>
    <t>1. `기본 정보` 패널 좌측 경계의 접기 아이콘 확인</t>
  </si>
  <si>
    <t>패널 좌측에 접기 아이콘 표출</t>
  </si>
  <si>
    <t>TC_VIO_1909</t>
  </si>
  <si>
    <t>VIOE-03_02_05-19</t>
  </si>
  <si>
    <t>게이트웨이 클래스 상세 - YAML</t>
  </si>
  <si>
    <t>게이트웨이 클래스 상세 화면에서 `YAML` 탭이 선택된 상태</t>
  </si>
  <si>
    <t>화면 헤더와 우상단 액션 버튼 영역, 좌측 접힌 정보 패널, 탭 바와 탭 하단 코드 뷰어 영역으로 구성된 게이트웨이 클래스 상세 화면 표출</t>
  </si>
  <si>
    <t>TC_VIO_1910</t>
  </si>
  <si>
    <t>TC_VIO_1911</t>
  </si>
  <si>
    <t>TC_VIO_1912</t>
  </si>
  <si>
    <t>TC_VIO_1913</t>
  </si>
  <si>
    <t>TC_VIO_1914</t>
  </si>
  <si>
    <t>TC_VIO_1915</t>
  </si>
  <si>
    <t>게이트웨이 클래스 상세 화면에서 `YAML` 탭이 선택되고 LNB `게이트웨이 API` 가 선택된 상태</t>
  </si>
  <si>
    <t>TC_VIO_1916</t>
  </si>
  <si>
    <t>TC_VIO_1917</t>
  </si>
  <si>
    <t>TC_VIO_1918</t>
  </si>
  <si>
    <t>TC_VIO_1919</t>
  </si>
  <si>
    <t>1. 탭 바의 탭 구성과 선택 상태 확인</t>
  </si>
  <si>
    <t>`세부 정보` 와 `YAML` 탭 2개가 이 순서로 표출되고 `YAML` 탭이 초록 텍스트와 하단 초록 실선으로 선택 상태 표출</t>
  </si>
  <si>
    <t>TC_VIO_1920</t>
  </si>
  <si>
    <t>1. 탭 하단 영역의 내용 표출 확인</t>
  </si>
  <si>
    <t>탭 하단 영역에 해당 게이트웨이 클래스의 YAML 파일 내용 표출
ㄴ 기획서 UI mock 이 디자인 샘플 코드로 대체돼 있어 실 내용은 실측 상태를 `실제 결과`에 기재</t>
  </si>
  <si>
    <t>TC_VIO_1921</t>
  </si>
  <si>
    <t>1. 탭 하단 코드 뷰어 영역의 표출 형태 확인</t>
  </si>
  <si>
    <t>다크 배경의 코드 뷰어 블록과 좌측 라인 번호 열 표출
ㄴ 다크 테마와 라인 번호 제공 여부가 기획 미정의 — 실측 상태를 `실제 결과`에 기재</t>
  </si>
  <si>
    <t>TC_VIO_1922</t>
  </si>
  <si>
    <t>1. 코드 뷰어에 표출된 내용의 형식 확인</t>
  </si>
  <si>
    <t>표출 내용의 YAML 형식 여부 확인
ㄴ 기획 미정의 항목 — PASS/FAIL 판정 대신 실측 상태를 `실제 결과`에 기재</t>
  </si>
  <si>
    <t>TC_VIO_1923</t>
  </si>
  <si>
    <t>1. 코드 뷰어의 구문 강조 표출 확인</t>
  </si>
  <si>
    <t>주석·문자열·키워드·함수명이 서로 다른 색으로 구분되어 표출
ㄴ 구문 강조 제공 여부와 색 규칙이 기획 미정의 — 실측 상태를 `실제 결과`에 기재</t>
  </si>
  <si>
    <t>TC_VIO_1924</t>
  </si>
  <si>
    <t>1. 화면 우상단 액션 버튼 영역의 `수정` 버튼 확인</t>
  </si>
  <si>
    <t>`YAML` 탭 선택 상태에서도 회색 외곽선 텍스트 형태의 `수정` 버튼 표출</t>
  </si>
  <si>
    <t>TC_VIO_1925</t>
  </si>
  <si>
    <t>1. 화면 우상단 액션 버튼 영역의 `삭제` 버튼 확인</t>
  </si>
  <si>
    <t>`YAML` 탭 선택 상태에서도 빨간 휴지통 아이콘과 빨간 텍스트로 구성된 `삭제` 버튼 표출</t>
  </si>
  <si>
    <t>TC_VIO_1926</t>
  </si>
  <si>
    <t>게이트웨이 클래스 상세 화면에서 `YAML` 탭이 선택되고 `기본 정보` 패널이 접힌 상태</t>
  </si>
  <si>
    <t>1. 콘텐츠 영역 좌측의 `기본 정보` 패널 상태 확인</t>
  </si>
  <si>
    <t>패널 본문과 필드가 표출되지 않고 좌측 경계에 펼침 아이콘만 표출</t>
  </si>
  <si>
    <t>TC_VIO_1927</t>
  </si>
  <si>
    <t>게이트웨이 클래스 상세 화면 `세부 정보` 탭에서 `연결 게이트웨이` 와 `상태` 섹션이 표출되는 것을 확인한 뒤 `YAML` 탭을 선택한 상태</t>
  </si>
  <si>
    <t>1. `YAML` 탭 하단 영역에서 `연결 게이트웨이` 와 `상태` 섹션의 표출 여부 확인</t>
  </si>
  <si>
    <t>`연결 게이트웨이` 섹션과 `상태` 섹션 미표출</t>
  </si>
  <si>
    <t>TC_VIO_1928</t>
  </si>
  <si>
    <t>1. 탭 바의 `세부 정보` 탭 선택</t>
  </si>
  <si>
    <t>`세부 정보` 탭이 선택 상태로 전환되고 하단 영역이 `세부 정보` 탭 고유 정보로 전환</t>
  </si>
  <si>
    <t>TC_VIO_2320</t>
  </si>
  <si>
    <t>VIOE-04_04_01</t>
  </si>
  <si>
    <t>메뉴 구조</t>
  </si>
  <si>
    <t>`VIOLA` 로그인 후 LNB 메뉴 확인 가능 상태</t>
  </si>
  <si>
    <t>1. LNB `모니터링` 그룹 하위 메뉴 확인</t>
  </si>
  <si>
    <t>`통합 모니터링` 메뉴 항목 노출
ㄴ `모니터링` 직속 2 depth 위치에 표출</t>
  </si>
  <si>
    <t>TC_VIO_2321</t>
  </si>
  <si>
    <t>`VIOLA` 로그인 후 LNB `모니터링` 하위 메뉴 목록 확인 가능 상태</t>
  </si>
  <si>
    <t>1. LNB `모니터링` 하위 메뉴 순서 확인</t>
  </si>
  <si>
    <t>`통합 모니터링` 이 `모니터링` 하위 1번째(최상단)에 배치
ㄴ `통합 로그 조회` 보다 위에 위치</t>
  </si>
  <si>
    <t>TC_VIO_2322</t>
  </si>
  <si>
    <t>LNB `통합 모니터링` 메뉴 항목 노출 상태</t>
  </si>
  <si>
    <t>1. `통합 모니터링` 메뉴 항목 클릭</t>
  </si>
  <si>
    <t>이동 대상 화면 진입
ㄴ 기획 미정의 항목 — PASS/FAIL 판정 대신 실측 상태를 `실제 결과`에 기재</t>
  </si>
  <si>
    <t>TC_VIO_2323</t>
  </si>
  <si>
    <t>VIOE-04_05_01</t>
  </si>
  <si>
    <t>`통합 로그 조회` 메뉴 항목 노출
ㄴ `모니터링` 직속 2 depth 위치에 표출</t>
  </si>
  <si>
    <t>TC_VIO_2324</t>
  </si>
  <si>
    <t>`통합 로그 조회` 가 `모니터링` 하위 2번째에 배치
ㄴ `통합 모니터링` 다음, `이벤트` 앞에 위치</t>
  </si>
  <si>
    <t>TC_VIO_2325</t>
  </si>
  <si>
    <t>LNB `통합 로그 조회` 메뉴 항목 노출 상태</t>
  </si>
  <si>
    <t>1. `통합 로그 조회` 메뉴 항목 클릭</t>
  </si>
  <si>
    <t>TC_VIO_2326</t>
  </si>
  <si>
    <t>`VIOLA` 로그인 후 LNB `워크플로우` &gt; `네트워크` 그룹 확인 가능 상태</t>
  </si>
  <si>
    <t>1. LNB `워크플로우` &gt; `네트워크` 그룹 하위 메뉴 확인</t>
  </si>
  <si>
    <t>`게이트웨이 API` 메뉴 항목 노출
ㄴ `워크플로우` &gt; `네트워크` 하위 3 depth 위치, `API` 대문자 표기로 노출</t>
  </si>
  <si>
    <t>TC_VIO_2327</t>
  </si>
  <si>
    <t>`VIOLA` 로그인 후 LNB `네트워크` 하위 메뉴 목록 확인 가능 상태</t>
  </si>
  <si>
    <t>1. LNB `네트워크` 하위 메뉴 순서 확인</t>
  </si>
  <si>
    <t>`게이트웨이 API` 가 `네트워크` 하위 3번째에 배치
ㄴ `인그레스` 다음, `네트워크 폴리시` 앞에 위치</t>
  </si>
  <si>
    <t>TC_VIO_2328</t>
  </si>
  <si>
    <t>LNB `게이트웨이 API` 메뉴 항목 노출 상태</t>
  </si>
  <si>
    <t>1. `게이트웨이 API` 메뉴 항목 클릭</t>
  </si>
  <si>
    <t>TC_VIO_2329</t>
  </si>
  <si>
    <t>`외부 알람 설정` 메뉴 항목 노출
ㄴ `모니터링` 직속 2 depth 위치에 표출</t>
  </si>
  <si>
    <t>TC_VIO_2330</t>
  </si>
  <si>
    <t>`외부 알람 설정` 이 `모니터링` 하위 최하단(6번째)에 배치
ㄴ `GPU 대시보드` 다음에 위치</t>
  </si>
  <si>
    <t>TC_VIO_2331</t>
  </si>
  <si>
    <t>LNB `외부 알람 설정` 메뉴 항목 노출 상태</t>
  </si>
  <si>
    <t>1. `외부 알람 설정` 메뉴 항목 클릭</t>
  </si>
  <si>
    <t>TC_VIO_2332</t>
  </si>
  <si>
    <t>VIOE-00_00_05</t>
  </si>
  <si>
    <t>클러스터 선택 팝업</t>
  </si>
  <si>
    <t>`클러스터 관리` 권한 보유 클러스터 2개 이상인 계정으로 로그인한 상태</t>
  </si>
  <si>
    <t>1. `클러스터 선택` 팝업 진입</t>
  </si>
  <si>
    <t>`멀티 클러스터` 항목 표출</t>
  </si>
  <si>
    <t>TC_VIO_2333</t>
  </si>
  <si>
    <t>1. `클러스터 선택` 팝업에서 `멀티 클러스터` 항목 위치 확인</t>
  </si>
  <si>
    <t>목록 최상단에 고정 표출</t>
  </si>
  <si>
    <t>TC_VIO_2334</t>
  </si>
  <si>
    <t>1. `클러스터 선택` 팝업에서 `멀티 클러스터` 항목 확인</t>
  </si>
  <si>
    <t>즐겨찾기 아이콘과 함께 표출</t>
  </si>
  <si>
    <t>TC_VIO_2335</t>
  </si>
  <si>
    <t>`클러스터 관리` 권한 보유 클러스터가 0개인 계정으로 로그인한 상태</t>
  </si>
  <si>
    <t>`멀티 클러스터` 항목 노출 여부
ㄴ 기획 미정의 항목 — PASS/FAIL 판정 대신 실측 상태를 `실제 결과`에 기재</t>
  </si>
  <si>
    <t>TC_VIO_2336</t>
  </si>
  <si>
    <t>`클러스터 선택` 팝업에 `멀티 클러스터` 항목이 표출된 상태</t>
  </si>
  <si>
    <t>1. `멀티 클러스터` 항목 클릭</t>
  </si>
  <si>
    <t>멀티 클러스터 대시보드(VIOE-01_01_01)로 이동</t>
  </si>
  <si>
    <t>TC_VIO_2337</t>
  </si>
  <si>
    <t>특정 ROLE 권한이 부여된 계정으로 로그인, `클러스터 선택` 팝업 진입한 상태</t>
  </si>
  <si>
    <t>1. 특정 클러스터 클릭하여 대시보드 진입</t>
  </si>
  <si>
    <t>권한에 따른 메뉴·기능 제한 상태
ㄴ 기획 미정의 항목 — PASS/FAIL 판정 대신 실측 상태를 `실제 결과`에 기재</t>
  </si>
  <si>
    <t>TC_VIO_2338</t>
  </si>
  <si>
    <t>VIOE-00_00_04</t>
  </si>
  <si>
    <t>목록 화면 공통 정의</t>
  </si>
  <si>
    <t>테넌트 네비게이터에서 `멀티 클러스터` 선택한 상태</t>
  </si>
  <si>
    <t>1. 탭 메뉴가 있는 목록 화면 진입</t>
  </si>
  <si>
    <t>필터 영역(`전체`/클러스터 칩) 표출</t>
  </si>
  <si>
    <t>TC_VIO_2339</t>
  </si>
  <si>
    <t>테넌트 네비게이터에서 단일 클러스터 선택한 상태</t>
  </si>
  <si>
    <t>필터 영역 미제공</t>
  </si>
  <si>
    <t>TC_VIO_2340</t>
  </si>
  <si>
    <t>`멀티 클러스터` 선택 후 필터 영역이 표출된 목록 화면에 진입한 상태</t>
  </si>
  <si>
    <t>1. 필터 영역 초기 상태 확인</t>
  </si>
  <si>
    <t>`전체` 선택된 상태로 표출</t>
  </si>
  <si>
    <t>TC_VIO_2341</t>
  </si>
  <si>
    <t>`클러스터 관리` 권한이 일부 클러스터에만 있는 계정으로 로그인, `멀티 클러스터` 선택 후 목록 화면 진입한 상태</t>
  </si>
  <si>
    <t>1. 필터 옵션 목록 확인</t>
  </si>
  <si>
    <t>`클러스터 관리` 권한 보유 클러스터만 옵션으로 노출</t>
  </si>
  <si>
    <t>TC_VIO_2342</t>
  </si>
  <si>
    <t>`클러스터 관리` 권한 보유 클러스터가 1개인 계정으로 로그인한 상태</t>
  </si>
  <si>
    <t>`멀티 클러스터` 항목 미제공</t>
  </si>
  <si>
    <t>TC_VIO_2343</t>
  </si>
  <si>
    <t>통합 모니터링 - Overview</t>
  </si>
  <si>
    <t>통합 모니터링 Overview 진입 / 권한이 있는 클러스터 존재</t>
  </si>
  <si>
    <t>1. `개요` 영역의 클러스터 집계 대상 확인</t>
  </si>
  <si>
    <t>권한이 있는 클러스터만 집계 대상으로 포함</t>
  </si>
  <si>
    <t>TC_VIO_2344</t>
  </si>
  <si>
    <t>1. `개요` 영역의 상태값별 클러스터 개수 확인</t>
  </si>
  <si>
    <t>각 상태값별 클러스터 개수 표출</t>
  </si>
  <si>
    <t>TC_VIO_2345</t>
  </si>
  <si>
    <t>통합 모니터링 Overview 진입 / 특정 상태값에 해당하는 클러스터 0개</t>
  </si>
  <si>
    <t>1. 해당 상태값의 개수 확인</t>
  </si>
  <si>
    <t>해당 상태값 개수 표기 형태
ㄴ 기획 미정의 항목 — PASS/FAIL 판정 대신 실측 상태를 `실제 결과`에 기재</t>
  </si>
  <si>
    <t>TC_VIO_2346</t>
  </si>
  <si>
    <t>통합 모니터링 Overview 진입 / 전체 클러스터 조회 실패 상태</t>
  </si>
  <si>
    <t>1. Overview 화면 확인</t>
  </si>
  <si>
    <t>`No Data` 화면 표출</t>
  </si>
  <si>
    <t>TC_VIO_2347</t>
  </si>
  <si>
    <t>통합 모니터링 Overview에서 전체 클러스터 조회 실패로 `No Data` 화면이 표출된 상태</t>
  </si>
  <si>
    <t>1. `새로고침` 버튼 클릭</t>
  </si>
  <si>
    <t>클릭 후 동작
ㄴ 기획 미정의 항목 — PASS/FAIL 판정 대신 실측 상태를 `실제 결과`에 기재</t>
  </si>
  <si>
    <t>TC_VIO_2348</t>
  </si>
  <si>
    <t>통합 모니터링 Overview 진입 / 일부 클러스터 조회 실패 상태</t>
  </si>
  <si>
    <t>1. `개요` 영역 확인</t>
  </si>
  <si>
    <t>데이터 로드 실패 항목 추가 표출</t>
  </si>
  <si>
    <t>TC_VIO_2349</t>
  </si>
  <si>
    <t>통합 모니터링 Overview에서 일부 클러스터 조회 실패로 실패 아이콘이 표출된 상태</t>
  </si>
  <si>
    <t>1. 조회 실패한 클러스터 아이콘 호버</t>
  </si>
  <si>
    <t>툴팁 제공
ㄴ 기획 미정의 항목 — PASS/FAIL 판정 대신 실측 상태를 `실제 결과`에 기재</t>
  </si>
  <si>
    <t>TC_VIO_2350</t>
  </si>
  <si>
    <t>1. 조회 실패한 클러스터 아이콘 클릭</t>
  </si>
  <si>
    <t>팝오버 내 조회 실패한 데이터만 `No data` 로 표출</t>
  </si>
  <si>
    <t>TC_VIO_2351</t>
  </si>
  <si>
    <t>1. 팝오버의 `상세 보기` 버튼 상태 확인</t>
  </si>
  <si>
    <t>활성화 상태로 제공</t>
  </si>
  <si>
    <t>TC_VIO_2352</t>
  </si>
  <si>
    <t>팝오버에서 `상세 보기` 버튼이 활성화된 상태</t>
  </si>
  <si>
    <t>1. `상세 보기` 버튼 클릭</t>
  </si>
  <si>
    <t>상세 화면으로 이동 가능</t>
  </si>
  <si>
    <t>TC_VIO_2353</t>
  </si>
  <si>
    <t>클러스터 정보 팝오버</t>
  </si>
  <si>
    <t>통합 모니터링 Overview 진입 / 멀티 클러스터 맵에 클러스터 아이콘이 표출된 상태</t>
  </si>
  <si>
    <t>1. 멀티 클러스터 맵의 클러스터 아이콘 클릭</t>
  </si>
  <si>
    <t>클러스터 정보 팝오버 제공</t>
  </si>
  <si>
    <t>TC_VIO_2354</t>
  </si>
  <si>
    <t>VIOE-04_04_02</t>
  </si>
  <si>
    <t>통합 모니터링 - 클러스터 상세 (Default : 노드뷰)</t>
  </si>
  <si>
    <t>클러스터 상세 화면 진입 상태</t>
  </si>
  <si>
    <t>1. 리소스 사용률 프로그레스바 호버</t>
  </si>
  <si>
    <t>상세 툴팁 제공</t>
  </si>
  <si>
    <t>TC_VIO_2355</t>
  </si>
  <si>
    <t>리소스 사용률 프로그레스바 호버로 툴팁이 표출된 상태</t>
  </si>
  <si>
    <t>1. 툴팁 내 항목 구성 확인</t>
  </si>
  <si>
    <t>`CPU`·`메모리`·`파일시스템`·`GPU 메모리` 사용량 항목 표출</t>
  </si>
  <si>
    <t>TC_VIO_2356</t>
  </si>
  <si>
    <t>1. 뷰모드 토글 확인</t>
  </si>
  <si>
    <t>`노드뷰`/`네임스페이스뷰` 토글 표출</t>
  </si>
  <si>
    <t>TC_VIO_2357</t>
  </si>
  <si>
    <t>클러스터 상세 화면 진입 직후 상태</t>
  </si>
  <si>
    <t>1. 뷰모드 선택 상태 확인</t>
  </si>
  <si>
    <t>`노드뷰` 기본 선택 상태로 표출</t>
  </si>
  <si>
    <t>TC_VIO_2358</t>
  </si>
  <si>
    <t>클러스터 상세 화면에서 `노드뷰` 가 기본 선택된 상태</t>
  </si>
  <si>
    <t>1. `네임스페이스뷰` 탭 클릭</t>
  </si>
  <si>
    <t>전환 여부
ㄴ 기획 미정의 항목 — PASS/FAIL 판정 대신 실측 상태를 `실제 결과`에 기재</t>
  </si>
  <si>
    <t>TC_VIO_2359</t>
  </si>
  <si>
    <t>`네임스페이스 관리자` 권한 계정으로 로그인한 상태 / 클러스터 상세 화면 진입</t>
  </si>
  <si>
    <t>`노드 뷰` 미제공
ㄴ 기획 미정의 항목 — PASS/FAIL 판정 대신 실측 상태를 `실제 결과`에 기재</t>
  </si>
  <si>
    <t>TC_VIO_2360</t>
  </si>
  <si>
    <t>기본 선택 뷰
ㄴ 기획 미정의 항목 — PASS/FAIL 판정 대신 실측 상태를 `실제 결과`에 기재</t>
  </si>
  <si>
    <t>TC_VIO_2361</t>
  </si>
  <si>
    <t>VIOE-04_04_02-01</t>
  </si>
  <si>
    <t>통합 모니터링 - 클러스터 상세 (노드 상세 정보)</t>
  </si>
  <si>
    <t>노드 상세 패널 `로그` 탭 진입 상태 / 해당 클러스터가 Loki 미연결 상태</t>
  </si>
  <si>
    <t>1. `로그` 탭 확인</t>
  </si>
  <si>
    <t>Alert 표출</t>
  </si>
  <si>
    <t>TC_VIO_2362</t>
  </si>
  <si>
    <t>노드 상세 패널 `로그` 탭에서 Loki 미연결 Alert가 표출된 상태</t>
  </si>
  <si>
    <t>1. Alert 밴드 구성 요소 확인</t>
  </si>
  <si>
    <t>아이콘 · `연결 확인` 버튼 · `X` 닫기 버튼 표출</t>
  </si>
  <si>
    <t>TC_VIO_2363</t>
  </si>
  <si>
    <t>1. Alert 표출 상태의 로그 영역 확인</t>
  </si>
  <si>
    <t>로그 영역 상태
ㄴ 기획 미정의 항목 — PASS/FAIL 판정 대신 실측 상태를 `실제 결과`에 기재</t>
  </si>
  <si>
    <t>TC_VIO_2364</t>
  </si>
  <si>
    <t>1. Alert의 `X` 버튼 클릭</t>
  </si>
  <si>
    <t>닫기 후 동작
ㄴ 기획 미정의 항목 — PASS/FAIL 판정 대신 실측 상태를 `실제 결과`에 기재</t>
  </si>
  <si>
    <t>TC_VIO_2365</t>
  </si>
  <si>
    <t>1. `연결 확인` 버튼 클릭</t>
  </si>
  <si>
    <t>표출되는 클러스터의 연결 정보 수정 화면(VIOE-02_01_01-08)으로 이동</t>
  </si>
  <si>
    <t>TC_VIO_2366</t>
  </si>
  <si>
    <t>VIOE-04_04_02-02</t>
  </si>
  <si>
    <t>통합 모니터링 - 클러스터 상세 (네임스페이스 뷰)</t>
  </si>
  <si>
    <t>해당 클러스터에 `네임스페이스 관리` 권한만 부여된 계정으로 로그인한 상태</t>
  </si>
  <si>
    <t>1. 해당 클러스터 상세 화면 진입</t>
  </si>
  <si>
    <t>클러스터 상세 (네임스페이스 뷰) 화면(VIOE-04_04_02-02)으로 진입</t>
  </si>
  <si>
    <t>TC_VIO_2367</t>
  </si>
  <si>
    <t>`네임스페이스 관리` 권한만 부여된 계정으로 로그인 후 클러스터 상세 (네임스페이스 뷰) 화면 진입한 상태</t>
  </si>
  <si>
    <t>1. 상단 뷰 전환 탭 선택 상태 확인</t>
  </si>
  <si>
    <t>`네임스페이스뷰` 탭 선택 상태 표출</t>
  </si>
  <si>
    <t>TC_VIO_2368</t>
  </si>
  <si>
    <t>1. `노드뷰` 탭 노출 상태 확인</t>
  </si>
  <si>
    <t>`노드뷰` 탭 노출 상태
ㄴ 기획 미정의 항목 — PASS/FAIL 판정 대신 실측 상태를 `실제 결과`에 기재</t>
  </si>
  <si>
    <t>TC_VIO_2369</t>
  </si>
  <si>
    <t>VIOE-04_04_03</t>
  </si>
  <si>
    <t>통합 모니터링 - 리소스맵</t>
  </si>
  <si>
    <t>리소스맵 화면 진입 / `리소스` 필터 드롭다운 오픈 상태</t>
  </si>
  <si>
    <t>1. 필터 목록에서 `파드` 항목 체크 해제 시도</t>
  </si>
  <si>
    <t>`파드` 선택 해제 불가</t>
  </si>
  <si>
    <t>TC_VIO_2370</t>
  </si>
  <si>
    <t>1. 필터 목록에서 `파드` 항목 체크박스 상태 확인</t>
  </si>
  <si>
    <t>`파드` 체크박스 비활성(회색) 상태 표출</t>
  </si>
  <si>
    <t>TC_VIO_2371</t>
  </si>
  <si>
    <t>1. 필터 목록 상단 `전체` 체크박스 해제</t>
  </si>
  <si>
    <t>`파드` 체크 상태
ㄴ 기획 미정의 항목 — PASS/FAIL 판정 대신 실측 상태를 `실제 결과`에 기재</t>
  </si>
  <si>
    <t>TC_VIO_2372</t>
  </si>
  <si>
    <t>특정 파드 클릭을 통해 리소스맵 화면 진입한 상태</t>
  </si>
  <si>
    <t>1. 리소스맵에 표출된 리소스 확인</t>
  </si>
  <si>
    <t>진입한 파드 기준으로 상위/연관 리소스 표출</t>
  </si>
  <si>
    <t>TC_VIO_2373</t>
  </si>
  <si>
    <t>1. 표출된 상위 리소스에 속한 하위 리소스 확인</t>
  </si>
  <si>
    <t>상위 리소스에 속한 하위 리소스 표출</t>
  </si>
  <si>
    <t>TC_VIO_2374</t>
  </si>
  <si>
    <t>특정 파드 클릭을 통해 리소스맵 화면 진입한 상태 / 진입한 파드와 무관한 파드에 연관된 하위 리소스가 존재하는 상태</t>
  </si>
  <si>
    <t>1. 진입한 파드 이외의 파드에 연관된 하위 리소스 표출 여부 확인</t>
  </si>
  <si>
    <t>진입한 파드 이외의 파드에 연관된 하위 리소스 미표출</t>
  </si>
  <si>
    <t>TC_VIO_2375</t>
  </si>
  <si>
    <t>특정 파드 클릭을 통해 리소스맵 화면 진입한 상태 / 동일 line 내 리소스 2개 이상 표출된 상태</t>
  </si>
  <si>
    <t>1. 동일 line 내 배치된 리소스들의 정렬 순서 확인</t>
  </si>
  <si>
    <t>유형 순(리소스 필터 표출 순) 정렬
ㄴ 유형 동일 시 이름 기준 오름차순 정렬</t>
  </si>
  <si>
    <t>TC_VIO_2376</t>
  </si>
  <si>
    <t>VIOE-04_04_03-01</t>
  </si>
  <si>
    <t>통합 모니터링 - 리소스맵 (우측 패널 닫힘)</t>
  </si>
  <si>
    <t>리소스맵에서 리소스 선택 후 `리소스 정보` 패널 표출 상태</t>
  </si>
  <si>
    <t>1. `리소스 정보` 패널의 `닫기` 클릭</t>
  </si>
  <si>
    <t>직전 선택 리소스에 `selected` 표시 미표출</t>
  </si>
  <si>
    <t>TC_VIO_2377</t>
  </si>
  <si>
    <t>우측 패널 닫힌 영역 만큼 리소스맵 화면이 우측으로 이동</t>
  </si>
  <si>
    <t>TC_VIO_2378</t>
  </si>
  <si>
    <t>리소스맵에서 `파드` 외 리소스 유형(예: 디플로이먼트)을 `리소스` 필터로 조회 중인 상태</t>
  </si>
  <si>
    <t>1. 조회 중인 `리소스` 필터 해제</t>
  </si>
  <si>
    <t>조회 중이던 리소스 패널 닫힘 후 리소스맵 화면(우측 패널 닫힘)으로 랜딩</t>
  </si>
  <si>
    <t>TC_VIO_2379</t>
  </si>
  <si>
    <t>통합 모니터링 - 리소스맵 - 리소스 정보 상세</t>
  </si>
  <si>
    <t>리소스맵 &gt; 파드 선택 &gt; `리소스 정보` 패널 표출 상태</t>
  </si>
  <si>
    <t>1. `터미널 실행` 버튼 클릭</t>
  </si>
  <si>
    <t>새 창에서 터미널 실행
ㄴ 팝업 title `터미널 - 파드 {pod-name}` 표출</t>
  </si>
  <si>
    <t>TC_VIO_2380</t>
  </si>
  <si>
    <t>리소스맵 &gt; 파드 선택 &gt; `리소스 정보` &gt; `네트워크` 탭 진입, 연결 리소스 목록에 서비스 유형 존재</t>
  </si>
  <si>
    <t>1. 연결 리소스 목록에서 서비스 `이름` 클릭</t>
  </si>
  <si>
    <t>해당 서비스 상세 화면(`VIOE-03_02_01-05`)으로 이동</t>
  </si>
  <si>
    <t>TC_VIO_2381</t>
  </si>
  <si>
    <t>리소스맵 &gt; 파드 선택 &gt; `리소스 정보` &gt; `네트워크` 탭 진입, 연결 리소스 목록에 인그레스 유형 존재</t>
  </si>
  <si>
    <t>1. 연결 리소스 목록에서 인그레스 `이름` 클릭</t>
  </si>
  <si>
    <t>해당 인그레스 상세 화면(`VIOE-03_02_02-05`)으로 이동</t>
  </si>
  <si>
    <t>TC_VIO_2382</t>
  </si>
  <si>
    <t>리소스맵 &gt; 서비스 선택 &gt; `리소스 정보` &gt; `네트워크` 탭 진입, 연결 리소스 목록 존재</t>
  </si>
  <si>
    <t>1. 연결 리소스 목록에서 `이름` 클릭</t>
  </si>
  <si>
    <t>TC_VIO_2383</t>
  </si>
  <si>
    <t>리소스맵 &gt; 인그레스 선택 &gt; `리소스 정보` &gt; `네트워크` 탭 진입, 연결 리소스 목록 존재</t>
  </si>
  <si>
    <t>TC_VIO_2384</t>
  </si>
  <si>
    <t>리소스맵 &gt; 게이트웨이 선택 &gt; `리소스 정보` &gt; `네트워크` 탭 진입, 연결 리소스 목록 존재</t>
  </si>
  <si>
    <t>TC_VIO_2385</t>
  </si>
  <si>
    <t>리소스맵 &gt; HTTP라우트 선택 &gt; `리소스 정보` &gt; `네트워크` 탭 진입, 연결 리소스 목록 존재</t>
  </si>
  <si>
    <t>TC_VIO_2386</t>
  </si>
  <si>
    <t>리소스맵 &gt; 레플리카셋 선택 &gt; `리소스 정보` &gt; `세부 정보` 탭 진입</t>
  </si>
  <si>
    <t>1. `세부 정보` &gt; `리소스(Default)` 확인</t>
  </si>
  <si>
    <t>`리소스별 사용량` 영역 미제공</t>
  </si>
  <si>
    <t>TC_VIO_2387</t>
  </si>
  <si>
    <t>리소스맵 &gt; `레플리카셋` 선택 &gt; `리소스 정보` &gt; `세부 정보` 탭 진입</t>
  </si>
  <si>
    <t>TC_VIO_2388</t>
  </si>
  <si>
    <t>VIOE-04_04_04</t>
  </si>
  <si>
    <t>통합 모니터링 - 트래픽 모니터링</t>
  </si>
  <si>
    <t>트래픽 모니터링 맵 진입 / 리소스 데이터 조회 자체가 불가능한 상태</t>
  </si>
  <si>
    <t>1. 트래픽 모니터링 화면 확인</t>
  </si>
  <si>
    <t>TC_VIO_2389</t>
  </si>
  <si>
    <t>1. 표출된 `No Data` 화면 구성 확인</t>
  </si>
  <si>
    <t>`VIOE-04_04_01` &gt; `2-2` 항목과 동일한 `No Data` 화면 구성으로 제공</t>
  </si>
  <si>
    <t>TC_VIO_2390</t>
  </si>
  <si>
    <t>트래픽 모니터링 맵에 동일 네임스페이스에 속한 리소스가 다수 존재하는 상태</t>
  </si>
  <si>
    <t>1. 트래픽 모니터링 맵 확인</t>
  </si>
  <si>
    <t>동일 네임스페이스 소속 리소스가 하나의 그룹 박스로 표출
ㄴ 네임스페이스명 라벨 표출</t>
  </si>
  <si>
    <t>TC_VIO_2391</t>
  </si>
  <si>
    <t>트래픽 모니터링 맵에 서로 다른 네임스페이스에 속한 리소스가 각각 존재하는 상태</t>
  </si>
  <si>
    <t>네임스페이스별로 별도의 그룹 박스로 구분되어 표출</t>
  </si>
  <si>
    <t>TC_VIO_2392</t>
  </si>
  <si>
    <t>통신선의 트래픽양이 전체 평균값 대비 100~70% 구간</t>
  </si>
  <si>
    <t>1. 해당 통신선 line weight 확인</t>
  </si>
  <si>
    <t>`상` 굵기로 표출</t>
  </si>
  <si>
    <t>TC_VIO_2393</t>
  </si>
  <si>
    <t>통신선의 트래픽양이 전체 평균값 대비 70~30% 구간</t>
  </si>
  <si>
    <t>`중` 굵기로 표출</t>
  </si>
  <si>
    <t>TC_VIO_2394</t>
  </si>
  <si>
    <t>통신선의 트래픽양이 전체 평균값 대비 30~0% 구간</t>
  </si>
  <si>
    <t>`하` 굵기로 표출</t>
  </si>
  <si>
    <t>TC_VIO_2395</t>
  </si>
  <si>
    <t>통신선의 트래픽량 수집값이 없는 상태</t>
  </si>
  <si>
    <t>TC_VIO_2396</t>
  </si>
  <si>
    <t>트래픽 모니터링 맵 진입 상태</t>
  </si>
  <si>
    <t>1. 특정 트래픽 통신선 클릭</t>
  </si>
  <si>
    <t>하단 `트래픽 현황 Table` 의 해당 행 `selected` 표시</t>
  </si>
  <si>
    <t>TC_VIO_2397</t>
  </si>
  <si>
    <t>트래픽 모니터링 맵에서 특정 통신선을 클릭한 상태</t>
  </si>
  <si>
    <t>1. 우측 패널(`3-1` 영역) 확인</t>
  </si>
  <si>
    <t>클릭한 트래픽에 대한 세부 정보 표출</t>
  </si>
  <si>
    <t>TC_VIO_2398</t>
  </si>
  <si>
    <t>우측 패널에 세부 정보가 표출된 상세 화면(`VIOE-04_04_04-01`)으로 전환</t>
  </si>
  <si>
    <t>TC_VIO_2399</t>
  </si>
  <si>
    <t>1. 트래픽 현황 영역의 `설정` 버튼 클릭</t>
  </si>
  <si>
    <t>`트래픽 모니터링 설정` 팝업 호출</t>
  </si>
  <si>
    <t>TC_VIO_2400</t>
  </si>
  <si>
    <t>트래픽 모니터링 설정 팝업</t>
  </si>
  <si>
    <t>`트래픽 모니터링 설정` 팝업이 호출된 상태</t>
  </si>
  <si>
    <t>1. 팝업 구성 요소 확인</t>
  </si>
  <si>
    <t>타이틀·안내 문구·`기준 값` 입력(기본값 `100`)·`-`/`+` 스테퍼·단위 `ms`·`취소`/`적용` 버튼 표출</t>
  </si>
  <si>
    <t>TC_VIO_2401</t>
  </si>
  <si>
    <t>`기준 값` 에 설정한 값을 트래픽 평균 처리 시간이 초과한 상태</t>
  </si>
  <si>
    <t>1. 트래픽 현황 Table 의 해당 트래픽 `상태` 확인</t>
  </si>
  <si>
    <t>`LATENCY` 상태로 표출</t>
  </si>
  <si>
    <t>TC_VIO_2402</t>
  </si>
  <si>
    <t>`트래픽 모니터링 설정` 팝업에서 `기준 값` 을 변경한 상태</t>
  </si>
  <si>
    <t>1. `적용` 버튼 클릭</t>
  </si>
  <si>
    <t>현재 조회 중인 클러스터에 변경된 설정값 적용</t>
  </si>
  <si>
    <t>TC_VIO_2403</t>
  </si>
  <si>
    <t>트래픽 현황 Table 이 표출된 상태</t>
  </si>
  <si>
    <t>1. `상태` 컬럼 마우스 호버</t>
  </si>
  <si>
    <t>TC_VIO_2404</t>
  </si>
  <si>
    <t>트래픽 현황 Table `상태` 컬럼에 툴팁이 표출된 상태</t>
  </si>
  <si>
    <t>1. 마우스 호버 해제</t>
  </si>
  <si>
    <t>툴팁 미노출</t>
  </si>
  <si>
    <t>TC_VIO_2405</t>
  </si>
  <si>
    <t>VIOE-04_04_04-01</t>
  </si>
  <si>
    <t>통합 모니터링 - 트래픽 모니터링 (트래픽 상세)</t>
  </si>
  <si>
    <t>트래픽 상세 우측 패널 `세부 정보` 탭에서 `패킷 전송 현황` 그래프 확인 중</t>
  </si>
  <si>
    <t>1. `패킷 전송 현황` 그래프의 데이터 타임라인 단위 확인</t>
  </si>
  <si>
    <t>1분 단위 데이터 타임라인으로 표출</t>
  </si>
  <si>
    <t>TC_VIO_2406</t>
  </si>
  <si>
    <t>1. `패킷 전송 현황` 그래프의 x축 확인</t>
  </si>
  <si>
    <t>x축 10분 단위로 표출</t>
  </si>
  <si>
    <t>TC_VIO_2407</t>
  </si>
  <si>
    <t>1. `패킷 전송 현황` 그래프의 y축 단위 확인</t>
  </si>
  <si>
    <t>y축 단위 표출
ㄴ 기획 미정의 항목 — PASS/FAIL 판정 대신 실측 상태를 `실제 결과`에 기재</t>
  </si>
  <si>
    <t>TC_VIO_2408</t>
  </si>
  <si>
    <t>`패킷 드롭 현황 테이블`에 패킷 드롭 이력이 5건 이하 존재</t>
  </si>
  <si>
    <t>1. `패킷 드롭 현황 테이블` 확인</t>
  </si>
  <si>
    <t>전체 이력 표출</t>
  </si>
  <si>
    <t>TC_VIO_2409</t>
  </si>
  <si>
    <t>`패킷 드롭 현황 테이블`에 패킷 드롭 이력이 6건 이상 존재</t>
  </si>
  <si>
    <t>최대 5건까지만 표출</t>
  </si>
  <si>
    <t>TC_VIO_2410</t>
  </si>
  <si>
    <t>패킷 드롭 이력의 `메시지` 내용이 2줄 이내</t>
  </si>
  <si>
    <t>1. `메시지` 컬럼 확인</t>
  </si>
  <si>
    <t>전문 표출</t>
  </si>
  <si>
    <t>TC_VIO_2411</t>
  </si>
  <si>
    <t>패킷 드롭 이력의 `메시지` 내용이 2줄 초과</t>
  </si>
  <si>
    <t>2줄까지 표출 후 말줄임(`...`) 처리</t>
  </si>
  <si>
    <t>TC_VIO_2412</t>
  </si>
  <si>
    <t>트래픽 상세 우측 패널 `세부 정보` 탭에서 `트래픽량` 그래프 확인 중</t>
  </si>
  <si>
    <t>1. `트래픽량` 그래프의 데이터 타임라인 단위 확인</t>
  </si>
  <si>
    <t>TC_VIO_2413</t>
  </si>
  <si>
    <t>1. `트래픽량` 그래프의 x축 확인</t>
  </si>
  <si>
    <t>TC_VIO_2414</t>
  </si>
  <si>
    <t>1. `트래픽량` 그래프의 y축 단위 확인</t>
  </si>
  <si>
    <t>`KBps` 단위 표출</t>
  </si>
  <si>
    <t>TC_VIO_2415</t>
  </si>
  <si>
    <t>트래픽 상세 우측 패널 `세부 정보` 탭에서 `트래픽 처리 시간` 그래프 확인 중</t>
  </si>
  <si>
    <t>1. `트래픽 처리 시간` 그래프의 데이터 타임라인 단위 확인</t>
  </si>
  <si>
    <t>TC_VIO_2416</t>
  </si>
  <si>
    <t>1. `트래픽 처리 시간` 그래프의 x축 확인</t>
  </si>
  <si>
    <t>TC_VIO_2417</t>
  </si>
  <si>
    <t>1. `트래픽 처리 시간` 그래프의 y축 단위 확인</t>
  </si>
  <si>
    <t>TC_VIO_2418</t>
  </si>
  <si>
    <t>VIOE-03_01_01-01</t>
  </si>
  <si>
    <t>파드 목록</t>
  </si>
  <si>
    <t>파드 목록 화면 진입</t>
  </si>
  <si>
    <t>1. 목록 테이블 `상태` 컬럼 값 확인</t>
  </si>
  <si>
    <t>`상태` 값이 tag 형태로 표출
ㄴ icon + text 조합 미표출</t>
  </si>
  <si>
    <t>TC_VIO_2419</t>
  </si>
  <si>
    <t>1. 행의 `작업` 컬럼 `...` 메뉴 클릭</t>
  </si>
  <si>
    <t>`터미널 실행` `수정` `삭제` 메뉴 항목 표출
ㄴ `터미널 실행` 신규 추가</t>
  </si>
  <si>
    <t>TC_VIO_2420</t>
  </si>
  <si>
    <t>1. `작업` 메뉴에서 `터미널 실행` 클릭</t>
  </si>
  <si>
    <t>새 창으로 터미널 실행</t>
  </si>
  <si>
    <t>TC_VIO_2421</t>
  </si>
  <si>
    <t>파드 목록 화면 진입, 파드 상태가 `RUNNING`이 아닌 경우</t>
  </si>
  <si>
    <t>1. 해당 파드 행의 `작업` 메뉴에서 `터미널 실행` 항목 상태 확인</t>
  </si>
  <si>
    <t>ㄴ 기획 미정의 항목 — PASS/FAIL 판정 대신 실측 상태를 `실제 결과`에 기재</t>
  </si>
  <si>
    <t>TC_VIO_2422</t>
  </si>
  <si>
    <t>VIOE-03_01_01-05</t>
  </si>
  <si>
    <t>파드 상세 - 리소스</t>
  </si>
  <si>
    <t>파드 상세 화면(리소스 탭) 진입</t>
  </si>
  <si>
    <t>1. 상단 액션 영역 버튼 구성 확인</t>
  </si>
  <si>
    <t>`터미널 실행` `수정` `삭제` 버튼 표출
ㄴ `터미널 실행` 신규 추가</t>
  </si>
  <si>
    <t>TC_VIO_2423</t>
  </si>
  <si>
    <t>TC_VIO_2424</t>
  </si>
  <si>
    <t>1. 3-1 컨테이너 테이블 `재시작` 컬럼 헤더 확인</t>
  </si>
  <si>
    <t>sort 컨트롤 표출</t>
  </si>
  <si>
    <t>TC_VIO_2425</t>
  </si>
  <si>
    <t>1. 3-1 컨테이너 테이블 `재시작` 컬럼 헤더 클릭</t>
  </si>
  <si>
    <t>`재시작` 컬럼 기준으로 정렬 적용</t>
  </si>
  <si>
    <t>TC_VIO_2426</t>
  </si>
  <si>
    <t>1. 기본 정보 `상태` 값 확인</t>
  </si>
  <si>
    <t>`상태` 값이 tag 형태로 표출</t>
  </si>
  <si>
    <t>TC_VIO_2427</t>
  </si>
  <si>
    <t>1. 기본 정보 `노드` 값 확인</t>
  </si>
  <si>
    <t>`노드` 값이 link button 형태로 표출</t>
  </si>
  <si>
    <t>TC_VIO_2428</t>
  </si>
  <si>
    <t>1. 기본 정보 `노드` 값(link button) 클릭</t>
  </si>
  <si>
    <t>노드 상세 화면(VIOE-02_01_02-02)으로 이동</t>
  </si>
  <si>
    <t>TC_VIO_2429</t>
  </si>
  <si>
    <t>1. 3-2 볼륨 테이블 컬럼 구성 확인</t>
  </si>
  <si>
    <t>`컨테이너` 컬럼 표출
ㄴ `이름`·`마운트 경로`·`하위 경로`·`유형`·`권한`과 함께 표출</t>
  </si>
  <si>
    <t>TC_VIO_2430</t>
  </si>
  <si>
    <t>1. 3-2 볼륨 테이블 `컨테이너` 컬럼 값 확인</t>
  </si>
  <si>
    <t>해당 볼륨이 마운트된 컨테이너 정보 표기</t>
  </si>
  <si>
    <t>TC_VIO_2431</t>
  </si>
  <si>
    <t>1. 3-3 상태 테이블 `메시지` 값 확인 (영역 초과 상태)</t>
  </si>
  <si>
    <t>영역 초과 시 개행되어 전체 로그 제공</t>
  </si>
  <si>
    <t>TC_VIO_2432</t>
  </si>
  <si>
    <t>1. 3-3 상태 테이블 `메시지` 컬럼 확인</t>
  </si>
  <si>
    <t>`[복사]` 버튼 표출</t>
  </si>
  <si>
    <t>TC_VIO_2433</t>
  </si>
  <si>
    <t>1. `메시지` 컬럼 `[복사]` 버튼 클릭</t>
  </si>
  <si>
    <t>메시지 전체 내용이 클립보드에 복사</t>
  </si>
  <si>
    <t>TC_VIO_2434</t>
  </si>
  <si>
    <t>1. `[복사]` 버튼 클릭 후 완료 상태 확인</t>
  </si>
  <si>
    <t>`클립보드에 복사되었습니다.` toast 메시지 표출</t>
  </si>
  <si>
    <t>TC_VIO_2435</t>
  </si>
  <si>
    <t>1. 3-3 상태 테이블 하단 확인</t>
  </si>
  <si>
    <t>페이지네이션 미표출
ㄴ 3-2 볼륨 테이블에는 제공되는 것과 대비</t>
  </si>
  <si>
    <t>TC_VIO_2436</t>
  </si>
  <si>
    <t>VIOE-03_01_01-10</t>
  </si>
  <si>
    <t>파드 상세 - 로그</t>
  </si>
  <si>
    <t>파드 상세 화면 진입, `로그` 탭 선택</t>
  </si>
  <si>
    <t>1. 파드 상세 탭 바 구성 확인</t>
  </si>
  <si>
    <t>`리소스`·`환경변수`·`메트릭`·`이벤트`·`로그`·`YAML`·`터미널` 순서로 표출</t>
  </si>
  <si>
    <t>TC_VIO_2437</t>
  </si>
  <si>
    <t>1. 탭 바에서 각 탭 클릭</t>
  </si>
  <si>
    <t>클릭한 탭 화면으로 정상 전환
ㄴ 탭 순서 변경이 전환 동작에 영향 없음</t>
  </si>
  <si>
    <t>TC_VIO_2438</t>
  </si>
  <si>
    <t>1. `로그` 탭 콘텐츠 영역 제목 확인</t>
  </si>
  <si>
    <t>콘텐츠 영역 제목이 `실시간 로그`로 표출</t>
  </si>
  <si>
    <t>TC_VIO_2439</t>
  </si>
  <si>
    <t>1. 로그 영역 우상단 버튼 구성 확인</t>
  </si>
  <si>
    <t>`새 창에서 열기` 버튼 표출
ㄴ `다운로드` 버튼 좌측에 위치</t>
  </si>
  <si>
    <t>TC_VIO_2440</t>
  </si>
  <si>
    <t>1. `새 창에서 열기` 버튼 클릭</t>
  </si>
  <si>
    <t>새 창에서 해당 컨테이너에 대한 로그 조회 (VIOE-04_04_03-01 &gt; 1-4항과 동일하게 제공)</t>
  </si>
  <si>
    <t>TC_VIO_2441</t>
  </si>
  <si>
    <t>1. `새 창에서 열기` 클릭 후 새 창 상태 확인</t>
  </si>
  <si>
    <t>`애플리케이션 로그` 화면에 `cluster`·`namespace`·`pod`·`container` 선택된 상태로 실행</t>
  </si>
  <si>
    <t>TC_VIO_2442</t>
  </si>
  <si>
    <t>1. 로그 영역 우상단 `다운로드` 버튼 확인</t>
  </si>
  <si>
    <t>다운로드 아이콘 + `다운로드` 텍스트 구성으로 표출</t>
  </si>
  <si>
    <t>TC_VIO_2443</t>
  </si>
  <si>
    <t>VIOE-02_01_03-06</t>
  </si>
  <si>
    <t>기본 설정</t>
  </si>
  <si>
    <t>네임스페이스 상세 - 리소스</t>
  </si>
  <si>
    <t>네임스페이스 상세 화면 진입</t>
  </si>
  <si>
    <t>1. 탭 바 라벨 확인</t>
  </si>
  <si>
    <t>`리소스` 탭 라벨로 표출
ㄴ 구 라벨 `리소스 쿼터` 미표출</t>
  </si>
  <si>
    <t>TC_VIO_2444</t>
  </si>
  <si>
    <t>1. 탭 바 구성 확인</t>
  </si>
  <si>
    <t>탭 바에 `모니터링`·`리소스`·`롤 바인딩`·`이벤트`·`Yaml` 순서로 표출
ㄴ `이벤트` 탭은 `롤 바인딩`과 `Yaml` 사이에 위치</t>
  </si>
  <si>
    <t>TC_VIO_2445</t>
  </si>
  <si>
    <t>1. `이벤트` 탭 클릭</t>
  </si>
  <si>
    <t>이벤트 목록 화면(VIOE-02_01_03-09)으로 전환</t>
  </si>
  <si>
    <t>TC_VIO_2446</t>
  </si>
  <si>
    <t>네임스페이스 상세 화면 진입, `리소스` 탭 선택</t>
  </si>
  <si>
    <t>1. `리소스` 탭 하단 영역 확인</t>
  </si>
  <si>
    <t>`파드` 섹션 표출
ㄴ 노드 상세 &gt; 파드 목록과 동일하게 제공</t>
  </si>
  <si>
    <t>TC_VIO_2447</t>
  </si>
  <si>
    <t>1. `파드` 목록 컬럼 구성 확인</t>
  </si>
  <si>
    <t>`이름`·`GPU`·`상태`·`컨테이너`·`재시작`·`소유자`·`생성일시` 7개 컬럼으로 표출</t>
  </si>
  <si>
    <t>TC_VIO_2448</t>
  </si>
  <si>
    <t>1. `파드` 목록 각 컬럼 셀 표기 확인</t>
  </si>
  <si>
    <t>`이름`·`소유자` 링크 텍스트+아이콘으로 표출
ㄴ `상태` `RUNNING` tag / `컨테이너` `n/n` / `재시작` `-`·숫자 / `생성일시` `yyyy-mm-dd hh:mm:ss` 형식</t>
  </si>
  <si>
    <t>TC_VIO_2449</t>
  </si>
  <si>
    <t>1. `이름`·`컨테이너`·`재시작`·`생성일시` 컬럼 sort 아이콘 클릭</t>
  </si>
  <si>
    <t>클릭한 컬럼 기준 정렬
ㄴ 재클릭 시 역순 정렬</t>
  </si>
  <si>
    <t>TC_VIO_2450</t>
  </si>
  <si>
    <t>1. `파드` 목록 하단 영역 확인</t>
  </si>
  <si>
    <t>`전체 수 N` 표출
ㄴ 페이지네이션 및 `리스트 수` 셀렉트 표출</t>
  </si>
  <si>
    <t>TC_VIO_2451</t>
  </si>
  <si>
    <t>VIOE-02_01_03-09</t>
  </si>
  <si>
    <t>네임스페이스 상세 - 이벤트</t>
  </si>
  <si>
    <t>네임스페이스 상세 화면 진입 (탭 바에 `이벤트` 탭 표출)</t>
  </si>
  <si>
    <t>이벤트 목록 화면 표출
ㄴ 표 + `전체 수` + 페이지네이션 + `리스트 수` 셀렉트로 구성</t>
  </si>
  <si>
    <t>TC_VIO_2452</t>
  </si>
  <si>
    <t>이벤트 목록 화면 진입</t>
  </si>
  <si>
    <t>1. 이벤트 목록 데이터 조회</t>
  </si>
  <si>
    <t>이벤트 목록(VIOE-04_01_01)과 동일한 정의로 조회</t>
  </si>
  <si>
    <t>TC_VIO_2453</t>
  </si>
  <si>
    <t>1. 이벤트 목록 컬럼 구성 확인</t>
  </si>
  <si>
    <t>`유형`·`리소스 유형`·`이름`·메시지·`발생일시` 5개 컬럼으로 표출</t>
  </si>
  <si>
    <t>TC_VIO_2454</t>
  </si>
  <si>
    <t>1. 각 컬럼 sort 아이콘 존재 여부 확인</t>
  </si>
  <si>
    <t>`이름`·`발생일시` 컬럼에 sort 아이콘 표출
ㄴ `리소스 유형`·`메시지` 컬럼은 sort 미제공</t>
  </si>
  <si>
    <t>TC_VIO_2455</t>
  </si>
  <si>
    <t>1. `발생일시` 컬럼 sort 아이콘 클릭</t>
  </si>
  <si>
    <t>`발생일시` 기준 정렬</t>
  </si>
  <si>
    <t>TC_VIO_2456</t>
  </si>
  <si>
    <t>VIOE-02_01_02-11</t>
  </si>
  <si>
    <t>노드 상세 - 로그</t>
  </si>
  <si>
    <t>노드 상세 화면 진입</t>
  </si>
  <si>
    <t>1. 탭바 구성 확인</t>
  </si>
  <si>
    <t>탭바에 `세부 정보`·`리소스`·`메트릭`·`이벤트`·`로그`·`YAML` 탭 표출
ㄴ `로그` 탭은 `이벤트`와 `YAML` 탭 사이에 위치</t>
  </si>
  <si>
    <t>TC_VIO_2457</t>
  </si>
  <si>
    <t>1. `로그` 탭 클릭</t>
  </si>
  <si>
    <t>로그 상세 화면으로 전환
ㄴ `VIOE-04_04_02-01` &gt; 1-4항과 동일한 정의로 표출</t>
  </si>
  <si>
    <t>TC_VIO_2458</t>
  </si>
  <si>
    <t>`로그` 탭 선택 상태</t>
  </si>
  <si>
    <t>1. 로그 상세 화면 구성 요소 확인</t>
  </si>
  <si>
    <t>`실시간 로그` 섹션 타이틀·로그 출력 영역·`새 창에서 열기` 링크·`다운로드` 버튼 표출</t>
  </si>
  <si>
    <t>TC_VIO_2459</t>
  </si>
  <si>
    <t>로그 상세 화면 진입</t>
  </si>
  <si>
    <t>1. `다운로드` 버튼 및 `새 창에서 열기` 링크 동작 확인</t>
  </si>
  <si>
    <t>`VIOE-04_04_02-01` &gt; 1-4항 정의와 동일하게 동작</t>
  </si>
  <si>
    <t>TC_VIO_2460</t>
  </si>
  <si>
    <t>VIOE-02_01_07-01</t>
  </si>
  <si>
    <t>임계치 목록</t>
  </si>
  <si>
    <t>임계치 목록 화면 진입</t>
  </si>
  <si>
    <t>1. 목록 상단 필터 영역 확인</t>
  </si>
  <si>
    <t>`기간 설정` select 표출</t>
  </si>
  <si>
    <t>TC_VIO_2461</t>
  </si>
  <si>
    <t>1. `기간 설정` select 선택 후 필터 영역 확인</t>
  </si>
  <si>
    <t>`Start date`·`End date` 날짜 입력 필드 표출</t>
  </si>
  <si>
    <t>TC_VIO_2462</t>
  </si>
  <si>
    <t>1. `외부 알람 참조` 컬럼 헤더 확인</t>
  </si>
  <si>
    <t>sort 아이콘 미표출</t>
  </si>
  <si>
    <t>TC_VIO_2463</t>
  </si>
  <si>
    <t>1. 검색 필터 옵션 목록 확인</t>
  </si>
  <si>
    <t>`임계치` 검색 필터 미제공</t>
  </si>
  <si>
    <t>TC_VIO_2464</t>
  </si>
  <si>
    <t>1. 목록 테이블 컬럼 구성 확인</t>
  </si>
  <si>
    <t>`외부 알람 참조` 컬럼 표출</t>
  </si>
  <si>
    <t>TC_VIO_2465</t>
  </si>
  <si>
    <t>외부 알람이 참조 중인 임계치 존재</t>
  </si>
  <si>
    <t>1. 해당 임계치 행의 `외부 알람 참조` 컬럼 확인</t>
  </si>
  <si>
    <t>참조 중인 외부 알람 이름 tag 형태로 나열</t>
  </si>
  <si>
    <t>TC_VIO_2466</t>
  </si>
  <si>
    <t>외부 알람 참조 0건인 임계치 존재</t>
  </si>
  <si>
    <t>`-` 표출</t>
  </si>
  <si>
    <t>TC_VIO_2467</t>
  </si>
  <si>
    <t>`생성일시` 컬럼 표출
ㄴ `yyyy-mm-dd hh:mm:ss` 형식으로 값 표기</t>
  </si>
  <si>
    <t>TC_VIO_2468</t>
  </si>
  <si>
    <t>1. `생성일시` 컬럼 헤더 sort 아이콘 클릭</t>
  </si>
  <si>
    <t>`생성일시` 기준 정렬
ㄴ 재클릭 시 역순 정렬</t>
  </si>
  <si>
    <t>TC_VIO_2469</t>
  </si>
  <si>
    <t>1. `작업` 컬럼에서 `외부 알람으로 추가` 확인
2. 클릭</t>
  </si>
  <si>
    <t>`외부 알람으로 추가` 메뉴 표출
ㄴ 클릭 시 알람 생성 화면(VIOE-04_06_02)으로 이동</t>
  </si>
  <si>
    <t>TC_VIO_2470</t>
  </si>
  <si>
    <t>임계치 목록에서 `외부 알람으로 추가` 클릭 후 알람 생성 화면 진입</t>
  </si>
  <si>
    <t>1. 알람 조건 카드 구성 확인</t>
  </si>
  <si>
    <t>가져온 임계치 카드 1건만 추가된 상태로 진입
ㄴ 기본 메트릭·이벤트·로그 조건 카드 없음</t>
  </si>
  <si>
    <t>TC_VIO_2471</t>
  </si>
  <si>
    <t>1. 기본 정보 &gt; `클러스터` 필드 확인</t>
  </si>
  <si>
    <t>가져온 임계치의 클러스터와 동일 값으로 표시
ㄴ 수정 불가(disabled) 상태로 표출</t>
  </si>
  <si>
    <t>TC_VIO_2472</t>
  </si>
  <si>
    <t>1. `클러스터` 이외 필드 확인</t>
  </si>
  <si>
    <t>`클러스터` 이외 필드는 Default 값 유지</t>
  </si>
  <si>
    <t>TC_VIO_2473</t>
  </si>
  <si>
    <t>1. 해당 임계치 행에서 `삭제` 클릭</t>
  </si>
  <si>
    <t>삭제 팝업 호출</t>
  </si>
  <si>
    <t>TC_VIO_2474</t>
  </si>
  <si>
    <t>외부 알람 참조 1건 이상인 임계치 존재</t>
  </si>
  <si>
    <t>삭제 불가 처리
ㄴ `1-1` 팝업 호출</t>
  </si>
  <si>
    <t>TC_VIO_2475</t>
  </si>
  <si>
    <t>삭제 불가 알림 팝업</t>
  </si>
  <si>
    <t>외부 알람 참조 1건 이상인 임계치 삭제 시도로 `1-1` 팝업 호출</t>
  </si>
  <si>
    <t>1. `1-1` 삭제 불가 알림 팝업 구성 확인</t>
  </si>
  <si>
    <t>알림 팝업 표출
ㄴ 본문 1줄 + 버튼 1개로 구성</t>
  </si>
  <si>
    <t>TC_VIO_2476</t>
  </si>
  <si>
    <t>`1-1` 삭제 불가 알림 팝업 노출 상태</t>
  </si>
  <si>
    <t>팝업 닫힘</t>
  </si>
  <si>
    <t>TC_VIO_2477</t>
  </si>
  <si>
    <t>솔루션 관리자 또는 클러스터 관리자 권한으로 로그인, 목록 화면 진입</t>
  </si>
  <si>
    <t>1. 임계치 목록 조회</t>
  </si>
  <si>
    <t>권한 있는 클러스터 내 생성된 모든 임계치 조회 가능</t>
  </si>
  <si>
    <t>TC_VIO_2478</t>
  </si>
  <si>
    <t>네임스페이스 관리자 권한으로 로그인, 목록 화면 진입</t>
  </si>
  <si>
    <t>`GPU` 지표 임계치 조회 불가</t>
  </si>
  <si>
    <t>TC_VIO_2479</t>
  </si>
  <si>
    <t>VIOE-02_01_07-02</t>
  </si>
  <si>
    <t>임계치 생성</t>
  </si>
  <si>
    <t>임계치 생성 화면 진입</t>
  </si>
  <si>
    <t>1. `기본 정보 &gt; 리소스` 필드 확인</t>
  </si>
  <si>
    <t>`CPU`·`메모리`·`GPU` 카드형 컴포넌트 3개 가로 1행 표출
ㄴ `CPU` Default 선택 상태</t>
  </si>
  <si>
    <t>TC_VIO_2480</t>
  </si>
  <si>
    <t>1. `메모리` 카드 클릭</t>
  </si>
  <si>
    <t>`메모리` 카드 선택 상태 전환
ㄴ `CPU` 카드 선택 해제</t>
  </si>
  <si>
    <t>TC_VIO_2481</t>
  </si>
  <si>
    <t>네임스페이스 관리 권한으로 로그인, 임계치 생성 화면 진입</t>
  </si>
  <si>
    <t>`GPU` 옵션 선택 불가</t>
  </si>
  <si>
    <t>TC_VIO_2482</t>
  </si>
  <si>
    <t>네임스페이스 관리 외 권한으로 로그인, 임계치 생성 화면 진입</t>
  </si>
  <si>
    <t>`CPU`·`메모리`·`GPU` 옵션 전부 선택 가능</t>
  </si>
  <si>
    <t>TC_VIO_2483</t>
  </si>
  <si>
    <t>`GPU` 선택 가능한 권한으로 로그인, 임계치 생성 화면 진입</t>
  </si>
  <si>
    <t>1. `기본 정보 &gt; 리소스` 에서 `GPU` 선택</t>
  </si>
  <si>
    <t>기존 안내 alert 미노출</t>
  </si>
  <si>
    <t>TC_VIO_2484</t>
  </si>
  <si>
    <t>VIOE-02_01_07-03</t>
  </si>
  <si>
    <t>임계치 수정</t>
  </si>
  <si>
    <t>외부 알람 참조 0건인 임계치의 `수정` 화면 진입</t>
  </si>
  <si>
    <t>수정 공통 팝업 호출</t>
  </si>
  <si>
    <t>TC_VIO_2485</t>
  </si>
  <si>
    <t>외부 알람 참조 1건 이상인 임계치의 `수정` 화면 진입</t>
  </si>
  <si>
    <t>`2-1` 수정 알림 팝업 호출</t>
  </si>
  <si>
    <t>TC_VIO_2486</t>
  </si>
  <si>
    <t>수정 알림 팝업</t>
  </si>
  <si>
    <t>외부 알람 참조 1건 이상인 임계치 `수정` 클릭으로 `2-1` 팝업 호출 상태</t>
  </si>
  <si>
    <t>1. `2-1` 수정 알림 팝업 구성 확인</t>
  </si>
  <si>
    <t>타이틀·본문·참조 알람 개수 표기·알람 목록 영역·Checkbox·버튼 2개(`취소`/`수정`)로 구성</t>
  </si>
  <si>
    <t>TC_VIO_2487</t>
  </si>
  <si>
    <t>`2-1` 수정 알림 팝업 노출 상태</t>
  </si>
  <si>
    <t>1. 참조 알람 목록 영역 확인</t>
  </si>
  <si>
    <t>해당 임계치를 참조하는 외부 알람 이름 표출</t>
  </si>
  <si>
    <t>TC_VIO_2488</t>
  </si>
  <si>
    <t>`2-1` 수정 알림 팝업 최초 노출 상태</t>
  </si>
  <si>
    <t>1. Checkbox 및 `수정` 버튼 상태 확인</t>
  </si>
  <si>
    <t>Checkbox `unchecked` 상태
ㄴ `수정` 버튼 비활성</t>
  </si>
  <si>
    <t>TC_VIO_2489</t>
  </si>
  <si>
    <t>`2-1` 수정 알림 팝업 노출, Checkbox `unchecked` 상태</t>
  </si>
  <si>
    <t>1. Checkbox 클릭(check)</t>
  </si>
  <si>
    <t>`수정` 버튼 활성화</t>
  </si>
  <si>
    <t>TC_VIO_2490</t>
  </si>
  <si>
    <t>통합 로그 조회 (Default)</t>
  </si>
  <si>
    <t>`통합 로그 조회` 새 창 진입</t>
  </si>
  <si>
    <t>1. 브라우저/팝업 탭 타이틀 확인</t>
  </si>
  <si>
    <t>`통합 로그 조회 | VIOLA` 타이틀 표출</t>
  </si>
  <si>
    <t>TC_VIO_2491</t>
  </si>
  <si>
    <t>선택 클러스터 중 Loki 미연결 클러스터 존재</t>
  </si>
  <si>
    <t>1. `통합 로그 조회` 화면 진입</t>
  </si>
  <si>
    <t>`1-1` 가이드 문구 영역 표출</t>
  </si>
  <si>
    <t>TC_VIO_2492</t>
  </si>
  <si>
    <t>선택 클러스터 전부 Loki 연결 상태</t>
  </si>
  <si>
    <t>`1-1` 가이드 문구 영역 미표출</t>
  </si>
  <si>
    <t>TC_VIO_2493</t>
  </si>
  <si>
    <t>Loki 미연결 클러스터 1개 존재</t>
  </si>
  <si>
    <t>1. `1-1` 가이드 문구 확인</t>
  </si>
  <si>
    <t>`클러스터 '{cluster-name}'에 Loki가 연결되지 않았습니다.` 문구 표출</t>
  </si>
  <si>
    <t>TC_VIO_2494</t>
  </si>
  <si>
    <t>Loki 미연결 클러스터 2개 이상 존재</t>
  </si>
  <si>
    <t>`클러스터 '{cluster-name}외 {n}개'에 Loki가 연결되지 않았습니다.` 문구 표출</t>
  </si>
  <si>
    <t>TC_VIO_2495</t>
  </si>
  <si>
    <t>1. `1-1` 가이드 문구의 대표 클러스터 이름 확인</t>
  </si>
  <si>
    <t>클러스터 이름 오름차순 정렬 시 첫 번째 값 표출</t>
  </si>
  <si>
    <t>TC_VIO_2496</t>
  </si>
  <si>
    <t>`1-1` 가이드 문구 영역 표출 상태</t>
  </si>
  <si>
    <t>1. `[연결 확인]` 버튼 상태 확인</t>
  </si>
  <si>
    <t>`[연결 확인]` 버튼 항상 활성화 상태 표출</t>
  </si>
  <si>
    <t>TC_VIO_2497</t>
  </si>
  <si>
    <t>1. `[연결 확인]` 버튼 클릭</t>
  </si>
  <si>
    <t>표출된 클러스터의 연결 정보 수정 화면(`VIOE-02_01_01-08`)으로 이동</t>
  </si>
  <si>
    <t>TC_VIO_2498</t>
  </si>
  <si>
    <t>1. `3.` 영역 확인</t>
  </si>
  <si>
    <t>팝업 호출 일시 표시</t>
  </si>
  <si>
    <t>TC_VIO_2499</t>
  </si>
  <si>
    <t>`통합 로그 조회` 화면 진입, `조회 단위` 임의값 선택 상태</t>
  </si>
  <si>
    <t>1. `새로고침` 클릭</t>
  </si>
  <si>
    <t>클릭 시점 기준 데이터 새로고침</t>
  </si>
  <si>
    <t>TC_VIO_2500</t>
  </si>
  <si>
    <t>`조회 단위` 임의값 선택 상태</t>
  </si>
  <si>
    <t>`조회 단위` 선택값 유지</t>
  </si>
  <si>
    <t>TC_VIO_2501</t>
  </si>
  <si>
    <t>선택 클러스터가 `네임스페이스 관리` 권한만 보유</t>
  </si>
  <si>
    <t>1. `4-1` 로그 통계 영역 확인</t>
  </si>
  <si>
    <t>노드 로그 · 운영 로그 · 보안 로그 미제공</t>
  </si>
  <si>
    <t>TC_VIO_2502</t>
  </si>
  <si>
    <t>`4-1` 로그 통계 영역 표출 상태</t>
  </si>
  <si>
    <t>1. `i. 이벤트 로그` 항목 확인</t>
  </si>
  <si>
    <t>`k8s 이벤트가 loki에 수집된 데이터를 기준으로 함` 안내 문구 표출</t>
  </si>
  <si>
    <t>TC_VIO_2503</t>
  </si>
  <si>
    <t>1. `2. 노드 및 파드 상태 변경 이력` 영역 확인</t>
  </si>
  <si>
    <t>노드/파드 상태값 변경 이력 표출</t>
  </si>
  <si>
    <t>TC_VIO_2504</t>
  </si>
  <si>
    <t>리소스 현재 상태가 `[비정상]`</t>
  </si>
  <si>
    <t>1. `노드 및 파드 상태 변경 이력` 영역 확인</t>
  </si>
  <si>
    <t>`정상→비정상` · `비정상→비정상` 전이 이력 모두 표출</t>
  </si>
  <si>
    <t>TC_VIO_2505</t>
  </si>
  <si>
    <t>리소스 상태가 `비정상→정상`으로 전환</t>
  </si>
  <si>
    <t>이전 이력 삭제, 최종 정상 상태 메시지 1건만 표출</t>
  </si>
  <si>
    <t>TC_VIO_2506</t>
  </si>
  <si>
    <t>`노드 및 파드 상태 변경 이력` 영역 표출 상태</t>
  </si>
  <si>
    <t>1. 이력 카드 유형 확인</t>
  </si>
  <si>
    <t>`Normal` · `Warning` 2종 카드 유형 구분 표출</t>
  </si>
  <si>
    <t>TC_VIO_2507</t>
  </si>
  <si>
    <t>이력 카드 목록 표출 상태</t>
  </si>
  <si>
    <t>1. 이력 카드의 리소스 이름 클릭</t>
  </si>
  <si>
    <t>TC_VIO_2508</t>
  </si>
  <si>
    <t>1. 이력 카드 확인</t>
  </si>
  <si>
    <t>상태 변경 감지 시간 표출</t>
  </si>
  <si>
    <t>TC_VIO_2509</t>
  </si>
  <si>
    <t>상태 변경 사유(`condition reason`) 표출</t>
  </si>
  <si>
    <t>TC_VIO_2510</t>
  </si>
  <si>
    <t>상태 메시지(`condition message`) 표출</t>
  </si>
  <si>
    <t>TC_VIO_2511</t>
  </si>
  <si>
    <t>`로그 목록` 영역 표출 상태</t>
  </si>
  <si>
    <t>1. `로그` 컬럼 메시지 확인</t>
  </si>
  <si>
    <t>로그 메시지 최대 1줄 표출</t>
  </si>
  <si>
    <t>TC_VIO_2512</t>
  </si>
  <si>
    <t>로그 메시지가 1줄 초과 길이</t>
  </si>
  <si>
    <t>초과분 말줄임(`...`) 처리</t>
  </si>
  <si>
    <t>TC_VIO_2513</t>
  </si>
  <si>
    <t>VIOE-04_05_01-01</t>
  </si>
  <si>
    <t>통합 로그 조회 (2분할)</t>
  </si>
  <si>
    <t>`통합 로그 조회` 2분할 화면 상태</t>
  </si>
  <si>
    <t>1. 2분할 화면에서 1분할로 전환</t>
  </si>
  <si>
    <t>우측 패널 닫힘</t>
  </si>
  <si>
    <t>TC_VIO_2514</t>
  </si>
  <si>
    <t>좌측 패널 조회 상태값(조회 단위·로그 통계 펼침 등) 변경된 2분할 화면</t>
  </si>
  <si>
    <t>좌측 패널 상태값 유지된 채로 1분할 화면 전환</t>
  </si>
  <si>
    <t>TC_VIO_2515</t>
  </si>
  <si>
    <t>VIOE-04_05_02</t>
  </si>
  <si>
    <t>실시간 로그 조회 (Default)</t>
  </si>
  <si>
    <t>`실시간 로그 조회` 화면 진입, Loki 미연결 클러스터 선택</t>
  </si>
  <si>
    <t>1. 클러스터 선택</t>
  </si>
  <si>
    <t>Alert 문구 제공</t>
  </si>
  <si>
    <t>TC_VIO_2516</t>
  </si>
  <si>
    <t>`실시간 로그 조회` 화면 진입, Loki 연결된 클러스터 선택</t>
  </si>
  <si>
    <t>Alert 문구 미제공</t>
  </si>
  <si>
    <t>TC_VIO_2517</t>
  </si>
  <si>
    <t>Alert 문구 제공 상태</t>
  </si>
  <si>
    <t>TC_VIO_2518</t>
  </si>
  <si>
    <t>실시간 로그 조회 중</t>
  </si>
  <si>
    <t>1. 조회 중 연결 끊김 발생</t>
  </si>
  <si>
    <t>alert 제공</t>
  </si>
  <si>
    <t>TC_VIO_2519</t>
  </si>
  <si>
    <t>연결 끊김 alert 표출 상태</t>
  </si>
  <si>
    <t>1. `[재연결]` 버튼 클릭</t>
  </si>
  <si>
    <t>재연결 시도</t>
  </si>
  <si>
    <t>TC_VIO_2520</t>
  </si>
  <si>
    <t>`[재연결]` 버튼 클릭 직후</t>
  </si>
  <si>
    <t>1. `[재연결]` 버튼 상태 확인</t>
  </si>
  <si>
    <t>버튼 spinner 상태로 전환</t>
  </si>
  <si>
    <t>TC_VIO_2521</t>
  </si>
  <si>
    <t>재연결 시도 중(spinner 상태)</t>
  </si>
  <si>
    <t>1. 재연결 완료</t>
  </si>
  <si>
    <t>alert 영역 삭제</t>
  </si>
  <si>
    <t>TC_VIO_2522</t>
  </si>
  <si>
    <t>1. 재연결 실패</t>
  </si>
  <si>
    <t>alert 영역 유지</t>
  </si>
  <si>
    <t>TC_VIO_2523</t>
  </si>
  <si>
    <t>`[재연결]` 버튼 활성화 상태로 전환</t>
  </si>
  <si>
    <t>TC_VIO_2524</t>
  </si>
  <si>
    <t>검색어 입력 상태</t>
  </si>
  <si>
    <t>1. `Enter` 입력</t>
  </si>
  <si>
    <t>검색어와 일치하는 로그 중 최신 발생 메시지로 자동 스크롤</t>
  </si>
  <si>
    <t>TC_VIO_2525</t>
  </si>
  <si>
    <t>`[자동 스크롤]` 기능 `ON` 상태에서 검색어 입력</t>
  </si>
  <si>
    <t>`[자동 스크롤]` 기능 자동 `OFF`로 전환</t>
  </si>
  <si>
    <t>TC_VIO_2526</t>
  </si>
  <si>
    <t>검색어와 일치하는 로그 존재</t>
  </si>
  <si>
    <t>1. 검색 실행</t>
  </si>
  <si>
    <t>일치하는 로그 메시지에 하이라이팅 표시 제공</t>
  </si>
  <si>
    <t>TC_VIO_2527</t>
  </si>
  <si>
    <t>VIOE-04_05_02-01</t>
  </si>
  <si>
    <t>실시간 로그 조회 (2분할)</t>
  </si>
  <si>
    <t>`실시간 로그 조회` 2분할 화면 상태</t>
  </si>
  <si>
    <t>TC_VIO_2528</t>
  </si>
  <si>
    <t>좌측 패널 조회 상태값 변경된 2분할 화면</t>
  </si>
  <si>
    <t>1분할 화면으로 전환
ㄴ 전환 후 좌측 패널 상태값 유지 여부는 기획 미정의 — 실측 상태를 `실제 결과`에 기재</t>
  </si>
  <si>
    <t>TC_VIO_2529</t>
  </si>
  <si>
    <t>VIOE-05_01_01</t>
  </si>
  <si>
    <t>서비스 카탈로그</t>
  </si>
  <si>
    <t>카탈로그 허브 목록</t>
  </si>
  <si>
    <t>`카탈로그 허브 목록` 화면 진입</t>
  </si>
  <si>
    <t>`헬름차트 이름` 검색 필터 옵션 `미노출`</t>
  </si>
  <si>
    <t>TC_VIO_2530</t>
  </si>
  <si>
    <t>검색 필터 대상에 `클러스터` 옵션 `표출`</t>
  </si>
  <si>
    <t>TC_VIO_2531</t>
  </si>
  <si>
    <t>검색 필터 대상에 `지원 엔진 버전` 옵션 `표출`</t>
  </si>
  <si>
    <t>TC_VIO_2532</t>
  </si>
  <si>
    <t>1. 검색 필터에서 `지원 엔진 버전` 선택 후 검색 실행</t>
  </si>
  <si>
    <t>선택한 지원 엔진 버전 조건에 맞는 카탈로그만 `필터링` 표출</t>
  </si>
  <si>
    <t>TC_VIO_2533</t>
  </si>
  <si>
    <t>선택 클러스터에 공유 옵션 설정된 카탈로그가 1건 이상 존재</t>
  </si>
  <si>
    <t>1. `카탈로그 허브 목록` 화면 진입</t>
  </si>
  <si>
    <t>공유 옵션 설정된 카탈로그가 목록에 `포함` 표출</t>
  </si>
  <si>
    <t>TC_VIO_2534</t>
  </si>
  <si>
    <t>선택 클러스터에 생성한 카탈로그와 공유 옵션 설정된 카탈로그가 각 1건 이상 존재</t>
  </si>
  <si>
    <t>두 유형의 카탈로그가 목록에 `모두` 표출</t>
  </si>
  <si>
    <t>TC_VIO_2535</t>
  </si>
  <si>
    <t>공유 옵션 설정된 카탈로그 카드 존재</t>
  </si>
  <si>
    <t>1. 해당 카탈로그 카드의 `클러스터` 항목 확인</t>
  </si>
  <si>
    <t>`클러스터` 값 `"전체"` 표기</t>
  </si>
  <si>
    <t>TC_VIO_2536</t>
  </si>
  <si>
    <t>선택 가능 클러스터가 2개 이상이고 공유 옵션 설정된 카탈로그 존재</t>
  </si>
  <si>
    <t>클러스터 개수와 무관하게 `클러스터` 값 `"전체"` 단일 표기</t>
  </si>
  <si>
    <t>TC_VIO_2537</t>
  </si>
  <si>
    <t>1. 카탈로그 카드 하단 출력 항목 확인</t>
  </si>
  <si>
    <t>`지원 엔진 버전` 항목 `표출`</t>
  </si>
  <si>
    <t>TC_VIO_2538</t>
  </si>
  <si>
    <t>카탈로그 유형 = `VIOLA 컴포넌트`</t>
  </si>
  <si>
    <t>1. 해당 카탈로그 카드의 `지원 엔진 버전` 항목 확인</t>
  </si>
  <si>
    <t>솔루션 버전 별 지원 엔진 버전 `전체` 출력</t>
  </si>
  <si>
    <t>TC_VIO_2539</t>
  </si>
  <si>
    <t>카탈로그 유형 = `Helm Chart`</t>
  </si>
  <si>
    <t>사용자 생성 시 설정한 지원 엔진 버전 정보 출력</t>
  </si>
  <si>
    <t>TC_VIO_2540</t>
  </si>
  <si>
    <t>카탈로그 유형 = `YAML`</t>
  </si>
  <si>
    <t>`지원 엔진 버전` 항목 `미제공`</t>
  </si>
  <si>
    <t>TC_VIO_2541</t>
  </si>
  <si>
    <t>클러스터·네임스페이스 관리자 권한 + 본인이 생성한 Helm Chart 카탈로그 존재</t>
  </si>
  <si>
    <t>1. 본인 생성 카탈로그의 수정/삭제 액션 확인</t>
  </si>
  <si>
    <t>수정/삭제 `가능`</t>
  </si>
  <si>
    <t>TC_VIO_2542</t>
  </si>
  <si>
    <t>클러스터·네임스페이스 관리자 권한 + 본인이 생성하지 않은 Helm Chart 카탈로그 존재</t>
  </si>
  <si>
    <t>1. 타인 생성 카탈로그 수정 시도</t>
  </si>
  <si>
    <t>`[권한 없음]` 팝업 `노출`</t>
  </si>
  <si>
    <t>TC_VIO_2543</t>
  </si>
  <si>
    <t>1. 타인 생성 카탈로그 삭제 시도</t>
  </si>
  <si>
    <t>TC_VIO_2544</t>
  </si>
  <si>
    <t>클러스터·네임스페이스 관리자 권한 + 본인이 생성한 YAML 카탈로그 존재</t>
  </si>
  <si>
    <t>TC_VIO_2545</t>
  </si>
  <si>
    <t>클러스터·네임스페이스 관리자 권한 + 본인이 생성하지 않은 YAML 카탈로그 존재</t>
  </si>
  <si>
    <t>TC_VIO_2546</t>
  </si>
  <si>
    <t>TC_VIO_2547</t>
  </si>
  <si>
    <t>VIOE-05_01_05</t>
  </si>
  <si>
    <t>Helm_chart 카탈로그 생성 (1/2)</t>
  </si>
  <si>
    <t>`Helm_chart 카탈로그 생성` 화면 진입</t>
  </si>
  <si>
    <t>1. `클러스터` 항목 구성 확인</t>
  </si>
  <si>
    <t>`전체 클러스터 공유` Checkbox `표출`</t>
  </si>
  <si>
    <t>TC_VIO_2548</t>
  </si>
  <si>
    <t>1. `전체 클러스터 공유` Checkbox 기본 상태 확인</t>
  </si>
  <si>
    <t>Checkbox Default `unchecked`</t>
  </si>
  <si>
    <t>TC_VIO_2549</t>
  </si>
  <si>
    <t>`전체 클러스터 공유` Checkbox `unchecked` 상태</t>
  </si>
  <si>
    <t>1. 카탈로그 검색·설치 가능 범위 확인</t>
  </si>
  <si>
    <t>선택한 클러스터에서만 카탈로그 검색 및 설치 `가능`</t>
  </si>
  <si>
    <t>TC_VIO_2550</t>
  </si>
  <si>
    <t>`전체 클러스터 공유` Checkbox를 `checked` 로 전환</t>
  </si>
  <si>
    <t>선택한 클러스터 포함, 연결된 모든 클러스터에서 카탈로그 검색 및 설치 `가능`</t>
  </si>
  <si>
    <t>TC_VIO_2551</t>
  </si>
  <si>
    <t>1. `클러스터` 선택 필드 상태 확인</t>
  </si>
  <si>
    <t>`클러스터` 선택 필드 `비활성화`
ㄴ 필드 값 `"전체"` 표기</t>
  </si>
  <si>
    <t>TC_VIO_2552</t>
  </si>
  <si>
    <t>1. `지원 엔진 버전` 항목 확인</t>
  </si>
  <si>
    <t>`지원 엔진 버전` 필드 `표출`</t>
  </si>
  <si>
    <t>TC_VIO_2553</t>
  </si>
  <si>
    <t>1. `지원 엔진 버전` 필드 입력 방식 확인</t>
  </si>
  <si>
    <t>`multi select + input` 형태로 `제공`
ㄴ Options는 현재 생성된 카탈로그에 설정된 엔진 버전 목록</t>
  </si>
  <si>
    <t>TC_VIO_2554</t>
  </si>
  <si>
    <t>1. `지원 엔진 버전` 필드에서 목록에 없는 값 입력 후 추가 시도</t>
  </si>
  <si>
    <t>사용자 신규 옵션 `추가 가능`</t>
  </si>
  <si>
    <t>TC_VIO_2555</t>
  </si>
  <si>
    <t>`지원 엔진 버전` 필드에서 신규 옵션 추가 진입</t>
  </si>
  <si>
    <t>1. 한글·영대소문자·`/`·`-` 를 포함한 값 입력</t>
  </si>
  <si>
    <t>입력값 정상 `추가`</t>
  </si>
  <si>
    <t>TC_VIO_2556</t>
  </si>
  <si>
    <t>1. 허용되지 않은 문자(특수문자 등) 입력 후 추가 시도</t>
  </si>
  <si>
    <t>입력값 `추가 불가`</t>
  </si>
  <si>
    <t>TC_VIO_2557</t>
  </si>
  <si>
    <t>1. 11자 이상 값 입력 후 추가 시도</t>
  </si>
  <si>
    <t>글자수 제한(`1~10`) 초과로 `추가 불가`</t>
  </si>
  <si>
    <t>TC_VIO_2558</t>
  </si>
  <si>
    <t>1. `카테고리` 항목 입력 방식 확인</t>
  </si>
  <si>
    <t>`multi select + input` 형태로 `제공`</t>
  </si>
  <si>
    <t>TC_VIO_2559</t>
  </si>
  <si>
    <t>1. 기본 Options 목록에 없는 값을 입력해 추가 시도</t>
  </si>
  <si>
    <t>TC_VIO_2560</t>
  </si>
  <si>
    <t>1. 카테고리 항목 2개 이상 다중 선택</t>
  </si>
  <si>
    <t>선택한 카테고리 값 `모두` 필드에 표출</t>
  </si>
  <si>
    <t>TC_VIO_2561</t>
  </si>
  <si>
    <t>카테고리 항목 3개 이상 선택 가능 여부 확인 대상</t>
  </si>
  <si>
    <t>1. 카테고리 항목 3개 이상 선택 시도</t>
  </si>
  <si>
    <t>선택 개수 제한 없이 3개 이상 `선택 가능`</t>
  </si>
  <si>
    <t>TC_VIO_2562</t>
  </si>
  <si>
    <t>1. 카테고리 필드 하단 안내 문구 영역 확인</t>
  </si>
  <si>
    <t>기존 안내 문구 `미노출`</t>
  </si>
  <si>
    <t>TC_VIO_2563</t>
  </si>
  <si>
    <t>VIOE-05_01_07</t>
  </si>
  <si>
    <t>Helm_chart 카탈로그 수정 (1/2)</t>
  </si>
  <si>
    <t>`Helm_chart 카탈로그 수정` 화면 진입</t>
  </si>
  <si>
    <t>TC_VIO_2564</t>
  </si>
  <si>
    <t>`클러스터` 필드는 수정 불가(disabled) 상태이며 `전체 클러스터 공유` Checkbox 존재</t>
  </si>
  <si>
    <t>1. Checkbox를 `checked` 로 전환</t>
  </si>
  <si>
    <t>`VIOE-05_01_05` 화면 정의와 동일하게 클러스터 선택 필드 비활성화
ㄴ 필드 값 `"전체"` 표기</t>
  </si>
  <si>
    <t>TC_VIO_2565</t>
  </si>
  <si>
    <t>기존에 공유 옵션이 설정된 카탈로그를 수정 화면에 재진입</t>
  </si>
  <si>
    <t>1. `전체 클러스터 공유` Checkbox 초기 상태 확인</t>
  </si>
  <si>
    <t>기획 미정의 항목 — PASS/FAIL 판정 대신 실측 상태를 `실제 결과`에 기재</t>
  </si>
  <si>
    <t>TC_VIO_2566</t>
  </si>
  <si>
    <t>`지원 엔진 버전 *` 필드 `표출`</t>
  </si>
  <si>
    <t>TC_VIO_2567</t>
  </si>
  <si>
    <t>1. `지원 엔진 버전` 필드 하단 확인</t>
  </si>
  <si>
    <t>설명 문구 `표출`</t>
  </si>
  <si>
    <t>TC_VIO_2568</t>
  </si>
  <si>
    <t>1. `지원 엔진 버전` 필드 우측 Alert 영역 확인</t>
  </si>
  <si>
    <t>`⚠` Alert 박스 `표출`</t>
  </si>
  <si>
    <t>TC_VIO_2569</t>
  </si>
  <si>
    <t>`지원 엔진 버전` 필드에 값 1개 이상 선택된 상태</t>
  </si>
  <si>
    <t>1. 선택된 TAG 칩의 삭제(`x`) 아이콘 클릭</t>
  </si>
  <si>
    <t>해당 TAG 칩 `삭제`</t>
  </si>
  <si>
    <t>TC_VIO_2570</t>
  </si>
  <si>
    <t>TC_VIO_2571</t>
  </si>
  <si>
    <t>VIOE-05_01_08</t>
  </si>
  <si>
    <t>Helm_chart 카탈로그 수정 (2/2)</t>
  </si>
  <si>
    <t>해당 카탈로그의 설치 이력이 1건 이상 존재</t>
  </si>
  <si>
    <t>기존 공통 팝업이 아닌 `카탈로그 수정 확인` 팝업 `노출`</t>
  </si>
  <si>
    <t>TC_VIO_2572</t>
  </si>
  <si>
    <t>카탈로그 수정 확인 팝업</t>
  </si>
  <si>
    <t>`카탈로그 수정 확인` 팝업 노출 상태</t>
  </si>
  <si>
    <t>1. 팝업 본문 영역 확인</t>
  </si>
  <si>
    <t>영향 받는 설치 이력 목록과 총 개수 `표출`</t>
  </si>
  <si>
    <t>TC_VIO_2573</t>
  </si>
  <si>
    <t>`카탈로그 수정 확인` 팝업 노출 + 설치 이력 다수 존재</t>
  </si>
  <si>
    <t>1. 설치 이력 목록 영역 스크롤 동작 확인</t>
  </si>
  <si>
    <t>목록 영역 내부 `스크롤` 제공</t>
  </si>
  <si>
    <t>TC_VIO_2574</t>
  </si>
  <si>
    <t>1. `확인했습니다.` Checkbox 기본 상태 확인</t>
  </si>
  <si>
    <t>TC_VIO_2575</t>
  </si>
  <si>
    <t>1. `수정` 버튼 기본 상태 확인</t>
  </si>
  <si>
    <t>`수정` 버튼 `비활성화`</t>
  </si>
  <si>
    <t>TC_VIO_2576</t>
  </si>
  <si>
    <t>1. `확인했습니다.` Checkbox 선택</t>
  </si>
  <si>
    <t>`수정` 버튼 `활성화`</t>
  </si>
  <si>
    <t>TC_VIO_2577</t>
  </si>
  <si>
    <t>`카탈로그 수정 확인` 팝업 `종료`</t>
  </si>
  <si>
    <t>TC_VIO_2578</t>
  </si>
  <si>
    <t>VIOE-05_01_09</t>
  </si>
  <si>
    <t>카탈로그 설치 (Helm_chart)</t>
  </si>
  <si>
    <t>`카탈로그 설치 (Helm_chart)` 화면 진입</t>
  </si>
  <si>
    <t>1. `카탈로그 정보` 영역 확인</t>
  </si>
  <si>
    <t>`카탈로그 지원 엔진 버전` 항목 `표출`</t>
  </si>
  <si>
    <t>TC_VIO_2579</t>
  </si>
  <si>
    <t>1. `카탈로그 지원 엔진 버전` 항목 수정 시도</t>
  </si>
  <si>
    <t>수정 `불가`(READ-ONLY)</t>
  </si>
  <si>
    <t>TC_VIO_2580</t>
  </si>
  <si>
    <t>1. `지원 엔진 버전` 항목 하단 확인</t>
  </si>
  <si>
    <t>`⚠` 가이드 Alert 박스 `표출`</t>
  </si>
  <si>
    <t>TC_VIO_2581</t>
  </si>
  <si>
    <t>1. Alert 박스 내 안내 문구 존재 여부 확인</t>
  </si>
  <si>
    <t>안내 문구 `표출`</t>
  </si>
  <si>
    <t>TC_VIO_2582</t>
  </si>
  <si>
    <t>공유 옵션 설정된 카탈로그를 대상으로 `카탈로그 설치 (Helm_chart)` 화면 진입</t>
  </si>
  <si>
    <t>1. `클러스터` 필드 상태 확인</t>
  </si>
  <si>
    <t>`클러스터` 필드 `활성화`</t>
  </si>
  <si>
    <t>TC_VIO_2583</t>
  </si>
  <si>
    <t>1. `클러스터` 필드 기본 선택 값 확인</t>
  </si>
  <si>
    <t>테넌트 네비게이터에서 선택한 클러스터가 `Default` 로 표출</t>
  </si>
  <si>
    <t>TC_VIO_2584</t>
  </si>
  <si>
    <t>1. `클러스터` 필드에서 다른 클러스터로 변경 시도</t>
  </si>
  <si>
    <t>클러스터 `변경 가능`</t>
  </si>
  <si>
    <t>TC_VIO_2585</t>
  </si>
  <si>
    <t>1. `클러스터 엔진 버전` 항목 확인</t>
  </si>
  <si>
    <t>`클러스터 엔진 버전` 필드 `표출`</t>
  </si>
  <si>
    <t>TC_VIO_2586</t>
  </si>
  <si>
    <t>1. `클러스터 엔진 버전` 필드 값 확인</t>
  </si>
  <si>
    <t>선택한 클러스터에 설정된 엔진 버전 정보 `출력`</t>
  </si>
  <si>
    <t>TC_VIO_2587</t>
  </si>
  <si>
    <t>1. `클러스터 엔진 버전` 필드 수정 시도</t>
  </si>
  <si>
    <t>TC_VIO_2588</t>
  </si>
  <si>
    <t>선택 클러스터의 엔진 버전이 카탈로그의 `지원 엔진 버전`(1항) 목록에 없는 상태</t>
  </si>
  <si>
    <t>1. `클러스터 엔진 버전` 값 확인</t>
  </si>
  <si>
    <t>오류 메시지 `제공`</t>
  </si>
  <si>
    <t>TC_VIO_2589</t>
  </si>
  <si>
    <t>선택 클러스터에 등록된 엔진 버전이 없는 상태</t>
  </si>
  <si>
    <t>`{등록 정보 없음}` `표출`</t>
  </si>
  <si>
    <t>TC_VIO_2590</t>
  </si>
  <si>
    <t>1. `클러스터 엔진 버전` 필드 하단 확인</t>
  </si>
  <si>
    <t>`⚠` 유효성 문구 `표출`</t>
  </si>
  <si>
    <t>TC_VIO_2591</t>
  </si>
  <si>
    <t>`카탈로그 설치 (Helm_chart)` 화면에서 필수 값 입력 완료</t>
  </si>
  <si>
    <t>1. `설치` 버튼 클릭</t>
  </si>
  <si>
    <t>`지원 엔진 버전`(1항) 및 `클러스터 엔진 버전`(2항) `호환성 확인` 수행</t>
  </si>
  <si>
    <t>TC_VIO_2592</t>
  </si>
  <si>
    <t>선택한 지원 엔진 버전과 클러스터 엔진 버전이 `호환 불가능`한 상태에서 필수 값 입력 완료</t>
  </si>
  <si>
    <t>`알림` 팝업 `노출`</t>
  </si>
  <si>
    <t>TC_VIO_2593</t>
  </si>
  <si>
    <t>`지원 엔진 버전`(1항) 값과 `클러스터 엔진 버전`(2항) 값 중 하나가 서로 불일치하는 상태에서 필수 값 입력 완료</t>
  </si>
  <si>
    <t>호환 판정 결과 표출
ㄴ 두 엔진 버전 중 일부만 불일치할 때의 판정 기준은 기획 미정의 — 실측 상태를 `실제 결과`에 기재</t>
  </si>
  <si>
    <t>TC_VIO_2601</t>
  </si>
  <si>
    <t>VIOE-05_01_10</t>
  </si>
  <si>
    <t>Helm_chart 카탈로그 상세 - 세부 정보</t>
  </si>
  <si>
    <t>`카탈로그 허브` 목록에서 Helm Chart 카탈로그 클릭 → 상세 화면(`세부 정보` 탭) 진입</t>
  </si>
  <si>
    <t>1. 좌측 `기본 정보` 패널 확인</t>
  </si>
  <si>
    <t>`지원 엔진 버전` 항목 표출</t>
  </si>
  <si>
    <t>TC_VIO_2602</t>
  </si>
  <si>
    <t>1. 기본 정보 패널의 항목 순서 확인</t>
  </si>
  <si>
    <t>`지원 엔진 버전` 항목이 `클러스터` 다음 · `카테고리` 앞에 위치</t>
  </si>
  <si>
    <t>TC_VIO_2603</t>
  </si>
  <si>
    <t>1. `지원 엔진 버전` 값 표출 형태 확인</t>
  </si>
  <si>
    <t>`지원 엔진 버전` 값 표출
ㄴ chip 등 표기 형식·복수 표기·정렬·개수 상한은 기획 미정의 — 실측 상태를 `실제 결과`에 기재</t>
  </si>
  <si>
    <t>TC_VIO_2604</t>
  </si>
  <si>
    <t>1. 기본 정보 패널의 전체 항목 표출 순서 확인</t>
  </si>
  <si>
    <t>`이름`·`유형`·`클러스터`·`지원 엔진 버전`·`카테고리`·`설명`·`생성자`·`생성일시`·`수정자`·`수정일시` 순으로 표출</t>
  </si>
  <si>
    <t>TC_VIO_2605</t>
  </si>
  <si>
    <t>1. `이름`·`유형`·`클러스터` 항목 순서 확인</t>
  </si>
  <si>
    <t>`이름`·`유형`·`클러스터` 3개 항목이 신규 필드보다 앞에 배치</t>
  </si>
  <si>
    <t>TC_VIO_2606</t>
  </si>
  <si>
    <t>VIOE-05_01_20</t>
  </si>
  <si>
    <t>카탈로그 설치 (VIOLA_컴포넌트)</t>
  </si>
  <si>
    <t>`카탈로그 허브`에서 VIOLA 컴포넌트 카탈로그 `설치` 클릭하여 카탈로그 설치 화면 진입</t>
  </si>
  <si>
    <t>1. `배포 기본 정보` 영역 확인</t>
  </si>
  <si>
    <t>`지원 엔진 버전 *` 필드 표출</t>
  </si>
  <si>
    <t>TC_VIO_2607</t>
  </si>
  <si>
    <t>1. 배포 기본 정보 입력 필드 순서 확인</t>
  </si>
  <si>
    <t>`지원 엔진 버전 *` 항목이 `카탈로그` 아래 · `클러스터` 위에 위치</t>
  </si>
  <si>
    <t>TC_VIO_2608</t>
  </si>
  <si>
    <t>1. `지원 엔진 버전 *` 라벨 필수 표시 확인</t>
  </si>
  <si>
    <t>필드 라벨에 필수 표시(`*`) 표출</t>
  </si>
  <si>
    <t>TC_VIO_2609</t>
  </si>
  <si>
    <t>1. `클러스터` 항목 아래 영역 확인</t>
  </si>
  <si>
    <t>`클러스터 엔진 버전` 필드 표출</t>
  </si>
  <si>
    <t>TC_VIO_2610</t>
  </si>
  <si>
    <t>1. `클러스터 엔진 버전` 라벨 필수 표시 확인</t>
  </si>
  <si>
    <t>`지원 엔진 버전 *`·`클러스터 *`·`네임스페이스 *` 와 달리 필수 표시(`*`) 미표출</t>
  </si>
  <si>
    <t>TC_VIO_2611</t>
  </si>
  <si>
    <t>카탈로그 설치 화면에서 `지원 엔진 버전`과 `클러스터 엔진 버전`을 상이하게 입력한 상태</t>
  </si>
  <si>
    <t>1. 입력값 확인 후 화면 표출 상태 확인</t>
  </si>
  <si>
    <t>`클러스터 엔진 버전` 필드 하단에 비호환 인라인 에러 메시지 표출
ㄴ 에러 문구·트리거 시점(입력 즉시/포커스 아웃/설치 클릭 시)은 기획 미정의 — 실측 상태를 `실제 결과`에 기재</t>
  </si>
  <si>
    <t>TC_VIO_2612</t>
  </si>
  <si>
    <t>1. 필수 항목 입력 완료 후 `설치` 버튼 클릭</t>
  </si>
  <si>
    <t>`지원 엔진 버전`·`클러스터 엔진 버전` 호환성 확인 동작 수행
ㄴ 판정 기준(완전 일치/범위 포함)은 기획 미정의 — 실측 상태를 `실제 결과`에 기재</t>
  </si>
  <si>
    <t>TC_VIO_2613</t>
  </si>
  <si>
    <t>카탈로그 설치 화면에서 `지원 엔진 버전`과 `클러스터 엔진 버전`이 비호환인 상태로 입력</t>
  </si>
  <si>
    <t>1. 비호환 상태에서 `설치` 버튼 클릭</t>
  </si>
  <si>
    <t>비호환 엔진 버전 카탈로그에 대한 설치 시도 결과 표출
ㄴ 차단 여부·알림 수단은 기획 미정의 — 실측 상태를 `실제 결과`에 기재</t>
  </si>
  <si>
    <t>TC_VIO_2614</t>
  </si>
  <si>
    <t>VIOE-05_01_17</t>
  </si>
  <si>
    <t>VIOLA_컴포넌트 카탈로그 상세 - 세부 정보</t>
  </si>
  <si>
    <t>`카탈로그 허브` 목록에서 VIOLA 컴포넌트 카탈로그 클릭 → 상세 화면(`세부 정보` 탭) 진입</t>
  </si>
  <si>
    <t>TC_VIO_2615</t>
  </si>
  <si>
    <t>TC_VIO_2616</t>
  </si>
  <si>
    <t>TC_VIO_2617</t>
  </si>
  <si>
    <t>`이름`·`유형`·`클러스터`·`지원 엔진 버전`·`카테고리`·`설명` 순으로 표출</t>
  </si>
  <si>
    <t>TC_VIO_2618</t>
  </si>
  <si>
    <t>TC_VIO_2619</t>
  </si>
  <si>
    <t>VIOE-05_02_01</t>
  </si>
  <si>
    <t>배포 목록</t>
  </si>
  <si>
    <t>`카탈로그 관리` 화면에서 `설치 목록` 탭 진입</t>
  </si>
  <si>
    <t>1. 목록 표 `카탈로그 유형` 컬럼 헤더 확인</t>
  </si>
  <si>
    <t>`카탈로그 유형` 컬럼에 sort 아이콘 미표출</t>
  </si>
  <si>
    <t>TC_VIO_2620</t>
  </si>
  <si>
    <t>1. 목록 표 `지원 엔진 버전` 컬럼 헤더 확인</t>
  </si>
  <si>
    <t>`지원 엔진 버전` 컬럼에 sort 아이콘 미표출</t>
  </si>
  <si>
    <t>TC_VIO_2621</t>
  </si>
  <si>
    <t>1. `카탈로그 유형`·`지원 엔진 버전` 컬럼 헤더 클릭 시도</t>
  </si>
  <si>
    <t>정렬 동작 미발생</t>
  </si>
  <si>
    <t>TC_VIO_2622</t>
  </si>
  <si>
    <t>1. 목록 표 컬럼 구성 확인</t>
  </si>
  <si>
    <t>`지원 엔진 버전` 컬럼 표출</t>
  </si>
  <si>
    <t>TC_VIO_2623</t>
  </si>
  <si>
    <t>1. `지원 엔진 버전` 컬럼 위치 확인</t>
  </si>
  <si>
    <t>`배포 유형` 컬럼 다음 · `클러스터` 컬럼 앞에 위치</t>
  </si>
  <si>
    <t>TC_VIO_2624</t>
  </si>
  <si>
    <t>1. `지원 엔진 버전` 컬럼 값 확인</t>
  </si>
  <si>
    <t>카탈로그에 등록된 지원 엔진 버전 정보 표출
ㄴ 복수 버전 표기 형식·정렬·개수 상한은 기획 미정의 — 실측 상태를 `실제 결과`에 기재</t>
  </si>
  <si>
    <t>TC_VIO_2625</t>
  </si>
  <si>
    <t>배포 목록 - 롤백 팝업</t>
  </si>
  <si>
    <t>배포 목록에서 `작업` &gt; `롤백` 클릭하여 롤백 팝업 진입</t>
  </si>
  <si>
    <t>1. `버전 선택` 표 헤더 확인</t>
  </si>
  <si>
    <t>전체 컬럼에 sort 아이콘 미표출</t>
  </si>
  <si>
    <t>TC_VIO_2626</t>
  </si>
  <si>
    <t>1. `버전 선택` 표 헤더 클릭 시도</t>
  </si>
  <si>
    <t>TC_VIO_2627</t>
  </si>
  <si>
    <t>1. 롤백 팝업 입력 영역 확인</t>
  </si>
  <si>
    <t>`카탈로그 지원 엔진 버전 *` 필드 표출</t>
  </si>
  <si>
    <t>TC_VIO_2628</t>
  </si>
  <si>
    <t>1. `카탈로그 지원 엔진 버전 *` 라벨 필수 표시 확인</t>
  </si>
  <si>
    <t>필드 라벨에 필수 표시(`*`) 표출
ㄴ 값 원천·편집 가능 여부·개수 상한은 기획 미정의 — 실측 상태를 `실제 결과`에 기재</t>
  </si>
  <si>
    <t>TC_VIO_2629</t>
  </si>
  <si>
    <t>1. `카탈로그 지원 엔진 버전` 항목 아래 영역 확인</t>
  </si>
  <si>
    <t>`클러스터 엔진 버전` 필드 표출, 필수 표시(`*`) 미표출</t>
  </si>
  <si>
    <t>TC_VIO_2630</t>
  </si>
  <si>
    <t>롤백 팝업에서 `카탈로그 지원 엔진 버전`과 `클러스터 엔진 버전`을 상이하게 선택한 상태</t>
  </si>
  <si>
    <t>인라인 에러 메시지 표출
ㄴ 에러 문구·표출 시점은 기획 미정의 — 실측 상태를 `실제 결과`에 기재</t>
  </si>
  <si>
    <t>TC_VIO_2631</t>
  </si>
  <si>
    <t>1. Alert 영역 표출 상태 확인</t>
  </si>
  <si>
    <t>Alert 박스 표출
ㄴ Alert 문구는 목업 관찰값으로 확정 카피가 아님 — 실측 상태를 `실제 결과`에 기재</t>
  </si>
  <si>
    <t>TC_VIO_2632</t>
  </si>
  <si>
    <t>1. Alert 영역 하단 체크 박스 확인</t>
  </si>
  <si>
    <t>체크 박스 표출, Default `미선택`</t>
  </si>
  <si>
    <t>TC_VIO_2633</t>
  </si>
  <si>
    <t>롤백 팝업에서 엔진 버전이 불일치하고 체크 박스가 미선택된 상태</t>
  </si>
  <si>
    <t>1. `롤백` 버튼 상태 확인</t>
  </si>
  <si>
    <t>`롤백` 버튼 `비활성화`</t>
  </si>
  <si>
    <t>TC_VIO_2634</t>
  </si>
  <si>
    <t>롤백 팝업에서 엔진 버전이 불일치하고 체크 박스를 선택한 상태</t>
  </si>
  <si>
    <t>`롤백` 버튼 `활성화`</t>
  </si>
  <si>
    <t>TC_VIO_2635</t>
  </si>
  <si>
    <t>롤백 팝업에서 엔진 버전이 일치하는 버전을 선택한 상태</t>
  </si>
  <si>
    <t>1. 체크 박스 표출 여부 확인</t>
  </si>
  <si>
    <t>엔진 버전 일치 시 체크 박스 상태 표출
ㄴ 표출 여부는 기획 미정의(음의 분기) — 실측 상태를 `실제 결과`에 기재</t>
  </si>
  <si>
    <t>TC_VIO_2636</t>
  </si>
  <si>
    <t>VIOE-05_02_02</t>
  </si>
  <si>
    <t>배포 상세 - 리소스</t>
  </si>
  <si>
    <t>배포 목록에서 Helm Chart 유형 배포 `이름` 클릭 → 배포 상세 화면(`리소스` 탭) 진입</t>
  </si>
  <si>
    <t>1. Helm Chart 유형 배포 상세의 `기본 정보` 패널 확인</t>
  </si>
  <si>
    <t>TC_VIO_2637</t>
  </si>
  <si>
    <t>1. 기본 정보 패널의 항목 위치 확인</t>
  </si>
  <si>
    <t>`지원 엔진 버전` 항목이 `차트 버전` 다음 · `레포지토리 URL` 앞에 위치</t>
  </si>
  <si>
    <t>TC_VIO_2638</t>
  </si>
  <si>
    <t>배포 목록에서 VIOLA 컴포넌트 유형 배포 `이름` 클릭 → 배포 상세 화면(`리소스` 탭) 진입</t>
  </si>
  <si>
    <t>1. VIOLA 컴포넌트 유형 배포 상세의 `기본 정보` 패널 확인</t>
  </si>
  <si>
    <t>TC_VIO_2639</t>
  </si>
  <si>
    <t>`지원 엔진 버전` 항목이 `카탈로그 이름` 다음 · `클러스터` 앞에 위치</t>
  </si>
  <si>
    <t>TC_VIO_2640</t>
  </si>
  <si>
    <t>배포 상세(`리소스` 탭) `상태 정보` 영역에 메시지가 표출된 상태</t>
  </si>
  <si>
    <t>1. `상태 정보` 메시지 영역 확인</t>
  </si>
  <si>
    <t>TC_VIO_2641</t>
  </si>
  <si>
    <t>1. `[복사]` 버튼 클릭</t>
  </si>
  <si>
    <t>메시지 전체 내용 클립보드에 복사</t>
  </si>
  <si>
    <t>TC_VIO_2642</t>
  </si>
  <si>
    <t>1. `[복사]` 버튼 클릭 후 결과 확인</t>
  </si>
  <si>
    <t>toast 메시지 `"클립보드에 복사되었습니다."` 표출</t>
  </si>
  <si>
    <t>TC_VIO_2643</t>
  </si>
  <si>
    <t>배포 상세(`리소스` 탭)에서 파드 목록 확인 가능한 상태</t>
  </si>
  <si>
    <t>1. 파드 목록 표 헤더 확인</t>
  </si>
  <si>
    <t>`노드` 컬럼 헤더 미노출</t>
  </si>
  <si>
    <t>TC_VIO_2644</t>
  </si>
  <si>
    <t>1. 파드 목록 각 행 데이터 확인</t>
  </si>
  <si>
    <t>`노드` 값 미잔존</t>
  </si>
  <si>
    <t>TC_VIO_2645</t>
  </si>
  <si>
    <t>VIOE-05_02_04</t>
  </si>
  <si>
    <t>배포 수정</t>
  </si>
  <si>
    <t>배포 목록에서 `작업` &gt; `수정` 클릭하여 배포 수정 화면 진입</t>
  </si>
  <si>
    <t>TC_VIO_2646</t>
  </si>
  <si>
    <t>1. 배포 기본 정보 항목 순서 확인</t>
  </si>
  <si>
    <t>`지원 엔진 버전` 항목이 `차트 버전` 다음 · `현재 리비전` 앞에 위치</t>
  </si>
  <si>
    <t>TC_VIO_2647</t>
  </si>
  <si>
    <t>1. `지원 엔진 버전` 항목 수정 가능 여부 확인</t>
  </si>
  <si>
    <t>`지원 엔진 버전` 항목 표출
ㄴ DESC `수정 불가 항목으로 제공` 과 UI 의 제거(×)·필수(`*`) 표기가 상충 — 실측 상태를 `실제 결과`에 기재</t>
  </si>
  <si>
    <t>TC_VIO_2679</t>
  </si>
  <si>
    <t>VIOE-02_01_02-01</t>
  </si>
  <si>
    <t>노드 목록</t>
  </si>
  <si>
    <t>노드 관리 &gt; `노드 목록` 화면 진입</t>
  </si>
  <si>
    <t>1. 노드 목록 테이블 헤더 `인스턴스 주소` 컬럼 확인</t>
  </si>
  <si>
    <t>`인스턴스 주소` 컬럼 헤더 sort 컨트롤 노출 여부 확인
ㄴ UI 와 DESC 가 상충해 판정 불가 — 실측 상태를 `실제 결과`에 기재</t>
  </si>
  <si>
    <t>TC_VIO_2680</t>
  </si>
  <si>
    <t>1. `인스턴스 주소` 컬럼 sort 아이콘 클릭</t>
  </si>
  <si>
    <t>정렬 동작 수행
ㄴ 정렬 기준·오름/내림 토글 순서는 기획 미정의 — 실측 상태를 `실제 결과`에 기재</t>
  </si>
  <si>
    <t>TC_VIO_2681</t>
  </si>
  <si>
    <t>1. 노드 목록 화면 검색 필터 영역 확인</t>
  </si>
  <si>
    <t>`파드 수` 검색 필터 미제공</t>
  </si>
  <si>
    <t>TC_VIO_2682</t>
  </si>
  <si>
    <t>VIOE-02_01_02-09</t>
  </si>
  <si>
    <t>노드 상세 - 세부 정보</t>
  </si>
  <si>
    <t>노드 관리 &gt; `노드 상세` 화면 진입 (`세부 정보` 탭 선택 상태)</t>
  </si>
  <si>
    <t>1. `테인트` 필드 값 확인</t>
  </si>
  <si>
    <t>설정된 테인트 전체 표출</t>
  </si>
  <si>
    <t>TC_VIO_2683</t>
  </si>
  <si>
    <t>1. `테인트` 필드 표시 형태 확인</t>
  </si>
  <si>
    <t>tag 형태로 표출
ㄴ 테인트 개수가 많을 때의 표출 제한·말줄임 규칙은 기획 미정의 — 실측 상태를 `실제 결과`에 기재</t>
  </si>
  <si>
    <t>TC_VIO_2684</t>
  </si>
  <si>
    <t>1. 기본 정보 영역 필드 목록 확인</t>
  </si>
  <si>
    <t>`외부 ID` 필드 라벨 미노출</t>
  </si>
  <si>
    <t>TC_VIO_2685</t>
  </si>
  <si>
    <t>1. 기본 정보 영역 전체 값 확인</t>
  </si>
  <si>
    <t>`외부 ID` 값 미잔존</t>
  </si>
  <si>
    <t>TC_VIO_2686</t>
  </si>
  <si>
    <t>1. 기본 정보 영역 필드명 확인</t>
  </si>
  <si>
    <t>`클러스터 ID` 필드명 표출</t>
  </si>
  <si>
    <t>TC_VIO_2687</t>
  </si>
  <si>
    <t>1. 기본 정보 영역 전체 필드명 확인</t>
  </si>
  <si>
    <t>`공급자 ID` 필드명 미잔존</t>
  </si>
  <si>
    <t>TC_VIO_2688</t>
  </si>
  <si>
    <t>1. `클러스터 ID` 필드 값 옆 영역 확인</t>
  </si>
  <si>
    <t>TC_VIO_2689</t>
  </si>
  <si>
    <t>1. `클러스터 ID` 값 옆 `[복사]` 버튼 클릭</t>
  </si>
  <si>
    <t>값이 클립보드에 복사
ㄴ 복사 완료 toast 문구는 이 필드에 대해 기획 미정의 — 실측 상태를 `실제 결과`에 기재</t>
  </si>
  <si>
    <t>TC_VIO_2690</t>
  </si>
  <si>
    <t>`노드 IP` 필드명 표출</t>
  </si>
  <si>
    <t>TC_VIO_2691</t>
  </si>
  <si>
    <t>`노드 주소` 필드명 미잔존</t>
  </si>
  <si>
    <t>TC_VIO_2692</t>
  </si>
  <si>
    <t>`호스트 이름` 필드명 표출</t>
  </si>
  <si>
    <t>TC_VIO_2693</t>
  </si>
  <si>
    <t>`부팅 ID (BootID)` 계열 필드명 표출</t>
  </si>
  <si>
    <t>TC_VIO_2694</t>
  </si>
  <si>
    <t>`부팅 ID` 단독 표기 미잔존</t>
  </si>
  <si>
    <t>TC_VIO_2695</t>
  </si>
  <si>
    <t>1. `부팅 ID` 필드 값 옆 영역 확인</t>
  </si>
  <si>
    <t>TC_VIO_2696</t>
  </si>
  <si>
    <t>1. `부팅 ID` 값 옆 `[복사]` 버튼 클릭</t>
  </si>
  <si>
    <t>TC_VIO_2697</t>
  </si>
  <si>
    <t>1. 상태 정보 영역 확인</t>
  </si>
  <si>
    <t>`전원 상태` 필드 표출
ㄴ 값 표기 형태(badge 등 시각 표현)는 기획 미정의 — 실측 상태를 `실제 결과`에 기재</t>
  </si>
  <si>
    <t>TC_VIO_2698</t>
  </si>
  <si>
    <t>노드 관리 &gt; `노드 상세` 화면 진입 (`세부 정보` 탭 선택 상태) · VIOLA를 통해 생성된 노드</t>
  </si>
  <si>
    <t>1. `전원 상태` 필드 값 확인</t>
  </si>
  <si>
    <t>`RUNNING`/`PAUSED`/`SUSPENDED`/`CRASHED`/`SHUTDOWN`/`NOSTATE` 중 하나로 표출
ㄴ 각 상태의 세부 정의(CONTRABASS 상세 정의)는 기획서 내 확인 불가 — 실측 상태를 `실제 결과`에 기재</t>
  </si>
  <si>
    <t>TC_VIO_2699</t>
  </si>
  <si>
    <t>노드 관리 &gt; `노드 상세` 화면 진입 (`세부 정보` 탭 선택 상태) · 연결한 클러스터 노드</t>
  </si>
  <si>
    <t>`UP`/`DOWN` 중 하나로 표출</t>
  </si>
  <si>
    <t>TC_VIO_2700</t>
  </si>
  <si>
    <t>1. 상태 정보 테이블 상단 확인</t>
  </si>
  <si>
    <t>테이블 label 표출
ㄴ label 텍스트는 기획 미정의 — 실측 상태를 `실제 결과`에 기재</t>
  </si>
  <si>
    <t>TC_VIO_2701</t>
  </si>
  <si>
    <t>1. 상태 정보 테이블 헤더 확인</t>
  </si>
  <si>
    <t>`업데이트 일시` 컬럼명 표출</t>
  </si>
  <si>
    <t>TC_VIO_2702</t>
  </si>
  <si>
    <t>1. 상태 정보 테이블 헤더 전체 확인</t>
  </si>
  <si>
    <t>`변경 시간` 컬럼명 미잔존</t>
  </si>
  <si>
    <t>TC_VIO_2703</t>
  </si>
  <si>
    <t>`상태 체크 시간` 컬럼 미노출</t>
  </si>
  <si>
    <t>TC_VIO_2704</t>
  </si>
  <si>
    <t>1. 상태 정보 테이블 전체 컬럼 확인</t>
  </si>
  <si>
    <t>`상태 체크 시간` 값 미잔존</t>
  </si>
  <si>
    <t>TC_VIO_2705</t>
  </si>
  <si>
    <t>`메시지` 컬럼 표출</t>
  </si>
  <si>
    <t>TC_VIO_2706</t>
  </si>
  <si>
    <t>노드 관리 &gt; `노드 상세` 화면 진입 (`세부 정보` 탭 선택 상태) · `메시지` 값이 표시 영역을 초과하는 노드</t>
  </si>
  <si>
    <t>1. `메시지` 컬럼 값 확인</t>
  </si>
  <si>
    <t>개행하여 전체 로그 표출</t>
  </si>
  <si>
    <t>TC_VIO_2707</t>
  </si>
  <si>
    <t>TC_VIO_2708</t>
  </si>
  <si>
    <t>1. `메시지` `[복사]` 버튼 클릭 후 toast 확인</t>
  </si>
  <si>
    <t>TC_VIO_2709</t>
  </si>
  <si>
    <t>1. 상태 정보 테이블 컬럼 순서 확인</t>
  </si>
  <si>
    <t>`유형`·`상태`·`업데이트 일시`·`이유`·`메시지` 순으로 표출
ㄴ 변경 전 컬럼 순서는 기획 미정의 — 실측 상태를 `실제 결과`에 기재</t>
  </si>
  <si>
    <t>TC_VIO_2710</t>
  </si>
  <si>
    <t>1. 기본 정보 영역의 `아키텍처` 필드 상태 확인</t>
  </si>
  <si>
    <t>`아키텍처` 필드 노출 여부 확인
ㄴ UI: 반투명 처리 + `v1삭제 - 25.11.28 (불필요 필드 삭제)` 오버레이 배지(삭제) / DESC 1항 12: `아키텍처 (추가_현행화 - 25.11.28)`(추가/현행화) — 표기 상충, PASS/FAIL 판정 대신 실측 상태를 `실제 결과`에 기재</t>
  </si>
  <si>
    <t>TC_VIO_2711</t>
  </si>
  <si>
    <t>VIOE-03_01_01-13</t>
  </si>
  <si>
    <t>디플로이먼트 목록</t>
  </si>
  <si>
    <t>`디플로이먼트 목록` 화면 진입</t>
  </si>
  <si>
    <t>1. 목록 표에서 `리비전` 컬럼 확인</t>
  </si>
  <si>
    <t>`네임스페이스`와 `파드` 컬럼 사이에 `리비전` 컬럼 표출
ㄴ 해당 디플로이먼트의 현재 리비전 정보 표시</t>
  </si>
  <si>
    <t>TC_VIO_2712</t>
  </si>
  <si>
    <t>1. `리비전` 컬럼 헤더 확인</t>
  </si>
  <si>
    <t>`리비전` 컬럼 헤더에 sort 아이콘 표출</t>
  </si>
  <si>
    <t>TC_VIO_2713</t>
  </si>
  <si>
    <t>`디플로이먼트 목록` 화면에서 특정 행의 `작업`(`…`) 메뉴 오픈</t>
  </si>
  <si>
    <t>1. `작업` 메뉴 항목 확인</t>
  </si>
  <si>
    <t>`재시작`·`수정`·`삭제`와 함께 `롤백` 메뉴 항목 표출</t>
  </si>
  <si>
    <t>TC_VIO_2714</t>
  </si>
  <si>
    <t>`디플로이먼트 목록` 화면에서 `작업` 메뉴 오픈 상태</t>
  </si>
  <si>
    <t>1. `롤백` 메뉴 항목 클릭</t>
  </si>
  <si>
    <t>`롤백` 팝업 호출</t>
  </si>
  <si>
    <t>TC_VIO_2715</t>
  </si>
  <si>
    <t>롤백 팝업</t>
  </si>
  <si>
    <t>`디플로이먼트 목록` 화면에서 `롤백` 팝업 호출</t>
  </si>
  <si>
    <t>`롤백` 팝업 타이틀 표출</t>
  </si>
  <si>
    <t>TC_VIO_2716</t>
  </si>
  <si>
    <t>`롤백` 팝업 진입</t>
  </si>
  <si>
    <t>1. 팝업 Table 컬럼 구성 확인</t>
  </si>
  <si>
    <t>`(선택)`·`리비전`·`이름`·`상태`·`히스토리`·`수정일시`·`상세` 컬럼 표출
ㄴ 미정의 항목은 `디플로이먼트 상세 &gt; 변경 이력` 동작과 동일하게 제공</t>
  </si>
  <si>
    <t>TC_VIO_2717</t>
  </si>
  <si>
    <t>`롤백` 팝업 진입, Table 표출 상태</t>
  </si>
  <si>
    <t>1. Table 행의 선택 컨트롤 확인</t>
  </si>
  <si>
    <t>라디오 버튼(단일 선택)으로 행 선택 가능</t>
  </si>
  <si>
    <t>TC_VIO_2718</t>
  </si>
  <si>
    <t>1. Table `이름` 컬럼 값 클릭</t>
  </si>
  <si>
    <t>클릭 이벤트 없음(화면 이동 등 동작 없음)</t>
  </si>
  <si>
    <t>TC_VIO_2719</t>
  </si>
  <si>
    <t>1. Table `상세` 컬럼 아이콘 클릭</t>
  </si>
  <si>
    <t>해당 레플리카셋 상세 화면(`VIOE-03_01_01-33`)으로 이동</t>
  </si>
  <si>
    <t>TC_VIO_2720</t>
  </si>
  <si>
    <t>`디플로이먼트 목록` 화면에서 `롤백` 팝업 호출 직후</t>
  </si>
  <si>
    <t>1. Alert 영역 확인</t>
  </si>
  <si>
    <t>Alert 영역 항상 표출(조건부 아님)
ㄴ 닫기(`X`) 아이콘 제공</t>
  </si>
  <si>
    <t>TC_VIO_2721</t>
  </si>
  <si>
    <t>팝업 종료</t>
  </si>
  <si>
    <t>TC_VIO_2722</t>
  </si>
  <si>
    <t>`롤백` 팝업 진입 직후(버전 미선택 상태)</t>
  </si>
  <si>
    <t>`롤백` 버튼 비활성화 상태(Default)</t>
  </si>
  <si>
    <t>TC_VIO_2723</t>
  </si>
  <si>
    <t>`롤백` 팝업 진입, Table 에서 특정 리비전 행 선택</t>
  </si>
  <si>
    <t>`롤백` 버튼 활성화</t>
  </si>
  <si>
    <t>TC_VIO_2724</t>
  </si>
  <si>
    <t>`롤백` 팝업에서 롤백 버전 선택 후 `롤백` 버튼 활성화 상태</t>
  </si>
  <si>
    <t>1. `롤백` 버튼 클릭</t>
  </si>
  <si>
    <t>선택한 버전으로 롤백 실행
ㄴ 팝업 종료</t>
  </si>
  <si>
    <t>TC_VIO_2725</t>
  </si>
  <si>
    <t>VIOE-03_01_01-44</t>
  </si>
  <si>
    <t>디플로이먼트 상세 - 변경 이력</t>
  </si>
  <si>
    <t>`디플로이먼트 상세` 화면 진입</t>
  </si>
  <si>
    <t>1. 탭 영역 확인</t>
  </si>
  <si>
    <t>`메트릭`과 `이벤트` 탭 사이에 `변경 이력` 탭 표출</t>
  </si>
  <si>
    <t>TC_VIO_2726</t>
  </si>
  <si>
    <t>1. `변경 이력` 탭 클릭</t>
  </si>
  <si>
    <t>레플리카셋 목록 표출</t>
  </si>
  <si>
    <t>TC_VIO_2727</t>
  </si>
  <si>
    <t>`변경 이력` 탭 진입, 레플리카셋 목록 표출 상태</t>
  </si>
  <si>
    <t>1. 목록 표 전체 컬럼 헤더 확인</t>
  </si>
  <si>
    <t>전 컬럼에 sort 아이콘 미제공</t>
  </si>
  <si>
    <t>TC_VIO_2728</t>
  </si>
  <si>
    <t>`변경 이력` 탭 진입, 디플로이먼트 spec에 `revisionHistoryLimit` 필드 지정된 상태</t>
  </si>
  <si>
    <t>1. 레플리카셋 목록의 버전 히스토리 표출 개수 확인</t>
  </si>
  <si>
    <t>표출 개수가 `revisionHistoryLimit` 필드 지정값과 일치</t>
  </si>
  <si>
    <t>TC_VIO_2729</t>
  </si>
  <si>
    <t>`변경 이력` 탭 진입, 실제 리비전 수가 `revisionHistoryLimit` 지정값보다 적은 상태</t>
  </si>
  <si>
    <t>1. 레플리카셋 목록 표출 개수 확인</t>
  </si>
  <si>
    <t>`ㄴ` 기획 미정의 항목 — PASS/FAIL 판정 대신 실측 상태를 `실제 결과`에 기재</t>
  </si>
  <si>
    <t>TC_VIO_2730</t>
  </si>
  <si>
    <t>`변경 이력` 탭 진입 직후</t>
  </si>
  <si>
    <t>1. 라디오 버튼 선택 상태 확인</t>
  </si>
  <si>
    <t>라디오 버튼 전체 미선택 상태로 표출(Default: 선택값 없음)</t>
  </si>
  <si>
    <t>TC_VIO_2731</t>
  </si>
  <si>
    <t>롤백 팝업 진입 직후 상태</t>
  </si>
  <si>
    <t>1. Radio Button 선택 상태 확인</t>
  </si>
  <si>
    <t>Default 로 선택된 항목 없음</t>
  </si>
  <si>
    <t>TC_VIO_2732</t>
  </si>
  <si>
    <t>`변경 이력` 탭 진입</t>
  </si>
  <si>
    <t>1. `레플리카셋` 라벨 우측 `?` 아이콘에 마우스 호버</t>
  </si>
  <si>
    <t>TC_VIO_2733</t>
  </si>
  <si>
    <t>VIOE-00_00_01</t>
  </si>
  <si>
    <t>기본 모드 공통 정의</t>
  </si>
  <si>
    <t>`게이트웨이 클래스` 생성 화면 진입</t>
  </si>
  <si>
    <t>1. `이름` 필드에 마침표(`.`)를 포함한 값 입력</t>
  </si>
  <si>
    <t>마침표(`.`) 입력 불가(입력 차단 또는 저장 시 오류 처리)</t>
  </si>
  <si>
    <t>TC_VIO_2734</t>
  </si>
  <si>
    <t>`게이트웨이 클래스` 생성 화면 진입 상태</t>
  </si>
  <si>
    <t>TC_VIO_2735</t>
  </si>
  <si>
    <t>VIOE-00_00_02</t>
  </si>
  <si>
    <t>고급 모드 공통 정의</t>
  </si>
  <si>
    <t>`고급 모드` 진입, 고급 모드 가이드 패널 표출 상태</t>
  </si>
  <si>
    <t>1. 가이드 패널 확인</t>
  </si>
  <si>
    <t>가이드 패널에 `[X]` 버튼 미노출</t>
  </si>
  <si>
    <t>TC_VIO_2736</t>
  </si>
  <si>
    <t>1. 가이드 패널 접기 동작 시도(해당 UI 요소 확인)</t>
  </si>
  <si>
    <t>가이드 패널을 바 형태로 접는 기능 미제공(미동작)</t>
  </si>
  <si>
    <t>TC_VIO_2737</t>
  </si>
  <si>
    <t>VIOE-02_01_01-10</t>
  </si>
  <si>
    <t>세부 기능 명세</t>
  </si>
  <si>
    <t>GPU Operator 컴포넌트가 설치된 클러스터에서 `GPU 설정 팝업`(`VIOE-02_01_01-10`) 진입</t>
  </si>
  <si>
    <t>1. GPU 사용 유형 설정 단위 확인</t>
  </si>
  <si>
    <t>클러스터 일괄 적용이 아닌 `노드 별` GPU 사용 유형 설정 제공</t>
  </si>
  <si>
    <t>TC_VIO_2760</t>
  </si>
  <si>
    <t>VIOE-02_01_01-01</t>
  </si>
  <si>
    <t>클러스터 목록</t>
  </si>
  <si>
    <t>`클러스터 목록` 화면에서 클러스터 연결/생성 완료 상태</t>
  </si>
  <si>
    <t>1. `인프라 정보` 컬럼 확인</t>
  </si>
  <si>
    <t>연결/생성 시 입력한 값 표출</t>
  </si>
  <si>
    <t>TC_VIO_2761</t>
  </si>
  <si>
    <t>`클러스터 목록` 화면에서 CONTRABASS 연동으로 클러스터 생성 완료 상태</t>
  </si>
  <si>
    <t>`{CONTRABASS 엔진 명}/{프로젝트명}` 형식으로 표출</t>
  </si>
  <si>
    <t>TC_VIO_2762</t>
  </si>
  <si>
    <t>`클러스터 목록` 화면에서 클러스터 행 진입</t>
  </si>
  <si>
    <t>1. `작업` &gt; `삭제` 클릭</t>
  </si>
  <si>
    <t>`클러스터 삭제` 팝업(`1-4`) 호출</t>
  </si>
  <si>
    <t>TC_VIO_2763</t>
  </si>
  <si>
    <t>`클러스터 삭제` 팝업(`1-4`) 진입</t>
  </si>
  <si>
    <t>1. 팝업 내 목록 확인</t>
  </si>
  <si>
    <t>함께 삭제되는 인프라 자원의 `유형`·`이름`·`ID` 표출
ㄴ 총 개수(`총 n개`) 표출</t>
  </si>
  <si>
    <t>TC_VIO_2764</t>
  </si>
  <si>
    <t>`클러스터 삭제` 팝업(`1-4`) 진입 직후, `확인했습니다.` 미체크 상태</t>
  </si>
  <si>
    <t>1. `삭제` 버튼 상태 확인</t>
  </si>
  <si>
    <t>`삭제` 버튼 비활성 상태로 표출</t>
  </si>
  <si>
    <t>TC_VIO_2765</t>
  </si>
  <si>
    <t>`클러스터 삭제` 팝업(`1-4`)에서 `확인했습니다.` 미체크 상태</t>
  </si>
  <si>
    <t>1. `확인했습니다.` 체크</t>
  </si>
  <si>
    <t>`삭제` 버튼 활성화</t>
  </si>
  <si>
    <t>TC_VIO_2766</t>
  </si>
  <si>
    <t>`클러스터 목록` 화면 진입</t>
  </si>
  <si>
    <t>1. Action Buttons 영역의 `생성` 버튼 상태 확인</t>
  </si>
  <si>
    <t>조건과 무관하게 `생성` 버튼 활성 상태로 표출</t>
  </si>
  <si>
    <t>TC_VIO_2816</t>
  </si>
  <si>
    <t>VIOE-05_01_14</t>
  </si>
  <si>
    <t>YAML 카탈로그 생성 (1/2)</t>
  </si>
  <si>
    <t>`카탈로그 생성` 화면(YAML) `1 기본 정보` STEP 진입</t>
  </si>
  <si>
    <t>1. 좌측 STEP 네비게이션 확인</t>
  </si>
  <si>
    <t>`1 기본 정보`·`2 상세 정의` 2단계 STEP 표출
ㄴ 진입 시 `1 기본 정보` 선택 상태</t>
  </si>
  <si>
    <t>TC_VIO_2817</t>
  </si>
  <si>
    <t>1. `다음` 버튼 클릭</t>
  </si>
  <si>
    <t>`2 상세 정의` STEP(`VIOE-05_01_14-01`)으로 이동</t>
  </si>
  <si>
    <t>TC_VIO_2818</t>
  </si>
  <si>
    <t>1. `클러스터 *` 필드 하단 확인</t>
  </si>
  <si>
    <t>`전체 클러스터 공유` 체크박스 표출
ㄴ 기본 미체크 상태</t>
  </si>
  <si>
    <t>TC_VIO_2819</t>
  </si>
  <si>
    <t>1. `카테고리` 필드 하단 확인</t>
  </si>
  <si>
    <t>`카테고리는 최대 2개까지 설정 가능합니다.` 가이드 문구 미노출 — 더는 표출되지 않음</t>
  </si>
  <si>
    <t>TC_VIO_2820</t>
  </si>
  <si>
    <t>1. 폼 하단 액션 영역 확인</t>
  </si>
  <si>
    <t>우하단 버튼 라벨 `다음` 표출 (이전 `생성`에서 변경)</t>
  </si>
  <si>
    <t>TC_VIO_2821</t>
  </si>
  <si>
    <t>VIOE-05_01_14-01</t>
  </si>
  <si>
    <t>YAML 카탈로그 생성 (2/2)</t>
  </si>
  <si>
    <t>`카탈로그 생성` 화면(YAML) `1 기본 정보` STEP에서 `다음` 클릭 직후</t>
  </si>
  <si>
    <t>1. `2 상세 정의` STEP 화면 확인</t>
  </si>
  <si>
    <t>독립 화면(`VIOE-05_01_14-01`)으로 제공
ㄴ 좌측 STEP 네비 `1 기본 정보`(완료 표시)·`2 상세 정의`(선택 상태) 표출</t>
  </si>
  <si>
    <t>TC_VIO_2822</t>
  </si>
  <si>
    <t>`YAML 스크립트` 입력 항목 1개 제공
ㄴ 하단 액션 `취소`·`이전`·`생성` 3개 제공</t>
  </si>
  <si>
    <t>TC_VIO_2823</t>
  </si>
  <si>
    <t>VIOE-05_01_15</t>
  </si>
  <si>
    <t>YAML 카탈로그 수정 (1/2)</t>
  </si>
  <si>
    <t>`카탈로그 수정` 화면(YAML) `1 기본 정보` STEP 진입</t>
  </si>
  <si>
    <t>TC_VIO_2824</t>
  </si>
  <si>
    <t>`2 상세 정의` STEP(`VIOE-05_01_15-01`)으로 이동</t>
  </si>
  <si>
    <t>TC_VIO_2825</t>
  </si>
  <si>
    <t>`전체 클러스터 공유` 체크박스 표출</t>
  </si>
  <si>
    <t>TC_VIO_2826</t>
  </si>
  <si>
    <t>`카탈로그 수정` 화면(YAML) `1 기본 정보` STEP 진입 / `클러스터`가 `수정 불가 영역`(DESC 1항)에 해당하는 상태</t>
  </si>
  <si>
    <t>1. `전체 클러스터 공유` 체크박스 상태 확인</t>
  </si>
  <si>
    <t>`전체 클러스터 공유` 체크박스 제공</t>
  </si>
  <si>
    <t>TC_VIO_2827</t>
  </si>
  <si>
    <t>TC_VIO_2828</t>
  </si>
  <si>
    <t>TC_VIO_2829</t>
  </si>
  <si>
    <t>VIOE-05_01_15-01</t>
  </si>
  <si>
    <t>YAML 카탈로그 수정 (2/2)</t>
  </si>
  <si>
    <t>`카탈로그 수정` 화면(YAML) `1 기본 정보` STEP에서 `다음` 클릭 직후</t>
  </si>
  <si>
    <t>독립 화면(`VIOE-05_01_15-01`)으로 제공
ㄴ 좌측 STEP 네비 `1 기본 정보`(완료 표시)·`2 상세 정의`(선택 상태) 표출</t>
  </si>
  <si>
    <t>TC_VIO_2830</t>
  </si>
  <si>
    <t>`YAML 스크립트` 입력 항목 1개 제공
ㄴ 하단 액션 `취소`·`이전`·`수정` 3개 제공</t>
  </si>
  <si>
    <t>TC_VIO_2831</t>
  </si>
  <si>
    <t>VIOE-02_01_03-02</t>
  </si>
  <si>
    <t>네임스페이스 생성 (기본 모드)</t>
  </si>
  <si>
    <t>`네임스페이스 생성 (기본 모드)` 화면(VIOE-02_01_03-02) 진입</t>
  </si>
  <si>
    <t>1. `리소스 쿼터` 필드 확인</t>
  </si>
  <si>
    <t>토글 스위치 컴포넌트(`미설정`/`설정`) 표출</t>
  </si>
  <si>
    <t>TC_VIO_2832</t>
  </si>
  <si>
    <t>1. `리소스 쿼터` 필드 초기 상태 확인</t>
  </si>
  <si>
    <t>`미설정` Default 상태로 표출</t>
  </si>
  <si>
    <t>TC_VIO_2833</t>
  </si>
  <si>
    <t>1. `리소스 쿼터` 필드의 컴포넌트 형태 확인</t>
  </si>
  <si>
    <t>토글 컴포넌트로 제공</t>
  </si>
  <si>
    <t>TC_VIO_2834</t>
  </si>
  <si>
    <t>`네임스페이스 생성 (기본 모드)` 화면에서 `리소스 쿼터` 토글 `설정` 선택 상태</t>
  </si>
  <si>
    <t>1. `스펙 *` 필드 하단 확인</t>
  </si>
  <si>
    <t>가이드 문구 표출
ㄴ 문구 원문은 DESC 미정의 — 실측 상태를 `실제 결과`에 기재</t>
  </si>
  <si>
    <t>TC_VIO_2835</t>
  </si>
  <si>
    <t>VIOE-03_01_04-02</t>
  </si>
  <si>
    <t>HPA 생성 (기본 모드)</t>
  </si>
  <si>
    <t>`HPA 생성 (기본 모드)` 화면(VIOE-03_01_04-02) 진입</t>
  </si>
  <si>
    <t>1. 폼 영역 `대상 디플로이먼트 선택` 섹션의 필드 라벨 확인</t>
  </si>
  <si>
    <t>필드 라벨 `디플로이먼트` 표출
ㄴ 구 명칭 `디플로이먼트 선택` 미잔존</t>
  </si>
  <si>
    <t>TC_VIO_2836</t>
  </si>
  <si>
    <t>1. 기본 모드 가이드 패널의 `디플로이먼트` 섹션 제목 확인</t>
  </si>
  <si>
    <t>섹션 제목 `디플로이먼트` 표출
ㄴ 구 명칭 `디플로이먼트 선택` 미잔존</t>
  </si>
  <si>
    <t>TC_VIO_2837</t>
  </si>
  <si>
    <t>1. 가이드 패널 `메트릭 &gt; Pods`·`Object` 설명문 확인</t>
  </si>
  <si>
    <t>설명문에 `디플로이먼트` 표기
ㄴ 구 명칭 `디플로이먼트 선택` 미잔존</t>
  </si>
  <si>
    <t>TC_VIO_2838</t>
  </si>
  <si>
    <t>1. 가이드 패널 `메트릭 &gt; Pods` 설명문의 `적용` 문구 확인</t>
  </si>
  <si>
    <t>필드 하단 가이드 문구 표출
ㄴ 문구 원문은 목업 카피로 확정 아님 — 실측 상태를 `실제 결과`에 기재</t>
  </si>
  <si>
    <t>TC_VIO_2839</t>
  </si>
  <si>
    <t>VIOE-03_01_02-07</t>
  </si>
  <si>
    <t>CRON 작업 목록</t>
  </si>
  <si>
    <t>`CRON 작업 목록` 화면(VIOE-03_01_02-07) 진입</t>
  </si>
  <si>
    <t>1. 목록 테이블 컬럼 헤더 확인</t>
  </si>
  <si>
    <t>`스케줄 규칙` 컬럼 헤더 표출</t>
  </si>
  <si>
    <t>TC_VIO_2840</t>
  </si>
  <si>
    <t>구 명칭 `스케줄` 컬럼 헤더 미잔존</t>
  </si>
  <si>
    <t>TC_VIO_2841</t>
  </si>
  <si>
    <t>1. `스케줄 규칙` 컬럼 헤더 확인</t>
  </si>
  <si>
    <t>sort 아이콘 미제공</t>
  </si>
  <si>
    <t>TC_VIO_2842</t>
  </si>
  <si>
    <t>1. `동시성 정책` 컬럼 헤더 확인</t>
  </si>
  <si>
    <t>TC_VIO_2843</t>
  </si>
  <si>
    <t>VIOE-03_01_02-08</t>
  </si>
  <si>
    <t>CRON 작업 생성 (기본 모드)</t>
  </si>
  <si>
    <t>`CRON 작업 생성 (기본 모드)` 화면(VIOE-03_01_02-08) 진입</t>
  </si>
  <si>
    <t>1. 기본 모드 가이드 패널 확인</t>
  </si>
  <si>
    <t>`설정된 Crontab 명령어` 가이드 항목 표출</t>
  </si>
  <si>
    <t>TC_VIO_2844</t>
  </si>
  <si>
    <t>1. 기본 모드 가이드 패널의 항목 순서 확인</t>
  </si>
  <si>
    <t>`설정된 Crontab 명령어` 항목이 `분 선택`과 `컨테이너 설정` 사이에 위치</t>
  </si>
  <si>
    <t>TC_VIO_2845</t>
  </si>
  <si>
    <t>VIOE-03_01_02-11</t>
  </si>
  <si>
    <t>CRON 작업 상세 - 리소스</t>
  </si>
  <si>
    <t>`CRON 작업 상세 - 리소스` 화면(VIOE-03_01_02-11) 진입</t>
  </si>
  <si>
    <t>1. `기본 정보` 영역의 필드 라벨 확인</t>
  </si>
  <si>
    <t>필드 라벨 `스케줄 규칙` 표출
ㄴ 구 명칭 `일정` 미잔존</t>
  </si>
  <si>
    <t>TC_VIO_2846</t>
  </si>
  <si>
    <t>1. `리소스` 탭 하단 섹션 타이틀 확인</t>
  </si>
  <si>
    <t>섹션 타이틀 `컨테이너` 표출
ㄴ 구 명칭 `리소스 상태` 미잔존</t>
  </si>
  <si>
    <t>TC_VIO_2847</t>
  </si>
  <si>
    <t>1. 컨테이너 Table의 `리소스 제한` 컬럼 헤더 확인</t>
  </si>
  <si>
    <t>TC_VIO_2848</t>
  </si>
  <si>
    <t>1. 컨테이너 Table 컬럼 구성 확인</t>
  </si>
  <si>
    <t>`포트` 컬럼 표출</t>
  </si>
  <si>
    <t>TC_VIO_2849</t>
  </si>
  <si>
    <t>1. `포트` 컬럼 위치 확인</t>
  </si>
  <si>
    <t>`리소스 제한` 컬럼 우측에 위치</t>
  </si>
  <si>
    <t>TC_VIO_2850</t>
  </si>
  <si>
    <t>1. `포트` 컬럼 값 확인</t>
  </si>
  <si>
    <t>포트 값 badge 형태로 표출
ㄴ 표기 형식·구분자는 DESC 미정의 — 실측 상태를 `실제 결과`에 기재</t>
  </si>
  <si>
    <t>TC_VIO_2851</t>
  </si>
  <si>
    <t>VIOE-02_02_02-07</t>
  </si>
  <si>
    <t>롤 바인딩 목록</t>
  </si>
  <si>
    <t>`롤 바인딩 목록` 화면(VIOE-02_02_02-07) 진입</t>
  </si>
  <si>
    <t>1. `주체` 컬럼 확인</t>
  </si>
  <si>
    <t>`주체` 컬럼이 목록 Table에 단일 컬럼으로 표출
ㄴ 통합 값 구분자·표기 규칙은 DESC 미정의 — 실측 상태를 `실제 결과`에 기재</t>
  </si>
  <si>
    <t>TC_VIO_2852</t>
  </si>
  <si>
    <t>1. 목록 Table 컬럼 구성 확인</t>
  </si>
  <si>
    <t>구 `주체 유형`·`주체 이름` 2개 컬럼 미잔존</t>
  </si>
  <si>
    <t>TC_VIO_2853</t>
  </si>
  <si>
    <t>1. 목록 Table 컬럼 순서 확인</t>
  </si>
  <si>
    <t>`롤 바인딩 이름` → `롤 참조` → `주체` → `클러스터` → `네임스페이스` → `생성일시` → `작업` 순으로 표출</t>
  </si>
  <si>
    <t>TC_VIO_2854</t>
  </si>
  <si>
    <t>VIOE-02_02_03-07</t>
  </si>
  <si>
    <t>클러스터 롤 바인딩 목록</t>
  </si>
  <si>
    <t>`클러스터 롤 바인딩 목록` 화면(VIOE-02_02_03-07) 진입</t>
  </si>
  <si>
    <t>TC_VIO_2855</t>
  </si>
  <si>
    <t>TC_VIO_2856</t>
  </si>
  <si>
    <t>`클러스터 롤 바인딩 이름` → `클러스터 롤 참조` → `주체` → `클러스터` → `생성일시` → `작업` 순으로 표출
ㄴ 이 화면에는 `네임스페이스` 컬럼이 없다</t>
  </si>
  <si>
    <t>TC_VIO_2857</t>
  </si>
  <si>
    <t>VIOE-04_01_01</t>
  </si>
  <si>
    <t>`이벤트` 화면(VIOE-04_01_01) 진입</t>
  </si>
  <si>
    <t>1. `유형`·`리소스 유형`·`메시지` 컬럼 헤더 확인</t>
  </si>
  <si>
    <t>`유형`·`리소스 유형`·`메시지` 컬럼 헤더에 sort 아이콘 미표출</t>
  </si>
  <si>
    <t>TC_VIO_2858</t>
  </si>
  <si>
    <t>1. `이름`·`클러스터`·`네임스페이스`·`발생일시` 컬럼 헤더 확인</t>
  </si>
  <si>
    <t>`이름`·`클러스터`·`네임스페이스`·`발생일시` 컬럼 헤더에 sort 아이콘 표출</t>
  </si>
  <si>
    <t>TC_VIO_2859</t>
  </si>
  <si>
    <t>`유형` → `리소스 유형` → `이름` → `메시지` → `클러스터` → `네임스페이스` → `발생일시` 순으로 표출</t>
  </si>
  <si>
    <t>TC_VIO_2860</t>
  </si>
  <si>
    <t>`이벤트` 화면(VIOE-04_01_01) 진입 / `메시지` 내용이 영역을 초과하는 행 존재</t>
  </si>
  <si>
    <t>1. `메시지` 컬럼 셀 확인</t>
  </si>
  <si>
    <t>말줄임(`...`) 처리 및 `[전체 보기]` 버튼 표출</t>
  </si>
  <si>
    <t>TC_VIO_2861</t>
  </si>
  <si>
    <t>`이벤트` 화면(VIOE-04_01_01) 진입 / `메시지` 내용이 영역을 초과하지 않는 행 존재</t>
  </si>
  <si>
    <t>`[전체 보기]` 버튼 미표출</t>
  </si>
  <si>
    <t>TC_VIO_2862</t>
  </si>
  <si>
    <t>1. `[전체 보기]` 버튼 라벨 확인</t>
  </si>
  <si>
    <t>`전체 보기` 버튼 라벨 표출</t>
  </si>
  <si>
    <t>TC_VIO_2863</t>
  </si>
  <si>
    <t>1. `[전체 보기]` 버튼 클릭</t>
  </si>
  <si>
    <t>메시지 팝오버 호출</t>
  </si>
  <si>
    <t>TC_VIO_2864</t>
  </si>
  <si>
    <t>1. `[전체 보기]` 버튼 클릭
2. 팝오버 표출 위치 확인</t>
  </si>
  <si>
    <t>팝오버가 `[전체 보기]` 버튼 하단 인접 위치에 표출</t>
  </si>
  <si>
    <t>TC_VIO_2865</t>
  </si>
  <si>
    <t>1. `[전체 보기]` 버튼 클릭
2. 팝오버 라벨 확인</t>
  </si>
  <si>
    <t>팝오버 내 `메시지` 라벨 표출</t>
  </si>
  <si>
    <t>TC_VIO_2866</t>
  </si>
  <si>
    <t>1. `[전체 보기]` 버튼 클릭
2. 팝오버 내 메시지 내용 확인</t>
  </si>
  <si>
    <t>팝오버 내 메시지 전체 내용(말줄임 없이) 표출
ㄴ 팝오버 닫기 방식·위치는 기획 미정의 — 실측 상태를 `실제 결과`에 기재</t>
  </si>
  <si>
    <t>TC_VIO_2867</t>
  </si>
  <si>
    <t>VIOE-02_01_02-02</t>
  </si>
  <si>
    <t>노드 상세 - 리소스</t>
  </si>
  <si>
    <t>`노드 상세 - 리소스` 화면(VIOE-02_01_02-02) 진입</t>
  </si>
  <si>
    <t>1. `리소스` 탭 라벨 확인</t>
  </si>
  <si>
    <t>탭 라벨이 `리소스`로 표출</t>
  </si>
  <si>
    <t>TC_VIO_2868</t>
  </si>
  <si>
    <t>1. 탭 목록 확인</t>
  </si>
  <si>
    <t>구 라벨 `리소스 상태` 미잔존</t>
  </si>
  <si>
    <t>TC_VIO_2869</t>
  </si>
  <si>
    <t>1. 파드 목록 `상태` 셀 확인</t>
  </si>
  <si>
    <t>`상태` 셀이 tag 형태로 표출</t>
  </si>
  <si>
    <t>TC_VIO_2870</t>
  </si>
  <si>
    <t>구 icon + text 형태 미잔존</t>
  </si>
  <si>
    <t>TC_VIO_2871</t>
  </si>
  <si>
    <t>1. 파드 목록 Table 컬럼 구성 확인</t>
  </si>
  <si>
    <t>`CPU`·`메모리` 컬럼 표출</t>
  </si>
  <si>
    <t>TC_VIO_2872</t>
  </si>
  <si>
    <t>1. 파드 목록 Table 컬럼 순서 확인</t>
  </si>
  <si>
    <t>`컨테이너` 다음 `CPU` → `메모리` → `재시작` 순으로 표출</t>
  </si>
  <si>
    <t>TC_VIO_2873</t>
  </si>
  <si>
    <t>1. `CPU`·`메모리` 셀 값 확인</t>
  </si>
  <si>
    <t>`CPU`·`메모리` 값 표출
ㄴ 단위 표기 규칙(`n mCore`·`n MiB` 등)은 목업 근거 — 확정 카피 아님</t>
  </si>
  <si>
    <t>TC_VIO_2874</t>
  </si>
  <si>
    <t>1. 파드 목록 `소유자` 헤더 확인</t>
  </si>
  <si>
    <t>`소유자` 헤더에 sort 아이콘 미표출</t>
  </si>
  <si>
    <t>TC_VIO_2875</t>
  </si>
  <si>
    <t>1. 파드 목록 Table 나머지 컬럼 헤더 확인</t>
  </si>
  <si>
    <t>`이름`·`컨테이너`·`CPU`·`메모리`·`재시작`·`생성일시` 헤더에 sort 아이콘 표출</t>
  </si>
  <si>
    <t>TC_VIO_2876</t>
  </si>
  <si>
    <t>VIOE-03_01_01-17</t>
  </si>
  <si>
    <t>디플로이먼트 상세 - 리소스</t>
  </si>
  <si>
    <t>`디플로이먼트 상세 - 리소스` 화면(VIOE-03_01_01-17) 진입</t>
  </si>
  <si>
    <t>1. `기본 정보` 영역 확인</t>
  </si>
  <si>
    <t>`소유자` 항목 미표출 — 더는 노출되지 않음</t>
  </si>
  <si>
    <t>TC_VIO_2877</t>
  </si>
  <si>
    <t>1. `기본 정보` `소유자` 값 클릭 시도</t>
  </si>
  <si>
    <t>연결된 자원으로 이동 동작 미호출 — 더는 호출되지 않음</t>
  </si>
  <si>
    <t>TC_VIO_2878</t>
  </si>
  <si>
    <t>`변경 이력` 탭 표출</t>
  </si>
  <si>
    <t>TC_VIO_2879</t>
  </si>
  <si>
    <t>1. 탭 목록 순서 확인</t>
  </si>
  <si>
    <t>`리소스`(Default) → `메트릭` → `변경 이력` → `이벤트` → `YAML` 순으로 표출</t>
  </si>
  <si>
    <t>TC_VIO_2880</t>
  </si>
  <si>
    <t>`디플로이먼트 상세 - 변경 이력` 화면(VIOE-03_01_01-44)으로 전환</t>
  </si>
  <si>
    <t>TC_VIO_2881</t>
  </si>
  <si>
    <t>TC_VIO_2882</t>
  </si>
  <si>
    <t>TC_VIO_2883</t>
  </si>
  <si>
    <t>TC_VIO_2884</t>
  </si>
  <si>
    <t>`디플로이먼트 상세 - 리소스` 화면(VIOE-03_01_01-17) 진입 / `3-5 상태` `메시지` 셀 내용이 영역을 초과하는 행 존재</t>
  </si>
  <si>
    <t>1. `3-5 상태` `메시지` 셀 확인</t>
  </si>
  <si>
    <t>TC_VIO_2885</t>
  </si>
  <si>
    <t>TC_VIO_2886</t>
  </si>
  <si>
    <t>1. `3-5 상태` `메시지` 셀의 `[복사]` 버튼 클릭</t>
  </si>
  <si>
    <t>TC_VIO_2887</t>
  </si>
  <si>
    <t>`"클립보드에 복사되었습니다."` toast 메시지 표출</t>
  </si>
  <si>
    <t>TC_VIO_2888</t>
  </si>
  <si>
    <t>1. `3-5 상태` 테이블 하단 확인</t>
  </si>
  <si>
    <t>페이지네이션 컨트롤 미표출</t>
  </si>
  <si>
    <t>TC_VIO_2889</t>
  </si>
  <si>
    <t>VIOE-03_01_01-25</t>
  </si>
  <si>
    <t>데몬셋 상세 - 리소스</t>
  </si>
  <si>
    <t>`데몬셋 상세 - 리소스` 화면(VIOE-03_01_01-25) 진입</t>
  </si>
  <si>
    <t>TC_VIO_2890</t>
  </si>
  <si>
    <t>1. 파드 목록 Table 헤더 구성 확인</t>
  </si>
  <si>
    <t>`소유자` 컬럼 표출 여부 확인
ㄴ DESC 3-1항은 `v1추가`(제외 규정 추가)로, UI 오버레이는 `v1삭제`로 표기되어 상충 — PASS/FAIL 판정 대신 실측 상태를 `실제 결과`에 기재</t>
  </si>
  <si>
    <t>TC_VIO_2891</t>
  </si>
  <si>
    <t>TC_VIO_2892</t>
  </si>
  <si>
    <t>TC_VIO_2893</t>
  </si>
  <si>
    <t>VIOE-03_01_01-40</t>
  </si>
  <si>
    <t>스테이트풀셋 상세 - 리소스</t>
  </si>
  <si>
    <t>`스테이트풀셋 상세 - 리소스` 화면(VIOE-03_01_01-40) 진입</t>
  </si>
  <si>
    <t>TC_VIO_2894</t>
  </si>
  <si>
    <t>TC_VIO_2895</t>
  </si>
  <si>
    <t>TC_VIO_2896</t>
  </si>
  <si>
    <t>TC_VIO_2897</t>
  </si>
  <si>
    <t>VIOE-03_01_01-33</t>
  </si>
  <si>
    <t>레플리카셋 상세 - 리소스</t>
  </si>
  <si>
    <t>`레플리카셋 상세 - 리소스` 화면(VIOE-03_01_01-33) 진입</t>
  </si>
  <si>
    <t>`소유자` 컬럼 표출 여부 확인
ㄴ DESC 3-1항은 `v1추가`(제외 규정 추가)로, UI 오버레이는 `v1삭제`로 표기되어 상충 — PASS/FAIL 판정 대신 실측 상태를 `실제 결과`에 기재
ㄴ `기본 정보` 의 `소유자` 항목은 이 화면에서 검정(비변경분)이며 유지 상태</t>
  </si>
  <si>
    <t>TC_VIO_2898</t>
  </si>
  <si>
    <t>TC_VIO_2899</t>
  </si>
  <si>
    <t>TC_VIO_2900</t>
  </si>
  <si>
    <t>VIOE-03_02_01-05</t>
  </si>
  <si>
    <t>서비스 상세 - 리소스</t>
  </si>
  <si>
    <t>`서비스 상세 - 리소스` 화면(VIOE-03_02_01-05) 진입</t>
  </si>
  <si>
    <t>TC_VIO_2901</t>
  </si>
  <si>
    <t>TC_VIO_2902</t>
  </si>
  <si>
    <t>1. `3-1 서비스 주소 정보` 테이블 `유형` 컬럼 헤더 확인</t>
  </si>
  <si>
    <t>`유형` 컬럼 헤더에 sort 아이콘 표출</t>
  </si>
  <si>
    <t>TC_VIO_2903</t>
  </si>
  <si>
    <t>1. `3-1 서비스 주소 정보` 테이블 `IP` 컬럼 헤더 확인</t>
  </si>
  <si>
    <t>`IP` 컬럼 헤더에 sort 아이콘 표출</t>
  </si>
  <si>
    <t>TC_VIO_2904</t>
  </si>
  <si>
    <t>1. `3-2 서비스 포트 매핑` 테이블 `이름`·`타겟`·`노드 포트` 컬럼 헤더 확인</t>
  </si>
  <si>
    <t>`이름`·`타겟`·`노드 포트` 컬럼 헤더에 sort 아이콘 표출</t>
  </si>
  <si>
    <t>TC_VIO_2905</t>
  </si>
  <si>
    <t>1. `3-2 서비스 포트 매핑` 테이블 `포트` 컬럼 헤더 확인</t>
  </si>
  <si>
    <t>`포트` 컬럼 헤더에 sort 아이콘 표출</t>
  </si>
  <si>
    <t>TC_VIO_2906</t>
  </si>
  <si>
    <t>1. `3-2 서비스 포트 매핑` 테이블 `포트` 컬럼 확인</t>
  </si>
  <si>
    <t>`포트` 컬럼이 단일 컬럼으로 표출
ㄴ 값 형태 `{port}/{protocol}`(DESC 3-2항 2번 원문)</t>
  </si>
  <si>
    <t>TC_VIO_2907</t>
  </si>
  <si>
    <t>1. `3-2 서비스 포트 매핑` 테이블 컬럼 구성 확인</t>
  </si>
  <si>
    <t>구 `프로토콜` 컬럼 미잔존</t>
  </si>
  <si>
    <t>TC_VIO_2908</t>
  </si>
  <si>
    <t>`서비스 상세 - 리소스` 화면(VIOE-03_02_01-05) 진입 / `3-2 서비스 포트 매핑` 에 포트가 복수인 리소스 존재</t>
  </si>
  <si>
    <t>1. 포트가 복수인 행의 `포트` 컬럼 값 확인</t>
  </si>
  <si>
    <t>복수 포트 값 표출
ㄴ 표기 구분자는 DESC 미정의 — 실측 상태를 `실제 결과`에 기재</t>
  </si>
  <si>
    <t>TC_VIO_2909</t>
  </si>
  <si>
    <t>1. `3-2 서비스 포트 매핑` `노드 포트` 셀 확인</t>
  </si>
  <si>
    <t>`노드 포트` 값이 tag 형태로 표출</t>
  </si>
  <si>
    <t>TC_VIO_2910</t>
  </si>
  <si>
    <t>구 text 형태 미잔존</t>
  </si>
  <si>
    <t>TC_VIO_2911</t>
  </si>
  <si>
    <t>1. `3-3 파드 목록` `상태` 셀 확인</t>
  </si>
  <si>
    <t>TC_VIO_2912</t>
  </si>
  <si>
    <t>TC_VIO_2913</t>
  </si>
  <si>
    <t>1. `3-3 파드 목록` `소유자` 헤더 확인</t>
  </si>
  <si>
    <t>TC_VIO_2914</t>
  </si>
  <si>
    <t>VIOE-03_02_02-01</t>
  </si>
  <si>
    <t>인그레스 목록</t>
  </si>
  <si>
    <t>인그레스 목록 화면 진입</t>
  </si>
  <si>
    <t>1. `호스트` 컬럼 헤더 확인</t>
  </si>
  <si>
    <t>`호스트` 컬럼에 sort 아이콘 미표출</t>
  </si>
  <si>
    <t>TC_VIO_2915</t>
  </si>
  <si>
    <t>1. `포트` 컬럼 헤더 확인</t>
  </si>
  <si>
    <t>`포트` 컬럼에 sort 아이콘 미표출</t>
  </si>
  <si>
    <t>TC_VIO_2916</t>
  </si>
  <si>
    <t>1. `이름`·`클러스터`·`네임스페이스`·`생성일시` 컬럼 헤더 확인</t>
  </si>
  <si>
    <t>각 컬럼 라벨 우측에 sort 아이콘 표출</t>
  </si>
  <si>
    <t>TC_VIO_2917</t>
  </si>
  <si>
    <t>인그레스에 포트가 1개 등록된 상태로 인그레스 목록 화면 진입</t>
  </si>
  <si>
    <t>`{포트}/{프로토콜}` 형태 라벨 표출 (예: `80/HTTP`)</t>
  </si>
  <si>
    <t>TC_VIO_2918</t>
  </si>
  <si>
    <t>인그레스에 포트가 2개 이상 등록된 상태로 인그레스 목록 화면 진입</t>
  </si>
  <si>
    <t>포트별 `{포트}/{프로토콜}` 라벨 병렬 표출 (예: `80/HTTP`, `443/HTTPS`)</t>
  </si>
  <si>
    <t>TC_VIO_2919</t>
  </si>
  <si>
    <t>VIOE-03_02_03-04</t>
  </si>
  <si>
    <t>네트워크 폴리시 상세 - 세부 정책</t>
  </si>
  <si>
    <t>네트워크 폴리시에 `정책 타입`이 지정된 상태로 `세부 정책` 탭 진입 (Ingress 정책에 포트 1개 등록)</t>
  </si>
  <si>
    <t>1. Ingress 정책 table `포트` 컬럼 값 확인</t>
  </si>
  <si>
    <t>`{포트}/{프로토콜}` 형태 통합 라벨 표출 (예: `80/TCP`)</t>
  </si>
  <si>
    <t>TC_VIO_2920</t>
  </si>
  <si>
    <t>네트워크 폴리시에 `정책 타입`이 지정된 상태로 `세부 정책` 탭 진입 (Ingress 정책에 포트 2개 이상 등록)</t>
  </si>
  <si>
    <t>포트별 통합 라벨 병렬 표출</t>
  </si>
  <si>
    <t>TC_VIO_2921</t>
  </si>
  <si>
    <t>네트워크 폴리시에 `정책 타입`이 지정된 상태로 `세부 정책` 탭 진입</t>
  </si>
  <si>
    <t>1. Ingress 정책 table `파드 셀렉터` 컬럼 헤더 확인</t>
  </si>
  <si>
    <t>`파드 셀렉터` 컬럼에 sort 아이콘 미표출</t>
  </si>
  <si>
    <t>TC_VIO_2922</t>
  </si>
  <si>
    <t>1. Ingress 정책 table `네임스페이스 셀렉터` 컬럼 헤더 확인</t>
  </si>
  <si>
    <t>`네임스페이스 셀렉터` 컬럼에 sort 아이콘 미표출</t>
  </si>
  <si>
    <t>TC_VIO_2923</t>
  </si>
  <si>
    <t>1. Ingress 정책 table `출발지`·`포트`·`IP Block` 컬럼 헤더 확인</t>
  </si>
  <si>
    <t>TC_VIO_2924</t>
  </si>
  <si>
    <t>네트워크 폴리시에 `정책 타입`이 지정된 상태로 `세부 정책` 탭 진입 (Egress 정책 table 표출)</t>
  </si>
  <si>
    <t>1. Egress 정책 table 첫 컬럼 헤더 확인</t>
  </si>
  <si>
    <t>`목적지` 라벨 표출</t>
  </si>
  <si>
    <t>TC_VIO_2925</t>
  </si>
  <si>
    <t>`도착지` 라벨 미잔존</t>
  </si>
  <si>
    <t>TC_VIO_2926</t>
  </si>
  <si>
    <t>1. Egress 정책 table `파드 셀렉터` 컬럼 헤더 확인</t>
  </si>
  <si>
    <t>TC_VIO_2927</t>
  </si>
  <si>
    <t>1. Egress 정책 table `네임스페이스 셀렉터` 컬럼 헤더 확인</t>
  </si>
  <si>
    <t>TC_VIO_2928</t>
  </si>
  <si>
    <t>VIOE-03_02_01-01</t>
  </si>
  <si>
    <t>서비스 목록</t>
  </si>
  <si>
    <t>서비스 목록 화면 진입</t>
  </si>
  <si>
    <t>1. table 헤더 컬럼 순서 확인</t>
  </si>
  <si>
    <t>`이름`→`클러스터`→`네임스페이스`→`레이블`→`유형`→`클러스터 IP`→`파드 셀렉터`→`포트`→`생성일시`→`작업` 순서로 표출</t>
  </si>
  <si>
    <t>TC_VIO_2929</t>
  </si>
  <si>
    <t>1. `유형` 컬럼 헤더 확인</t>
  </si>
  <si>
    <t>`유형` 컬럼에 sort 아이콘 미표출</t>
  </si>
  <si>
    <t>TC_VIO_2930</t>
  </si>
  <si>
    <t>1. `이름`·`클러스터`·`네임스페이스`·`클러스터 IP`·`생성일시` 컬럼 헤더 확인</t>
  </si>
  <si>
    <t>TC_VIO_2931</t>
  </si>
  <si>
    <t>VIOE-02_01_02-03</t>
  </si>
  <si>
    <t>노드 상세 - 이벤트</t>
  </si>
  <si>
    <t>노드 상세 화면에서 `[이벤트]` 탭 선택</t>
  </si>
  <si>
    <t>1. 이벤트 table 세부 정의 확인</t>
  </si>
  <si>
    <t>이벤트 목록 화면(`VIOE-04_01_01`)과 동일한 세부 정의로 표출</t>
  </si>
  <si>
    <t>TC_VIO_2932</t>
  </si>
  <si>
    <t>1. `리소스 유형` 컬럼 헤더 확인</t>
  </si>
  <si>
    <t>`리소스 유형` 컬럼에 sort 아이콘 미표출</t>
  </si>
  <si>
    <t>TC_VIO_2933</t>
  </si>
  <si>
    <t>1. `메시지` 컬럼 헤더 확인</t>
  </si>
  <si>
    <t>`메시지` 컬럼에 sort 아이콘 미표출</t>
  </si>
  <si>
    <t>TC_VIO_2934</t>
  </si>
  <si>
    <t>1. `유형`·`이름`·`네임스페이스`·`발생일시` 컬럼 헤더 확인</t>
  </si>
  <si>
    <t>TC_VIO_2935</t>
  </si>
  <si>
    <t>1. 이벤트 table 컬럼 라벨 확인</t>
  </si>
  <si>
    <t>`리소스 유형` 라벨 표출</t>
  </si>
  <si>
    <t>TC_VIO_2936</t>
  </si>
  <si>
    <t>`소스` 라벨 미잔존</t>
  </si>
  <si>
    <t>TC_VIO_2937</t>
  </si>
  <si>
    <t>1. 이벤트 table 헤더 컬럼 순서 확인</t>
  </si>
  <si>
    <t>`유형`→`리소스 유형`→`이름`→`메시지`→`네임스페이스`→`발생일시` 순서로 표출</t>
  </si>
  <si>
    <t>TC_VIO_2938</t>
  </si>
  <si>
    <t>노드 상세 화면에서 `[이벤트]` 탭 선택 (메시지가 잘리는 길이의 이벤트 존재)</t>
  </si>
  <si>
    <t>1. 메시지가 잘린 행의 `메시지` 컬럼 확인</t>
  </si>
  <si>
    <t>`전체보기` 링크 표출</t>
  </si>
  <si>
    <t>TC_VIO_2939</t>
  </si>
  <si>
    <t>노드 상세 화면에서 `[이벤트]` 탭 선택 (이벤트 1건 이상 존재)</t>
  </si>
  <si>
    <t>복사 아이콘 버튼 표출</t>
  </si>
  <si>
    <t>TC_VIO_2940</t>
  </si>
  <si>
    <t>VIOE-03_01_01-08</t>
  </si>
  <si>
    <t>파드 상세 - 이벤트</t>
  </si>
  <si>
    <t>파드 상세 화면에서 `[이벤트]` 탭 선택</t>
  </si>
  <si>
    <t>TC_VIO_2941</t>
  </si>
  <si>
    <t>TC_VIO_2942</t>
  </si>
  <si>
    <t>1. `유형`·`발생일시` 컬럼 헤더 확인</t>
  </si>
  <si>
    <t>TC_VIO_2943</t>
  </si>
  <si>
    <t>1. 이벤트 table 컬럼 헤더 확인</t>
  </si>
  <si>
    <t>`이름`·`소스`·`네임스페이스` 컬럼 미잔존 (`유형`·`메시지`·`발생일시` 3개만 표출)</t>
  </si>
  <si>
    <t>TC_VIO_2944</t>
  </si>
  <si>
    <t>파드 상세 화면에서 `[이벤트]` 탭 선택 (메시지가 잘리는 길이의 이벤트 존재)</t>
  </si>
  <si>
    <t>TC_VIO_2945</t>
  </si>
  <si>
    <t>파드 상세 화면에서 `[이벤트]` 탭 선택 (이벤트 1건 이상 존재)</t>
  </si>
  <si>
    <t>TC_VIO_2946</t>
  </si>
  <si>
    <t>VIOE-03_01_01-19</t>
  </si>
  <si>
    <t>디플로이먼트 상세 - 이벤트</t>
  </si>
  <si>
    <t>디플로이먼트 상세 화면에서 `[이벤트]` 탭 선택</t>
  </si>
  <si>
    <t>TC_VIO_2947</t>
  </si>
  <si>
    <t>TC_VIO_2948</t>
  </si>
  <si>
    <t>TC_VIO_2949</t>
  </si>
  <si>
    <t>TC_VIO_2950</t>
  </si>
  <si>
    <t>디플로이먼트 상세 화면에서 `[이벤트]` 탭 선택 (메시지가 잘리는 길이의 이벤트 존재)</t>
  </si>
  <si>
    <t>TC_VIO_2951</t>
  </si>
  <si>
    <t>디플로이먼트 상세 화면에서 `[이벤트]` 탭 선택 (이벤트 1건 이상 존재)</t>
  </si>
  <si>
    <t>TC_VIO_2952</t>
  </si>
  <si>
    <t>VIOE-03_01_01-27</t>
  </si>
  <si>
    <t>데몬셋 상세 - 이벤트</t>
  </si>
  <si>
    <t>데몬셋 상세 화면에서 `[이벤트]` 탭 선택</t>
  </si>
  <si>
    <t>TC_VIO_2953</t>
  </si>
  <si>
    <t>TC_VIO_2954</t>
  </si>
  <si>
    <t>TC_VIO_2955</t>
  </si>
  <si>
    <t>TC_VIO_2956</t>
  </si>
  <si>
    <t>데몬셋 상세 화면에서 `[이벤트]` 탭 선택 (메시지가 잘리는 길이의 이벤트 존재)</t>
  </si>
  <si>
    <t>TC_VIO_2957</t>
  </si>
  <si>
    <t>데몬셋 상세 화면에서 `[이벤트]` 탭 선택 (이벤트 1건 이상 존재)</t>
  </si>
  <si>
    <t>TC_VIO_2958</t>
  </si>
  <si>
    <t>VIOE-03_01_01-42</t>
  </si>
  <si>
    <t>스테이트풀셋 상세 - 이벤트</t>
  </si>
  <si>
    <t>스테이트풀셋 상세 화면에서 `[이벤트]` 탭 선택</t>
  </si>
  <si>
    <t>TC_VIO_2959</t>
  </si>
  <si>
    <t>TC_VIO_2960</t>
  </si>
  <si>
    <t>TC_VIO_2961</t>
  </si>
  <si>
    <t>TC_VIO_2962</t>
  </si>
  <si>
    <t>스테이트풀셋 상세 화면에서 `[이벤트]` 탭 선택 (메시지가 잘리는 길이의 이벤트 존재)</t>
  </si>
  <si>
    <t>TC_VIO_2963</t>
  </si>
  <si>
    <t>스테이트풀셋 상세 화면에서 `[이벤트]` 탭 선택 (이벤트 1건 이상 존재)</t>
  </si>
  <si>
    <t>TC_VIO_2964</t>
  </si>
  <si>
    <t>VIOE-03_01_01-34</t>
  </si>
  <si>
    <t>레플리카셋 상세 - 이벤트</t>
  </si>
  <si>
    <t>레플리카셋 상세 화면에서 `[이벤트]` 탭 선택</t>
  </si>
  <si>
    <t>TC_VIO_2965</t>
  </si>
  <si>
    <t>TC_VIO_2966</t>
  </si>
  <si>
    <t>TC_VIO_2967</t>
  </si>
  <si>
    <t>TC_VIO_2968</t>
  </si>
  <si>
    <t>레플리카셋 상세 화면에서 `[이벤트]` 탭 선택 (메시지가 잘리는 길이의 이벤트 존재)</t>
  </si>
  <si>
    <t>TC_VIO_2969</t>
  </si>
  <si>
    <t>레플리카셋 상세 화면에서 `[이벤트]` 탭 선택 (이벤트 1건 이상 존재)</t>
  </si>
  <si>
    <t>TC_VIO_2970</t>
  </si>
  <si>
    <t>VIOE-03_03_02-05</t>
  </si>
  <si>
    <t>퍼시스턴트 볼륨 클레임 상세 - 이벤트</t>
  </si>
  <si>
    <t>퍼시스턴트 볼륨 클레임 상세 화면에서 `[이벤트]` 탭 선택</t>
  </si>
  <si>
    <t>TC_VIO_2971</t>
  </si>
  <si>
    <t>TC_VIO_2972</t>
  </si>
  <si>
    <t>TC_VIO_2973</t>
  </si>
  <si>
    <t>TC_VIO_2974</t>
  </si>
  <si>
    <t>퍼시스턴트 볼륨 클레임 상세 화면에서 `[이벤트]` 탭 선택 (메시지가 잘리는 길이의 이벤트 존재)</t>
  </si>
  <si>
    <t>TC_VIO_2975</t>
  </si>
  <si>
    <t>퍼시스턴트 볼륨 클레임 상세 화면에서 `[이벤트]` 탭 선택 (이벤트 1건 이상 존재)</t>
  </si>
  <si>
    <t>TC_VIO_2976</t>
  </si>
  <si>
    <t>VIOE-00_00_08</t>
  </si>
  <si>
    <t>리소스 상세 - [YAML] 탭 공통</t>
  </si>
  <si>
    <t>노드 상세 화면에서 `[YAML]` 탭 선택</t>
  </si>
  <si>
    <t>1. YAML 표시 영역 확인</t>
  </si>
  <si>
    <t>YAML 표시 영역 표출</t>
  </si>
  <si>
    <t>TC_VIO_2977</t>
  </si>
  <si>
    <t>노드 상세 화면에서 `[YAML]` 탭 선택 (YAML 내용이 화면 높이를 초과하는 리소스)</t>
  </si>
  <si>
    <t>1. YAML 표시 영역의 내용 확인</t>
  </si>
  <si>
    <t>YAML 전체 내용 표출 (잘림 없음)</t>
  </si>
  <si>
    <t>TC_VIO_2978</t>
  </si>
  <si>
    <t>1. YAML 표시 영역의 높이 확인</t>
  </si>
  <si>
    <t>내용 길이에 따라 영역 높이가 확장 (내부 스크롤로 잘리지 않음)</t>
  </si>
  <si>
    <t>TC_VIO_2979</t>
  </si>
  <si>
    <t>VIOE-03_01_02-05</t>
  </si>
  <si>
    <t>작업 상세 - 리소스</t>
  </si>
  <si>
    <t>작업 상세 화면에서 `[리소스]` 탭의 `3-2 상태` 테이블 진입</t>
  </si>
  <si>
    <t>1. `업데이트 일시` 컬럼 헤더 확인</t>
  </si>
  <si>
    <t>`업데이트 일시` 컬럼에 sort 아이콘 표출</t>
  </si>
  <si>
    <t>TC_VIO_2980</t>
  </si>
  <si>
    <t>TC_VIO_2981</t>
  </si>
  <si>
    <t>작업 상세 화면에서 `[리소스]` 탭의 `3-2 상태` 테이블 진입 (메시지 값이 있는 행 존재)</t>
  </si>
  <si>
    <t>1. `메시지` 셀의 `[복사]` 아이콘 클릭</t>
  </si>
  <si>
    <t>TC_VIO_2982</t>
  </si>
  <si>
    <t>1. `[복사]` 아이콘 클릭 후 화면 확인</t>
  </si>
  <si>
    <t>TC_VIO_2983</t>
  </si>
  <si>
    <t>작업 상세 화면에서 `[리소스]` 탭의 `3-2 상태` 테이블 진입 (메시지 내용이 영역을 초과하는 길이인 행 존재)</t>
  </si>
  <si>
    <t>1. 해당 행의 `메시지` 컬럼 확인</t>
  </si>
  <si>
    <t>TC_VIO_2984</t>
  </si>
  <si>
    <t>1. `메시지` 셀 확인</t>
  </si>
  <si>
    <t>`[복사]` 아이콘 버튼 표출</t>
  </si>
  <si>
    <t>TC_VIO_2985</t>
  </si>
  <si>
    <t>1. 리소스 테이블 헤더 확인</t>
  </si>
  <si>
    <t>TC_VIO_2986</t>
  </si>
  <si>
    <t>`{포트}/{프로토콜}` 형식의 tag 표출</t>
  </si>
  <si>
    <t>TC_VIO_2987</t>
  </si>
  <si>
    <t>1. `메시지` 테이블 하단 확인</t>
  </si>
  <si>
    <t>페이지네이션 미표출</t>
  </si>
  <si>
    <t>TC_VIO_2988</t>
  </si>
  <si>
    <t>VIOE-03_01_04-05</t>
  </si>
  <si>
    <t>HPA 상세 - 리소스 상태</t>
  </si>
  <si>
    <t>HPA 상세 화면에서 `[리소스 상태]` 탭의 `3-2 상태` 테이블 진입 (메시지 값이 있는 행 존재)</t>
  </si>
  <si>
    <t>TC_VIO_2989</t>
  </si>
  <si>
    <t>TC_VIO_2990</t>
  </si>
  <si>
    <t>HPA 상세 화면에서 `[리소스 상태]` 탭의 `3-2 상태` 테이블 진입 (메시지 내용이 영역을 초과하는 길이인 행 존재)</t>
  </si>
  <si>
    <t>TC_VIO_2991</t>
  </si>
  <si>
    <t>TC_VIO_2992</t>
  </si>
  <si>
    <t>HPA 상세 화면에서 `[리소스 상태]` 탭의 `3-2 상태` 테이블 진입</t>
  </si>
  <si>
    <t>1. `3-2 상태` 테이블 하단 확인</t>
  </si>
  <si>
    <t>TC_VIO_2993</t>
  </si>
  <si>
    <t>VIOE-03_01_04-11</t>
  </si>
  <si>
    <t>VPA 상세 - 리소스 상태</t>
  </si>
  <si>
    <t>VPA 상세 화면에서 `[리소스 상태]` 탭의 `3-2 상태` 테이블 진입</t>
  </si>
  <si>
    <t>sort 아이콘 표출</t>
  </si>
  <si>
    <t>TC_VIO_2994</t>
  </si>
  <si>
    <t>1. `업데이트 일시` 컬럼 헤더의 sort 아이콘 클릭</t>
  </si>
  <si>
    <t>`업데이트 일시` 기준 정렬 동작</t>
  </si>
  <si>
    <t>TC_VIO_2995</t>
  </si>
  <si>
    <t>VPA 상세 화면에서 `[리소스 상태]` 탭의 `3-2 상태` 테이블 진입 (메시지 값이 있는 행 존재)</t>
  </si>
  <si>
    <t>TC_VIO_2996</t>
  </si>
  <si>
    <t>TC_VIO_2997</t>
  </si>
  <si>
    <t>VPA 상세 화면에서 `[리소스 상태]` 탭의 `3-2 상태` 테이블 진입 (메시지 내용이 영역을 초과하는 길이인 행 존재)</t>
  </si>
  <si>
    <t>TC_VIO_2998</t>
  </si>
  <si>
    <t>TC_VIO_2999</t>
  </si>
  <si>
    <t>1. 상단 탭 라벨 확인</t>
  </si>
  <si>
    <t>`리소스` 탭 라벨 표출
ㄴ `리소스 상태` 라벨 미잔존</t>
  </si>
  <si>
    <t>TC_VIO_3000</t>
  </si>
  <si>
    <t>TC_VIO_3001</t>
  </si>
  <si>
    <t>VIOE-02_01_04-13</t>
  </si>
  <si>
    <t>백업 상세</t>
  </si>
  <si>
    <t>백업 상세 화면에서 `4항` 상태 테이블 진입 (메시지 값이 있는 행 존재)</t>
  </si>
  <si>
    <t>TC_VIO_3002</t>
  </si>
  <si>
    <t>TC_VIO_3003</t>
  </si>
  <si>
    <t>TC_VIO_3004</t>
  </si>
  <si>
    <t>백업 상세 화면에서 `4항` 상태 테이블 진입</t>
  </si>
  <si>
    <t>1. 4항 상태 테이블 헤더 확인</t>
  </si>
  <si>
    <t>`업데이트 일시` 컬럼 라벨 표출
ㄴ `발생일시` 라벨 미잔존</t>
  </si>
  <si>
    <t>TC_VIO_3005</t>
  </si>
  <si>
    <t>VIOE-02_02_02-06</t>
  </si>
  <si>
    <t>롤 상세 - 롤 바인딩</t>
  </si>
  <si>
    <t>롤 상세 화면에서 `[롤 바인딩]` 탭의 1항 테이블 진입</t>
  </si>
  <si>
    <t>1. 롤 바인딩 테이블 헤더 확인</t>
  </si>
  <si>
    <t>`롤 참조` 컬럼 미표출</t>
  </si>
  <si>
    <t>TC_VIO_3006</t>
  </si>
  <si>
    <t>`네임스페이스` 컬럼 미표출</t>
  </si>
  <si>
    <t>TC_VIO_3007</t>
  </si>
  <si>
    <t>VIOE-03_02_02-05</t>
  </si>
  <si>
    <t>인그레스 상세</t>
  </si>
  <si>
    <t>인그레스 상세 화면에서 `3-2 규칙` 테이블 진입 (서비스 값이 있는 행 존재)</t>
  </si>
  <si>
    <t>1. `서비스` 컬럼 값 확인</t>
  </si>
  <si>
    <t>링크 형태로 표출</t>
  </si>
  <si>
    <t>TC_VIO_3008</t>
  </si>
  <si>
    <t>1. `서비스` 컬럼 값 클릭</t>
  </si>
  <si>
    <t>서비스 상세 화면(`VIOE-03_02_01-05`)으로 이동</t>
  </si>
  <si>
    <t>TC_VIO_3009</t>
  </si>
  <si>
    <t>인그레스 상세 화면 진입</t>
  </si>
  <si>
    <t>`세부 정보` 탭 라벨 표출
ㄴ `리소스` 라벨 미잔존</t>
  </si>
  <si>
    <t>TC_VIO_3010</t>
  </si>
  <si>
    <t>인그레스 상세 화면에서 `3-1 서비스 주소` 테이블 진입</t>
  </si>
  <si>
    <t>1. `3-1 서비스 주소` 테이블 헤더 확인</t>
  </si>
  <si>
    <t>전체 컬럼에 sort 아이콘 표출</t>
  </si>
  <si>
    <t>TC_VIO_3011</t>
  </si>
  <si>
    <t>1. 컬럼 헤더의 sort 아이콘 클릭</t>
  </si>
  <si>
    <t>해당 컬럼 기준 정렬 동작</t>
  </si>
  <si>
    <t>TC_VIO_3012</t>
  </si>
  <si>
    <t>인그레스 상세 화면에서 `3-2 규칙` 테이블 진입</t>
  </si>
  <si>
    <t>1. `3-2 규칙` 테이블 헤더 확인</t>
  </si>
  <si>
    <t>TC_VIO_3013</t>
  </si>
  <si>
    <t>TC_VIO_3014</t>
  </si>
  <si>
    <t>VIOE-01_01_01</t>
  </si>
  <si>
    <t>멀티클러스터 대시보드</t>
  </si>
  <si>
    <t>테넌트 네비게이터에서 `클러스터 관리` 권한 2개 이상 조건을 충족해 `[멀티 클러스터]` 선택한 상태</t>
  </si>
  <si>
    <t>1. 대시보드 화면 진입</t>
  </si>
  <si>
    <t>`멀티클러스터 대시보드` 탭 표출</t>
  </si>
  <si>
    <t>TC_VIO_3015</t>
  </si>
  <si>
    <t>테넌트 네비게이터에서 `[멀티 클러스터]` 를 선택하지 않은 상태</t>
  </si>
  <si>
    <t>`멀티클러스터 대시보드` 탭 노출 여부
ㄴ 기획 미정의 항목 — PASS/FAIL 판정 대신 실측 상태를 `실제 결과`에 기재</t>
  </si>
  <si>
    <t>TC_VIO_3016</t>
  </si>
  <si>
    <t>`멀티클러스터 대시보드` 탭에 최초 진입한 상태</t>
  </si>
  <si>
    <t>1. 클러스터 선택 패널 상태 확인</t>
  </si>
  <si>
    <t>패널이 펼침 상태로 표출</t>
  </si>
  <si>
    <t>TC_VIO_3017</t>
  </si>
  <si>
    <t>대시보드 TAP 간 이동 후 `멀티클러스터 대시보드` 재진입한 상태</t>
  </si>
  <si>
    <t>1. 클러스터 선택 패널 상태 및 선택값 확인</t>
  </si>
  <si>
    <t>기존 선택된 클러스터 유지
ㄴ 패널은 닫힘 상태로 진입</t>
  </si>
  <si>
    <t>TC_VIO_3018</t>
  </si>
  <si>
    <t>1. 클러스터 재선택 후 패널 상태 확인</t>
  </si>
  <si>
    <t>패널이 닫힘 상태로 유지</t>
  </si>
  <si>
    <t>TC_VIO_3019</t>
  </si>
  <si>
    <t>클러스터 선택 패널이 펼침 상태인 `멀티클러스터 대시보드` 화면</t>
  </si>
  <si>
    <t>1. 클러스터 선택 목록 확인</t>
  </si>
  <si>
    <t>`'클러스터 관리자' 역할이 부여된 클러스터` 목록 표출</t>
  </si>
  <si>
    <t>TC_VIO_3020</t>
  </si>
  <si>
    <t>1. 클러스터 선택 목록 정렬 순서 확인</t>
  </si>
  <si>
    <t>최상단에 테넌트 네비게이터에서 선택한 클러스터 고정 표출
ㄴ 이후 클러스터 이름 기준 오름차순 정렬</t>
  </si>
  <si>
    <t>TC_VIO_3021</t>
  </si>
  <si>
    <t>클러스터 선택 패널이 펼침 상태인 `멀티클러스터 대시보드` 화면(최초 Default)</t>
  </si>
  <si>
    <t>1. 목록 체크 상태 확인</t>
  </si>
  <si>
    <t>테넌트 네비게이터에서 선택한 클러스터만 기본 선택된 상태</t>
  </si>
  <si>
    <t>TC_VIO_3022</t>
  </si>
  <si>
    <t>클러스터 선택 목록에서 클러스터 20개를 선택한 상태</t>
  </si>
  <si>
    <t>1. 21번째 클러스터의 체크박스 확인</t>
  </si>
  <si>
    <t>체크박스 비활성화</t>
  </si>
  <si>
    <t>TC_VIO_3023</t>
  </si>
  <si>
    <t>1. 클러스터 선택 가능 최대 개수 확인</t>
  </si>
  <si>
    <t>최대 20개까지 선택 가능</t>
  </si>
  <si>
    <t>TC_VIO_3024</t>
  </si>
  <si>
    <t>클러스터 선택 패널에서 클러스터를 선택한 상태</t>
  </si>
  <si>
    <t>선택값 미적용
ㄴ 패널 닫힘</t>
  </si>
  <si>
    <t>TC_VIO_3025</t>
  </si>
  <si>
    <t>1. `취소` 버튼 상태 확인</t>
  </si>
  <si>
    <t>항상 활성화 상태로 표출</t>
  </si>
  <si>
    <t>TC_VIO_3026</t>
  </si>
  <si>
    <t>1. `선택` 버튼 클릭</t>
  </si>
  <si>
    <t>선택한 클러스터에 대한 메트릭 제공</t>
  </si>
  <si>
    <t>TC_VIO_3027</t>
  </si>
  <si>
    <t>클러스터 선택 패널에서 선택값이 없는 상태</t>
  </si>
  <si>
    <t>1. `선택` 버튼 상태 확인</t>
  </si>
  <si>
    <t>비활성화</t>
  </si>
  <si>
    <t>TC_VIO_3028</t>
  </si>
  <si>
    <t>1. 클러스터 선택 팝업 헤더 `?` 아이콘 호버</t>
  </si>
  <si>
    <t>TC_VIO_3029</t>
  </si>
  <si>
    <t>`멀티클러스터 대시보드` 화면 진입</t>
  </si>
  <si>
    <t>1. 클러스터 선택 패널의 접힘·펼침 상태 확인</t>
  </si>
  <si>
    <t>접힘·펼침 두 상태로 제공</t>
  </si>
  <si>
    <t>TC_VIO_3030</t>
  </si>
  <si>
    <t>VIOE-02_01_01-07</t>
  </si>
  <si>
    <t>클러스터 연결</t>
  </si>
  <si>
    <t>`클러스터 연결` 화면에서 `6 Kiali` 아코디언 진입</t>
  </si>
  <si>
    <t>1. `Kiali` 아코디언 진입 상태 확인</t>
  </si>
  <si>
    <t>펼침 상태로 표출
ㄴ 입력 필드 제공</t>
  </si>
  <si>
    <t>TC_VIO_3031</t>
  </si>
  <si>
    <t>`Kiali` 아코디언이 펼침 상태인 `클러스터 연결` 화면</t>
  </si>
  <si>
    <t>1. `Kiali` 아코디언 헤더 클릭</t>
  </si>
  <si>
    <t>접힘 상태로 전환</t>
  </si>
  <si>
    <t>TC_VIO_3032</t>
  </si>
  <si>
    <t>`Kiali` 아코디언이 접힘 상태인 `클러스터 연결` 화면</t>
  </si>
  <si>
    <t>1. `Kiali` 아코디언 헤더 재클릭</t>
  </si>
  <si>
    <t>재펼침 여부
ㄴ 기획 미정의 항목 — PASS/FAIL 판정 대신 실측 상태를 `실제 결과`에 기재</t>
  </si>
  <si>
    <t>TC_VIO_3033</t>
  </si>
  <si>
    <t>`클러스터 연결` 화면에서 `2 인프라 정보` 필드 확인</t>
  </si>
  <si>
    <t>1. `인프라 정보` 필드 하단 확인</t>
  </si>
  <si>
    <t>가이드 문구가 필드 하단에 표출
ㄴ 툴팁으로는 미제공</t>
  </si>
  <si>
    <t>TC_VIO_3034</t>
  </si>
  <si>
    <t>`클러스터 연결` 화면에서 `연결 정보` 블록 확인</t>
  </si>
  <si>
    <t>1. `연결 정보` 블록 문구 확인</t>
  </si>
  <si>
    <t>문구 변경 반영 여부
ㄴ 기획 미정의 항목 — PASS/FAIL 판정 대신 실측 상태를 `실제 결과`에 기재</t>
  </si>
  <si>
    <t>TC_VIO_3035</t>
  </si>
  <si>
    <t>`클러스터 연결` 화면에서 `5 프로메테우스 URL` 필드 확인</t>
  </si>
  <si>
    <t>1. `프로메테우스 URL` 필드 하단 확인</t>
  </si>
  <si>
    <t>TC_VIO_3036</t>
  </si>
  <si>
    <t>`클러스터 연결` 화면에서 `Kiali`·`Loki` 아코디언 확인</t>
  </si>
  <si>
    <t>1. `Kiali`·`Loki` 가이드 문구 확인</t>
  </si>
  <si>
    <t>가이드 문구 표출
ㄴ 기획 미정의 항목 — PASS/FAIL 판정 대신 실측 상태를 `실제 결과`에 기재</t>
  </si>
  <si>
    <t>TC_VIO_3037</t>
  </si>
  <si>
    <t>`클러스터 연결` 화면에서 `Kiali` 관련 UI 확인</t>
  </si>
  <si>
    <t>1. 화면 내 용어 표기 확인</t>
  </si>
  <si>
    <t>`Kiali` 로 표기
ㄴ `키알리` 미잔존</t>
  </si>
  <si>
    <t>TC_VIO_3038</t>
  </si>
  <si>
    <t>`클러스터 연결` 화면에서 `7 Loki` 영역 확인</t>
  </si>
  <si>
    <t>1. `Loki` 아코디언 확인</t>
  </si>
  <si>
    <t>`Loki` 아코디언과 `Loki URL` 입력 필드 표출</t>
  </si>
  <si>
    <t>TC_VIO_3039</t>
  </si>
  <si>
    <t>`클러스터 연결` 화면에서 `7 Loki` 아코디언 진입</t>
  </si>
  <si>
    <t>1. `Loki` 아코디언 진입 상태 확인</t>
  </si>
  <si>
    <t>TC_VIO_3040</t>
  </si>
  <si>
    <t>`클러스터 연결` 화면에서 `Loki URL` 필드 확인</t>
  </si>
  <si>
    <t>1. `Loki URL` 입력값 형식 확인</t>
  </si>
  <si>
    <t>URL 형식으로 입력 (6항 `Kiali` 와 동일 세부 동작)</t>
  </si>
  <si>
    <t>TC_VIO_3041</t>
  </si>
  <si>
    <t>VIOE-02_01_01-08</t>
  </si>
  <si>
    <t>클러스터 수정</t>
  </si>
  <si>
    <t>`클러스터 수정` 화면에서 연결한 클러스터로 진입(`인프라 정보` 필드 활성화 상태)</t>
  </si>
  <si>
    <t>TC_VIO_3042</t>
  </si>
  <si>
    <t>`클러스터 수정` 화면에서 `연결 정보` 블록 확인</t>
  </si>
  <si>
    <t>TC_VIO_3043</t>
  </si>
  <si>
    <t>`클러스터 수정` 화면에서 `프로메테우스 URL` 필드 확인</t>
  </si>
  <si>
    <t>TC_VIO_3044</t>
  </si>
  <si>
    <t>`클러스터 수정` 화면에서 `Kiali` 아코디언 진입</t>
  </si>
  <si>
    <t>TC_VIO_3045</t>
  </si>
  <si>
    <t>`클러스터 수정` 화면에서 `Kiali`·`Loki` 아코디언 확인</t>
  </si>
  <si>
    <t>TC_VIO_3046</t>
  </si>
  <si>
    <t>`클러스터 수정` 화면에서 `Kiali` 관련 UI 확인</t>
  </si>
  <si>
    <t>TC_VIO_3047</t>
  </si>
  <si>
    <t>`클러스터 수정` 화면에서 `Loki` 영역 확인</t>
  </si>
  <si>
    <t>TC_VIO_3048</t>
  </si>
  <si>
    <t>`클러스터 수정` 화면에서 `Loki` 아코디언 펼침 상태</t>
  </si>
  <si>
    <t>1. `Loki URL` 입력 필드 확인</t>
  </si>
  <si>
    <t>입력 필드 표출</t>
  </si>
  <si>
    <t>TC_VIO_3049</t>
  </si>
  <si>
    <t>VIOE-02_01_01-02</t>
  </si>
  <si>
    <t>클러스터 상세 - 서비스 연결 정보</t>
  </si>
  <si>
    <t>`클러스터 상세` 화면에서 `3-1 연결 정보` 영역 확인</t>
  </si>
  <si>
    <t>1. `3-1 연결 정보` 영역 확인</t>
  </si>
  <si>
    <t>`Loki URL` 항목 표출</t>
  </si>
  <si>
    <t>TC_VIO_3050</t>
  </si>
  <si>
    <t>연결한 클러스터의 `클러스터 상세` 화면으로 진입</t>
  </si>
  <si>
    <t>1. `Loki URL` 값 확인</t>
  </si>
  <si>
    <t>입력값 표출</t>
  </si>
  <si>
    <t>TC_VIO_3051</t>
  </si>
  <si>
    <t>`클러스터 상세` 화면에서 `2 기본 정보` 영역 확인</t>
  </si>
  <si>
    <t>1. `2 기본 정보` 영역 필드 순서 확인</t>
  </si>
  <si>
    <t>`이름` → `상태` → `ID` → `URL` → `쿠버네티스 엔진 버전` 순서로 표출</t>
  </si>
  <si>
    <t>TC_VIO_3052</t>
  </si>
  <si>
    <t>`클러스터 상세` 화면에서 `3-1 연결 정보` 라벨 확인</t>
  </si>
  <si>
    <t>1. `3-1 연결 정보` 라벨 확인</t>
  </si>
  <si>
    <t>`Kiali URL` 라벨 표출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</si>
</sst>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"/>
    <numFmt numFmtId="165" formatCode="yyyy-mm-dd"/>
    <numFmt numFmtId="166" formatCode="yyyy\-mm\-dd"/>
    <numFmt numFmtId="167" formatCode="#,##0_ "/>
    <numFmt numFmtId="168" formatCode="0.0%"/>
    <numFmt numFmtId="169" formatCode="yy-m-d"/>
  </numFmts>
  <fonts count="39">
    <font>
      <sz val="10.0"/>
      <color rgb="FF000000"/>
      <name val="Arial"/>
      <scheme val="minor"/>
    </font>
    <font>
      <color theme="1"/>
      <name val="Arial"/>
    </font>
    <font>
      <b/>
      <color rgb="FFFFFFFF"/>
      <name val="Arial"/>
    </font>
    <font>
      <b/>
      <sz val="24.0"/>
      <color rgb="FFFFFFFF"/>
      <name val="Arial"/>
    </font>
    <font>
      <b/>
      <sz val="9.0"/>
      <color theme="1"/>
      <name val="Arial"/>
    </font>
    <font/>
    <font>
      <b/>
      <color theme="1"/>
      <name val="Arial"/>
    </font>
    <font>
      <sz val="9.0"/>
      <color theme="1"/>
      <name val="Arial"/>
    </font>
    <font>
      <b/>
      <sz val="30.0"/>
      <color theme="1"/>
      <name val="Arial"/>
    </font>
    <font>
      <b/>
      <sz val="30.0"/>
      <color rgb="FF073763"/>
      <name val="Arial"/>
    </font>
    <font>
      <sz val="15.0"/>
      <color rgb="FF073763"/>
      <name val="Arial"/>
    </font>
    <font>
      <u/>
      <color theme="1"/>
      <name val="Arial"/>
    </font>
    <font>
      <u/>
      <sz val="9.0"/>
      <color rgb="FF0000FF"/>
      <name val="Arial"/>
    </font>
    <font>
      <b/>
      <sz val="9.0"/>
      <color rgb="FF000000"/>
      <name val="Arial"/>
    </font>
    <font>
      <b/>
      <sz val="9.0"/>
      <color rgb="FF666666"/>
      <name val="Arial"/>
    </font>
    <font>
      <color theme="1"/>
      <name val="Arial"/>
      <scheme val="minor"/>
    </font>
    <font>
      <sz val="11.0"/>
      <color rgb="FF000000"/>
      <name val="&quot;맑은 고딕&quot;"/>
    </font>
    <font>
      <b/>
      <sz val="11.0"/>
      <color rgb="FFFFFFFF"/>
      <name val="&quot;맑은 고딕&quot;"/>
    </font>
    <font>
      <b/>
      <sz val="11.0"/>
      <color rgb="FF2FA52D"/>
      <name val="&quot;맑은 고딕&quot;"/>
    </font>
    <font>
      <b/>
      <sz val="11.0"/>
      <color rgb="FF000000"/>
      <name val="&quot;맑은 고딕&quot;"/>
    </font>
    <font>
      <sz val="11.0"/>
      <color rgb="FFFFFFFF"/>
      <name val="&quot;맑은 고딕&quot;"/>
    </font>
    <font>
      <b/>
      <sz val="11.0"/>
      <color rgb="FF002060"/>
      <name val="&quot;맑은 고딕&quot;"/>
    </font>
    <font>
      <sz val="11.0"/>
      <color rgb="FFFF0000"/>
      <name val="Calibri"/>
    </font>
    <font>
      <sz val="11.0"/>
      <color rgb="FFFF0000"/>
      <name val="&quot;맑은 고딕&quot;"/>
    </font>
    <font>
      <sz val="11.0"/>
      <color rgb="FF000000"/>
      <name val="&quot;Aptos Narrow&quot;"/>
    </font>
    <font>
      <sz val="11.0"/>
      <color rgb="FF000000"/>
      <name val="&quot;Malgun Gothic&quot;"/>
    </font>
    <font>
      <b/>
      <sz val="16.0"/>
      <color rgb="FFFFFFFF"/>
      <name val="&quot;Malgun Gothic&quot;"/>
    </font>
    <font>
      <sz val="11.0"/>
      <color rgb="FF000000"/>
      <name val="Calibri"/>
    </font>
    <font>
      <b/>
      <sz val="11.0"/>
      <color rgb="FF00B050"/>
      <name val="&quot;Malgun Gothic&quot;"/>
    </font>
    <font>
      <b/>
      <sz val="11.0"/>
      <color rgb="FF000000"/>
      <name val="&quot;Malgun Gothic&quot;"/>
    </font>
    <font>
      <sz val="9.0"/>
      <color rgb="FF000000"/>
      <name val="Arial"/>
    </font>
    <font>
      <sz val="11.0"/>
      <color rgb="FFFFFFFF"/>
      <name val="&quot;Malgun Gothic&quot;"/>
    </font>
    <font>
      <sz val="11.0"/>
      <color rgb="FFFF0000"/>
      <name val="&quot;Aptos Narrow&quot;"/>
    </font>
    <font>
      <sz val="9.0"/>
      <color rgb="FF444746"/>
      <name val="Google Sans"/>
    </font>
    <font>
      <u/>
      <color rgb="FF0000FF"/>
      <name val="Arial"/>
    </font>
    <font>
      <strike/>
      <u/>
      <color rgb="FF0000FF"/>
      <name val="Arial"/>
    </font>
    <font>
      <strike/>
      <u/>
      <color theme="1"/>
      <name val="Arial"/>
    </font>
    <font>
      <strike/>
      <color rgb="FF0000FF"/>
      <name val="Arial"/>
    </font>
    <font>
      <strike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2FA52D"/>
        <bgColor rgb="FF2FA52D"/>
      </patternFill>
    </fill>
    <fill>
      <patternFill patternType="solid">
        <fgColor rgb="FF002060"/>
        <bgColor rgb="FF002060"/>
      </patternFill>
    </fill>
    <fill>
      <patternFill patternType="solid">
        <fgColor rgb="FFFFFF00"/>
        <bgColor rgb="FFFFFF00"/>
      </patternFill>
    </fill>
    <fill>
      <patternFill patternType="solid">
        <fgColor rgb="FFC6E0B4"/>
        <bgColor rgb="FFC6E0B4"/>
      </patternFill>
    </fill>
    <fill>
      <patternFill patternType="solid">
        <fgColor rgb="FF808080"/>
        <bgColor rgb="FF808080"/>
      </patternFill>
    </fill>
    <fill>
      <patternFill patternType="solid">
        <fgColor rgb="FFD0CECE"/>
        <bgColor rgb="FFD0CECE"/>
      </patternFill>
    </fill>
    <fill>
      <patternFill patternType="solid">
        <fgColor rgb="FF00B050"/>
        <bgColor rgb="FF00B050"/>
      </patternFill>
    </fill>
    <fill>
      <patternFill patternType="solid">
        <fgColor rgb="FF92D050"/>
        <bgColor rgb="FF92D050"/>
      </patternFill>
    </fill>
    <fill>
      <patternFill patternType="solid">
        <fgColor rgb="FFD0D0D0"/>
        <bgColor rgb="FFD0D0D0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999999"/>
        <bgColor rgb="FF999999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</fills>
  <borders count="4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bottom style="thin">
        <color rgb="FFB7B7B7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right style="thin">
        <color rgb="FFB7B7B7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000000"/>
      </right>
    </border>
    <border>
      <right style="thin">
        <color rgb="FF000000"/>
      </right>
      <bottom style="medium">
        <color rgb="FF000000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right style="medium">
        <color rgb="FF000000"/>
      </right>
      <bottom style="medium">
        <color rgb="FF000000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top style="hair">
        <color rgb="FF000000"/>
      </top>
      <bottom style="thin">
        <color rgb="FF000000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3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center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left"/>
    </xf>
    <xf borderId="2" fillId="3" fontId="3" numFmtId="0" xfId="0" applyAlignment="1" applyBorder="1" applyFill="1" applyFont="1">
      <alignment horizontal="center" vertical="center"/>
    </xf>
    <xf borderId="3" fillId="4" fontId="4" numFmtId="0" xfId="0" applyAlignment="1" applyBorder="1" applyFill="1" applyFont="1">
      <alignment horizontal="left" vertical="bottom"/>
    </xf>
    <xf borderId="4" fillId="0" fontId="5" numFmtId="0" xfId="0" applyBorder="1" applyFont="1"/>
    <xf borderId="3" fillId="4" fontId="1" numFmtId="0" xfId="0" applyAlignment="1" applyBorder="1" applyFill="1" applyFont="1">
      <alignment horizontal="left" vertical="bottom"/>
    </xf>
    <xf borderId="5" fillId="0" fontId="5" numFmtId="0" xfId="0" applyBorder="1" applyFont="1"/>
    <xf borderId="6" fillId="0" fontId="1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8" fillId="5" fontId="6" numFmtId="0" xfId="0" applyAlignment="1" applyBorder="1" applyFill="1" applyFont="1">
      <alignment horizontal="center" vertical="center"/>
    </xf>
    <xf borderId="9" fillId="6" fontId="4" numFmtId="0" xfId="0" applyAlignment="1" applyBorder="1" applyFill="1" applyFont="1">
      <alignment horizontal="center" vertical="center"/>
    </xf>
    <xf borderId="10" fillId="0" fontId="1" numFmtId="0" xfId="0" applyAlignment="1" applyBorder="1" applyFont="1">
      <alignment vertical="bottom"/>
    </xf>
    <xf borderId="1" fillId="2" fontId="2" numFmtId="0" xfId="0" applyAlignment="1" applyBorder="1" applyFill="1" applyFont="1">
      <alignment horizontal="center" shrinkToFit="0" vertical="center" wrapText="1"/>
    </xf>
    <xf borderId="11" fillId="5" fontId="6" numFmtId="164" xfId="0" applyAlignment="1" applyBorder="1" applyFill="1" applyFont="1" applyNumberFormat="1">
      <alignment horizontal="center" vertical="center"/>
    </xf>
    <xf borderId="12" fillId="4" fontId="7" numFmtId="0" xfId="0" applyAlignment="1" applyBorder="1" applyFill="1" applyFont="1">
      <alignment readingOrder="0" shrinkToFit="0" vertical="bottom" wrapText="1"/>
    </xf>
    <xf borderId="1" fillId="2" fontId="2" numFmtId="0" xfId="0" applyAlignment="1" applyBorder="1" applyFill="1" applyFont="1">
      <alignment horizontal="center" vertical="center"/>
    </xf>
    <xf borderId="0" fillId="6" fontId="8" numFmtId="0" xfId="0" applyAlignment="1" applyFill="1" applyFont="1">
      <alignment horizontal="center" readingOrder="0" vertical="center"/>
    </xf>
    <xf borderId="12" fillId="0" fontId="5" numFmtId="0" xfId="0" applyBorder="1" applyFont="1"/>
    <xf borderId="11" fillId="5" fontId="6" numFmtId="0" xfId="0" applyAlignment="1" applyBorder="1" applyFill="1" applyFont="1">
      <alignment horizontal="center" vertical="center"/>
    </xf>
    <xf borderId="10" fillId="0" fontId="5" numFmtId="0" xfId="0" applyBorder="1" applyFont="1"/>
    <xf borderId="1" fillId="2" fontId="2" numFmtId="0" xfId="0" applyAlignment="1" applyBorder="1" applyFill="1" applyFont="1">
      <alignment horizontal="center" readingOrder="0" shrinkToFit="0" vertical="center" wrapText="1"/>
    </xf>
    <xf borderId="13" fillId="0" fontId="5" numFmtId="0" xfId="0" applyBorder="1" applyFont="1"/>
    <xf borderId="14" fillId="5" fontId="6" numFmtId="0" xfId="0" applyAlignment="1" applyBorder="1" applyFill="1" applyFont="1">
      <alignment horizontal="center" vertical="bottom"/>
    </xf>
    <xf borderId="0" fillId="0" fontId="1" numFmtId="0" xfId="0" applyAlignment="1" applyFont="1">
      <alignment vertical="bottom"/>
    </xf>
    <xf borderId="15" fillId="6" fontId="4" numFmtId="0" xfId="0" applyAlignment="1" applyBorder="1" applyFill="1" applyFont="1">
      <alignment horizontal="center" vertical="center"/>
    </xf>
    <xf borderId="16" fillId="0" fontId="1" numFmtId="165" xfId="0" applyAlignment="1" applyBorder="1" applyFont="1" applyNumberFormat="1">
      <alignment horizontal="center" readingOrder="0"/>
    </xf>
    <xf borderId="3" fillId="4" fontId="7" numFmtId="0" xfId="0" applyAlignment="1" applyBorder="1" applyFill="1" applyFont="1">
      <alignment readingOrder="0" shrinkToFit="0" vertical="bottom" wrapText="1"/>
    </xf>
    <xf borderId="6" fillId="0" fontId="5" numFmtId="0" xfId="0" applyBorder="1" applyFont="1"/>
    <xf borderId="3" fillId="0" fontId="5" numFmtId="0" xfId="0" applyBorder="1" applyFont="1"/>
    <xf borderId="17" fillId="0" fontId="1" numFmtId="164" xfId="0" applyAlignment="1" applyBorder="1" applyFont="1" applyNumberFormat="1">
      <alignment horizontal="center" readingOrder="0"/>
    </xf>
    <xf borderId="17" fillId="0" fontId="5" numFmtId="0" xfId="0" applyBorder="1" applyFont="1"/>
    <xf borderId="17" fillId="0" fontId="1" numFmtId="0" xfId="0" applyAlignment="1" applyBorder="1" applyFont="1">
      <alignment readingOrder="0"/>
    </xf>
    <xf borderId="18" fillId="0" fontId="5" numFmtId="0" xfId="0" applyBorder="1" applyFont="1"/>
    <xf borderId="17" fillId="0" fontId="1" numFmtId="0" xfId="0" applyAlignment="1" applyBorder="1" applyFont="1">
      <alignment horizontal="center"/>
    </xf>
    <xf borderId="17" fillId="0" fontId="1" numFmtId="0" xfId="0" applyBorder="1" applyFont="1"/>
    <xf borderId="3" fillId="4" fontId="7" numFmtId="0" xfId="0" applyAlignment="1" applyBorder="1" applyFill="1" applyFont="1">
      <alignment readingOrder="0" shrinkToFit="0" vertical="bottom" wrapText="1"/>
    </xf>
    <xf borderId="3" fillId="4" fontId="7" numFmtId="0" xfId="0" applyAlignment="1" applyBorder="1" applyFill="1" applyFont="1">
      <alignment shrinkToFit="0" vertical="bottom" wrapText="1"/>
    </xf>
    <xf borderId="1" fillId="0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readingOrder="0" vertical="bottom"/>
    </xf>
    <xf borderId="0" fillId="0" fontId="9" numFmtId="0" xfId="0" applyAlignment="1" applyFont="1">
      <alignment shrinkToFit="0" vertical="bottom" wrapText="0"/>
    </xf>
    <xf borderId="16" fillId="0" fontId="1" numFmtId="166" xfId="0" applyAlignment="1" applyBorder="1" applyFont="1" applyNumberFormat="1">
      <alignment horizontal="center" vertical="center"/>
    </xf>
    <xf borderId="17" fillId="0" fontId="1" numFmtId="164" xfId="0" applyAlignment="1" applyBorder="1" applyFont="1" applyNumberFormat="1">
      <alignment horizontal="center" vertical="center"/>
    </xf>
    <xf borderId="0" fillId="0" fontId="10" numFmtId="0" xfId="0" applyAlignment="1" applyFont="1">
      <alignment readingOrder="0" shrinkToFit="0" vertical="bottom" wrapText="0"/>
    </xf>
    <xf borderId="17" fillId="0" fontId="1" numFmtId="0" xfId="0" applyAlignment="1" applyBorder="1" applyFont="1">
      <alignment vertical="center"/>
    </xf>
    <xf borderId="19" fillId="4" fontId="7" numFmtId="0" xfId="0" applyAlignment="1" applyBorder="1" applyFill="1" applyFont="1">
      <alignment shrinkToFit="0" wrapText="1"/>
    </xf>
    <xf borderId="17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7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center"/>
    </xf>
    <xf borderId="16" fillId="0" fontId="1" numFmtId="165" xfId="0" applyAlignment="1" applyBorder="1" applyFont="1" applyNumberFormat="1">
      <alignment horizontal="center" vertical="center"/>
    </xf>
    <xf borderId="17" fillId="0" fontId="11" numFmtId="0" xfId="0" applyAlignment="1" applyBorder="1" applyFont="1">
      <alignment horizontal="center" vertical="center"/>
    </xf>
    <xf borderId="1" fillId="4" fontId="1" numFmtId="0" xfId="0" applyAlignment="1" applyBorder="1" applyFill="1" applyFont="1">
      <alignment shrinkToFit="0" vertical="center" wrapText="1"/>
    </xf>
    <xf borderId="16" fillId="0" fontId="1" numFmtId="165" xfId="0" applyAlignment="1" applyBorder="1" applyFont="1" applyNumberFormat="1">
      <alignment vertical="center"/>
    </xf>
    <xf borderId="1" fillId="4" fontId="1" numFmtId="0" xfId="0" applyAlignment="1" applyBorder="1" applyFill="1" applyFont="1">
      <alignment readingOrder="0" shrinkToFit="0" vertical="center" wrapText="1"/>
    </xf>
    <xf borderId="19" fillId="4" fontId="12" numFmtId="0" xfId="0" applyAlignment="1" applyBorder="1" applyFill="1" applyFont="1">
      <alignment readingOrder="0" shrinkToFit="0" vertical="bottom" wrapText="1"/>
    </xf>
    <xf borderId="1" fillId="0" fontId="1" numFmtId="165" xfId="0" applyAlignment="1" applyBorder="1" applyFont="1" applyNumberFormat="1">
      <alignment horizontal="center" readingOrder="0" vertical="center"/>
    </xf>
    <xf borderId="0" fillId="4" fontId="1" numFmtId="0" xfId="0" applyAlignment="1" applyFill="1" applyFont="1">
      <alignment vertical="bottom"/>
    </xf>
    <xf borderId="1" fillId="0" fontId="1" numFmtId="0" xfId="0" applyAlignment="1" applyBorder="1" applyFont="1">
      <alignment shrinkToFit="0" vertical="center" wrapText="1"/>
    </xf>
    <xf borderId="16" fillId="0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0" fillId="4" fontId="4" numFmtId="0" xfId="0" applyAlignment="1" applyFill="1" applyFont="1">
      <alignment vertical="bottom"/>
    </xf>
    <xf borderId="20" fillId="6" fontId="13" numFmtId="0" xfId="0" applyAlignment="1" applyBorder="1" applyFill="1" applyFont="1">
      <alignment horizontal="center" shrinkToFit="0" vertical="center" wrapText="1"/>
    </xf>
    <xf borderId="21" fillId="0" fontId="5" numFmtId="0" xfId="0" applyBorder="1" applyFont="1"/>
    <xf borderId="22" fillId="6" fontId="13" numFmtId="0" xfId="0" applyAlignment="1" applyBorder="1" applyFill="1" applyFont="1">
      <alignment horizontal="center" shrinkToFit="0" vertical="center" wrapText="1"/>
    </xf>
    <xf borderId="23" fillId="0" fontId="5" numFmtId="0" xfId="0" applyBorder="1" applyFont="1"/>
    <xf borderId="24" fillId="0" fontId="5" numFmtId="0" xfId="0" applyBorder="1" applyFont="1"/>
    <xf borderId="25" fillId="6" fontId="13" numFmtId="0" xfId="0" applyAlignment="1" applyBorder="1" applyFill="1" applyFont="1">
      <alignment horizontal="center" shrinkToFit="0" vertical="center" wrapText="1"/>
    </xf>
    <xf borderId="26" fillId="0" fontId="5" numFmtId="0" xfId="0" applyBorder="1" applyFont="1"/>
    <xf borderId="1" fillId="6" fontId="13" numFmtId="0" xfId="0" applyAlignment="1" applyBorder="1" applyFill="1" applyFont="1">
      <alignment horizontal="center" shrinkToFit="0" vertical="center" wrapText="1"/>
    </xf>
    <xf borderId="16" fillId="0" fontId="5" numFmtId="0" xfId="0" applyBorder="1" applyFont="1"/>
    <xf borderId="22" fillId="6" fontId="13" numFmtId="0" xfId="0" applyAlignment="1" applyBorder="1" applyFill="1" applyFont="1">
      <alignment horizontal="center" readingOrder="0" vertical="center"/>
    </xf>
    <xf borderId="0" fillId="4" fontId="1" numFmtId="0" xfId="0" applyFill="1" applyFont="1"/>
    <xf borderId="1" fillId="0" fontId="7" numFmtId="167" xfId="0" applyAlignment="1" applyBorder="1" applyFont="1" applyNumberFormat="1">
      <alignment horizontal="center" vertical="center"/>
    </xf>
    <xf quotePrefix="1" borderId="1" fillId="4" fontId="1" numFmtId="0" xfId="0" applyAlignment="1" applyBorder="1" applyFill="1" applyFont="1">
      <alignment readingOrder="0" shrinkToFit="0" vertical="center" wrapText="1"/>
    </xf>
    <xf borderId="1" fillId="0" fontId="1" numFmtId="10" xfId="0" applyAlignment="1" applyBorder="1" applyFont="1" applyNumberFormat="1">
      <alignment horizontal="center" vertical="center"/>
    </xf>
    <xf borderId="1" fillId="0" fontId="7" numFmtId="168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left" shrinkToFit="0" vertical="center" wrapText="1"/>
    </xf>
    <xf borderId="1" fillId="0" fontId="1" numFmtId="165" xfId="0" applyAlignment="1" applyBorder="1" applyFont="1" applyNumberFormat="1">
      <alignment horizontal="center" vertical="center"/>
    </xf>
    <xf borderId="22" fillId="6" fontId="13" numFmtId="0" xfId="0" applyAlignment="1" applyBorder="1" applyFill="1" applyFont="1">
      <alignment horizontal="center" vertical="center"/>
    </xf>
    <xf borderId="0" fillId="4" fontId="14" numFmtId="0" xfId="0" applyAlignment="1" applyFill="1" applyFont="1">
      <alignment readingOrder="0" shrinkToFit="0" vertical="bottom" wrapText="1"/>
    </xf>
    <xf borderId="0" fillId="4" fontId="4" numFmtId="0" xfId="0" applyAlignment="1" applyFill="1" applyFont="1">
      <alignment readingOrder="0" vertical="bottom"/>
    </xf>
    <xf borderId="17" fillId="6" fontId="13" numFmtId="0" xfId="0" applyAlignment="1" applyBorder="1" applyFill="1" applyFont="1">
      <alignment horizontal="center" readingOrder="0" shrinkToFit="0" vertical="center" wrapText="1"/>
    </xf>
    <xf borderId="0" fillId="0" fontId="15" numFmtId="0" xfId="0" applyAlignment="1" applyFont="1">
      <alignment horizontal="center" vertical="center"/>
    </xf>
    <xf borderId="0" fillId="4" fontId="15" numFmtId="0" xfId="0" applyFill="1" applyFont="1"/>
    <xf borderId="0" fillId="0" fontId="16" numFmtId="0" xfId="0" applyAlignment="1" applyFont="1">
      <alignment shrinkToFit="0" wrapText="0"/>
    </xf>
    <xf borderId="0" fillId="0" fontId="16" numFmtId="0" xfId="0" applyAlignment="1" applyFont="1">
      <alignment horizontal="center" shrinkToFit="0" wrapText="0"/>
    </xf>
    <xf borderId="0" fillId="0" fontId="16" numFmtId="0" xfId="0" applyAlignment="1" applyFont="1">
      <alignment horizontal="center" shrinkToFit="0" vertical="center" wrapText="0"/>
    </xf>
    <xf borderId="25" fillId="6" fontId="13" numFmtId="0" xfId="0" applyAlignment="1" applyBorder="1" applyFill="1" applyFont="1">
      <alignment horizontal="center" readingOrder="0" vertical="center"/>
    </xf>
    <xf borderId="0" fillId="4" fontId="16" numFmtId="0" xfId="0" applyAlignment="1" applyFill="1" applyFont="1">
      <alignment shrinkToFit="0" wrapText="0"/>
    </xf>
    <xf borderId="24" fillId="6" fontId="13" numFmtId="0" xfId="0" applyAlignment="1" applyBorder="1" applyFill="1" applyFont="1">
      <alignment horizontal="center" readingOrder="0" vertical="center"/>
    </xf>
    <xf borderId="20" fillId="7" fontId="17" numFmtId="0" xfId="0" applyAlignment="1" applyBorder="1" applyFill="1" applyFont="1">
      <alignment horizontal="center" readingOrder="0" shrinkToFit="0" vertical="center" wrapText="0"/>
    </xf>
    <xf borderId="27" fillId="0" fontId="5" numFmtId="0" xfId="0" applyBorder="1" applyFont="1"/>
    <xf borderId="20" fillId="8" fontId="17" numFmtId="0" xfId="0" applyAlignment="1" applyBorder="1" applyFill="1" applyFont="1">
      <alignment horizontal="center" readingOrder="0" shrinkToFit="0" wrapText="0"/>
    </xf>
    <xf borderId="21" fillId="0" fontId="16" numFmtId="0" xfId="0" applyAlignment="1" applyBorder="1" applyFont="1">
      <alignment horizontal="center" readingOrder="0" shrinkToFit="0" wrapText="0"/>
    </xf>
    <xf borderId="24" fillId="0" fontId="16" numFmtId="0" xfId="0" applyAlignment="1" applyBorder="1" applyFont="1">
      <alignment readingOrder="0" shrinkToFit="0" vertical="bottom" wrapText="0"/>
    </xf>
    <xf borderId="28" fillId="0" fontId="5" numFmtId="0" xfId="0" applyBorder="1" applyFont="1"/>
    <xf borderId="24" fillId="9" fontId="16" numFmtId="0" xfId="0" applyAlignment="1" applyBorder="1" applyFill="1" applyFont="1">
      <alignment horizontal="center" readingOrder="0" shrinkToFit="0" wrapText="0"/>
    </xf>
    <xf borderId="17" fillId="0" fontId="16" numFmtId="0" xfId="0" applyAlignment="1" applyBorder="1" applyFont="1">
      <alignment readingOrder="0" shrinkToFit="0" vertical="bottom" wrapText="0"/>
    </xf>
    <xf borderId="22" fillId="0" fontId="18" numFmtId="0" xfId="0" applyAlignment="1" applyBorder="1" applyFont="1">
      <alignment horizontal="center" readingOrder="0" shrinkToFit="0" wrapText="0"/>
    </xf>
    <xf borderId="22" fillId="10" fontId="19" numFmtId="0" xfId="0" applyAlignment="1" applyBorder="1" applyFill="1" applyFont="1">
      <alignment horizontal="center" readingOrder="0" shrinkToFit="0" wrapText="0"/>
    </xf>
    <xf borderId="25" fillId="2" fontId="2" numFmtId="0" xfId="0" applyAlignment="1" applyBorder="1" applyFill="1" applyFont="1">
      <alignment horizontal="center" readingOrder="0" vertical="center"/>
    </xf>
    <xf borderId="25" fillId="2" fontId="2" numFmtId="0" xfId="0" applyAlignment="1" applyBorder="1" applyFill="1" applyFont="1">
      <alignment horizontal="center" vertical="center"/>
    </xf>
    <xf borderId="25" fillId="2" fontId="2" numFmtId="0" xfId="0" applyAlignment="1" applyBorder="1" applyFill="1" applyFont="1">
      <alignment horizontal="center" shrinkToFit="0" vertical="center" wrapText="1"/>
    </xf>
    <xf borderId="20" fillId="4" fontId="2" numFmtId="0" xfId="0" applyAlignment="1" applyBorder="1" applyFill="1" applyFont="1">
      <alignment horizontal="center" shrinkToFit="0" vertical="center" wrapText="1"/>
    </xf>
    <xf borderId="17" fillId="11" fontId="20" numFmtId="0" xfId="0" applyAlignment="1" applyBorder="1" applyFill="1" applyFont="1">
      <alignment horizontal="center" readingOrder="0" shrinkToFit="0" wrapText="0"/>
    </xf>
    <xf borderId="20" fillId="0" fontId="18" numFmtId="0" xfId="0" applyAlignment="1" applyBorder="1" applyFont="1">
      <alignment horizontal="center" readingOrder="0" shrinkToFit="0" wrapText="0"/>
    </xf>
    <xf borderId="1" fillId="0" fontId="21" numFmtId="0" xfId="0" applyAlignment="1" applyBorder="1" applyFont="1">
      <alignment horizontal="center" readingOrder="0" shrinkToFit="0" wrapText="0"/>
    </xf>
    <xf borderId="22" fillId="0" fontId="21" numFmtId="0" xfId="0" applyAlignment="1" applyBorder="1" applyFont="1">
      <alignment horizontal="center" readingOrder="0" shrinkToFit="0" wrapText="0"/>
    </xf>
    <xf borderId="0" fillId="4" fontId="2" numFmtId="0" xfId="0" applyAlignment="1" applyFill="1" applyFont="1">
      <alignment horizontal="center" shrinkToFit="0" vertical="center" wrapText="1"/>
    </xf>
    <xf borderId="0" fillId="8" fontId="17" numFmtId="0" xfId="0" applyAlignment="1" applyFill="1" applyFont="1">
      <alignment horizontal="center" readingOrder="0" shrinkToFit="0" wrapText="0"/>
    </xf>
    <xf borderId="0" fillId="11" fontId="20" numFmtId="0" xfId="0" applyAlignment="1" applyFill="1" applyFont="1">
      <alignment horizontal="center" readingOrder="0" shrinkToFit="0" wrapText="0"/>
    </xf>
    <xf borderId="29" fillId="0" fontId="5" numFmtId="0" xfId="0" applyBorder="1" applyFont="1"/>
    <xf borderId="0" fillId="0" fontId="16" numFmtId="0" xfId="0" applyAlignment="1" applyFont="1">
      <alignment readingOrder="0" shrinkToFit="0" vertical="bottom" wrapText="0"/>
    </xf>
    <xf borderId="20" fillId="0" fontId="16" numFmtId="0" xfId="0" applyAlignment="1" applyBorder="1" applyFont="1">
      <alignment horizontal="center" readingOrder="0" shrinkToFit="0" wrapText="0"/>
    </xf>
    <xf borderId="1" fillId="0" fontId="16" numFmtId="0" xfId="0" applyAlignment="1" applyBorder="1" applyFont="1">
      <alignment readingOrder="0" shrinkToFit="0" wrapText="0"/>
    </xf>
    <xf borderId="30" fillId="0" fontId="16" numFmtId="0" xfId="0" applyAlignment="1" applyBorder="1" applyFont="1">
      <alignment horizontal="center" readingOrder="0" shrinkToFit="0" wrapText="0"/>
    </xf>
    <xf borderId="31" fillId="0" fontId="16" numFmtId="0" xfId="0" applyAlignment="1" applyBorder="1" applyFont="1">
      <alignment horizontal="center" readingOrder="0" shrinkToFit="0" wrapText="0"/>
    </xf>
    <xf borderId="0" fillId="4" fontId="16" numFmtId="0" xfId="0" applyAlignment="1" applyFill="1" applyFont="1">
      <alignment readingOrder="0" shrinkToFit="0" wrapText="0"/>
    </xf>
    <xf borderId="32" fillId="0" fontId="16" numFmtId="0" xfId="0" applyAlignment="1" applyBorder="1" applyFont="1">
      <alignment horizontal="center" readingOrder="0" shrinkToFit="0" wrapText="0"/>
    </xf>
    <xf borderId="33" fillId="9" fontId="22" numFmtId="0" xfId="0" applyAlignment="1" applyBorder="1" applyFill="1" applyFont="1">
      <alignment horizontal="center" readingOrder="0"/>
    </xf>
    <xf borderId="32" fillId="0" fontId="16" numFmtId="0" xfId="0" applyAlignment="1" applyBorder="1" applyFont="1">
      <alignment horizontal="center" readingOrder="0"/>
    </xf>
    <xf borderId="33" fillId="9" fontId="23" numFmtId="0" xfId="0" applyAlignment="1" applyBorder="1" applyFill="1" applyFont="1">
      <alignment horizontal="center" readingOrder="0"/>
    </xf>
    <xf borderId="0" fillId="0" fontId="16" numFmtId="0" xfId="0" applyAlignment="1" applyFont="1">
      <alignment readingOrder="0" shrinkToFit="0" wrapText="0"/>
    </xf>
    <xf borderId="1" fillId="0" fontId="23" numFmtId="0" xfId="0" applyAlignment="1" applyBorder="1" applyFont="1">
      <alignment readingOrder="0" shrinkToFit="0" wrapText="0"/>
    </xf>
    <xf borderId="34" fillId="0" fontId="16" numFmtId="0" xfId="0" applyAlignment="1" applyBorder="1" applyFont="1">
      <alignment horizontal="center" readingOrder="0" shrinkToFit="0" wrapText="0"/>
    </xf>
    <xf borderId="34" fillId="0" fontId="16" numFmtId="0" xfId="0" applyAlignment="1" applyBorder="1" applyFont="1">
      <alignment horizontal="center" readingOrder="0"/>
    </xf>
    <xf borderId="35" fillId="4" fontId="16" numFmtId="0" xfId="0" applyAlignment="1" applyBorder="1" applyFill="1" applyFont="1">
      <alignment horizontal="center" readingOrder="0"/>
    </xf>
    <xf borderId="0" fillId="4" fontId="23" numFmtId="0" xfId="0" applyAlignment="1" applyFill="1" applyFont="1">
      <alignment readingOrder="0" shrinkToFit="0" wrapText="0"/>
    </xf>
    <xf borderId="20" fillId="0" fontId="16" numFmtId="0" xfId="0" applyAlignment="1" applyBorder="1" applyFont="1">
      <alignment horizontal="center" readingOrder="0"/>
    </xf>
    <xf borderId="6" fillId="0" fontId="16" numFmtId="0" xfId="0" applyAlignment="1" applyBorder="1" applyFont="1">
      <alignment horizontal="left" readingOrder="0" shrinkToFit="0" wrapText="0"/>
    </xf>
    <xf borderId="26" fillId="9" fontId="23" numFmtId="0" xfId="0" applyAlignment="1" applyBorder="1" applyFill="1" applyFont="1">
      <alignment horizontal="center" readingOrder="0"/>
    </xf>
    <xf borderId="16" fillId="11" fontId="20" numFmtId="0" xfId="0" applyAlignment="1" applyBorder="1" applyFill="1" applyFont="1">
      <alignment horizontal="center" readingOrder="0" shrinkToFit="0" wrapText="0"/>
    </xf>
    <xf borderId="1" fillId="0" fontId="16" numFmtId="0" xfId="0" applyAlignment="1" applyBorder="1" applyFont="1">
      <alignment shrinkToFit="0" wrapText="0"/>
    </xf>
    <xf borderId="26" fillId="0" fontId="16" numFmtId="0" xfId="0" applyAlignment="1" applyBorder="1" applyFont="1">
      <alignment horizontal="center" readingOrder="0" shrinkToFit="0" wrapText="0"/>
    </xf>
    <xf borderId="16" fillId="9" fontId="16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vertical="center"/>
    </xf>
    <xf borderId="25" fillId="0" fontId="16" numFmtId="0" xfId="0" applyAlignment="1" applyBorder="1" applyFont="1">
      <alignment horizontal="center" readingOrder="0"/>
    </xf>
    <xf borderId="36" fillId="0" fontId="16" numFmtId="0" xfId="0" applyAlignment="1" applyBorder="1" applyFont="1">
      <alignment readingOrder="0" shrinkToFit="0" wrapText="0"/>
    </xf>
    <xf borderId="37" fillId="0" fontId="16" numFmtId="0" xfId="0" applyAlignment="1" applyBorder="1" applyFont="1">
      <alignment horizontal="center" readingOrder="0" shrinkToFit="0" wrapText="0"/>
    </xf>
    <xf borderId="38" fillId="9" fontId="16" numFmtId="0" xfId="0" applyAlignment="1" applyBorder="1" applyFill="1" applyFont="1">
      <alignment horizontal="center" readingOrder="0"/>
    </xf>
    <xf borderId="1" fillId="0" fontId="23" numFmtId="0" xfId="0" applyAlignment="1" applyBorder="1" applyFont="1">
      <alignment shrinkToFit="0" wrapText="0"/>
    </xf>
    <xf borderId="0" fillId="4" fontId="23" numFmtId="0" xfId="0" applyAlignment="1" applyFill="1" applyFont="1">
      <alignment shrinkToFit="0" wrapText="0"/>
    </xf>
    <xf borderId="39" fillId="0" fontId="24" numFmtId="0" xfId="0" applyAlignment="1" applyBorder="1" applyFont="1">
      <alignment readingOrder="0"/>
    </xf>
    <xf borderId="33" fillId="12" fontId="16" numFmtId="0" xfId="0" applyAlignment="1" applyBorder="1" applyFill="1" applyFont="1">
      <alignment horizontal="center" readingOrder="0" shrinkToFit="0" wrapText="0"/>
    </xf>
    <xf borderId="40" fillId="0" fontId="16" numFmtId="0" xfId="0" applyAlignment="1" applyBorder="1" applyFont="1">
      <alignment readingOrder="0" shrinkToFit="0" wrapText="0"/>
    </xf>
    <xf borderId="34" fillId="12" fontId="16" numFmtId="0" xfId="0" applyAlignment="1" applyBorder="1" applyFill="1" applyFont="1">
      <alignment horizontal="center" readingOrder="0" shrinkToFit="0" wrapText="0"/>
    </xf>
    <xf borderId="35" fillId="12" fontId="16" numFmtId="0" xfId="0" applyAlignment="1" applyBorder="1" applyFill="1" applyFont="1">
      <alignment horizontal="center" readingOrder="0" shrinkToFit="0" wrapText="0"/>
    </xf>
    <xf borderId="38" fillId="11" fontId="20" numFmtId="0" xfId="0" applyAlignment="1" applyBorder="1" applyFill="1" applyFont="1">
      <alignment horizontal="center" readingOrder="0" shrinkToFit="0" wrapText="0"/>
    </xf>
    <xf borderId="40" fillId="0" fontId="24" numFmtId="0" xfId="0" applyAlignment="1" applyBorder="1" applyFont="1">
      <alignment readingOrder="0"/>
    </xf>
    <xf borderId="35" fillId="11" fontId="20" numFmtId="0" xfId="0" applyAlignment="1" applyBorder="1" applyFill="1" applyFont="1">
      <alignment horizontal="center" readingOrder="0" shrinkToFit="0" wrapText="0"/>
    </xf>
    <xf borderId="39" fillId="0" fontId="16" numFmtId="0" xfId="0" applyAlignment="1" applyBorder="1" applyFont="1">
      <alignment readingOrder="0" shrinkToFit="0" wrapText="0"/>
    </xf>
    <xf borderId="35" fillId="0" fontId="16" numFmtId="0" xfId="0" applyAlignment="1" applyBorder="1" applyFont="1">
      <alignment horizontal="center" readingOrder="0" shrinkToFit="0" wrapText="0"/>
    </xf>
    <xf borderId="37" fillId="11" fontId="20" numFmtId="0" xfId="0" applyAlignment="1" applyBorder="1" applyFill="1" applyFont="1">
      <alignment horizontal="center" readingOrder="0" shrinkToFit="0" wrapText="0"/>
    </xf>
    <xf borderId="32" fillId="11" fontId="20" numFmtId="0" xfId="0" applyAlignment="1" applyBorder="1" applyFill="1" applyFont="1">
      <alignment horizontal="center" readingOrder="0" shrinkToFit="0" wrapText="0"/>
    </xf>
    <xf borderId="33" fillId="11" fontId="20" numFmtId="0" xfId="0" applyAlignment="1" applyBorder="1" applyFill="1" applyFont="1">
      <alignment horizontal="center" readingOrder="0" shrinkToFit="0" wrapText="0"/>
    </xf>
    <xf borderId="1" fillId="0" fontId="16" numFmtId="0" xfId="0" applyAlignment="1" applyBorder="1" applyFont="1">
      <alignment horizontal="center" readingOrder="0"/>
    </xf>
    <xf borderId="34" fillId="11" fontId="20" numFmtId="0" xfId="0" applyAlignment="1" applyBorder="1" applyFill="1" applyFont="1">
      <alignment horizontal="center" readingOrder="0" shrinkToFit="0" wrapText="0"/>
    </xf>
    <xf borderId="38" fillId="0" fontId="16" numFmtId="0" xfId="0" applyAlignment="1" applyBorder="1" applyFont="1">
      <alignment horizontal="center" readingOrder="0" shrinkToFit="0" wrapText="0"/>
    </xf>
    <xf borderId="0" fillId="0" fontId="25" numFmtId="0" xfId="0" applyAlignment="1" applyFont="1">
      <alignment shrinkToFit="0" wrapText="0"/>
    </xf>
    <xf borderId="0" fillId="0" fontId="25" numFmtId="0" xfId="0" applyAlignment="1" applyFont="1">
      <alignment horizontal="left" shrinkToFit="0" wrapText="0"/>
    </xf>
    <xf borderId="0" fillId="0" fontId="25" numFmtId="0" xfId="0" applyAlignment="1" applyFont="1">
      <alignment horizontal="center" shrinkToFit="0" wrapText="0"/>
    </xf>
    <xf borderId="38" fillId="9" fontId="23" numFmtId="0" xfId="0" applyAlignment="1" applyBorder="1" applyFill="1" applyFont="1">
      <alignment horizontal="center" readingOrder="0"/>
    </xf>
    <xf borderId="28" fillId="13" fontId="26" numFmtId="0" xfId="0" applyAlignment="1" applyBorder="1" applyFill="1" applyFont="1">
      <alignment horizontal="center" readingOrder="0" shrinkToFit="0" vertical="center" wrapText="0"/>
    </xf>
    <xf borderId="35" fillId="9" fontId="27" numFmtId="0" xfId="0" applyAlignment="1" applyBorder="1" applyFill="1" applyFont="1">
      <alignment horizontal="center" readingOrder="0"/>
    </xf>
    <xf borderId="22" fillId="0" fontId="28" numFmtId="0" xfId="0" applyAlignment="1" applyBorder="1" applyFont="1">
      <alignment horizontal="right" readingOrder="0" shrinkToFit="0" wrapText="0"/>
    </xf>
    <xf borderId="22" fillId="14" fontId="29" numFmtId="0" xfId="0" applyAlignment="1" applyBorder="1" applyFill="1" applyFont="1">
      <alignment horizontal="center" readingOrder="0" shrinkToFit="0" wrapText="0"/>
    </xf>
    <xf borderId="22" fillId="14" fontId="29" numFmtId="0" xfId="0" applyAlignment="1" applyBorder="1" applyFill="1" applyFont="1">
      <alignment horizontal="center" readingOrder="0"/>
    </xf>
    <xf borderId="38" fillId="12" fontId="16" numFmtId="0" xfId="0" applyAlignment="1" applyBorder="1" applyFill="1" applyFont="1">
      <alignment horizontal="center" readingOrder="0" shrinkToFit="0" wrapText="0"/>
    </xf>
    <xf borderId="1" fillId="14" fontId="29" numFmtId="0" xfId="0" applyAlignment="1" applyBorder="1" applyFill="1" applyFont="1">
      <alignment horizontal="center" readingOrder="0"/>
    </xf>
    <xf borderId="25" fillId="14" fontId="29" numFmtId="0" xfId="0" applyAlignment="1" applyBorder="1" applyFill="1" applyFont="1">
      <alignment horizontal="center" readingOrder="0" shrinkToFit="0" wrapText="0"/>
    </xf>
    <xf borderId="33" fillId="9" fontId="24" numFmtId="0" xfId="0" applyAlignment="1" applyBorder="1" applyFill="1" applyFont="1">
      <alignment horizontal="center" readingOrder="0"/>
    </xf>
    <xf borderId="32" fillId="0" fontId="27" numFmtId="0" xfId="0" applyAlignment="1" applyBorder="1" applyFont="1">
      <alignment horizontal="center" readingOrder="0"/>
    </xf>
    <xf borderId="41" fillId="0" fontId="4" numFmtId="0" xfId="0" applyAlignment="1" applyBorder="1" applyFont="1">
      <alignment readingOrder="0" shrinkToFit="0" vertical="top" wrapText="1"/>
    </xf>
    <xf borderId="28" fillId="0" fontId="29" numFmtId="0" xfId="0" applyAlignment="1" applyBorder="1" applyFont="1">
      <alignment horizontal="center" readingOrder="0" shrinkToFit="0" wrapText="0"/>
    </xf>
    <xf borderId="26" fillId="0" fontId="29" numFmtId="0" xfId="0" applyAlignment="1" applyBorder="1" applyFont="1">
      <alignment horizontal="center" readingOrder="0" shrinkToFit="0" wrapText="0"/>
    </xf>
    <xf borderId="16" fillId="0" fontId="29" numFmtId="0" xfId="0" applyAlignment="1" applyBorder="1" applyFont="1">
      <alignment horizontal="center" readingOrder="0" shrinkToFit="0" wrapText="0"/>
    </xf>
    <xf borderId="0" fillId="0" fontId="30" numFmtId="0" xfId="0" applyAlignment="1" applyFont="1">
      <alignment horizontal="left"/>
    </xf>
    <xf borderId="0" fillId="4" fontId="30" numFmtId="0" xfId="0" applyAlignment="1" applyFill="1" applyFont="1">
      <alignment horizontal="left"/>
    </xf>
    <xf borderId="22" fillId="0" fontId="25" numFmtId="0" xfId="0" applyAlignment="1" applyBorder="1" applyFont="1">
      <alignment horizontal="center" readingOrder="0"/>
    </xf>
    <xf borderId="6" fillId="0" fontId="16" numFmtId="0" xfId="0" applyAlignment="1" applyBorder="1" applyFont="1">
      <alignment readingOrder="0" shrinkToFit="0" wrapText="0"/>
    </xf>
    <xf borderId="17" fillId="0" fontId="25" numFmtId="0" xfId="0" applyAlignment="1" applyBorder="1" applyFont="1">
      <alignment horizontal="left" readingOrder="0" shrinkToFit="0" wrapText="0"/>
    </xf>
    <xf borderId="6" fillId="0" fontId="25" numFmtId="0" xfId="0" applyAlignment="1" applyBorder="1" applyFont="1">
      <alignment horizontal="center" readingOrder="0" shrinkToFit="0" wrapText="0"/>
    </xf>
    <xf borderId="22" fillId="0" fontId="25" numFmtId="0" xfId="0" applyAlignment="1" applyBorder="1" applyFont="1">
      <alignment horizontal="center" readingOrder="0" shrinkToFit="0" wrapText="0"/>
    </xf>
    <xf borderId="1" fillId="0" fontId="25" numFmtId="0" xfId="0" applyAlignment="1" applyBorder="1" applyFont="1">
      <alignment horizontal="center" readingOrder="0" shrinkToFit="0" wrapText="0"/>
    </xf>
    <xf borderId="1" fillId="11" fontId="31" numFmtId="0" xfId="0" applyAlignment="1" applyBorder="1" applyFill="1" applyFont="1">
      <alignment horizontal="center" readingOrder="0" shrinkToFit="0" wrapText="0"/>
    </xf>
    <xf borderId="40" fillId="0" fontId="16" numFmtId="0" xfId="0" applyAlignment="1" applyBorder="1" applyFont="1">
      <alignment readingOrder="0"/>
    </xf>
    <xf borderId="25" fillId="0" fontId="25" numFmtId="0" xfId="0" applyAlignment="1" applyBorder="1" applyFont="1">
      <alignment horizontal="center" readingOrder="0"/>
    </xf>
    <xf borderId="42" fillId="0" fontId="25" numFmtId="0" xfId="0" applyAlignment="1" applyBorder="1" applyFont="1">
      <alignment horizontal="left" readingOrder="0" shrinkToFit="0" wrapText="0"/>
    </xf>
    <xf borderId="36" fillId="0" fontId="25" numFmtId="0" xfId="0" applyAlignment="1" applyBorder="1" applyFont="1">
      <alignment horizontal="center" readingOrder="0" shrinkToFit="0" wrapText="0"/>
    </xf>
    <xf borderId="37" fillId="0" fontId="25" numFmtId="0" xfId="0" applyAlignment="1" applyBorder="1" applyFont="1">
      <alignment horizontal="center" readingOrder="0" shrinkToFit="0" wrapText="0"/>
    </xf>
    <xf borderId="38" fillId="0" fontId="25" numFmtId="0" xfId="0" applyAlignment="1" applyBorder="1" applyFont="1">
      <alignment horizontal="center" readingOrder="0"/>
    </xf>
    <xf borderId="36" fillId="0" fontId="25" numFmtId="0" xfId="0" applyAlignment="1" applyBorder="1" applyFont="1">
      <alignment horizontal="center" readingOrder="0"/>
    </xf>
    <xf borderId="38" fillId="11" fontId="31" numFmtId="0" xfId="0" applyAlignment="1" applyBorder="1" applyFill="1" applyFont="1">
      <alignment horizontal="center" readingOrder="0" shrinkToFit="0" wrapText="0"/>
    </xf>
    <xf borderId="33" fillId="0" fontId="16" numFmtId="0" xfId="0" applyAlignment="1" applyBorder="1" applyFont="1">
      <alignment horizontal="center" readingOrder="0" shrinkToFit="0" wrapText="0"/>
    </xf>
    <xf borderId="37" fillId="0" fontId="25" numFmtId="0" xfId="0" applyAlignment="1" applyBorder="1" applyFont="1">
      <alignment horizontal="center" readingOrder="0"/>
    </xf>
    <xf borderId="25" fillId="0" fontId="23" numFmtId="0" xfId="0" applyAlignment="1" applyBorder="1" applyFont="1">
      <alignment horizontal="center" readingOrder="0"/>
    </xf>
    <xf borderId="33" fillId="11" fontId="31" numFmtId="0" xfId="0" applyAlignment="1" applyBorder="1" applyFill="1" applyFont="1">
      <alignment horizontal="center" readingOrder="0" shrinkToFit="0" wrapText="0"/>
    </xf>
    <xf borderId="39" fillId="0" fontId="23" numFmtId="0" xfId="0" applyAlignment="1" applyBorder="1" applyFont="1">
      <alignment readingOrder="0" shrinkToFit="0" wrapText="0"/>
    </xf>
    <xf borderId="10" fillId="0" fontId="25" numFmtId="0" xfId="0" applyAlignment="1" applyBorder="1" applyFont="1">
      <alignment horizontal="left" readingOrder="0" shrinkToFit="0" wrapText="0"/>
    </xf>
    <xf borderId="0" fillId="0" fontId="25" numFmtId="0" xfId="0" applyAlignment="1" applyFont="1">
      <alignment horizontal="center" readingOrder="0"/>
    </xf>
    <xf borderId="28" fillId="0" fontId="25" numFmtId="0" xfId="0" applyAlignment="1" applyBorder="1" applyFont="1">
      <alignment horizontal="center" readingOrder="0" shrinkToFit="0" wrapText="0"/>
    </xf>
    <xf borderId="29" fillId="0" fontId="25" numFmtId="0" xfId="0" applyAlignment="1" applyBorder="1" applyFont="1">
      <alignment horizontal="center" readingOrder="0" shrinkToFit="0" wrapText="0"/>
    </xf>
    <xf borderId="43" fillId="11" fontId="31" numFmtId="0" xfId="0" applyAlignment="1" applyBorder="1" applyFill="1" applyFont="1">
      <alignment horizontal="center" readingOrder="0" shrinkToFit="0" wrapText="0"/>
    </xf>
    <xf borderId="40" fillId="0" fontId="23" numFmtId="0" xfId="0" applyAlignment="1" applyBorder="1" applyFont="1">
      <alignment readingOrder="0" shrinkToFit="0" wrapText="0"/>
    </xf>
    <xf borderId="44" fillId="0" fontId="25" numFmtId="0" xfId="0" applyAlignment="1" applyBorder="1" applyFont="1">
      <alignment horizontal="left" readingOrder="0" shrinkToFit="0" wrapText="0"/>
    </xf>
    <xf borderId="45" fillId="0" fontId="25" numFmtId="0" xfId="0" applyAlignment="1" applyBorder="1" applyFont="1">
      <alignment horizontal="center" readingOrder="0" shrinkToFit="0" wrapText="0"/>
    </xf>
    <xf borderId="30" fillId="0" fontId="25" numFmtId="0" xfId="0" applyAlignment="1" applyBorder="1" applyFont="1">
      <alignment horizontal="center" readingOrder="0" shrinkToFit="0" wrapText="0"/>
    </xf>
    <xf borderId="31" fillId="0" fontId="25" numFmtId="0" xfId="0" applyAlignment="1" applyBorder="1" applyFont="1">
      <alignment horizontal="center" readingOrder="0"/>
    </xf>
    <xf borderId="45" fillId="0" fontId="25" numFmtId="0" xfId="0" applyAlignment="1" applyBorder="1" applyFont="1">
      <alignment horizontal="center" readingOrder="0"/>
    </xf>
    <xf borderId="31" fillId="11" fontId="31" numFmtId="0" xfId="0" applyAlignment="1" applyBorder="1" applyFill="1" applyFont="1">
      <alignment horizontal="center" readingOrder="0" shrinkToFit="0" wrapText="0"/>
    </xf>
    <xf borderId="6" fillId="0" fontId="25" numFmtId="0" xfId="0" applyAlignment="1" applyBorder="1" applyFont="1">
      <alignment horizontal="center" readingOrder="0"/>
    </xf>
    <xf borderId="26" fillId="0" fontId="25" numFmtId="0" xfId="0" applyAlignment="1" applyBorder="1" applyFont="1">
      <alignment horizontal="center" readingOrder="0" shrinkToFit="0" wrapText="0"/>
    </xf>
    <xf borderId="16" fillId="0" fontId="25" numFmtId="0" xfId="0" applyAlignment="1" applyBorder="1" applyFont="1">
      <alignment horizontal="center" readingOrder="0" shrinkToFit="0" wrapText="0"/>
    </xf>
    <xf borderId="35" fillId="11" fontId="31" numFmtId="0" xfId="0" applyAlignment="1" applyBorder="1" applyFill="1" applyFont="1">
      <alignment horizontal="center" readingOrder="0" shrinkToFit="0" wrapText="0"/>
    </xf>
    <xf borderId="33" fillId="9" fontId="32" numFmtId="0" xfId="0" applyAlignment="1" applyBorder="1" applyFill="1" applyFont="1">
      <alignment horizontal="center" readingOrder="0"/>
    </xf>
    <xf borderId="29" fillId="0" fontId="25" numFmtId="0" xfId="0" applyAlignment="1" applyBorder="1" applyFont="1">
      <alignment horizontal="center" readingOrder="0"/>
    </xf>
    <xf borderId="0" fillId="0" fontId="25" numFmtId="0" xfId="0" applyAlignment="1" applyFont="1">
      <alignment horizontal="center" readingOrder="0" shrinkToFit="0" wrapText="0"/>
    </xf>
    <xf borderId="28" fillId="0" fontId="16" numFmtId="0" xfId="0" applyAlignment="1" applyBorder="1" applyFont="1">
      <alignment horizontal="center" readingOrder="0" shrinkToFit="0" wrapText="0"/>
    </xf>
    <xf borderId="0" fillId="4" fontId="1" numFmtId="0" xfId="0" applyAlignment="1" applyFill="1" applyFont="1">
      <alignment vertical="center"/>
    </xf>
    <xf borderId="1" fillId="0" fontId="16" numFmtId="0" xfId="0" applyAlignment="1" applyBorder="1" applyFont="1">
      <alignment horizontal="center" readingOrder="0" shrinkToFit="0" wrapText="0"/>
    </xf>
    <xf borderId="34" fillId="0" fontId="25" numFmtId="0" xfId="0" applyAlignment="1" applyBorder="1" applyFont="1">
      <alignment horizontal="center" readingOrder="0" shrinkToFit="0" wrapText="0"/>
    </xf>
    <xf borderId="35" fillId="0" fontId="25" numFmtId="0" xfId="0" applyAlignment="1" applyBorder="1" applyFont="1">
      <alignment horizontal="center" readingOrder="0" shrinkToFit="0" wrapText="0"/>
    </xf>
    <xf borderId="40" fillId="0" fontId="25" numFmtId="0" xfId="0" applyAlignment="1" applyBorder="1" applyFont="1">
      <alignment horizontal="center" readingOrder="0" shrinkToFit="0" wrapText="0"/>
    </xf>
    <xf borderId="35" fillId="9" fontId="23" numFmtId="0" xfId="0" applyAlignment="1" applyBorder="1" applyFill="1" applyFont="1">
      <alignment horizontal="center" readingOrder="0"/>
    </xf>
    <xf borderId="16" fillId="0" fontId="25" numFmtId="0" xfId="0" applyAlignment="1" applyBorder="1" applyFont="1">
      <alignment horizontal="center" readingOrder="0"/>
    </xf>
    <xf borderId="16" fillId="11" fontId="31" numFmtId="0" xfId="0" applyAlignment="1" applyBorder="1" applyFill="1" applyFont="1">
      <alignment horizontal="center" readingOrder="0" shrinkToFit="0" wrapText="0"/>
    </xf>
    <xf borderId="29" fillId="11" fontId="31" numFmtId="0" xfId="0" applyAlignment="1" applyBorder="1" applyFill="1" applyFont="1">
      <alignment horizontal="center" readingOrder="0" shrinkToFit="0" wrapText="0"/>
    </xf>
    <xf borderId="20" fillId="0" fontId="25" numFmtId="0" xfId="0" applyAlignment="1" applyBorder="1" applyFont="1">
      <alignment horizontal="center" readingOrder="0"/>
    </xf>
    <xf borderId="45" fillId="0" fontId="25" numFmtId="0" xfId="0" applyAlignment="1" applyBorder="1" applyFont="1">
      <alignment horizontal="left" readingOrder="0" shrinkToFit="0" wrapText="0"/>
    </xf>
    <xf borderId="20" fillId="0" fontId="25" numFmtId="0" xfId="0" applyAlignment="1" applyBorder="1" applyFont="1">
      <alignment horizontal="center" readingOrder="0" shrinkToFit="0" wrapText="0"/>
    </xf>
    <xf borderId="25" fillId="0" fontId="25" numFmtId="0" xfId="0" applyAlignment="1" applyBorder="1" applyFont="1">
      <alignment horizontal="center" readingOrder="0" shrinkToFit="0" wrapText="0"/>
    </xf>
    <xf borderId="27" fillId="0" fontId="25" numFmtId="0" xfId="0" applyAlignment="1" applyBorder="1" applyFont="1">
      <alignment horizontal="center" readingOrder="0"/>
    </xf>
    <xf borderId="36" fillId="0" fontId="25" numFmtId="0" xfId="0" applyAlignment="1" applyBorder="1" applyFont="1">
      <alignment horizontal="left" readingOrder="0" shrinkToFit="0" wrapText="0"/>
    </xf>
    <xf borderId="32" fillId="0" fontId="25" numFmtId="0" xfId="0" applyAlignment="1" applyBorder="1" applyFont="1">
      <alignment horizontal="center" readingOrder="0" shrinkToFit="0" wrapText="0"/>
    </xf>
    <xf borderId="33" fillId="0" fontId="25" numFmtId="0" xfId="0" applyAlignment="1" applyBorder="1" applyFont="1">
      <alignment horizontal="center" readingOrder="0" shrinkToFit="0" wrapText="0"/>
    </xf>
    <xf borderId="39" fillId="0" fontId="25" numFmtId="0" xfId="0" applyAlignment="1" applyBorder="1" applyFont="1">
      <alignment horizontal="center" readingOrder="0"/>
    </xf>
    <xf borderId="6" fillId="0" fontId="25" numFmtId="0" xfId="0" applyAlignment="1" applyBorder="1" applyFont="1">
      <alignment horizontal="left" readingOrder="0" shrinkToFit="0" wrapText="0"/>
    </xf>
    <xf borderId="38" fillId="0" fontId="25" numFmtId="0" xfId="0" applyAlignment="1" applyBorder="1" applyFont="1">
      <alignment horizontal="center" readingOrder="0" shrinkToFit="0" wrapText="0"/>
    </xf>
    <xf borderId="37" fillId="15" fontId="25" numFmtId="0" xfId="0" applyAlignment="1" applyBorder="1" applyFill="1" applyFont="1">
      <alignment horizontal="center" readingOrder="0" shrinkToFit="0" wrapText="0"/>
    </xf>
    <xf borderId="33" fillId="9" fontId="25" numFmtId="0" xfId="0" applyAlignment="1" applyBorder="1" applyFill="1" applyFont="1">
      <alignment horizontal="center" readingOrder="0"/>
    </xf>
    <xf borderId="0" fillId="0" fontId="25" numFmtId="0" xfId="0" applyAlignment="1" applyFont="1">
      <alignment horizontal="left" readingOrder="0" shrinkToFit="0" wrapText="0"/>
    </xf>
    <xf borderId="30" fillId="0" fontId="25" numFmtId="0" xfId="0" applyAlignment="1" applyBorder="1" applyFont="1">
      <alignment horizontal="center" readingOrder="0"/>
    </xf>
    <xf borderId="28" fillId="0" fontId="25" numFmtId="0" xfId="0" applyAlignment="1" applyBorder="1" applyFont="1">
      <alignment horizontal="center" readingOrder="0"/>
    </xf>
    <xf borderId="21" fillId="0" fontId="25" numFmtId="0" xfId="0" applyAlignment="1" applyBorder="1" applyFont="1">
      <alignment horizontal="center" readingOrder="0"/>
    </xf>
    <xf borderId="31" fillId="0" fontId="25" numFmtId="0" xfId="0" applyAlignment="1" applyBorder="1" applyFont="1">
      <alignment horizontal="center" readingOrder="0" shrinkToFit="0" wrapText="0"/>
    </xf>
    <xf borderId="33" fillId="0" fontId="25" numFmtId="0" xfId="0" applyAlignment="1" applyBorder="1" applyFont="1">
      <alignment readingOrder="0" shrinkToFit="0" wrapText="0"/>
    </xf>
    <xf borderId="33" fillId="15" fontId="25" numFmtId="0" xfId="0" applyAlignment="1" applyBorder="1" applyFill="1" applyFont="1">
      <alignment horizontal="center" readingOrder="0" shrinkToFit="0" wrapText="0"/>
    </xf>
    <xf borderId="46" fillId="0" fontId="25" numFmtId="0" xfId="0" applyAlignment="1" applyBorder="1" applyFont="1">
      <alignment horizontal="center" readingOrder="0"/>
    </xf>
    <xf borderId="26" fillId="15" fontId="25" numFmtId="0" xfId="0" applyAlignment="1" applyBorder="1" applyFill="1" applyFont="1">
      <alignment horizontal="center" readingOrder="0" shrinkToFit="0" wrapText="0"/>
    </xf>
    <xf borderId="26" fillId="0" fontId="25" numFmtId="0" xfId="0" applyAlignment="1" applyBorder="1" applyFont="1">
      <alignment horizontal="center" readingOrder="0"/>
    </xf>
    <xf borderId="10" fillId="0" fontId="25" numFmtId="0" xfId="0" applyAlignment="1" applyBorder="1" applyFont="1">
      <alignment horizontal="left" readingOrder="0"/>
    </xf>
    <xf borderId="24" fillId="0" fontId="25" numFmtId="0" xfId="0" applyAlignment="1" applyBorder="1" applyFont="1">
      <alignment horizontal="left" readingOrder="0"/>
    </xf>
    <xf borderId="1" fillId="0" fontId="25" numFmtId="0" xfId="0" applyAlignment="1" applyBorder="1" applyFont="1">
      <alignment horizontal="center" readingOrder="0"/>
    </xf>
    <xf borderId="24" fillId="0" fontId="25" numFmtId="0" xfId="0" applyAlignment="1" applyBorder="1" applyFont="1">
      <alignment horizontal="center" readingOrder="0"/>
    </xf>
    <xf borderId="29" fillId="0" fontId="25" numFmtId="0" xfId="0" applyAlignment="1" applyBorder="1" applyFont="1">
      <alignment horizontal="left" readingOrder="0"/>
    </xf>
    <xf borderId="10" fillId="0" fontId="25" numFmtId="0" xfId="0" applyAlignment="1" applyBorder="1" applyFont="1">
      <alignment horizontal="center" readingOrder="0"/>
    </xf>
    <xf borderId="1" fillId="0" fontId="25" numFmtId="0" xfId="0" applyAlignment="1" applyBorder="1" applyFont="1">
      <alignment horizontal="left" readingOrder="0" shrinkToFit="0" wrapText="0"/>
    </xf>
    <xf borderId="22" fillId="11" fontId="31" numFmtId="0" xfId="0" applyAlignment="1" applyBorder="1" applyFill="1" applyFont="1">
      <alignment horizontal="center" readingOrder="0" shrinkToFit="0" wrapText="0"/>
    </xf>
    <xf borderId="24" fillId="11" fontId="31" numFmtId="0" xfId="0" applyAlignment="1" applyBorder="1" applyFill="1" applyFont="1">
      <alignment horizontal="center" readingOrder="0" shrinkToFit="0" wrapText="0"/>
    </xf>
    <xf borderId="0" fillId="4" fontId="1" numFmtId="0" xfId="0" applyAlignment="1" applyFill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5" numFmtId="0" xfId="0" applyAlignment="1" applyFont="1">
      <alignment vertical="center"/>
    </xf>
    <xf borderId="22" fillId="16" fontId="6" numFmtId="0" xfId="0" applyAlignment="1" applyBorder="1" applyFill="1" applyFont="1">
      <alignment horizontal="center" vertical="center"/>
    </xf>
    <xf borderId="22" fillId="17" fontId="6" numFmtId="0" xfId="0" applyAlignment="1" applyBorder="1" applyFill="1" applyFont="1">
      <alignment horizontal="center" shrinkToFit="0" vertical="center" wrapText="1"/>
    </xf>
    <xf quotePrefix="1" borderId="0" fillId="0" fontId="1" numFmtId="0" xfId="0" applyAlignment="1" applyFont="1">
      <alignment vertical="bottom"/>
    </xf>
    <xf borderId="0" fillId="18" fontId="1" numFmtId="0" xfId="0" applyAlignment="1" applyFill="1" applyFont="1">
      <alignment vertical="bottom"/>
    </xf>
    <xf borderId="1" fillId="19" fontId="6" numFmtId="0" xfId="0" applyAlignment="1" applyBorder="1" applyFill="1" applyFont="1">
      <alignment horizontal="center" vertical="center"/>
    </xf>
    <xf borderId="1" fillId="19" fontId="6" numFmtId="0" xfId="0" applyAlignment="1" applyBorder="1" applyFill="1" applyFont="1">
      <alignment horizontal="center" shrinkToFit="0" vertical="center" wrapText="1"/>
    </xf>
    <xf borderId="1" fillId="20" fontId="6" numFmtId="0" xfId="0" applyAlignment="1" applyBorder="1" applyFill="1" applyFont="1">
      <alignment horizontal="center" shrinkToFit="0" vertical="center" wrapText="1"/>
    </xf>
    <xf borderId="1" fillId="20" fontId="6" numFmtId="0" xfId="0" applyAlignment="1" applyBorder="1" applyFill="1" applyFont="1">
      <alignment horizontal="center" vertical="center"/>
    </xf>
    <xf borderId="0" fillId="4" fontId="1" numFmtId="0" xfId="0" applyAlignment="1" applyFill="1" applyFont="1">
      <alignment horizontal="right" vertical="center"/>
    </xf>
    <xf borderId="1" fillId="4" fontId="1" numFmtId="0" xfId="0" applyAlignment="1" applyBorder="1" applyFill="1" applyFont="1">
      <alignment horizontal="center" readingOrder="0" vertical="center"/>
    </xf>
    <xf borderId="17" fillId="4" fontId="1" numFmtId="0" xfId="0" applyAlignment="1" applyBorder="1" applyFill="1" applyFont="1">
      <alignment horizontal="center" readingOrder="0" vertical="center"/>
    </xf>
    <xf borderId="17" fillId="4" fontId="1" numFmtId="0" xfId="0" applyAlignment="1" applyBorder="1" applyFill="1" applyFont="1">
      <alignment readingOrder="0" shrinkToFit="0" vertical="center" wrapText="1"/>
    </xf>
    <xf borderId="17" fillId="4" fontId="1" numFmtId="0" xfId="0" applyAlignment="1" applyBorder="1" applyFill="1" applyFont="1">
      <alignment horizontal="center" readingOrder="0" shrinkToFit="0" vertical="center" wrapText="1"/>
    </xf>
    <xf borderId="17" fillId="0" fontId="1" numFmtId="0" xfId="0" applyAlignment="1" applyBorder="1" applyFont="1">
      <alignment readingOrder="0" shrinkToFit="0" vertical="center" wrapText="1"/>
    </xf>
    <xf borderId="17" fillId="0" fontId="1" numFmtId="0" xfId="0" applyAlignment="1" applyBorder="1" applyFont="1">
      <alignment horizontal="center" vertical="center"/>
    </xf>
    <xf borderId="17" fillId="0" fontId="1" numFmtId="169" xfId="0" applyAlignment="1" applyBorder="1" applyFont="1" applyNumberFormat="1">
      <alignment vertical="center"/>
    </xf>
    <xf borderId="1" fillId="4" fontId="1" numFmtId="0" xfId="0" applyAlignment="1" applyBorder="1" applyFill="1" applyFont="1">
      <alignment horizontal="center" vertical="center"/>
    </xf>
    <xf borderId="0" fillId="4" fontId="1" numFmtId="0" xfId="0" applyAlignment="1" applyFill="1" applyFont="1">
      <alignment horizontal="right" readingOrder="0" vertical="center"/>
    </xf>
    <xf borderId="1" fillId="4" fontId="1" numFmtId="0" xfId="0" applyAlignment="1" applyBorder="1" applyFill="1" applyFont="1">
      <alignment vertical="center"/>
    </xf>
    <xf borderId="17" fillId="4" fontId="1" numFmtId="0" xfId="0" applyAlignment="1" applyBorder="1" applyFill="1" applyFont="1">
      <alignment horizontal="center" vertical="center"/>
    </xf>
    <xf borderId="17" fillId="4" fontId="1" numFmtId="0" xfId="0" applyAlignment="1" applyBorder="1" applyFill="1" applyFont="1">
      <alignment shrinkToFit="0" vertical="center" wrapText="1"/>
    </xf>
    <xf borderId="17" fillId="4" fontId="1" numFmtId="0" xfId="0" applyAlignment="1" applyBorder="1" applyFill="1" applyFont="1">
      <alignment horizontal="center" shrinkToFit="0" vertical="center" wrapText="1"/>
    </xf>
    <xf borderId="17" fillId="0" fontId="1" numFmtId="0" xfId="0" applyAlignment="1" applyBorder="1" applyFont="1">
      <alignment shrinkToFit="0" vertical="center" wrapText="1"/>
    </xf>
    <xf borderId="17" fillId="4" fontId="1" numFmtId="0" xfId="0" applyAlignment="1" applyBorder="1" applyFill="1" applyFont="1">
      <alignment horizontal="center" vertical="center"/>
    </xf>
    <xf borderId="17" fillId="4" fontId="1" numFmtId="0" xfId="0" applyAlignment="1" applyBorder="1" applyFill="1" applyFont="1">
      <alignment vertical="center"/>
    </xf>
    <xf borderId="17" fillId="4" fontId="1" numFmtId="0" xfId="0" applyAlignment="1" applyBorder="1" applyFill="1" applyFont="1">
      <alignment vertical="center"/>
    </xf>
    <xf borderId="17" fillId="0" fontId="1" numFmtId="0" xfId="0" applyAlignment="1" applyBorder="1" applyFont="1">
      <alignment vertical="center"/>
    </xf>
    <xf borderId="17" fillId="0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vertical="center"/>
    </xf>
    <xf borderId="0" fillId="4" fontId="1" numFmtId="0" xfId="0" applyAlignment="1" applyFill="1" applyFont="1">
      <alignment horizontal="right" vertical="center"/>
    </xf>
    <xf borderId="0" fillId="4" fontId="1" numFmtId="0" xfId="0" applyAlignment="1" applyFill="1" applyFont="1">
      <alignment vertical="center"/>
    </xf>
    <xf borderId="0" fillId="4" fontId="33" numFmtId="0" xfId="0" applyAlignment="1" applyFill="1" applyFont="1">
      <alignment horizontal="center" vertical="center"/>
    </xf>
    <xf borderId="1" fillId="4" fontId="1" numFmtId="0" xfId="0" applyAlignment="1" applyBorder="1" applyFill="1" applyFont="1">
      <alignment vertical="center"/>
    </xf>
    <xf borderId="17" fillId="4" fontId="1" numFmtId="0" xfId="0" applyAlignment="1" applyBorder="1" applyFill="1" applyFont="1">
      <alignment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shrinkToFit="0" vertical="center" wrapText="1"/>
    </xf>
    <xf borderId="0" fillId="0" fontId="15" numFmtId="0" xfId="0" applyAlignment="1" applyFont="1">
      <alignment readingOrder="0" vertical="center"/>
    </xf>
    <xf borderId="1" fillId="0" fontId="34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shrinkToFit="0" vertical="center" wrapText="1"/>
    </xf>
    <xf borderId="0" fillId="21" fontId="1" numFmtId="0" xfId="0" applyAlignment="1" applyFill="1" applyFont="1">
      <alignment vertical="bottom"/>
    </xf>
    <xf borderId="1" fillId="0" fontId="35" numFmtId="0" xfId="0" applyAlignment="1" applyBorder="1" applyFont="1">
      <alignment horizontal="center" readingOrder="0" vertical="center"/>
    </xf>
    <xf borderId="1" fillId="0" fontId="36" numFmtId="0" xfId="0" applyAlignment="1" applyBorder="1" applyFont="1">
      <alignment readingOrder="0" shrinkToFit="0" vertical="center" wrapText="1"/>
    </xf>
    <xf borderId="1" fillId="0" fontId="37" numFmtId="0" xfId="0" applyAlignment="1" applyBorder="1" applyFont="1">
      <alignment horizontal="center" readingOrder="0" vertical="center"/>
    </xf>
    <xf borderId="1" fillId="0" fontId="38" numFmtId="0" xfId="0" applyAlignment="1" applyBorder="1" applyFont="1">
      <alignment readingOrder="0" shrinkToFit="0" vertical="center" wrapText="1"/>
    </xf>
    <xf borderId="47" fillId="4" fontId="1" numFmtId="0" xfId="0" applyBorder="1" applyFill="1" applyFont="1"/>
    <xf borderId="0" fillId="4" fontId="1" numFmtId="0" xfId="0" applyAlignment="1" applyFill="1" applyFont="1">
      <alignment readingOrder="0"/>
    </xf>
    <xf borderId="0" fillId="4" fontId="1" numFmtId="0" xfId="0" applyAlignment="1" applyFill="1" applyFont="1">
      <alignment readingOrder="0" vertical="top"/>
    </xf>
    <xf borderId="0" fillId="4" fontId="1" numFmtId="0" xfId="0" applyAlignment="1" applyFill="1" applyFont="1">
      <alignment vertical="top"/>
    </xf>
    <xf borderId="47" fillId="4" fontId="1" numFmtId="0" xfId="0" applyAlignment="1" applyBorder="1" applyFill="1" applyFont="1">
      <alignment vertical="center"/>
    </xf>
    <xf borderId="1" fillId="0" fontId="1" numFmtId="0" xfId="0" applyAlignment="1" applyBorder="1" applyFont="1">
      <alignment horizontal="center"/>
    </xf>
    <xf borderId="1" fillId="0" fontId="1" numFmtId="165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 readingOrder="0"/>
    </xf>
    <xf borderId="1" fillId="22" fontId="1" numFmtId="0" xfId="0" applyAlignment="1" applyBorder="1" applyFill="1" applyFont="1">
      <alignment horizontal="center" readingOrder="0" vertical="center"/>
    </xf>
    <xf borderId="1" fillId="22" fontId="1" numFmtId="0" xfId="0" applyAlignment="1" applyBorder="1" applyFill="1" applyFont="1">
      <alignment horizontal="center" vertical="center"/>
    </xf>
    <xf borderId="1" fillId="22" fontId="1" numFmtId="0" xfId="0" applyAlignment="1" applyBorder="1" applyFill="1" applyFont="1">
      <alignment horizontal="center" vertical="center"/>
    </xf>
    <xf borderId="1" fillId="22" fontId="1" numFmtId="0" xfId="0" applyAlignment="1" applyBorder="1" applyFill="1" applyFont="1">
      <alignment shrinkToFit="0" vertical="center" wrapText="1"/>
    </xf>
    <xf borderId="1" fillId="22" fontId="1" numFmtId="165" xfId="0" applyAlignment="1" applyBorder="1" applyFill="1" applyFont="1" applyNumberFormat="1">
      <alignment horizontal="center" vertical="center"/>
    </xf>
    <xf borderId="1" fillId="22" fontId="1" numFmtId="0" xfId="0" applyAlignment="1" applyBorder="1" applyFill="1" applyFont="1">
      <alignment vertical="center"/>
    </xf>
    <xf borderId="0" fillId="22" fontId="1" numFmtId="0" xfId="0" applyAlignment="1" applyFill="1" applyFont="1">
      <alignment vertical="center"/>
    </xf>
    <xf borderId="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design/BaiUzFKezrLlkkA6YEjcZf/-Roadmap--4.0--VIOLA?node-id=7787-366469&amp;t=gVmvb61EJe4SNm2y-0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okestro.atlassian.net/browse/VQ-589" TargetMode="External"/><Relationship Id="rId2" Type="http://schemas.openxmlformats.org/officeDocument/2006/relationships/hyperlink" Target="https://okestro.atlassian.net/browse/VQ-596" TargetMode="External"/><Relationship Id="rId3" Type="http://schemas.openxmlformats.org/officeDocument/2006/relationships/hyperlink" Target="https://okestro.atlassian.net/browse/VQ-597" TargetMode="External"/><Relationship Id="rId4" Type="http://schemas.openxmlformats.org/officeDocument/2006/relationships/hyperlink" Target="https://okestro.atlassian.net/browse/VQ-594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okestro.atlassian.net/browse/VQ-588" TargetMode="External"/><Relationship Id="rId6" Type="http://schemas.openxmlformats.org/officeDocument/2006/relationships/hyperlink" Target="https://okestro.atlassian.net/browse/VQ-600" TargetMode="External"/><Relationship Id="rId7" Type="http://schemas.openxmlformats.org/officeDocument/2006/relationships/hyperlink" Target="https://okestro.atlassian.net/browse/VQ-595" TargetMode="External"/><Relationship Id="rId8" Type="http://schemas.openxmlformats.org/officeDocument/2006/relationships/hyperlink" Target="https://okestro.atlassian.net/browse/VQ-599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15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ht="1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15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ht="15.75" customHeight="1">
      <c r="A5" s="3"/>
      <c r="B5" s="12"/>
      <c r="C5" s="12"/>
      <c r="D5" s="12"/>
      <c r="E5" s="12"/>
      <c r="F5" s="12"/>
      <c r="G5" s="12"/>
      <c r="H5" s="12"/>
      <c r="I5" s="12"/>
      <c r="J5" s="12"/>
      <c r="K5" s="3"/>
      <c r="L5" s="3"/>
      <c r="M5" s="3"/>
    </row>
    <row r="6" ht="15.75" customHeight="1">
      <c r="A6" s="16"/>
      <c r="B6" s="21" t="s">
        <v>9</v>
      </c>
      <c r="J6" s="24"/>
      <c r="K6" s="3"/>
      <c r="L6" s="3"/>
      <c r="M6" s="3"/>
    </row>
    <row r="7" ht="15.75" customHeight="1">
      <c r="A7" s="16"/>
      <c r="J7" s="24"/>
      <c r="K7" s="3"/>
      <c r="L7" s="3"/>
      <c r="M7" s="3"/>
    </row>
    <row r="8" ht="15.75" customHeight="1">
      <c r="A8" s="16"/>
      <c r="J8" s="24"/>
      <c r="K8" s="3"/>
      <c r="L8" s="3"/>
      <c r="M8" s="3"/>
    </row>
    <row r="9" ht="15.75" customHeight="1">
      <c r="A9" s="16"/>
      <c r="J9" s="24"/>
      <c r="K9" s="3"/>
      <c r="L9" s="3"/>
      <c r="M9" s="3"/>
    </row>
    <row r="10" ht="15.75" customHeight="1">
      <c r="A10" s="16"/>
      <c r="J10" s="24"/>
      <c r="K10" s="3"/>
      <c r="L10" s="3"/>
      <c r="M10" s="3"/>
    </row>
    <row r="11" ht="15.75" customHeight="1">
      <c r="A11" s="16"/>
      <c r="J11" s="24"/>
      <c r="K11" s="3"/>
      <c r="L11" s="3"/>
      <c r="M11" s="3"/>
    </row>
    <row r="12" ht="15.75" customHeight="1">
      <c r="A12" s="16"/>
      <c r="J12" s="24"/>
      <c r="K12" s="3"/>
      <c r="L12" s="3"/>
      <c r="M12" s="3"/>
    </row>
    <row r="13" ht="15.75" customHeight="1">
      <c r="A13" s="16"/>
      <c r="J13" s="24"/>
      <c r="K13" s="3"/>
      <c r="L13" s="3"/>
      <c r="M13" s="3"/>
    </row>
    <row r="14" ht="15.75" customHeight="1">
      <c r="A14" s="16"/>
      <c r="B14" s="32"/>
      <c r="C14" s="32"/>
      <c r="D14" s="32"/>
      <c r="E14" s="32"/>
      <c r="F14" s="32"/>
      <c r="G14" s="32"/>
      <c r="H14" s="32"/>
      <c r="I14" s="32"/>
      <c r="J14" s="35"/>
      <c r="K14" s="3"/>
      <c r="L14" s="3"/>
      <c r="M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>
      <c r="A25" s="3"/>
      <c r="B25" s="3"/>
      <c r="C25" s="3"/>
      <c r="D25" s="3"/>
      <c r="E25" s="44" t="s">
        <v>38</v>
      </c>
      <c r="F25" s="3"/>
      <c r="G25" s="3"/>
      <c r="H25" s="3"/>
      <c r="I25" s="3"/>
      <c r="J25" s="3"/>
      <c r="K25" s="3"/>
      <c r="L25" s="3"/>
      <c r="M25" s="3"/>
    </row>
    <row r="26" ht="15.75" customHeight="1">
      <c r="A26" s="3"/>
      <c r="B26" s="3"/>
      <c r="C26" s="3"/>
      <c r="D26" s="3"/>
      <c r="E26" s="3"/>
      <c r="F26" s="47" t="s">
        <v>40</v>
      </c>
      <c r="G26" s="3"/>
      <c r="H26" s="3"/>
      <c r="I26" s="3"/>
      <c r="J26" s="3"/>
      <c r="K26" s="3"/>
      <c r="L26" s="3"/>
      <c r="M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6:J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3" max="3" width="10.75"/>
    <col customWidth="1" min="4" max="4" width="32.0"/>
    <col customWidth="1" min="5" max="5" width="16.63"/>
    <col customWidth="1" min="6" max="6" width="66.25"/>
  </cols>
  <sheetData>
    <row r="1" ht="15.75" customHeight="1">
      <c r="B1" s="2"/>
      <c r="C1" s="4"/>
      <c r="D1" s="2"/>
      <c r="E1" s="2"/>
    </row>
    <row r="2">
      <c r="B2" s="7" t="s">
        <v>2</v>
      </c>
      <c r="C2" s="9"/>
      <c r="D2" s="9"/>
      <c r="E2" s="9"/>
      <c r="F2" s="11"/>
    </row>
    <row r="3" ht="15.75" customHeight="1">
      <c r="B3" s="14" t="s">
        <v>5</v>
      </c>
      <c r="C3" s="18" t="s">
        <v>7</v>
      </c>
      <c r="D3" s="23" t="s">
        <v>12</v>
      </c>
      <c r="E3" s="23" t="s">
        <v>17</v>
      </c>
      <c r="F3" s="27" t="s">
        <v>18</v>
      </c>
    </row>
    <row r="4" ht="15.75" customHeight="1">
      <c r="A4" s="28"/>
      <c r="B4" s="30"/>
      <c r="C4" s="34"/>
      <c r="D4" s="36"/>
      <c r="E4" s="38"/>
      <c r="F4" s="39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28"/>
      <c r="B5" s="30"/>
      <c r="C5" s="34"/>
      <c r="D5" s="36"/>
      <c r="E5" s="38"/>
      <c r="F5" s="36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B6" s="30"/>
      <c r="C6" s="34"/>
      <c r="D6" s="36"/>
      <c r="E6" s="38"/>
      <c r="F6" s="43"/>
    </row>
    <row r="7" ht="15.75" customHeight="1">
      <c r="B7" s="45"/>
      <c r="C7" s="46"/>
      <c r="D7" s="48"/>
      <c r="E7" s="50"/>
      <c r="F7" s="52"/>
    </row>
    <row r="8" ht="15.75" customHeight="1">
      <c r="B8" s="45"/>
      <c r="C8" s="46"/>
      <c r="D8" s="48"/>
      <c r="E8" s="50"/>
      <c r="F8" s="52"/>
    </row>
    <row r="9" ht="15.75" customHeight="1">
      <c r="B9" s="54"/>
      <c r="C9" s="46"/>
      <c r="D9" s="48"/>
      <c r="E9" s="55"/>
      <c r="F9" s="52"/>
    </row>
    <row r="10" ht="15.75" customHeight="1">
      <c r="B10" s="54"/>
      <c r="C10" s="46"/>
      <c r="D10" s="48"/>
      <c r="E10" s="55"/>
      <c r="F10" s="52"/>
    </row>
    <row r="11" ht="15.75" customHeight="1">
      <c r="B11" s="57"/>
      <c r="C11" s="46"/>
      <c r="D11" s="48"/>
      <c r="E11" s="48"/>
      <c r="F11" s="52"/>
    </row>
    <row r="12" ht="15.75" customHeight="1">
      <c r="B12" s="57"/>
      <c r="C12" s="46"/>
      <c r="D12" s="48"/>
      <c r="E12" s="48"/>
      <c r="F12" s="52"/>
    </row>
    <row r="13" ht="15.75" customHeight="1">
      <c r="B13" s="57"/>
      <c r="C13" s="46"/>
      <c r="D13" s="48"/>
      <c r="E13" s="48"/>
      <c r="F13" s="52"/>
    </row>
    <row r="14" ht="15.75" customHeight="1">
      <c r="B14" s="57"/>
      <c r="C14" s="46"/>
      <c r="D14" s="48"/>
      <c r="E14" s="48"/>
      <c r="F14" s="52"/>
    </row>
    <row r="15" ht="15.75" customHeight="1">
      <c r="B15" s="57"/>
      <c r="C15" s="46"/>
      <c r="D15" s="48"/>
      <c r="E15" s="48"/>
      <c r="F15" s="52"/>
    </row>
    <row r="16" ht="15.75" customHeight="1">
      <c r="B16" s="57"/>
      <c r="C16" s="46"/>
      <c r="D16" s="48"/>
      <c r="E16" s="48"/>
      <c r="F16" s="52"/>
    </row>
    <row r="17" ht="15.75" customHeight="1">
      <c r="B17" s="57"/>
      <c r="C17" s="46"/>
      <c r="D17" s="48"/>
      <c r="E17" s="48"/>
      <c r="F17" s="52"/>
    </row>
    <row r="18" ht="15.75" customHeight="1">
      <c r="B18" s="57"/>
      <c r="C18" s="46"/>
      <c r="D18" s="48"/>
      <c r="E18" s="48"/>
      <c r="F18" s="52"/>
    </row>
    <row r="19" ht="15.75" customHeight="1">
      <c r="B19" s="57"/>
      <c r="C19" s="46"/>
      <c r="D19" s="48"/>
      <c r="E19" s="48"/>
      <c r="F19" s="52"/>
    </row>
    <row r="20" ht="15.75" customHeight="1">
      <c r="B20" s="57"/>
      <c r="C20" s="46"/>
      <c r="D20" s="48"/>
      <c r="E20" s="48"/>
      <c r="F20" s="52"/>
    </row>
    <row r="21" ht="15.75" customHeight="1">
      <c r="B21" s="57"/>
      <c r="C21" s="46"/>
      <c r="D21" s="48"/>
      <c r="E21" s="48"/>
      <c r="F21" s="52"/>
    </row>
    <row r="22" ht="15.75" customHeight="1">
      <c r="B22" s="63"/>
      <c r="C22" s="46"/>
      <c r="D22" s="48"/>
      <c r="E22" s="48"/>
      <c r="F22" s="52"/>
    </row>
    <row r="23" ht="15.75" customHeight="1">
      <c r="B23" s="63"/>
      <c r="C23" s="46"/>
      <c r="D23" s="48"/>
      <c r="E23" s="48"/>
      <c r="F23" s="52"/>
    </row>
    <row r="24" ht="15.75" customHeight="1">
      <c r="B24" s="63"/>
      <c r="C24" s="46"/>
      <c r="D24" s="48"/>
      <c r="E24" s="48"/>
      <c r="F24" s="52"/>
    </row>
    <row r="25" ht="15.75" customHeight="1">
      <c r="B25" s="63"/>
      <c r="C25" s="46"/>
      <c r="D25" s="48"/>
      <c r="E25" s="48"/>
      <c r="F25" s="52"/>
    </row>
    <row r="26" ht="15.75" customHeight="1">
      <c r="B26" s="63"/>
      <c r="C26" s="46"/>
      <c r="D26" s="48"/>
      <c r="E26" s="48"/>
      <c r="F26" s="52"/>
    </row>
    <row r="27" ht="15.75" customHeight="1">
      <c r="B27" s="63"/>
      <c r="C27" s="46"/>
      <c r="D27" s="48"/>
      <c r="E27" s="48"/>
      <c r="F27" s="52"/>
    </row>
    <row r="28" ht="15.75" customHeight="1">
      <c r="B28" s="63"/>
      <c r="C28" s="46"/>
      <c r="D28" s="48"/>
      <c r="E28" s="48"/>
      <c r="F28" s="52"/>
    </row>
    <row r="29" ht="15.75" customHeight="1">
      <c r="B29" s="63"/>
      <c r="C29" s="46"/>
      <c r="D29" s="48"/>
      <c r="E29" s="48"/>
      <c r="F29" s="52"/>
    </row>
    <row r="30" ht="15.75" customHeight="1">
      <c r="B30" s="63"/>
      <c r="C30" s="46"/>
      <c r="D30" s="48"/>
      <c r="E30" s="48"/>
      <c r="F30" s="52"/>
    </row>
    <row r="31" ht="15.75" customHeight="1">
      <c r="B31" s="63"/>
      <c r="C31" s="46"/>
      <c r="D31" s="48"/>
      <c r="E31" s="48"/>
      <c r="F31" s="52"/>
    </row>
    <row r="32" ht="15.75" customHeight="1">
      <c r="B32" s="63"/>
      <c r="C32" s="46"/>
      <c r="D32" s="48"/>
      <c r="E32" s="48"/>
      <c r="F32" s="52"/>
    </row>
    <row r="33" ht="15.75" customHeight="1">
      <c r="B33" s="63"/>
      <c r="C33" s="46"/>
      <c r="D33" s="48"/>
      <c r="E33" s="48"/>
      <c r="F33" s="52"/>
    </row>
    <row r="34" ht="15.75" customHeight="1">
      <c r="B34" s="63"/>
      <c r="C34" s="46"/>
      <c r="D34" s="48"/>
      <c r="E34" s="48"/>
      <c r="F34" s="52"/>
    </row>
    <row r="35" ht="15.75" customHeight="1">
      <c r="B35" s="63"/>
      <c r="C35" s="46"/>
      <c r="D35" s="48"/>
      <c r="E35" s="48"/>
      <c r="F35" s="52"/>
    </row>
    <row r="36" ht="15.75" customHeight="1">
      <c r="B36" s="63"/>
      <c r="C36" s="46"/>
      <c r="D36" s="48"/>
      <c r="E36" s="48"/>
      <c r="F36" s="52"/>
    </row>
    <row r="37" ht="15.75" customHeight="1">
      <c r="B37" s="63"/>
      <c r="C37" s="46"/>
      <c r="D37" s="48"/>
      <c r="E37" s="48"/>
      <c r="F37" s="52"/>
    </row>
    <row r="38" ht="15.75" customHeight="1">
      <c r="B38" s="63"/>
      <c r="C38" s="46"/>
      <c r="D38" s="48"/>
      <c r="E38" s="48"/>
      <c r="F38" s="52"/>
    </row>
    <row r="39" ht="15.75" customHeight="1">
      <c r="B39" s="63"/>
      <c r="C39" s="46"/>
      <c r="D39" s="48"/>
      <c r="E39" s="48"/>
      <c r="F39" s="52"/>
    </row>
    <row r="40" ht="15.75" customHeight="1">
      <c r="B40" s="63"/>
      <c r="C40" s="46"/>
      <c r="D40" s="48"/>
      <c r="E40" s="48"/>
      <c r="F40" s="52"/>
    </row>
    <row r="41" ht="15.75" customHeight="1">
      <c r="B41" s="63"/>
      <c r="C41" s="46"/>
      <c r="D41" s="48"/>
      <c r="E41" s="48"/>
      <c r="F41" s="52"/>
    </row>
    <row r="42" ht="15.75" customHeight="1">
      <c r="B42" s="2"/>
      <c r="C42" s="4"/>
      <c r="D42" s="2"/>
      <c r="E42" s="2"/>
    </row>
    <row r="43" ht="15.75" customHeight="1">
      <c r="B43" s="2"/>
      <c r="C43" s="4"/>
      <c r="D43" s="2"/>
      <c r="E43" s="2"/>
    </row>
    <row r="44" ht="15.75" customHeight="1">
      <c r="B44" s="2"/>
      <c r="C44" s="4"/>
      <c r="D44" s="2"/>
      <c r="E44" s="2"/>
    </row>
    <row r="45" ht="15.75" customHeight="1">
      <c r="B45" s="2"/>
      <c r="C45" s="4"/>
      <c r="D45" s="2"/>
      <c r="E45" s="2"/>
    </row>
    <row r="46" ht="15.75" customHeight="1">
      <c r="B46" s="2"/>
      <c r="C46" s="4"/>
      <c r="D46" s="2"/>
      <c r="E46" s="2"/>
    </row>
    <row r="47" ht="15.75" customHeight="1">
      <c r="B47" s="2"/>
      <c r="C47" s="4"/>
      <c r="D47" s="2"/>
      <c r="E47" s="2"/>
    </row>
    <row r="48" ht="15.75" customHeight="1">
      <c r="B48" s="2"/>
      <c r="C48" s="4"/>
      <c r="D48" s="2"/>
      <c r="E48" s="2"/>
    </row>
    <row r="49" ht="15.75" customHeight="1">
      <c r="B49" s="2"/>
      <c r="C49" s="4"/>
      <c r="D49" s="2"/>
      <c r="E49" s="2"/>
    </row>
    <row r="50" ht="15.75" customHeight="1">
      <c r="B50" s="2"/>
      <c r="C50" s="4"/>
      <c r="D50" s="2"/>
      <c r="E50" s="2"/>
    </row>
    <row r="51" ht="15.75" customHeight="1">
      <c r="B51" s="2"/>
      <c r="C51" s="4"/>
      <c r="D51" s="2"/>
      <c r="E51" s="2"/>
    </row>
    <row r="52" ht="15.75" customHeight="1">
      <c r="B52" s="2"/>
      <c r="C52" s="4"/>
      <c r="D52" s="2"/>
      <c r="E52" s="2"/>
    </row>
    <row r="53" ht="15.75" customHeight="1">
      <c r="B53" s="2"/>
      <c r="C53" s="4"/>
      <c r="D53" s="2"/>
      <c r="E53" s="2"/>
    </row>
    <row r="54" ht="15.75" customHeight="1">
      <c r="B54" s="2"/>
      <c r="C54" s="4"/>
      <c r="D54" s="2"/>
      <c r="E54" s="2"/>
    </row>
    <row r="55" ht="15.75" customHeight="1">
      <c r="B55" s="2"/>
      <c r="C55" s="4"/>
      <c r="D55" s="2"/>
      <c r="E55" s="2"/>
    </row>
    <row r="56" ht="15.75" customHeight="1">
      <c r="B56" s="2"/>
      <c r="C56" s="4"/>
      <c r="D56" s="2"/>
      <c r="E56" s="2"/>
    </row>
    <row r="57" ht="15.75" customHeight="1">
      <c r="B57" s="2"/>
      <c r="C57" s="4"/>
      <c r="D57" s="2"/>
      <c r="E57" s="2"/>
    </row>
    <row r="58" ht="15.75" customHeight="1">
      <c r="B58" s="2"/>
      <c r="C58" s="4"/>
      <c r="D58" s="2"/>
      <c r="E58" s="2"/>
    </row>
    <row r="59" ht="15.75" customHeight="1">
      <c r="B59" s="2"/>
      <c r="C59" s="4"/>
      <c r="D59" s="2"/>
      <c r="E59" s="2"/>
    </row>
    <row r="60" ht="15.75" customHeight="1">
      <c r="B60" s="2"/>
      <c r="C60" s="4"/>
      <c r="D60" s="2"/>
      <c r="E60" s="2"/>
    </row>
    <row r="61" ht="15.75" customHeight="1">
      <c r="B61" s="2"/>
      <c r="C61" s="4"/>
      <c r="D61" s="2"/>
      <c r="E61" s="2"/>
    </row>
    <row r="62" ht="15.75" customHeight="1">
      <c r="B62" s="2"/>
      <c r="C62" s="4"/>
      <c r="D62" s="2"/>
      <c r="E62" s="2"/>
    </row>
    <row r="63" ht="15.75" customHeight="1">
      <c r="B63" s="2"/>
      <c r="C63" s="4"/>
      <c r="D63" s="2"/>
      <c r="E63" s="2"/>
    </row>
    <row r="64" ht="15.75" customHeight="1">
      <c r="B64" s="2"/>
      <c r="C64" s="4"/>
      <c r="D64" s="2"/>
      <c r="E64" s="2"/>
    </row>
    <row r="65" ht="15.75" customHeight="1">
      <c r="B65" s="2"/>
      <c r="C65" s="4"/>
      <c r="D65" s="2"/>
      <c r="E65" s="2"/>
    </row>
    <row r="66" ht="15.75" customHeight="1">
      <c r="B66" s="2"/>
      <c r="C66" s="4"/>
      <c r="D66" s="2"/>
      <c r="E66" s="2"/>
    </row>
    <row r="67" ht="15.75" customHeight="1">
      <c r="B67" s="2"/>
      <c r="C67" s="4"/>
      <c r="D67" s="2"/>
      <c r="E67" s="2"/>
    </row>
    <row r="68" ht="15.75" customHeight="1">
      <c r="B68" s="2"/>
      <c r="C68" s="4"/>
      <c r="D68" s="2"/>
      <c r="E68" s="2"/>
    </row>
    <row r="69" ht="15.75" customHeight="1">
      <c r="B69" s="2"/>
      <c r="C69" s="4"/>
      <c r="D69" s="2"/>
      <c r="E69" s="2"/>
    </row>
    <row r="70" ht="15.75" customHeight="1">
      <c r="B70" s="2"/>
      <c r="C70" s="4"/>
      <c r="D70" s="2"/>
      <c r="E70" s="2"/>
    </row>
    <row r="71" ht="15.75" customHeight="1">
      <c r="B71" s="2"/>
      <c r="C71" s="4"/>
      <c r="D71" s="2"/>
      <c r="E71" s="2"/>
    </row>
    <row r="72" ht="15.75" customHeight="1">
      <c r="B72" s="2"/>
      <c r="C72" s="4"/>
      <c r="D72" s="2"/>
      <c r="E72" s="2"/>
    </row>
    <row r="73" ht="15.75" customHeight="1">
      <c r="B73" s="2"/>
      <c r="C73" s="4"/>
      <c r="D73" s="2"/>
      <c r="E73" s="2"/>
    </row>
    <row r="74" ht="15.75" customHeight="1">
      <c r="B74" s="2"/>
      <c r="C74" s="4"/>
      <c r="D74" s="2"/>
      <c r="E74" s="2"/>
    </row>
    <row r="75" ht="15.75" customHeight="1">
      <c r="B75" s="2"/>
      <c r="C75" s="4"/>
      <c r="D75" s="2"/>
      <c r="E75" s="2"/>
    </row>
    <row r="76" ht="15.75" customHeight="1">
      <c r="B76" s="2"/>
      <c r="C76" s="4"/>
      <c r="D76" s="2"/>
      <c r="E76" s="2"/>
    </row>
    <row r="77" ht="15.75" customHeight="1">
      <c r="B77" s="2"/>
      <c r="C77" s="4"/>
      <c r="D77" s="2"/>
      <c r="E77" s="2"/>
    </row>
    <row r="78" ht="15.75" customHeight="1">
      <c r="B78" s="2"/>
      <c r="C78" s="4"/>
      <c r="D78" s="2"/>
      <c r="E78" s="2"/>
    </row>
    <row r="79" ht="15.75" customHeight="1">
      <c r="B79" s="2"/>
      <c r="C79" s="4"/>
      <c r="D79" s="2"/>
      <c r="E79" s="2"/>
    </row>
    <row r="80" ht="15.75" customHeight="1">
      <c r="B80" s="2"/>
      <c r="C80" s="4"/>
      <c r="D80" s="2"/>
      <c r="E80" s="2"/>
    </row>
    <row r="81" ht="15.75" customHeight="1">
      <c r="B81" s="2"/>
      <c r="C81" s="4"/>
      <c r="D81" s="2"/>
      <c r="E81" s="2"/>
    </row>
    <row r="82" ht="15.75" customHeight="1">
      <c r="B82" s="2"/>
      <c r="C82" s="4"/>
      <c r="D82" s="2"/>
      <c r="E82" s="2"/>
    </row>
    <row r="83" ht="15.75" customHeight="1">
      <c r="B83" s="2"/>
      <c r="C83" s="4"/>
      <c r="D83" s="2"/>
      <c r="E83" s="2"/>
    </row>
    <row r="84" ht="15.75" customHeight="1">
      <c r="B84" s="2"/>
      <c r="C84" s="4"/>
      <c r="D84" s="2"/>
      <c r="E84" s="2"/>
    </row>
    <row r="85" ht="15.75" customHeight="1">
      <c r="B85" s="2"/>
      <c r="C85" s="4"/>
      <c r="D85" s="2"/>
      <c r="E85" s="2"/>
    </row>
    <row r="86" ht="15.75" customHeight="1">
      <c r="B86" s="2"/>
      <c r="C86" s="4"/>
      <c r="D86" s="2"/>
      <c r="E86" s="2"/>
    </row>
    <row r="87" ht="15.75" customHeight="1">
      <c r="B87" s="2"/>
      <c r="C87" s="4"/>
      <c r="D87" s="2"/>
      <c r="E87" s="2"/>
    </row>
    <row r="88" ht="15.75" customHeight="1">
      <c r="B88" s="2"/>
      <c r="C88" s="4"/>
      <c r="D88" s="2"/>
      <c r="E88" s="2"/>
    </row>
    <row r="89" ht="15.75" customHeight="1">
      <c r="B89" s="2"/>
      <c r="C89" s="4"/>
      <c r="D89" s="2"/>
      <c r="E89" s="2"/>
    </row>
    <row r="90" ht="15.75" customHeight="1">
      <c r="B90" s="2"/>
      <c r="C90" s="4"/>
      <c r="D90" s="2"/>
      <c r="E90" s="2"/>
    </row>
    <row r="91" ht="15.75" customHeight="1">
      <c r="B91" s="2"/>
      <c r="C91" s="4"/>
      <c r="D91" s="2"/>
      <c r="E91" s="2"/>
    </row>
    <row r="92" ht="15.75" customHeight="1">
      <c r="B92" s="2"/>
      <c r="C92" s="4"/>
      <c r="D92" s="2"/>
      <c r="E92" s="2"/>
    </row>
    <row r="93" ht="15.75" customHeight="1">
      <c r="B93" s="2"/>
      <c r="C93" s="4"/>
      <c r="D93" s="2"/>
      <c r="E93" s="2"/>
    </row>
    <row r="94" ht="15.75" customHeight="1">
      <c r="B94" s="2"/>
      <c r="C94" s="4"/>
      <c r="D94" s="2"/>
      <c r="E94" s="2"/>
    </row>
    <row r="95" ht="15.75" customHeight="1">
      <c r="B95" s="2"/>
      <c r="C95" s="4"/>
      <c r="D95" s="2"/>
      <c r="E95" s="2"/>
    </row>
    <row r="96" ht="15.75" customHeight="1">
      <c r="B96" s="2"/>
      <c r="C96" s="4"/>
      <c r="D96" s="2"/>
      <c r="E96" s="2"/>
    </row>
    <row r="97" ht="15.75" customHeight="1">
      <c r="B97" s="2"/>
      <c r="C97" s="4"/>
      <c r="D97" s="2"/>
      <c r="E97" s="2"/>
    </row>
    <row r="98" ht="15.75" customHeight="1">
      <c r="B98" s="2"/>
      <c r="C98" s="4"/>
      <c r="D98" s="2"/>
      <c r="E98" s="2"/>
    </row>
    <row r="99" ht="15.75" customHeight="1">
      <c r="B99" s="2"/>
      <c r="C99" s="4"/>
      <c r="D99" s="2"/>
      <c r="E99" s="2"/>
    </row>
    <row r="100" ht="15.75" customHeight="1">
      <c r="B100" s="2"/>
      <c r="C100" s="4"/>
      <c r="D100" s="2"/>
      <c r="E100" s="2"/>
    </row>
    <row r="101" ht="15.75" customHeight="1">
      <c r="B101" s="2"/>
      <c r="C101" s="4"/>
      <c r="D101" s="2"/>
      <c r="E101" s="2"/>
    </row>
    <row r="102" ht="15.75" customHeight="1">
      <c r="B102" s="2"/>
      <c r="C102" s="4"/>
      <c r="D102" s="2"/>
      <c r="E102" s="2"/>
    </row>
    <row r="103" ht="15.75" customHeight="1">
      <c r="B103" s="2"/>
      <c r="C103" s="4"/>
      <c r="D103" s="2"/>
      <c r="E103" s="2"/>
    </row>
    <row r="104" ht="15.75" customHeight="1">
      <c r="B104" s="2"/>
      <c r="C104" s="4"/>
      <c r="D104" s="2"/>
      <c r="E104" s="2"/>
    </row>
    <row r="105" ht="15.75" customHeight="1">
      <c r="B105" s="2"/>
      <c r="C105" s="4"/>
      <c r="D105" s="2"/>
      <c r="E105" s="2"/>
    </row>
    <row r="106" ht="15.75" customHeight="1">
      <c r="B106" s="2"/>
      <c r="C106" s="4"/>
      <c r="D106" s="2"/>
      <c r="E106" s="2"/>
    </row>
    <row r="107" ht="15.75" customHeight="1">
      <c r="B107" s="2"/>
      <c r="C107" s="4"/>
      <c r="D107" s="2"/>
      <c r="E107" s="2"/>
    </row>
    <row r="108" ht="15.75" customHeight="1">
      <c r="B108" s="2"/>
      <c r="C108" s="4"/>
      <c r="D108" s="2"/>
      <c r="E108" s="2"/>
    </row>
    <row r="109" ht="15.75" customHeight="1">
      <c r="B109" s="2"/>
      <c r="C109" s="4"/>
      <c r="D109" s="2"/>
      <c r="E109" s="2"/>
    </row>
    <row r="110" ht="15.75" customHeight="1">
      <c r="B110" s="2"/>
      <c r="C110" s="4"/>
      <c r="D110" s="2"/>
      <c r="E110" s="2"/>
    </row>
    <row r="111" ht="15.75" customHeight="1">
      <c r="B111" s="2"/>
      <c r="C111" s="4"/>
      <c r="D111" s="2"/>
      <c r="E111" s="2"/>
    </row>
    <row r="112" ht="15.75" customHeight="1">
      <c r="B112" s="2"/>
      <c r="C112" s="4"/>
      <c r="D112" s="2"/>
      <c r="E112" s="2"/>
    </row>
    <row r="113" ht="15.75" customHeight="1">
      <c r="B113" s="2"/>
      <c r="C113" s="4"/>
      <c r="D113" s="2"/>
      <c r="E113" s="2"/>
    </row>
    <row r="114" ht="15.75" customHeight="1">
      <c r="B114" s="2"/>
      <c r="C114" s="4"/>
      <c r="D114" s="2"/>
      <c r="E114" s="2"/>
    </row>
    <row r="115" ht="15.75" customHeight="1">
      <c r="B115" s="2"/>
      <c r="C115" s="4"/>
      <c r="D115" s="2"/>
      <c r="E115" s="2"/>
    </row>
    <row r="116" ht="15.75" customHeight="1">
      <c r="B116" s="2"/>
      <c r="C116" s="4"/>
      <c r="D116" s="2"/>
      <c r="E116" s="2"/>
    </row>
    <row r="117" ht="15.75" customHeight="1">
      <c r="B117" s="2"/>
      <c r="C117" s="4"/>
      <c r="D117" s="2"/>
      <c r="E117" s="2"/>
    </row>
    <row r="118" ht="15.75" customHeight="1">
      <c r="B118" s="2"/>
      <c r="C118" s="4"/>
      <c r="D118" s="2"/>
      <c r="E118" s="2"/>
    </row>
    <row r="119" ht="15.75" customHeight="1">
      <c r="B119" s="2"/>
      <c r="C119" s="4"/>
      <c r="D119" s="2"/>
      <c r="E119" s="2"/>
    </row>
    <row r="120" ht="15.75" customHeight="1">
      <c r="B120" s="2"/>
      <c r="C120" s="4"/>
      <c r="D120" s="2"/>
      <c r="E120" s="2"/>
    </row>
    <row r="121" ht="15.75" customHeight="1">
      <c r="B121" s="2"/>
      <c r="C121" s="4"/>
      <c r="D121" s="2"/>
      <c r="E121" s="2"/>
    </row>
    <row r="122" ht="15.75" customHeight="1">
      <c r="B122" s="2"/>
      <c r="C122" s="4"/>
      <c r="D122" s="2"/>
      <c r="E122" s="2"/>
    </row>
    <row r="123" ht="15.75" customHeight="1">
      <c r="B123" s="2"/>
      <c r="C123" s="4"/>
      <c r="D123" s="2"/>
      <c r="E123" s="2"/>
    </row>
    <row r="124" ht="15.75" customHeight="1">
      <c r="B124" s="2"/>
      <c r="C124" s="4"/>
      <c r="D124" s="2"/>
      <c r="E124" s="2"/>
    </row>
    <row r="125" ht="15.75" customHeight="1">
      <c r="B125" s="2"/>
      <c r="C125" s="4"/>
      <c r="D125" s="2"/>
      <c r="E125" s="2"/>
    </row>
    <row r="126" ht="15.75" customHeight="1">
      <c r="B126" s="2"/>
      <c r="C126" s="4"/>
      <c r="D126" s="2"/>
      <c r="E126" s="2"/>
    </row>
    <row r="127" ht="15.75" customHeight="1">
      <c r="B127" s="2"/>
      <c r="C127" s="4"/>
      <c r="D127" s="2"/>
      <c r="E127" s="2"/>
    </row>
    <row r="128" ht="15.75" customHeight="1">
      <c r="B128" s="2"/>
      <c r="C128" s="4"/>
      <c r="D128" s="2"/>
      <c r="E128" s="2"/>
    </row>
    <row r="129" ht="15.75" customHeight="1">
      <c r="B129" s="2"/>
      <c r="C129" s="4"/>
      <c r="D129" s="2"/>
      <c r="E129" s="2"/>
    </row>
    <row r="130" ht="15.75" customHeight="1">
      <c r="B130" s="2"/>
      <c r="C130" s="4"/>
      <c r="D130" s="2"/>
      <c r="E130" s="2"/>
    </row>
    <row r="131" ht="15.75" customHeight="1">
      <c r="B131" s="2"/>
      <c r="C131" s="4"/>
      <c r="D131" s="2"/>
      <c r="E131" s="2"/>
    </row>
    <row r="132" ht="15.75" customHeight="1">
      <c r="B132" s="2"/>
      <c r="C132" s="4"/>
      <c r="D132" s="2"/>
      <c r="E132" s="2"/>
    </row>
    <row r="133" ht="15.75" customHeight="1">
      <c r="B133" s="2"/>
      <c r="C133" s="4"/>
      <c r="D133" s="2"/>
      <c r="E133" s="2"/>
    </row>
    <row r="134" ht="15.75" customHeight="1">
      <c r="B134" s="2"/>
      <c r="C134" s="4"/>
      <c r="D134" s="2"/>
      <c r="E134" s="2"/>
    </row>
    <row r="135" ht="15.75" customHeight="1">
      <c r="B135" s="2"/>
      <c r="C135" s="4"/>
      <c r="D135" s="2"/>
      <c r="E135" s="2"/>
    </row>
    <row r="136" ht="15.75" customHeight="1">
      <c r="B136" s="2"/>
      <c r="C136" s="4"/>
      <c r="D136" s="2"/>
      <c r="E136" s="2"/>
    </row>
    <row r="137" ht="15.75" customHeight="1">
      <c r="B137" s="2"/>
      <c r="C137" s="4"/>
      <c r="D137" s="2"/>
      <c r="E137" s="2"/>
    </row>
    <row r="138" ht="15.75" customHeight="1">
      <c r="B138" s="2"/>
      <c r="C138" s="4"/>
      <c r="D138" s="2"/>
      <c r="E138" s="2"/>
    </row>
    <row r="139" ht="15.75" customHeight="1">
      <c r="B139" s="2"/>
      <c r="C139" s="4"/>
      <c r="D139" s="2"/>
      <c r="E139" s="2"/>
    </row>
    <row r="140" ht="15.75" customHeight="1">
      <c r="B140" s="2"/>
      <c r="C140" s="4"/>
      <c r="D140" s="2"/>
      <c r="E140" s="2"/>
    </row>
    <row r="141" ht="15.75" customHeight="1">
      <c r="B141" s="2"/>
      <c r="C141" s="4"/>
      <c r="D141" s="2"/>
      <c r="E141" s="2"/>
    </row>
    <row r="142" ht="15.75" customHeight="1">
      <c r="B142" s="2"/>
      <c r="C142" s="4"/>
      <c r="D142" s="2"/>
      <c r="E142" s="2"/>
    </row>
    <row r="143" ht="15.75" customHeight="1">
      <c r="B143" s="2"/>
      <c r="C143" s="4"/>
      <c r="D143" s="2"/>
      <c r="E143" s="2"/>
    </row>
    <row r="144" ht="15.75" customHeight="1">
      <c r="B144" s="2"/>
      <c r="C144" s="4"/>
      <c r="D144" s="2"/>
      <c r="E144" s="2"/>
    </row>
    <row r="145" ht="15.75" customHeight="1">
      <c r="B145" s="2"/>
      <c r="C145" s="4"/>
      <c r="D145" s="2"/>
      <c r="E145" s="2"/>
    </row>
    <row r="146" ht="15.75" customHeight="1">
      <c r="B146" s="2"/>
      <c r="C146" s="4"/>
      <c r="D146" s="2"/>
      <c r="E146" s="2"/>
    </row>
    <row r="147" ht="15.75" customHeight="1">
      <c r="B147" s="2"/>
      <c r="C147" s="4"/>
      <c r="D147" s="2"/>
      <c r="E147" s="2"/>
    </row>
    <row r="148" ht="15.75" customHeight="1">
      <c r="B148" s="2"/>
      <c r="C148" s="4"/>
      <c r="D148" s="2"/>
      <c r="E148" s="2"/>
    </row>
    <row r="149" ht="15.75" customHeight="1">
      <c r="B149" s="2"/>
      <c r="C149" s="4"/>
      <c r="D149" s="2"/>
      <c r="E149" s="2"/>
    </row>
    <row r="150" ht="15.75" customHeight="1">
      <c r="B150" s="2"/>
      <c r="C150" s="4"/>
      <c r="D150" s="2"/>
      <c r="E150" s="2"/>
    </row>
    <row r="151" ht="15.75" customHeight="1">
      <c r="B151" s="2"/>
      <c r="C151" s="4"/>
      <c r="D151" s="2"/>
      <c r="E151" s="2"/>
    </row>
    <row r="152" ht="15.75" customHeight="1">
      <c r="B152" s="2"/>
      <c r="C152" s="4"/>
      <c r="D152" s="2"/>
      <c r="E152" s="2"/>
    </row>
    <row r="153" ht="15.75" customHeight="1">
      <c r="B153" s="2"/>
      <c r="C153" s="4"/>
      <c r="D153" s="2"/>
      <c r="E153" s="2"/>
    </row>
    <row r="154" ht="15.75" customHeight="1">
      <c r="B154" s="2"/>
      <c r="C154" s="4"/>
      <c r="D154" s="2"/>
      <c r="E154" s="2"/>
    </row>
    <row r="155" ht="15.75" customHeight="1">
      <c r="B155" s="2"/>
      <c r="C155" s="4"/>
      <c r="D155" s="2"/>
      <c r="E155" s="2"/>
    </row>
    <row r="156" ht="15.75" customHeight="1">
      <c r="B156" s="2"/>
      <c r="C156" s="4"/>
      <c r="D156" s="2"/>
      <c r="E156" s="2"/>
    </row>
    <row r="157" ht="15.75" customHeight="1">
      <c r="B157" s="2"/>
      <c r="C157" s="4"/>
      <c r="D157" s="2"/>
      <c r="E157" s="2"/>
    </row>
    <row r="158" ht="15.75" customHeight="1">
      <c r="B158" s="2"/>
      <c r="C158" s="4"/>
      <c r="D158" s="2"/>
      <c r="E158" s="2"/>
    </row>
    <row r="159" ht="15.75" customHeight="1">
      <c r="B159" s="2"/>
      <c r="C159" s="4"/>
      <c r="D159" s="2"/>
      <c r="E159" s="2"/>
    </row>
    <row r="160" ht="15.75" customHeight="1">
      <c r="B160" s="2"/>
      <c r="C160" s="4"/>
      <c r="D160" s="2"/>
      <c r="E160" s="2"/>
    </row>
    <row r="161" ht="15.75" customHeight="1">
      <c r="B161" s="2"/>
      <c r="C161" s="4"/>
      <c r="D161" s="2"/>
      <c r="E161" s="2"/>
    </row>
    <row r="162" ht="15.75" customHeight="1">
      <c r="B162" s="2"/>
      <c r="C162" s="4"/>
      <c r="D162" s="2"/>
      <c r="E162" s="2"/>
    </row>
    <row r="163" ht="15.75" customHeight="1">
      <c r="B163" s="2"/>
      <c r="C163" s="4"/>
      <c r="D163" s="2"/>
      <c r="E163" s="2"/>
    </row>
    <row r="164" ht="15.75" customHeight="1">
      <c r="B164" s="2"/>
      <c r="C164" s="4"/>
      <c r="D164" s="2"/>
      <c r="E164" s="2"/>
    </row>
    <row r="165" ht="15.75" customHeight="1">
      <c r="B165" s="2"/>
      <c r="C165" s="4"/>
      <c r="D165" s="2"/>
      <c r="E165" s="2"/>
    </row>
    <row r="166" ht="15.75" customHeight="1">
      <c r="B166" s="2"/>
      <c r="C166" s="4"/>
      <c r="D166" s="2"/>
      <c r="E166" s="2"/>
    </row>
    <row r="167" ht="15.75" customHeight="1">
      <c r="B167" s="2"/>
      <c r="C167" s="4"/>
      <c r="D167" s="2"/>
      <c r="E167" s="2"/>
    </row>
    <row r="168" ht="15.75" customHeight="1">
      <c r="B168" s="2"/>
      <c r="C168" s="4"/>
      <c r="D168" s="2"/>
      <c r="E168" s="2"/>
    </row>
    <row r="169" ht="15.75" customHeight="1">
      <c r="B169" s="2"/>
      <c r="C169" s="4"/>
      <c r="D169" s="2"/>
      <c r="E169" s="2"/>
    </row>
    <row r="170" ht="15.75" customHeight="1">
      <c r="B170" s="2"/>
      <c r="C170" s="4"/>
      <c r="D170" s="2"/>
      <c r="E170" s="2"/>
    </row>
    <row r="171" ht="15.75" customHeight="1">
      <c r="B171" s="2"/>
      <c r="C171" s="4"/>
      <c r="D171" s="2"/>
      <c r="E171" s="2"/>
    </row>
    <row r="172" ht="15.75" customHeight="1">
      <c r="B172" s="2"/>
      <c r="C172" s="4"/>
      <c r="D172" s="2"/>
      <c r="E172" s="2"/>
    </row>
    <row r="173" ht="15.75" customHeight="1">
      <c r="B173" s="2"/>
      <c r="C173" s="4"/>
      <c r="D173" s="2"/>
      <c r="E173" s="2"/>
    </row>
    <row r="174" ht="15.75" customHeight="1">
      <c r="B174" s="2"/>
      <c r="C174" s="4"/>
      <c r="D174" s="2"/>
      <c r="E174" s="2"/>
    </row>
    <row r="175" ht="15.75" customHeight="1">
      <c r="B175" s="2"/>
      <c r="C175" s="4"/>
      <c r="D175" s="2"/>
      <c r="E175" s="2"/>
    </row>
    <row r="176" ht="15.75" customHeight="1">
      <c r="B176" s="2"/>
      <c r="C176" s="4"/>
      <c r="D176" s="2"/>
      <c r="E176" s="2"/>
    </row>
    <row r="177" ht="15.75" customHeight="1">
      <c r="B177" s="2"/>
      <c r="C177" s="4"/>
      <c r="D177" s="2"/>
      <c r="E177" s="2"/>
    </row>
    <row r="178" ht="15.75" customHeight="1">
      <c r="B178" s="2"/>
      <c r="C178" s="4"/>
      <c r="D178" s="2"/>
      <c r="E178" s="2"/>
    </row>
    <row r="179" ht="15.75" customHeight="1">
      <c r="B179" s="2"/>
      <c r="C179" s="4"/>
      <c r="D179" s="2"/>
      <c r="E179" s="2"/>
    </row>
    <row r="180" ht="15.75" customHeight="1">
      <c r="B180" s="2"/>
      <c r="C180" s="4"/>
      <c r="D180" s="2"/>
      <c r="E180" s="2"/>
    </row>
    <row r="181" ht="15.75" customHeight="1">
      <c r="B181" s="2"/>
      <c r="C181" s="4"/>
      <c r="D181" s="2"/>
      <c r="E181" s="2"/>
    </row>
    <row r="182" ht="15.75" customHeight="1">
      <c r="B182" s="2"/>
      <c r="C182" s="4"/>
      <c r="D182" s="2"/>
      <c r="E182" s="2"/>
    </row>
    <row r="183" ht="15.75" customHeight="1">
      <c r="B183" s="2"/>
      <c r="C183" s="4"/>
      <c r="D183" s="2"/>
      <c r="E183" s="2"/>
    </row>
    <row r="184" ht="15.75" customHeight="1">
      <c r="B184" s="2"/>
      <c r="C184" s="4"/>
      <c r="D184" s="2"/>
      <c r="E184" s="2"/>
    </row>
    <row r="185" ht="15.75" customHeight="1">
      <c r="B185" s="2"/>
      <c r="C185" s="4"/>
      <c r="D185" s="2"/>
      <c r="E185" s="2"/>
    </row>
    <row r="186" ht="15.75" customHeight="1">
      <c r="B186" s="2"/>
      <c r="C186" s="4"/>
      <c r="D186" s="2"/>
      <c r="E186" s="2"/>
    </row>
    <row r="187" ht="15.75" customHeight="1">
      <c r="B187" s="2"/>
      <c r="C187" s="4"/>
      <c r="D187" s="2"/>
      <c r="E187" s="2"/>
    </row>
    <row r="188" ht="15.75" customHeight="1">
      <c r="B188" s="2"/>
      <c r="C188" s="4"/>
      <c r="D188" s="2"/>
      <c r="E188" s="2"/>
    </row>
    <row r="189" ht="15.75" customHeight="1">
      <c r="B189" s="2"/>
      <c r="C189" s="4"/>
      <c r="D189" s="2"/>
      <c r="E189" s="2"/>
    </row>
    <row r="190" ht="15.75" customHeight="1">
      <c r="B190" s="2"/>
      <c r="C190" s="4"/>
      <c r="D190" s="2"/>
      <c r="E190" s="2"/>
    </row>
    <row r="191" ht="15.75" customHeight="1">
      <c r="B191" s="2"/>
      <c r="C191" s="4"/>
      <c r="D191" s="2"/>
      <c r="E191" s="2"/>
    </row>
    <row r="192" ht="15.75" customHeight="1">
      <c r="B192" s="2"/>
      <c r="C192" s="4"/>
      <c r="D192" s="2"/>
      <c r="E192" s="2"/>
    </row>
    <row r="193" ht="15.75" customHeight="1">
      <c r="B193" s="2"/>
      <c r="C193" s="4"/>
      <c r="D193" s="2"/>
      <c r="E193" s="2"/>
    </row>
    <row r="194" ht="15.75" customHeight="1">
      <c r="B194" s="2"/>
      <c r="C194" s="4"/>
      <c r="D194" s="2"/>
      <c r="E194" s="2"/>
    </row>
    <row r="195" ht="15.75" customHeight="1">
      <c r="B195" s="2"/>
      <c r="C195" s="4"/>
      <c r="D195" s="2"/>
      <c r="E195" s="2"/>
    </row>
    <row r="196" ht="15.75" customHeight="1">
      <c r="B196" s="2"/>
      <c r="C196" s="4"/>
      <c r="D196" s="2"/>
      <c r="E196" s="2"/>
    </row>
    <row r="197" ht="15.75" customHeight="1">
      <c r="B197" s="2"/>
      <c r="C197" s="4"/>
      <c r="D197" s="2"/>
      <c r="E197" s="2"/>
    </row>
    <row r="198" ht="15.75" customHeight="1">
      <c r="B198" s="2"/>
      <c r="C198" s="4"/>
      <c r="D198" s="2"/>
      <c r="E198" s="2"/>
    </row>
    <row r="199" ht="15.75" customHeight="1">
      <c r="B199" s="2"/>
      <c r="C199" s="4"/>
      <c r="D199" s="2"/>
      <c r="E199" s="2"/>
    </row>
    <row r="200" ht="15.75" customHeight="1">
      <c r="B200" s="2"/>
      <c r="C200" s="4"/>
      <c r="D200" s="2"/>
      <c r="E200" s="2"/>
    </row>
    <row r="201" ht="15.75" customHeight="1">
      <c r="B201" s="2"/>
      <c r="C201" s="4"/>
      <c r="D201" s="2"/>
      <c r="E201" s="2"/>
    </row>
    <row r="202" ht="15.75" customHeight="1">
      <c r="B202" s="2"/>
      <c r="C202" s="4"/>
      <c r="D202" s="2"/>
      <c r="E202" s="2"/>
    </row>
    <row r="203" ht="15.75" customHeight="1">
      <c r="B203" s="2"/>
      <c r="C203" s="4"/>
      <c r="D203" s="2"/>
      <c r="E203" s="2"/>
    </row>
    <row r="204" ht="15.75" customHeight="1">
      <c r="B204" s="2"/>
      <c r="C204" s="4"/>
      <c r="D204" s="2"/>
      <c r="E204" s="2"/>
    </row>
    <row r="205" ht="15.75" customHeight="1">
      <c r="B205" s="2"/>
      <c r="C205" s="4"/>
      <c r="D205" s="2"/>
      <c r="E205" s="2"/>
    </row>
    <row r="206" ht="15.75" customHeight="1">
      <c r="B206" s="2"/>
      <c r="C206" s="4"/>
      <c r="D206" s="2"/>
      <c r="E206" s="2"/>
    </row>
    <row r="207" ht="15.75" customHeight="1">
      <c r="B207" s="2"/>
      <c r="C207" s="4"/>
      <c r="D207" s="2"/>
      <c r="E207" s="2"/>
    </row>
    <row r="208" ht="15.75" customHeight="1">
      <c r="B208" s="2"/>
      <c r="C208" s="4"/>
      <c r="D208" s="2"/>
      <c r="E208" s="2"/>
    </row>
    <row r="209" ht="15.75" customHeight="1">
      <c r="B209" s="2"/>
      <c r="C209" s="4"/>
      <c r="D209" s="2"/>
      <c r="E209" s="2"/>
    </row>
    <row r="210" ht="15.75" customHeight="1">
      <c r="B210" s="2"/>
      <c r="C210" s="4"/>
      <c r="D210" s="2"/>
      <c r="E210" s="2"/>
    </row>
    <row r="211" ht="15.75" customHeight="1">
      <c r="B211" s="2"/>
      <c r="C211" s="4"/>
      <c r="D211" s="2"/>
      <c r="E211" s="2"/>
    </row>
    <row r="212" ht="15.75" customHeight="1">
      <c r="B212" s="2"/>
      <c r="C212" s="4"/>
      <c r="D212" s="2"/>
      <c r="E212" s="2"/>
    </row>
    <row r="213" ht="15.75" customHeight="1">
      <c r="B213" s="2"/>
      <c r="C213" s="4"/>
      <c r="D213" s="2"/>
      <c r="E213" s="2"/>
    </row>
    <row r="214" ht="15.75" customHeight="1">
      <c r="B214" s="2"/>
      <c r="C214" s="4"/>
      <c r="D214" s="2"/>
      <c r="E214" s="2"/>
    </row>
    <row r="215" ht="15.75" customHeight="1">
      <c r="B215" s="2"/>
      <c r="C215" s="4"/>
      <c r="D215" s="2"/>
      <c r="E215" s="2"/>
    </row>
    <row r="216" ht="15.75" customHeight="1">
      <c r="B216" s="2"/>
      <c r="C216" s="4"/>
      <c r="D216" s="2"/>
      <c r="E216" s="2"/>
    </row>
    <row r="217" ht="15.75" customHeight="1">
      <c r="B217" s="2"/>
      <c r="C217" s="4"/>
      <c r="D217" s="2"/>
      <c r="E217" s="2"/>
    </row>
    <row r="218" ht="15.75" customHeight="1">
      <c r="B218" s="2"/>
      <c r="C218" s="4"/>
      <c r="D218" s="2"/>
      <c r="E218" s="2"/>
    </row>
    <row r="219" ht="15.75" customHeight="1">
      <c r="B219" s="2"/>
      <c r="C219" s="4"/>
      <c r="D219" s="2"/>
      <c r="E219" s="2"/>
    </row>
    <row r="220" ht="15.75" customHeight="1">
      <c r="B220" s="2"/>
      <c r="C220" s="4"/>
      <c r="D220" s="2"/>
      <c r="E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F2"/>
  </mergeCells>
  <dataValidations>
    <dataValidation type="custom" allowBlank="1" showDropDown="1" sqref="B4:B41">
      <formula1>OR(NOT(ISERROR(DATEVALUE(B4))), AND(ISNUMBER(B4), LEFT(CELL("format", B4))="D"))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3" max="3" width="7.5"/>
    <col customWidth="1" min="11" max="11" width="21.13"/>
  </cols>
  <sheetData>
    <row r="1" ht="15.7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6"/>
    </row>
    <row r="2" ht="15.75" customHeight="1">
      <c r="A2" s="3"/>
      <c r="B2" s="8" t="s">
        <v>4</v>
      </c>
      <c r="C2" s="10"/>
      <c r="D2" s="10"/>
      <c r="E2" s="10"/>
      <c r="F2" s="10"/>
      <c r="G2" s="10"/>
      <c r="H2" s="10"/>
      <c r="I2" s="10"/>
      <c r="J2" s="10"/>
      <c r="K2" s="6"/>
    </row>
    <row r="3" ht="15.75" customHeight="1">
      <c r="A3" s="13"/>
      <c r="B3" s="15" t="s">
        <v>6</v>
      </c>
      <c r="C3" s="19" t="s">
        <v>8</v>
      </c>
      <c r="D3" s="22"/>
      <c r="E3" s="22"/>
      <c r="F3" s="22"/>
      <c r="G3" s="22"/>
      <c r="H3" s="22"/>
      <c r="I3" s="22"/>
      <c r="J3" s="22"/>
      <c r="K3" s="26"/>
    </row>
    <row r="4" ht="15.75" customHeight="1">
      <c r="A4" s="13"/>
      <c r="B4" s="29" t="s">
        <v>24</v>
      </c>
      <c r="C4" s="31"/>
      <c r="D4" s="33"/>
      <c r="E4" s="33"/>
      <c r="F4" s="33"/>
      <c r="G4" s="33"/>
      <c r="H4" s="33"/>
      <c r="I4" s="33"/>
      <c r="J4" s="33"/>
      <c r="K4" s="37"/>
    </row>
    <row r="5" ht="15.75" customHeight="1">
      <c r="A5" s="13"/>
      <c r="B5" s="29" t="s">
        <v>33</v>
      </c>
      <c r="C5" s="40" t="s">
        <v>34</v>
      </c>
      <c r="D5" s="33"/>
      <c r="E5" s="33"/>
      <c r="F5" s="33"/>
      <c r="G5" s="33"/>
      <c r="H5" s="33"/>
      <c r="I5" s="33"/>
      <c r="J5" s="33"/>
      <c r="K5" s="37"/>
    </row>
    <row r="6" ht="15.75" customHeight="1">
      <c r="A6" s="13"/>
      <c r="B6" s="29" t="s">
        <v>35</v>
      </c>
      <c r="C6" s="41" t="s">
        <v>36</v>
      </c>
      <c r="D6" s="33"/>
      <c r="E6" s="33"/>
      <c r="F6" s="33"/>
      <c r="G6" s="33"/>
      <c r="H6" s="33"/>
      <c r="I6" s="33"/>
      <c r="J6" s="33"/>
      <c r="K6" s="37"/>
    </row>
    <row r="7" ht="15.75" customHeight="1">
      <c r="A7" s="13"/>
      <c r="B7" s="29" t="s">
        <v>37</v>
      </c>
      <c r="C7" s="40"/>
      <c r="D7" s="33"/>
      <c r="E7" s="33"/>
      <c r="F7" s="33"/>
      <c r="G7" s="33"/>
      <c r="H7" s="33"/>
      <c r="I7" s="33"/>
      <c r="J7" s="33"/>
      <c r="K7" s="37"/>
    </row>
    <row r="8" ht="15.75" customHeight="1">
      <c r="A8" s="13"/>
      <c r="B8" s="29" t="s">
        <v>39</v>
      </c>
      <c r="C8" s="49"/>
      <c r="D8" s="33"/>
      <c r="E8" s="33"/>
      <c r="F8" s="33"/>
      <c r="G8" s="33"/>
      <c r="H8" s="33"/>
      <c r="I8" s="33"/>
      <c r="J8" s="33"/>
      <c r="K8" s="37"/>
    </row>
    <row r="9">
      <c r="A9" s="13"/>
      <c r="B9" s="29" t="s">
        <v>42</v>
      </c>
      <c r="C9" s="59" t="s">
        <v>45</v>
      </c>
      <c r="D9" s="33"/>
      <c r="E9" s="33"/>
      <c r="F9" s="33"/>
      <c r="G9" s="33"/>
      <c r="H9" s="33"/>
      <c r="I9" s="33"/>
      <c r="J9" s="33"/>
      <c r="K9" s="37"/>
    </row>
    <row r="10" ht="15.75" customHeight="1">
      <c r="A10" s="3"/>
      <c r="B10" s="61"/>
      <c r="C10" s="61"/>
      <c r="D10" s="61"/>
      <c r="E10" s="61"/>
      <c r="F10" s="61"/>
      <c r="G10" s="61"/>
      <c r="H10" s="61"/>
      <c r="I10" s="61"/>
      <c r="J10" s="61"/>
      <c r="K10" s="6"/>
    </row>
    <row r="11" ht="15.75" customHeight="1">
      <c r="A11" s="3"/>
      <c r="B11" s="65" t="s">
        <v>58</v>
      </c>
      <c r="K11" s="6"/>
    </row>
    <row r="12" ht="15.75" customHeight="1">
      <c r="A12" s="3"/>
      <c r="B12" s="66" t="s">
        <v>16</v>
      </c>
      <c r="C12" s="67"/>
      <c r="D12" s="68" t="s">
        <v>60</v>
      </c>
      <c r="E12" s="69"/>
      <c r="F12" s="69"/>
      <c r="G12" s="70"/>
      <c r="H12" s="71" t="s">
        <v>64</v>
      </c>
      <c r="I12" s="71" t="s">
        <v>65</v>
      </c>
      <c r="J12" s="71" t="s">
        <v>67</v>
      </c>
      <c r="K12" s="71" t="s">
        <v>18</v>
      </c>
    </row>
    <row r="13" ht="15.75" customHeight="1">
      <c r="A13" s="3"/>
      <c r="B13" s="72"/>
      <c r="C13" s="35"/>
      <c r="D13" s="73" t="s">
        <v>56</v>
      </c>
      <c r="E13" s="73" t="s">
        <v>71</v>
      </c>
      <c r="F13" s="73" t="s">
        <v>72</v>
      </c>
      <c r="G13" s="73" t="s">
        <v>73</v>
      </c>
      <c r="H13" s="74"/>
      <c r="I13" s="74"/>
      <c r="J13" s="74"/>
      <c r="K13" s="74"/>
    </row>
    <row r="14">
      <c r="A14" s="3"/>
      <c r="B14" s="75" t="s">
        <v>77</v>
      </c>
      <c r="C14" s="70"/>
      <c r="D14" s="77">
        <f>COUNTIFS('VIOLA(4.0)_신규변경'!$R$2:$R$12063,D$13,'VIOLA(4.0)_신규변경'!$B$2:$B$12063,$B$14)</f>
        <v>281</v>
      </c>
      <c r="E14" s="77">
        <f>COUNTIFS('VIOLA(4.0)_신규변경'!$R$2:$R$12063,E$13,'VIOLA(4.0)_신규변경'!$B$2:$B$12063,$B$14)</f>
        <v>6</v>
      </c>
      <c r="F14" s="77">
        <f>COUNTIFS('VIOLA(4.0)_신규변경'!$R$2:$R$12063,F$13,'VIOLA(4.0)_신규변경'!$B$2:$B$12063,$B$14)</f>
        <v>6</v>
      </c>
      <c r="G14" s="77">
        <f>COUNTIFS('VIOLA(4.0)_신규변경'!$R$2:$R$12063,G$13,'VIOLA(4.0)_신규변경'!$B$2:$B$12063,$B$14)</f>
        <v>0</v>
      </c>
      <c r="H14" s="77">
        <f>COUNTIF('VIOLA(4.0)_신규변경'!$B$2:$B$12075,$B$14)-G14
</f>
        <v>2524</v>
      </c>
      <c r="I14" s="80">
        <f t="shared" ref="I14:I16" si="1">IFERROR((D14+E14)/H14,"-")</f>
        <v>0.1137083994</v>
      </c>
      <c r="J14" s="80">
        <f t="shared" ref="J14:J16" si="2">IFERROR(D14/(D14+E14),"-")</f>
        <v>0.9790940767</v>
      </c>
      <c r="K14" s="81"/>
    </row>
    <row r="15">
      <c r="A15" s="3"/>
      <c r="B15" s="75" t="s">
        <v>125</v>
      </c>
      <c r="C15" s="70"/>
      <c r="D15" s="77">
        <f>COUNTIFS('VIOLA(4.0)_신규변경'!$R$2:$R$12063,D$13,'VIOLA(4.0)_신규변경'!$B$2:$B$12063,$B$15)</f>
        <v>0</v>
      </c>
      <c r="E15" s="77">
        <f>COUNTIFS('VIOLA(4.0)_신규변경'!$R$2:$R$12063,E$13,'VIOLA(4.0)_신규변경'!$B$2:$B$12063,$B$15)</f>
        <v>0</v>
      </c>
      <c r="F15" s="77">
        <f>COUNTIFS('VIOLA(4.0)_신규변경'!$R$2:$R$12063,F$13,'VIOLA(4.0)_신규변경'!$B$2:$B$12063,$B$15)</f>
        <v>0</v>
      </c>
      <c r="G15" s="77">
        <f>COUNTIFS('VIOLA(4.0)_신규변경'!$R$2:$R$12063,G$13,'VIOLA(4.0)_신규변경'!$B$2:$B$12063,$B$15)</f>
        <v>0</v>
      </c>
      <c r="H15" s="77">
        <f>COUNTIF('VIOLA(4.0)_신규변경'!$B$2:$B$12075,$B$15)-G15
</f>
        <v>0</v>
      </c>
      <c r="I15" s="80" t="str">
        <f t="shared" si="1"/>
        <v>-</v>
      </c>
      <c r="J15" s="80" t="str">
        <f t="shared" si="2"/>
        <v>-</v>
      </c>
      <c r="K15" s="81"/>
    </row>
    <row r="16" ht="15.75" customHeight="1">
      <c r="A16" s="3"/>
      <c r="B16" s="83" t="s">
        <v>154</v>
      </c>
      <c r="C16" s="70"/>
      <c r="D16" s="77">
        <f t="shared" ref="D16:H16" si="3">SUM(D14:D15)</f>
        <v>281</v>
      </c>
      <c r="E16" s="77">
        <f t="shared" si="3"/>
        <v>6</v>
      </c>
      <c r="F16" s="77">
        <f t="shared" si="3"/>
        <v>6</v>
      </c>
      <c r="G16" s="77">
        <f t="shared" si="3"/>
        <v>0</v>
      </c>
      <c r="H16" s="77">
        <f t="shared" si="3"/>
        <v>2524</v>
      </c>
      <c r="I16" s="80">
        <f t="shared" si="1"/>
        <v>0.1137083994</v>
      </c>
      <c r="J16" s="80">
        <f t="shared" si="2"/>
        <v>0.9790940767</v>
      </c>
      <c r="K16" s="77"/>
    </row>
    <row r="17" ht="15.75" customHeight="1">
      <c r="A17" s="3"/>
      <c r="B17" s="84" t="s">
        <v>164</v>
      </c>
      <c r="J17" s="61"/>
      <c r="K17" s="3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5.75" customHeight="1">
      <c r="A18" s="3"/>
      <c r="B18" s="3"/>
      <c r="C18" s="3"/>
      <c r="J18" s="61"/>
      <c r="K18" s="3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75" customHeight="1">
      <c r="A19" s="3"/>
      <c r="B19" s="85" t="s">
        <v>170</v>
      </c>
      <c r="K19" s="6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3"/>
      <c r="B20" s="71" t="s">
        <v>16</v>
      </c>
      <c r="C20" s="68" t="s">
        <v>60</v>
      </c>
      <c r="D20" s="69"/>
      <c r="E20" s="69"/>
      <c r="F20" s="69"/>
      <c r="G20" s="70"/>
      <c r="H20" s="71" t="s">
        <v>64</v>
      </c>
      <c r="I20" s="71" t="s">
        <v>65</v>
      </c>
      <c r="J20" s="71" t="s">
        <v>67</v>
      </c>
      <c r="K20" s="71" t="s">
        <v>18</v>
      </c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3"/>
      <c r="B21" s="74"/>
      <c r="C21" s="86" t="s">
        <v>183</v>
      </c>
      <c r="D21" s="73" t="s">
        <v>56</v>
      </c>
      <c r="E21" s="73" t="s">
        <v>71</v>
      </c>
      <c r="F21" s="73" t="s">
        <v>72</v>
      </c>
      <c r="G21" s="73" t="s">
        <v>73</v>
      </c>
      <c r="H21" s="74"/>
      <c r="I21" s="74"/>
      <c r="J21" s="74"/>
      <c r="K21" s="74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3"/>
      <c r="B22" s="92" t="s">
        <v>36</v>
      </c>
      <c r="C22" s="94" t="s">
        <v>111</v>
      </c>
      <c r="D22" s="77">
        <f>COUNTIFS('VIOLA(4.0)_신규변경'!$G$2:$G$12063, $C22,'VIOLA(4.0)_신규변경'!$R$2:$R$12063,D$13)</f>
        <v>17</v>
      </c>
      <c r="E22" s="77">
        <f>COUNTIFS('VIOLA(4.0)_신규변경'!$G$2:$G$12063, $C22,'VIOLA(4.0)_신규변경'!$R$2:$R$12063,E$13)</f>
        <v>0</v>
      </c>
      <c r="F22" s="77">
        <f>COUNTIFS('VIOLA(4.0)_신규변경'!$G$2:$G$12063, $C22,'VIOLA(4.0)_신규변경'!$R$2:$R$12063,F$13)</f>
        <v>0</v>
      </c>
      <c r="G22" s="77">
        <f>COUNTIFS('VIOLA(4.0)_신규변경'!$G$2:$G$12063, $C22,'VIOLA(4.0)_신규변경'!$R$2:$R$12063,G$13)</f>
        <v>0</v>
      </c>
      <c r="H22" s="77">
        <f>COUNTIF('VIOLA(4.0)_신규변경'!$G$2:$G$12063, $C22)-G22
</f>
        <v>75</v>
      </c>
      <c r="I22" s="80">
        <f t="shared" ref="I22:I26" si="4">IFERROR((D22+E22)/H22,"-")</f>
        <v>0.2266666667</v>
      </c>
      <c r="J22" s="80">
        <f t="shared" ref="J22:J26" si="5">IFERROR(D22/(D22+E22),"-")</f>
        <v>1</v>
      </c>
      <c r="K22" s="81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3"/>
      <c r="B23" s="116"/>
      <c r="C23" s="94" t="s">
        <v>197</v>
      </c>
      <c r="D23" s="77">
        <f>COUNTIFS('VIOLA(4.0)_신규변경'!$G$2:$G$12063, $C23,'VIOLA(4.0)_신규변경'!$R$2:$R$12063,D$13)</f>
        <v>16</v>
      </c>
      <c r="E23" s="77">
        <f>COUNTIFS('VIOLA(4.0)_신규변경'!$G$2:$G$12063, $C23,'VIOLA(4.0)_신규변경'!$R$2:$R$12063,E$13)</f>
        <v>0</v>
      </c>
      <c r="F23" s="77">
        <f>COUNTIFS('VIOLA(4.0)_신규변경'!$G$2:$G$12063, $C23,'VIOLA(4.0)_신규변경'!$R$2:$R$12063,F$13)</f>
        <v>0</v>
      </c>
      <c r="G23" s="77">
        <f>COUNTIFS('VIOLA(4.0)_신규변경'!$G$2:$G$12063, $C23,'VIOLA(4.0)_신규변경'!$R$2:$R$12063,G$13)</f>
        <v>0</v>
      </c>
      <c r="H23" s="77">
        <f>COUNTIF('VIOLA(4.0)_신규변경'!$G$2:$G$12063, $C23)-G23
</f>
        <v>122</v>
      </c>
      <c r="I23" s="80">
        <f t="shared" si="4"/>
        <v>0.131147541</v>
      </c>
      <c r="J23" s="80">
        <f t="shared" si="5"/>
        <v>1</v>
      </c>
      <c r="K23" s="81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3"/>
      <c r="B24" s="116"/>
      <c r="C24" s="94" t="s">
        <v>47</v>
      </c>
      <c r="D24" s="77">
        <f>COUNTIFS('VIOLA(4.0)_신규변경'!$G$2:$G$12063, $C24,'VIOLA(4.0)_신규변경'!$R$2:$R$12063,D$13)</f>
        <v>239</v>
      </c>
      <c r="E24" s="77">
        <f>COUNTIFS('VIOLA(4.0)_신규변경'!$G$2:$G$12063, $C24,'VIOLA(4.0)_신규변경'!$R$2:$R$12063,E$13)</f>
        <v>5</v>
      </c>
      <c r="F24" s="77">
        <f>COUNTIFS('VIOLA(4.0)_신규변경'!$G$2:$G$12063, $C24,'VIOLA(4.0)_신규변경'!$R$2:$R$12063,F$13)</f>
        <v>6</v>
      </c>
      <c r="G24" s="77">
        <f>COUNTIFS('VIOLA(4.0)_신규변경'!$G$2:$G$12063, $C24,'VIOLA(4.0)_신규변경'!$R$2:$R$12063,G$13)</f>
        <v>0</v>
      </c>
      <c r="H24" s="77">
        <f>COUNTIF('VIOLA(4.0)_신규변경'!$G$2:$G$12063, $C24)-G24
</f>
        <v>2281</v>
      </c>
      <c r="I24" s="80">
        <f t="shared" si="4"/>
        <v>0.1069706269</v>
      </c>
      <c r="J24" s="80">
        <f t="shared" si="5"/>
        <v>0.9795081967</v>
      </c>
      <c r="K24" s="81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3"/>
      <c r="B25" s="116"/>
      <c r="C25" s="94" t="s">
        <v>85</v>
      </c>
      <c r="D25" s="77">
        <f>COUNTIFS('VIOLA(4.0)_신규변경'!$G$2:$G$12063, $C25,'VIOLA(4.0)_신규변경'!$R$2:$R$12063,D$13)</f>
        <v>9</v>
      </c>
      <c r="E25" s="77">
        <f>COUNTIFS('VIOLA(4.0)_신규변경'!$G$2:$G$12063, $C25,'VIOLA(4.0)_신규변경'!$R$2:$R$12063,E$13)</f>
        <v>1</v>
      </c>
      <c r="F25" s="77">
        <f>COUNTIFS('VIOLA(4.0)_신규변경'!$G$2:$G$12063, $C25,'VIOLA(4.0)_신규변경'!$R$2:$R$12063,F$13)</f>
        <v>0</v>
      </c>
      <c r="G25" s="77">
        <f>COUNTIFS('VIOLA(4.0)_신규변경'!$G$2:$G$12063, $C25,'VIOLA(4.0)_신규변경'!$R$2:$R$12063,G$13)</f>
        <v>0</v>
      </c>
      <c r="H25" s="77">
        <f>COUNTIF('VIOLA(4.0)_신규변경'!$G$2:$G$12063, $C25)-G25
</f>
        <v>46</v>
      </c>
      <c r="I25" s="80">
        <f t="shared" si="4"/>
        <v>0.2173913043</v>
      </c>
      <c r="J25" s="80">
        <f t="shared" si="5"/>
        <v>0.9</v>
      </c>
      <c r="K25" s="81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3"/>
      <c r="B26" s="74"/>
      <c r="C26" s="94" t="s">
        <v>154</v>
      </c>
      <c r="D26" s="77">
        <f t="shared" ref="D26:H26" si="6">SUM(D22:D25)</f>
        <v>281</v>
      </c>
      <c r="E26" s="77">
        <f t="shared" si="6"/>
        <v>6</v>
      </c>
      <c r="F26" s="77">
        <f t="shared" si="6"/>
        <v>6</v>
      </c>
      <c r="G26" s="77">
        <f t="shared" si="6"/>
        <v>0</v>
      </c>
      <c r="H26" s="77">
        <f t="shared" si="6"/>
        <v>2524</v>
      </c>
      <c r="I26" s="80">
        <f t="shared" si="4"/>
        <v>0.1137083994</v>
      </c>
      <c r="J26" s="80">
        <f t="shared" si="5"/>
        <v>0.9790940767</v>
      </c>
      <c r="K26" s="77"/>
      <c r="L26" s="28"/>
      <c r="M26" s="1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3"/>
      <c r="B27" s="84" t="s">
        <v>164</v>
      </c>
      <c r="J27" s="61"/>
      <c r="K27" s="3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61"/>
      <c r="K28" s="3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3"/>
      <c r="B29" s="177" t="s">
        <v>362</v>
      </c>
      <c r="C29" s="22"/>
      <c r="D29" s="22"/>
      <c r="E29" s="22"/>
      <c r="F29" s="22"/>
      <c r="G29" s="22"/>
      <c r="H29" s="22"/>
      <c r="I29" s="22"/>
      <c r="J29" s="22"/>
      <c r="K29" s="26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K30" s="6"/>
    </row>
    <row r="31" ht="15.75" customHeight="1">
      <c r="K31" s="181"/>
    </row>
    <row r="32" ht="15.75" customHeight="1">
      <c r="K32" s="182"/>
    </row>
    <row r="33" ht="15.75" customHeight="1">
      <c r="K33" s="6"/>
    </row>
    <row r="34" ht="15.75" customHeight="1">
      <c r="K34" s="6"/>
    </row>
    <row r="35">
      <c r="K35" s="6"/>
    </row>
    <row r="36" ht="15.75" customHeight="1">
      <c r="K36" s="6"/>
    </row>
    <row r="37" ht="15.75" customHeight="1">
      <c r="K37" s="6"/>
    </row>
    <row r="38" ht="15.75" customHeight="1">
      <c r="K38" s="6"/>
    </row>
    <row r="39" ht="15.75" customHeight="1">
      <c r="K39" s="6"/>
    </row>
    <row r="40" ht="15.75" customHeight="1">
      <c r="K40" s="6"/>
    </row>
    <row r="41" ht="15.75" customHeight="1">
      <c r="K41" s="6"/>
    </row>
    <row r="42" ht="15.75" customHeight="1">
      <c r="K42" s="6"/>
    </row>
    <row r="43" ht="15.75" customHeight="1">
      <c r="K43" s="6"/>
    </row>
    <row r="44" ht="15.75" customHeight="1">
      <c r="K44" s="6"/>
    </row>
    <row r="45" ht="15.75" customHeight="1">
      <c r="K45" s="6"/>
    </row>
    <row r="46" ht="15.75" customHeight="1">
      <c r="K46" s="6"/>
    </row>
    <row r="47" ht="15.75" customHeight="1">
      <c r="K47" s="6"/>
    </row>
    <row r="48" ht="15.75" customHeight="1">
      <c r="K48" s="6"/>
    </row>
    <row r="49" ht="15.75" customHeight="1">
      <c r="K49" s="6"/>
    </row>
    <row r="50" ht="15.75" customHeight="1">
      <c r="K50" s="6"/>
    </row>
    <row r="51" ht="15.75" customHeight="1">
      <c r="K51" s="6"/>
    </row>
    <row r="52" ht="15.75" customHeight="1">
      <c r="K52" s="6"/>
    </row>
    <row r="53" ht="15.75" customHeight="1">
      <c r="K53" s="6"/>
    </row>
    <row r="54" ht="15.75" customHeight="1">
      <c r="K54" s="6"/>
    </row>
    <row r="55" ht="15.75" customHeight="1">
      <c r="K55" s="6"/>
    </row>
    <row r="56" ht="15.75" customHeight="1">
      <c r="K56" s="6"/>
    </row>
    <row r="57" ht="15.75" customHeight="1">
      <c r="K57" s="6"/>
    </row>
    <row r="58" ht="15.75" customHeight="1">
      <c r="K58" s="6"/>
    </row>
    <row r="59" ht="15.75" customHeight="1">
      <c r="K59" s="6"/>
    </row>
    <row r="60" ht="15.75" customHeight="1">
      <c r="K60" s="6"/>
    </row>
    <row r="61" ht="15.75" customHeight="1">
      <c r="K61" s="6"/>
    </row>
    <row r="62" ht="15.75" customHeight="1">
      <c r="K62" s="6"/>
    </row>
    <row r="63" ht="15.75" customHeight="1">
      <c r="K63" s="6"/>
    </row>
    <row r="64" ht="15.75" customHeight="1">
      <c r="K64" s="6"/>
    </row>
    <row r="65" ht="15.75" customHeight="1">
      <c r="K65" s="6"/>
    </row>
    <row r="66" ht="15.75" customHeight="1">
      <c r="K66" s="6"/>
    </row>
    <row r="67" ht="15.75" customHeight="1">
      <c r="K67" s="6"/>
    </row>
    <row r="68" ht="15.75" customHeight="1">
      <c r="K68" s="6"/>
    </row>
    <row r="69" ht="15.75" customHeight="1">
      <c r="K69" s="6"/>
    </row>
    <row r="70" ht="15.75" customHeight="1">
      <c r="K70" s="6"/>
    </row>
    <row r="71" ht="15.75" customHeight="1">
      <c r="K71" s="6"/>
    </row>
    <row r="72" ht="15.75" customHeight="1">
      <c r="K72" s="6"/>
    </row>
    <row r="73" ht="15.75" customHeight="1">
      <c r="K73" s="6"/>
    </row>
    <row r="74" ht="15.75" customHeight="1">
      <c r="K74" s="6"/>
    </row>
    <row r="75" ht="15.75" customHeight="1">
      <c r="K75" s="6"/>
    </row>
    <row r="76" ht="15.75" customHeight="1">
      <c r="K76" s="6"/>
    </row>
    <row r="77" ht="15.75" customHeight="1">
      <c r="K77" s="6"/>
    </row>
    <row r="78" ht="15.75" customHeight="1">
      <c r="K78" s="6"/>
    </row>
    <row r="79" ht="15.75" customHeight="1">
      <c r="K79" s="6"/>
    </row>
    <row r="80" ht="15.75" customHeight="1">
      <c r="K80" s="6"/>
    </row>
    <row r="81" ht="15.75" customHeight="1">
      <c r="K81" s="6"/>
    </row>
    <row r="82" ht="15.75" customHeight="1">
      <c r="K82" s="6"/>
    </row>
    <row r="83" ht="15.75" customHeight="1">
      <c r="K83" s="6"/>
    </row>
    <row r="84" ht="15.75" customHeight="1">
      <c r="K84" s="6"/>
    </row>
    <row r="85" ht="15.75" customHeight="1">
      <c r="K85" s="6"/>
    </row>
    <row r="86" ht="15.75" customHeight="1">
      <c r="K86" s="6"/>
    </row>
    <row r="87" ht="15.75" customHeight="1">
      <c r="K87" s="6"/>
    </row>
    <row r="88" ht="15.75" customHeight="1">
      <c r="K88" s="6"/>
    </row>
    <row r="89" ht="15.75" customHeight="1">
      <c r="K89" s="6"/>
    </row>
    <row r="90" ht="15.75" customHeight="1">
      <c r="K90" s="6"/>
    </row>
    <row r="91" ht="15.75" customHeight="1">
      <c r="K91" s="6"/>
    </row>
    <row r="92" ht="15.75" customHeight="1">
      <c r="K92" s="6"/>
    </row>
    <row r="93" ht="15.75" customHeight="1">
      <c r="K93" s="6"/>
    </row>
    <row r="94" ht="15.75" customHeight="1">
      <c r="K94" s="6"/>
    </row>
    <row r="95" ht="15.75" customHeight="1">
      <c r="K95" s="6"/>
    </row>
    <row r="96" ht="15.75" customHeight="1">
      <c r="K96" s="6"/>
    </row>
    <row r="97" ht="15.75" customHeight="1">
      <c r="K97" s="6"/>
    </row>
    <row r="98" ht="15.75" customHeight="1">
      <c r="K98" s="6"/>
    </row>
    <row r="99" ht="15.75" customHeight="1">
      <c r="K99" s="6"/>
    </row>
    <row r="100" ht="15.75" customHeight="1">
      <c r="K100" s="6"/>
    </row>
    <row r="101" ht="15.75" customHeight="1">
      <c r="K101" s="6"/>
    </row>
    <row r="102" ht="15.75" customHeight="1">
      <c r="K102" s="6"/>
    </row>
    <row r="103" ht="15.75" customHeight="1">
      <c r="K103" s="6"/>
    </row>
    <row r="104" ht="15.75" customHeight="1">
      <c r="K104" s="6"/>
    </row>
    <row r="105" ht="15.75" customHeight="1">
      <c r="K105" s="6"/>
    </row>
    <row r="106" ht="15.75" customHeight="1">
      <c r="K106" s="6"/>
    </row>
    <row r="107" ht="15.75" customHeight="1">
      <c r="K107" s="6"/>
    </row>
    <row r="108" ht="15.75" customHeight="1">
      <c r="K108" s="6"/>
    </row>
    <row r="109" ht="15.75" customHeight="1">
      <c r="K109" s="6"/>
    </row>
    <row r="110" ht="15.75" customHeight="1">
      <c r="K110" s="6"/>
    </row>
    <row r="111" ht="15.75" customHeight="1">
      <c r="K111" s="6"/>
    </row>
    <row r="112" ht="15.75" customHeight="1">
      <c r="K112" s="6"/>
    </row>
    <row r="113" ht="15.75" customHeight="1">
      <c r="K113" s="6"/>
    </row>
    <row r="114" ht="15.75" customHeight="1">
      <c r="K114" s="6"/>
    </row>
    <row r="115" ht="15.75" customHeight="1">
      <c r="K115" s="6"/>
    </row>
    <row r="116" ht="15.75" customHeight="1">
      <c r="K116" s="6"/>
    </row>
    <row r="117" ht="15.75" customHeight="1">
      <c r="K117" s="6"/>
    </row>
    <row r="118" ht="15.75" customHeight="1">
      <c r="K118" s="6"/>
    </row>
    <row r="119" ht="15.75" customHeight="1">
      <c r="K119" s="6"/>
    </row>
    <row r="120" ht="15.75" customHeight="1">
      <c r="K120" s="6"/>
    </row>
    <row r="121" ht="15.75" customHeight="1">
      <c r="K121" s="6"/>
    </row>
    <row r="122" ht="15.75" customHeight="1">
      <c r="K122" s="6"/>
    </row>
    <row r="123" ht="15.75" customHeight="1">
      <c r="K123" s="6"/>
    </row>
    <row r="124" ht="15.75" customHeight="1">
      <c r="K124" s="6"/>
    </row>
    <row r="125" ht="15.75" customHeight="1">
      <c r="K125" s="6"/>
    </row>
    <row r="126" ht="15.75" customHeight="1">
      <c r="K126" s="6"/>
    </row>
    <row r="127" ht="15.75" customHeight="1">
      <c r="K127" s="6"/>
    </row>
    <row r="128" ht="15.75" customHeight="1">
      <c r="K128" s="6"/>
    </row>
    <row r="129" ht="15.75" customHeight="1">
      <c r="K129" s="6"/>
    </row>
    <row r="130" ht="15.75" customHeight="1">
      <c r="K130" s="6"/>
    </row>
    <row r="131" ht="15.75" customHeight="1">
      <c r="K131" s="6"/>
    </row>
    <row r="132" ht="15.75" customHeight="1">
      <c r="K132" s="6"/>
    </row>
    <row r="133" ht="15.75" customHeight="1">
      <c r="K133" s="6"/>
    </row>
    <row r="134" ht="15.75" customHeight="1">
      <c r="K134" s="6"/>
    </row>
    <row r="135" ht="15.75" customHeight="1">
      <c r="K135" s="6"/>
    </row>
    <row r="136" ht="15.75" customHeight="1">
      <c r="K136" s="6"/>
    </row>
    <row r="137" ht="15.75" customHeight="1">
      <c r="K137" s="6"/>
    </row>
    <row r="138" ht="15.75" customHeight="1">
      <c r="K138" s="6"/>
    </row>
    <row r="139" ht="15.75" customHeight="1">
      <c r="K139" s="6"/>
    </row>
    <row r="140" ht="15.75" customHeight="1">
      <c r="K140" s="6"/>
    </row>
    <row r="141" ht="15.75" customHeight="1">
      <c r="K141" s="6"/>
    </row>
    <row r="142" ht="15.75" customHeight="1">
      <c r="K142" s="6"/>
    </row>
    <row r="143" ht="15.75" customHeight="1">
      <c r="K143" s="6"/>
    </row>
    <row r="144" ht="15.75" customHeight="1">
      <c r="K144" s="6"/>
    </row>
    <row r="145" ht="15.75" customHeight="1">
      <c r="K145" s="6"/>
    </row>
    <row r="146" ht="15.75" customHeight="1">
      <c r="K146" s="6"/>
    </row>
    <row r="147" ht="15.75" customHeight="1">
      <c r="K147" s="6"/>
    </row>
    <row r="148" ht="15.75" customHeight="1">
      <c r="K148" s="6"/>
    </row>
    <row r="149" ht="15.75" customHeight="1">
      <c r="K149" s="6"/>
    </row>
    <row r="150" ht="15.75" customHeight="1">
      <c r="K150" s="6"/>
    </row>
    <row r="151" ht="15.75" customHeight="1">
      <c r="K151" s="6"/>
    </row>
    <row r="152" ht="15.75" customHeight="1">
      <c r="K152" s="6"/>
    </row>
    <row r="153" ht="15.75" customHeight="1">
      <c r="K153" s="6"/>
    </row>
    <row r="154" ht="15.75" customHeight="1">
      <c r="K154" s="6"/>
    </row>
    <row r="155" ht="15.75" customHeight="1">
      <c r="K155" s="6"/>
    </row>
    <row r="156" ht="15.75" customHeight="1">
      <c r="K156" s="6"/>
    </row>
    <row r="157" ht="15.75" customHeight="1">
      <c r="K157" s="6"/>
    </row>
    <row r="158" ht="15.75" customHeight="1">
      <c r="K158" s="6"/>
    </row>
    <row r="159" ht="15.75" customHeight="1">
      <c r="K159" s="6"/>
    </row>
    <row r="160" ht="15.75" customHeight="1">
      <c r="K160" s="6"/>
    </row>
    <row r="161" ht="15.75" customHeight="1">
      <c r="K161" s="6"/>
    </row>
    <row r="162" ht="15.75" customHeight="1">
      <c r="K162" s="6"/>
    </row>
    <row r="163" ht="15.75" customHeight="1">
      <c r="K163" s="6"/>
    </row>
    <row r="164" ht="15.75" customHeight="1">
      <c r="K164" s="6"/>
    </row>
    <row r="165" ht="15.75" customHeight="1">
      <c r="K165" s="6"/>
    </row>
    <row r="166" ht="15.75" customHeight="1">
      <c r="K166" s="6"/>
    </row>
    <row r="167" ht="15.75" customHeight="1">
      <c r="K167" s="6"/>
    </row>
    <row r="168" ht="15.75" customHeight="1">
      <c r="K168" s="6"/>
    </row>
    <row r="169" ht="15.75" customHeight="1">
      <c r="K169" s="6"/>
    </row>
    <row r="170" ht="15.75" customHeight="1">
      <c r="K170" s="6"/>
    </row>
    <row r="171" ht="15.75" customHeight="1">
      <c r="K171" s="6"/>
    </row>
    <row r="172" ht="15.75" customHeight="1">
      <c r="K172" s="6"/>
    </row>
    <row r="173" ht="15.75" customHeight="1">
      <c r="K173" s="6"/>
    </row>
    <row r="174" ht="15.75" customHeight="1">
      <c r="K174" s="6"/>
    </row>
    <row r="175" ht="15.75" customHeight="1">
      <c r="K175" s="6"/>
    </row>
    <row r="176" ht="15.75" customHeight="1">
      <c r="K176" s="6"/>
    </row>
    <row r="177" ht="15.75" customHeight="1">
      <c r="K177" s="6"/>
    </row>
    <row r="178" ht="15.75" customHeight="1">
      <c r="K178" s="6"/>
    </row>
    <row r="179" ht="15.75" customHeight="1">
      <c r="K179" s="6"/>
    </row>
    <row r="180" ht="15.75" customHeight="1">
      <c r="K180" s="6"/>
    </row>
    <row r="181" ht="15.75" customHeight="1">
      <c r="K181" s="6"/>
    </row>
    <row r="182" ht="15.75" customHeight="1">
      <c r="K182" s="6"/>
    </row>
    <row r="183" ht="15.75" customHeight="1">
      <c r="K183" s="6"/>
    </row>
    <row r="184" ht="15.75" customHeight="1">
      <c r="K184" s="6"/>
    </row>
    <row r="185" ht="15.75" customHeight="1">
      <c r="K185" s="6"/>
    </row>
    <row r="186" ht="15.75" customHeight="1">
      <c r="K186" s="6"/>
    </row>
    <row r="187" ht="15.75" customHeight="1">
      <c r="K187" s="6"/>
    </row>
    <row r="188" ht="15.75" customHeight="1">
      <c r="K188" s="6"/>
    </row>
    <row r="189" ht="15.75" customHeight="1">
      <c r="K189" s="6"/>
    </row>
    <row r="190" ht="15.75" customHeight="1">
      <c r="K190" s="6"/>
    </row>
    <row r="191" ht="15.75" customHeight="1">
      <c r="K191" s="6"/>
    </row>
    <row r="192" ht="15.75" customHeight="1">
      <c r="K192" s="6"/>
    </row>
    <row r="193" ht="15.75" customHeight="1">
      <c r="K193" s="6"/>
    </row>
    <row r="194" ht="15.75" customHeight="1">
      <c r="K194" s="6"/>
    </row>
    <row r="195" ht="15.75" customHeight="1">
      <c r="K195" s="6"/>
    </row>
    <row r="196" ht="15.75" customHeight="1">
      <c r="K196" s="6"/>
    </row>
    <row r="197" ht="15.75" customHeight="1">
      <c r="K197" s="6"/>
    </row>
    <row r="198" ht="15.75" customHeight="1">
      <c r="K198" s="6"/>
    </row>
    <row r="199" ht="15.75" customHeight="1">
      <c r="K199" s="6"/>
    </row>
    <row r="200" ht="15.75" customHeight="1">
      <c r="K200" s="6"/>
    </row>
    <row r="201" ht="15.75" customHeight="1">
      <c r="K201" s="6"/>
    </row>
    <row r="202" ht="15.75" customHeight="1">
      <c r="K202" s="6"/>
    </row>
    <row r="203" ht="15.75" customHeight="1">
      <c r="K203" s="6"/>
    </row>
    <row r="204" ht="15.75" customHeight="1">
      <c r="K204" s="6"/>
    </row>
    <row r="205" ht="15.75" customHeight="1">
      <c r="K205" s="6"/>
    </row>
    <row r="206" ht="15.75" customHeight="1">
      <c r="K206" s="6"/>
    </row>
    <row r="207" ht="15.75" customHeight="1">
      <c r="K207" s="6"/>
    </row>
    <row r="208" ht="15.75" customHeight="1">
      <c r="K208" s="6"/>
    </row>
    <row r="209" ht="15.75" customHeight="1">
      <c r="K209" s="6"/>
    </row>
    <row r="210" ht="15.75" customHeight="1">
      <c r="K210" s="6"/>
    </row>
    <row r="211" ht="15.75" customHeight="1">
      <c r="K211" s="6"/>
    </row>
    <row r="212" ht="15.75" customHeight="1">
      <c r="K212" s="6"/>
    </row>
    <row r="213" ht="15.75" customHeight="1">
      <c r="K213" s="6"/>
    </row>
    <row r="214" ht="15.75" customHeight="1">
      <c r="K214" s="6"/>
    </row>
    <row r="215" ht="15.75" customHeight="1">
      <c r="K215" s="6"/>
    </row>
    <row r="216" ht="15.75" customHeight="1">
      <c r="K216" s="6"/>
    </row>
    <row r="217" ht="15.75" customHeight="1">
      <c r="K217" s="6"/>
    </row>
    <row r="218" ht="15.75" customHeight="1">
      <c r="K218" s="6"/>
    </row>
    <row r="219" ht="15.75" customHeight="1">
      <c r="K219" s="6"/>
    </row>
    <row r="220" ht="15.75" customHeight="1">
      <c r="K220" s="6"/>
    </row>
    <row r="221" ht="15.75" customHeight="1">
      <c r="K221" s="6"/>
    </row>
    <row r="222" ht="15.75" customHeight="1">
      <c r="K222" s="6"/>
    </row>
    <row r="223" ht="15.75" customHeight="1">
      <c r="K223" s="6"/>
    </row>
    <row r="224" ht="15.75" customHeight="1">
      <c r="K224" s="6"/>
    </row>
    <row r="225" ht="15.75" customHeight="1">
      <c r="K225" s="6"/>
    </row>
    <row r="226" ht="15.75" customHeight="1">
      <c r="K226" s="6"/>
    </row>
    <row r="227" ht="15.75" customHeight="1">
      <c r="K227" s="6"/>
    </row>
    <row r="228" ht="15.75" customHeight="1">
      <c r="K228" s="6"/>
    </row>
    <row r="229" ht="15.75" customHeight="1">
      <c r="K229" s="6"/>
    </row>
    <row r="230" ht="15.75" customHeight="1">
      <c r="K230" s="6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29">
    <mergeCell ref="C3:K3"/>
    <mergeCell ref="C4:K4"/>
    <mergeCell ref="C5:K5"/>
    <mergeCell ref="C6:K6"/>
    <mergeCell ref="C7:K7"/>
    <mergeCell ref="C8:K8"/>
    <mergeCell ref="C9:K9"/>
    <mergeCell ref="B11:J11"/>
    <mergeCell ref="B12:C13"/>
    <mergeCell ref="D12:G12"/>
    <mergeCell ref="H12:H13"/>
    <mergeCell ref="I12:I13"/>
    <mergeCell ref="J12:J13"/>
    <mergeCell ref="K12:K13"/>
    <mergeCell ref="C20:G20"/>
    <mergeCell ref="H20:H21"/>
    <mergeCell ref="B22:B26"/>
    <mergeCell ref="B27:I27"/>
    <mergeCell ref="B29:K29"/>
    <mergeCell ref="I20:I21"/>
    <mergeCell ref="J20:J21"/>
    <mergeCell ref="K20:K21"/>
    <mergeCell ref="B14:C14"/>
    <mergeCell ref="B15:C15"/>
    <mergeCell ref="B16:C16"/>
    <mergeCell ref="B17:I17"/>
    <mergeCell ref="C18:I18"/>
    <mergeCell ref="B19:J19"/>
    <mergeCell ref="B20:B21"/>
  </mergeCells>
  <hyperlinks>
    <hyperlink r:id="rId1" ref="C9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63"/>
    <col customWidth="1" min="2" max="2" width="13.88"/>
    <col customWidth="1" min="3" max="3" width="19.0"/>
    <col customWidth="1" hidden="1" min="4" max="4" width="9.75"/>
    <col customWidth="1" hidden="1" min="5" max="5" width="8.75"/>
    <col customWidth="1" min="6" max="6" width="13.88"/>
    <col customWidth="1" min="7" max="7" width="9.63"/>
    <col customWidth="1" min="8" max="8" width="5.13"/>
    <col customWidth="1" min="9" max="9" width="16.5"/>
    <col customWidth="1" min="10" max="10" width="23.38"/>
    <col customWidth="1" min="11" max="11" width="11.88"/>
    <col customWidth="1" min="12" max="13" width="8.88"/>
    <col customWidth="1" min="14" max="14" width="28.88"/>
    <col customWidth="1" min="15" max="15" width="8.63"/>
    <col customWidth="1" min="16" max="16" width="44.13"/>
    <col customWidth="1" min="17" max="17" width="58.13"/>
    <col customWidth="1" min="22" max="22" width="45.0"/>
    <col customWidth="1" min="23" max="23" width="4.88"/>
    <col customWidth="1" min="24" max="24" width="23.88"/>
  </cols>
  <sheetData>
    <row r="1">
      <c r="A1" s="5" t="s">
        <v>1</v>
      </c>
      <c r="B1" s="17" t="s">
        <v>3</v>
      </c>
      <c r="C1" s="5" t="s">
        <v>10</v>
      </c>
      <c r="D1" s="20" t="s">
        <v>11</v>
      </c>
      <c r="E1" s="17" t="s">
        <v>13</v>
      </c>
      <c r="F1" s="17" t="s">
        <v>14</v>
      </c>
      <c r="G1" s="17" t="s">
        <v>15</v>
      </c>
      <c r="H1" s="25" t="s">
        <v>16</v>
      </c>
      <c r="I1" s="25" t="s">
        <v>19</v>
      </c>
      <c r="J1" s="25" t="s">
        <v>20</v>
      </c>
      <c r="K1" s="25" t="s">
        <v>21</v>
      </c>
      <c r="L1" s="25" t="s">
        <v>22</v>
      </c>
      <c r="M1" s="25" t="s">
        <v>23</v>
      </c>
      <c r="N1" s="17" t="s">
        <v>25</v>
      </c>
      <c r="O1" s="17" t="s">
        <v>26</v>
      </c>
      <c r="P1" s="17" t="s">
        <v>27</v>
      </c>
      <c r="Q1" s="17" t="s">
        <v>28</v>
      </c>
      <c r="R1" s="5" t="s">
        <v>29</v>
      </c>
      <c r="S1" s="20" t="s">
        <v>30</v>
      </c>
      <c r="T1" s="20" t="s">
        <v>31</v>
      </c>
      <c r="U1" s="20" t="s">
        <v>32</v>
      </c>
      <c r="V1" s="17" t="s">
        <v>18</v>
      </c>
      <c r="W1" s="2"/>
      <c r="X1" s="2"/>
      <c r="Y1" s="2"/>
      <c r="Z1" s="2"/>
      <c r="AA1" s="2"/>
    </row>
    <row r="2">
      <c r="A2" s="42">
        <f t="shared" ref="A2:A254" si="1">ROW()-1</f>
        <v>1</v>
      </c>
      <c r="B2" s="51" t="s">
        <v>41</v>
      </c>
      <c r="C2" s="53" t="s">
        <v>43</v>
      </c>
      <c r="D2" s="42" t="s">
        <v>44</v>
      </c>
      <c r="E2" s="42" t="s">
        <v>44</v>
      </c>
      <c r="F2" s="53" t="s">
        <v>46</v>
      </c>
      <c r="G2" s="53" t="s">
        <v>47</v>
      </c>
      <c r="H2" s="53" t="s">
        <v>48</v>
      </c>
      <c r="I2" s="53" t="s">
        <v>49</v>
      </c>
      <c r="J2" s="53" t="s">
        <v>50</v>
      </c>
      <c r="K2" s="53" t="s">
        <v>51</v>
      </c>
      <c r="L2" s="53" t="s">
        <v>52</v>
      </c>
      <c r="M2" s="53" t="s">
        <v>52</v>
      </c>
      <c r="N2" s="56" t="s">
        <v>53</v>
      </c>
      <c r="O2" s="56" t="s">
        <v>44</v>
      </c>
      <c r="P2" s="56" t="s">
        <v>54</v>
      </c>
      <c r="Q2" s="58" t="s">
        <v>55</v>
      </c>
      <c r="R2" s="51" t="s">
        <v>56</v>
      </c>
      <c r="S2" s="51" t="s">
        <v>57</v>
      </c>
      <c r="T2" s="60">
        <v>46296.0</v>
      </c>
      <c r="U2" s="42"/>
      <c r="V2" s="62"/>
      <c r="W2" s="64"/>
      <c r="X2" s="61"/>
      <c r="Y2" s="61"/>
      <c r="Z2" s="61"/>
      <c r="AA2" s="61"/>
    </row>
    <row r="3">
      <c r="A3" s="42">
        <f t="shared" si="1"/>
        <v>2</v>
      </c>
      <c r="B3" s="51" t="s">
        <v>41</v>
      </c>
      <c r="C3" s="53" t="s">
        <v>59</v>
      </c>
      <c r="D3" s="42" t="s">
        <v>44</v>
      </c>
      <c r="E3" s="42" t="s">
        <v>44</v>
      </c>
      <c r="F3" s="53" t="s">
        <v>46</v>
      </c>
      <c r="G3" s="53" t="s">
        <v>47</v>
      </c>
      <c r="H3" s="53" t="s">
        <v>48</v>
      </c>
      <c r="I3" s="53" t="s">
        <v>49</v>
      </c>
      <c r="J3" s="53" t="s">
        <v>50</v>
      </c>
      <c r="K3" s="53" t="s">
        <v>51</v>
      </c>
      <c r="L3" s="53" t="s">
        <v>52</v>
      </c>
      <c r="M3" s="53" t="s">
        <v>52</v>
      </c>
      <c r="N3" s="56" t="s">
        <v>61</v>
      </c>
      <c r="O3" s="56" t="s">
        <v>44</v>
      </c>
      <c r="P3" s="56" t="s">
        <v>62</v>
      </c>
      <c r="Q3" s="56" t="s">
        <v>63</v>
      </c>
      <c r="R3" s="51" t="s">
        <v>56</v>
      </c>
      <c r="S3" s="51" t="s">
        <v>57</v>
      </c>
      <c r="T3" s="60">
        <v>46296.0</v>
      </c>
      <c r="U3" s="42"/>
      <c r="V3" s="62"/>
      <c r="W3" s="64"/>
      <c r="X3" s="61"/>
      <c r="Y3" s="61"/>
      <c r="Z3" s="61"/>
      <c r="AA3" s="61"/>
    </row>
    <row r="4">
      <c r="A4" s="42">
        <f t="shared" si="1"/>
        <v>3</v>
      </c>
      <c r="B4" s="51" t="s">
        <v>41</v>
      </c>
      <c r="C4" s="53" t="s">
        <v>66</v>
      </c>
      <c r="D4" s="42" t="s">
        <v>44</v>
      </c>
      <c r="E4" s="42" t="s">
        <v>44</v>
      </c>
      <c r="F4" s="53" t="s">
        <v>46</v>
      </c>
      <c r="G4" s="53" t="s">
        <v>47</v>
      </c>
      <c r="H4" s="53" t="s">
        <v>48</v>
      </c>
      <c r="I4" s="53" t="s">
        <v>49</v>
      </c>
      <c r="J4" s="53" t="s">
        <v>50</v>
      </c>
      <c r="K4" s="53" t="s">
        <v>51</v>
      </c>
      <c r="L4" s="53" t="s">
        <v>52</v>
      </c>
      <c r="M4" s="53" t="s">
        <v>52</v>
      </c>
      <c r="N4" s="56" t="s">
        <v>61</v>
      </c>
      <c r="O4" s="56" t="s">
        <v>44</v>
      </c>
      <c r="P4" s="56" t="s">
        <v>68</v>
      </c>
      <c r="Q4" s="56" t="s">
        <v>69</v>
      </c>
      <c r="R4" s="51" t="s">
        <v>56</v>
      </c>
      <c r="S4" s="51" t="s">
        <v>57</v>
      </c>
      <c r="T4" s="60">
        <v>46296.0</v>
      </c>
      <c r="U4" s="42"/>
      <c r="V4" s="62"/>
      <c r="W4" s="64"/>
      <c r="X4" s="61"/>
      <c r="Y4" s="61"/>
      <c r="Z4" s="61"/>
      <c r="AA4" s="61"/>
    </row>
    <row r="5">
      <c r="A5" s="42">
        <f t="shared" si="1"/>
        <v>4</v>
      </c>
      <c r="B5" s="51" t="s">
        <v>41</v>
      </c>
      <c r="C5" s="53" t="s">
        <v>70</v>
      </c>
      <c r="D5" s="42" t="s">
        <v>44</v>
      </c>
      <c r="E5" s="42" t="s">
        <v>44</v>
      </c>
      <c r="F5" s="53" t="s">
        <v>46</v>
      </c>
      <c r="G5" s="53" t="s">
        <v>47</v>
      </c>
      <c r="H5" s="53" t="s">
        <v>48</v>
      </c>
      <c r="I5" s="53" t="s">
        <v>49</v>
      </c>
      <c r="J5" s="53" t="s">
        <v>50</v>
      </c>
      <c r="K5" s="53" t="s">
        <v>51</v>
      </c>
      <c r="L5" s="53" t="s">
        <v>52</v>
      </c>
      <c r="M5" s="53" t="s">
        <v>52</v>
      </c>
      <c r="N5" s="56" t="s">
        <v>74</v>
      </c>
      <c r="O5" s="56" t="s">
        <v>44</v>
      </c>
      <c r="P5" s="56" t="s">
        <v>75</v>
      </c>
      <c r="Q5" s="56" t="s">
        <v>76</v>
      </c>
      <c r="R5" s="51" t="s">
        <v>56</v>
      </c>
      <c r="S5" s="51" t="s">
        <v>57</v>
      </c>
      <c r="T5" s="60">
        <v>46296.0</v>
      </c>
      <c r="U5" s="42"/>
      <c r="V5" s="62"/>
      <c r="W5" s="64"/>
      <c r="X5" s="61"/>
      <c r="Y5" s="61"/>
      <c r="Z5" s="61"/>
      <c r="AA5" s="61"/>
    </row>
    <row r="6">
      <c r="A6" s="42">
        <f t="shared" si="1"/>
        <v>5</v>
      </c>
      <c r="B6" s="51" t="s">
        <v>41</v>
      </c>
      <c r="C6" s="53" t="s">
        <v>78</v>
      </c>
      <c r="D6" s="42" t="s">
        <v>44</v>
      </c>
      <c r="E6" s="42" t="s">
        <v>44</v>
      </c>
      <c r="F6" s="53" t="s">
        <v>46</v>
      </c>
      <c r="G6" s="53" t="s">
        <v>47</v>
      </c>
      <c r="H6" s="53" t="s">
        <v>48</v>
      </c>
      <c r="I6" s="53" t="s">
        <v>49</v>
      </c>
      <c r="J6" s="53" t="s">
        <v>50</v>
      </c>
      <c r="K6" s="53" t="s">
        <v>51</v>
      </c>
      <c r="L6" s="53" t="s">
        <v>52</v>
      </c>
      <c r="M6" s="53" t="s">
        <v>52</v>
      </c>
      <c r="N6" s="56" t="s">
        <v>74</v>
      </c>
      <c r="O6" s="56" t="s">
        <v>44</v>
      </c>
      <c r="P6" s="58" t="s">
        <v>79</v>
      </c>
      <c r="Q6" s="56" t="s">
        <v>80</v>
      </c>
      <c r="R6" s="51" t="s">
        <v>56</v>
      </c>
      <c r="S6" s="51" t="s">
        <v>57</v>
      </c>
      <c r="T6" s="60">
        <v>46296.0</v>
      </c>
      <c r="U6" s="42"/>
      <c r="V6" s="62"/>
      <c r="W6" s="64"/>
      <c r="X6" s="76"/>
      <c r="Y6" s="76"/>
      <c r="Z6" s="76"/>
      <c r="AA6" s="76"/>
    </row>
    <row r="7">
      <c r="A7" s="42">
        <f t="shared" si="1"/>
        <v>6</v>
      </c>
      <c r="B7" s="51" t="s">
        <v>41</v>
      </c>
      <c r="C7" s="53" t="s">
        <v>81</v>
      </c>
      <c r="D7" s="42" t="s">
        <v>44</v>
      </c>
      <c r="E7" s="42" t="s">
        <v>44</v>
      </c>
      <c r="F7" s="53" t="s">
        <v>46</v>
      </c>
      <c r="G7" s="53" t="s">
        <v>47</v>
      </c>
      <c r="H7" s="53" t="s">
        <v>48</v>
      </c>
      <c r="I7" s="53" t="s">
        <v>49</v>
      </c>
      <c r="J7" s="53" t="s">
        <v>50</v>
      </c>
      <c r="K7" s="53" t="s">
        <v>51</v>
      </c>
      <c r="L7" s="53" t="s">
        <v>52</v>
      </c>
      <c r="M7" s="53" t="s">
        <v>52</v>
      </c>
      <c r="N7" s="56" t="s">
        <v>74</v>
      </c>
      <c r="O7" s="56" t="s">
        <v>44</v>
      </c>
      <c r="P7" s="56" t="s">
        <v>82</v>
      </c>
      <c r="Q7" s="56" t="s">
        <v>83</v>
      </c>
      <c r="R7" s="51" t="s">
        <v>56</v>
      </c>
      <c r="S7" s="51" t="s">
        <v>57</v>
      </c>
      <c r="T7" s="60">
        <v>46296.0</v>
      </c>
      <c r="U7" s="42"/>
      <c r="V7" s="62"/>
      <c r="W7" s="64"/>
      <c r="X7" s="76"/>
      <c r="Y7" s="76"/>
      <c r="Z7" s="76"/>
      <c r="AA7" s="76"/>
    </row>
    <row r="8">
      <c r="A8" s="42">
        <f t="shared" si="1"/>
        <v>7</v>
      </c>
      <c r="B8" s="51" t="s">
        <v>41</v>
      </c>
      <c r="C8" s="53" t="s">
        <v>84</v>
      </c>
      <c r="D8" s="42" t="s">
        <v>44</v>
      </c>
      <c r="E8" s="42" t="s">
        <v>44</v>
      </c>
      <c r="F8" s="53" t="s">
        <v>46</v>
      </c>
      <c r="G8" s="53" t="s">
        <v>85</v>
      </c>
      <c r="H8" s="53" t="s">
        <v>86</v>
      </c>
      <c r="I8" s="53" t="s">
        <v>49</v>
      </c>
      <c r="J8" s="53" t="s">
        <v>50</v>
      </c>
      <c r="K8" s="53" t="s">
        <v>51</v>
      </c>
      <c r="L8" s="53" t="s">
        <v>52</v>
      </c>
      <c r="M8" s="53" t="s">
        <v>52</v>
      </c>
      <c r="N8" s="56" t="s">
        <v>87</v>
      </c>
      <c r="O8" s="56" t="s">
        <v>44</v>
      </c>
      <c r="P8" s="56" t="s">
        <v>88</v>
      </c>
      <c r="Q8" s="56" t="s">
        <v>89</v>
      </c>
      <c r="R8" s="51" t="s">
        <v>56</v>
      </c>
      <c r="S8" s="51" t="s">
        <v>57</v>
      </c>
      <c r="T8" s="60">
        <v>46296.0</v>
      </c>
      <c r="U8" s="42"/>
      <c r="V8" s="62"/>
      <c r="W8" s="64"/>
      <c r="X8" s="76"/>
      <c r="Y8" s="76"/>
      <c r="Z8" s="76"/>
      <c r="AA8" s="76"/>
    </row>
    <row r="9">
      <c r="A9" s="42">
        <f t="shared" si="1"/>
        <v>8</v>
      </c>
      <c r="B9" s="51" t="s">
        <v>41</v>
      </c>
      <c r="C9" s="53" t="s">
        <v>90</v>
      </c>
      <c r="D9" s="42" t="s">
        <v>44</v>
      </c>
      <c r="E9" s="42" t="s">
        <v>44</v>
      </c>
      <c r="F9" s="53" t="s">
        <v>46</v>
      </c>
      <c r="G9" s="53" t="s">
        <v>47</v>
      </c>
      <c r="H9" s="53" t="s">
        <v>91</v>
      </c>
      <c r="I9" s="53" t="s">
        <v>49</v>
      </c>
      <c r="J9" s="53" t="s">
        <v>50</v>
      </c>
      <c r="K9" s="53" t="s">
        <v>51</v>
      </c>
      <c r="L9" s="53" t="s">
        <v>52</v>
      </c>
      <c r="M9" s="53" t="s">
        <v>52</v>
      </c>
      <c r="N9" s="56" t="s">
        <v>87</v>
      </c>
      <c r="O9" s="56" t="s">
        <v>44</v>
      </c>
      <c r="P9" s="56" t="s">
        <v>92</v>
      </c>
      <c r="Q9" s="56" t="s">
        <v>93</v>
      </c>
      <c r="R9" s="51" t="s">
        <v>56</v>
      </c>
      <c r="S9" s="51" t="s">
        <v>57</v>
      </c>
      <c r="T9" s="60">
        <v>46296.0</v>
      </c>
      <c r="U9" s="42"/>
      <c r="V9" s="62"/>
      <c r="W9" s="64"/>
      <c r="X9" s="61"/>
      <c r="Y9" s="61"/>
      <c r="Z9" s="61"/>
      <c r="AA9" s="61"/>
    </row>
    <row r="10">
      <c r="A10" s="42">
        <f t="shared" si="1"/>
        <v>9</v>
      </c>
      <c r="B10" s="51" t="s">
        <v>41</v>
      </c>
      <c r="C10" s="53" t="s">
        <v>94</v>
      </c>
      <c r="D10" s="42" t="s">
        <v>44</v>
      </c>
      <c r="E10" s="42" t="s">
        <v>44</v>
      </c>
      <c r="F10" s="53" t="s">
        <v>46</v>
      </c>
      <c r="G10" s="53" t="s">
        <v>47</v>
      </c>
      <c r="H10" s="53" t="s">
        <v>95</v>
      </c>
      <c r="I10" s="53" t="s">
        <v>49</v>
      </c>
      <c r="J10" s="53" t="s">
        <v>50</v>
      </c>
      <c r="K10" s="53" t="s">
        <v>51</v>
      </c>
      <c r="L10" s="53" t="s">
        <v>52</v>
      </c>
      <c r="M10" s="53" t="s">
        <v>52</v>
      </c>
      <c r="N10" s="56" t="s">
        <v>96</v>
      </c>
      <c r="O10" s="56" t="s">
        <v>44</v>
      </c>
      <c r="P10" s="56" t="s">
        <v>97</v>
      </c>
      <c r="Q10" s="78" t="s">
        <v>98</v>
      </c>
      <c r="R10" s="51" t="s">
        <v>56</v>
      </c>
      <c r="S10" s="51" t="s">
        <v>57</v>
      </c>
      <c r="T10" s="60">
        <v>46296.0</v>
      </c>
      <c r="U10" s="42"/>
      <c r="V10" s="62"/>
      <c r="W10" s="64"/>
      <c r="X10" s="76"/>
      <c r="Y10" s="76"/>
      <c r="Z10" s="76"/>
      <c r="AA10" s="76"/>
    </row>
    <row r="11">
      <c r="A11" s="42">
        <f t="shared" si="1"/>
        <v>10</v>
      </c>
      <c r="B11" s="51" t="s">
        <v>41</v>
      </c>
      <c r="C11" s="53" t="s">
        <v>99</v>
      </c>
      <c r="D11" s="42" t="s">
        <v>44</v>
      </c>
      <c r="E11" s="42" t="s">
        <v>44</v>
      </c>
      <c r="F11" s="53" t="s">
        <v>46</v>
      </c>
      <c r="G11" s="53" t="s">
        <v>47</v>
      </c>
      <c r="H11" s="53" t="s">
        <v>95</v>
      </c>
      <c r="I11" s="53" t="s">
        <v>49</v>
      </c>
      <c r="J11" s="53" t="s">
        <v>50</v>
      </c>
      <c r="K11" s="53" t="s">
        <v>51</v>
      </c>
      <c r="L11" s="53" t="s">
        <v>52</v>
      </c>
      <c r="M11" s="53" t="s">
        <v>52</v>
      </c>
      <c r="N11" s="56" t="s">
        <v>96</v>
      </c>
      <c r="O11" s="56" t="s">
        <v>44</v>
      </c>
      <c r="P11" s="56" t="s">
        <v>100</v>
      </c>
      <c r="Q11" s="58" t="s">
        <v>101</v>
      </c>
      <c r="R11" s="51" t="s">
        <v>56</v>
      </c>
      <c r="S11" s="51" t="s">
        <v>57</v>
      </c>
      <c r="T11" s="60">
        <v>46296.0</v>
      </c>
      <c r="U11" s="79"/>
      <c r="V11" s="62"/>
      <c r="W11" s="64"/>
      <c r="X11" s="76"/>
      <c r="Y11" s="76"/>
      <c r="Z11" s="76"/>
      <c r="AA11" s="76"/>
    </row>
    <row r="12">
      <c r="A12" s="42">
        <f t="shared" si="1"/>
        <v>11</v>
      </c>
      <c r="B12" s="51" t="s">
        <v>41</v>
      </c>
      <c r="C12" s="53" t="s">
        <v>102</v>
      </c>
      <c r="D12" s="42" t="s">
        <v>44</v>
      </c>
      <c r="E12" s="42" t="s">
        <v>44</v>
      </c>
      <c r="F12" s="53" t="s">
        <v>46</v>
      </c>
      <c r="G12" s="53" t="s">
        <v>47</v>
      </c>
      <c r="H12" s="53" t="s">
        <v>95</v>
      </c>
      <c r="I12" s="53" t="s">
        <v>49</v>
      </c>
      <c r="J12" s="53" t="s">
        <v>50</v>
      </c>
      <c r="K12" s="53" t="s">
        <v>51</v>
      </c>
      <c r="L12" s="53" t="s">
        <v>52</v>
      </c>
      <c r="M12" s="53" t="s">
        <v>52</v>
      </c>
      <c r="N12" s="56" t="s">
        <v>103</v>
      </c>
      <c r="O12" s="56" t="s">
        <v>44</v>
      </c>
      <c r="P12" s="56" t="s">
        <v>104</v>
      </c>
      <c r="Q12" s="56" t="s">
        <v>105</v>
      </c>
      <c r="R12" s="51" t="s">
        <v>56</v>
      </c>
      <c r="S12" s="51" t="s">
        <v>57</v>
      </c>
      <c r="T12" s="60">
        <v>46296.0</v>
      </c>
      <c r="U12" s="53"/>
      <c r="V12" s="62"/>
      <c r="W12" s="64"/>
      <c r="X12" s="76"/>
      <c r="Y12" s="76"/>
      <c r="Z12" s="76"/>
      <c r="AA12" s="76"/>
    </row>
    <row r="13">
      <c r="A13" s="42">
        <f t="shared" si="1"/>
        <v>12</v>
      </c>
      <c r="B13" s="51" t="s">
        <v>41</v>
      </c>
      <c r="C13" s="53" t="s">
        <v>106</v>
      </c>
      <c r="D13" s="42" t="s">
        <v>44</v>
      </c>
      <c r="E13" s="42" t="s">
        <v>44</v>
      </c>
      <c r="F13" s="53" t="s">
        <v>46</v>
      </c>
      <c r="G13" s="53" t="s">
        <v>47</v>
      </c>
      <c r="H13" s="53" t="s">
        <v>95</v>
      </c>
      <c r="I13" s="53" t="s">
        <v>49</v>
      </c>
      <c r="J13" s="53" t="s">
        <v>50</v>
      </c>
      <c r="K13" s="53" t="s">
        <v>51</v>
      </c>
      <c r="L13" s="53" t="s">
        <v>52</v>
      </c>
      <c r="M13" s="53" t="s">
        <v>52</v>
      </c>
      <c r="N13" s="56" t="s">
        <v>107</v>
      </c>
      <c r="O13" s="56" t="s">
        <v>44</v>
      </c>
      <c r="P13" s="56" t="s">
        <v>108</v>
      </c>
      <c r="Q13" s="56" t="s">
        <v>109</v>
      </c>
      <c r="R13" s="51" t="s">
        <v>56</v>
      </c>
      <c r="S13" s="51" t="s">
        <v>57</v>
      </c>
      <c r="T13" s="60">
        <v>46296.0</v>
      </c>
      <c r="U13" s="42"/>
      <c r="V13" s="62"/>
      <c r="W13" s="64"/>
      <c r="X13" s="76"/>
      <c r="Y13" s="76"/>
      <c r="Z13" s="76"/>
      <c r="AA13" s="76"/>
    </row>
    <row r="14">
      <c r="A14" s="42">
        <f t="shared" si="1"/>
        <v>13</v>
      </c>
      <c r="B14" s="51" t="s">
        <v>41</v>
      </c>
      <c r="C14" s="53" t="s">
        <v>110</v>
      </c>
      <c r="D14" s="42" t="s">
        <v>44</v>
      </c>
      <c r="E14" s="42" t="s">
        <v>44</v>
      </c>
      <c r="F14" s="53" t="s">
        <v>46</v>
      </c>
      <c r="G14" s="53" t="s">
        <v>111</v>
      </c>
      <c r="H14" s="53" t="s">
        <v>112</v>
      </c>
      <c r="I14" s="53" t="s">
        <v>49</v>
      </c>
      <c r="J14" s="53" t="s">
        <v>50</v>
      </c>
      <c r="K14" s="53" t="s">
        <v>51</v>
      </c>
      <c r="L14" s="53" t="s">
        <v>52</v>
      </c>
      <c r="M14" s="53" t="s">
        <v>52</v>
      </c>
      <c r="N14" s="56" t="s">
        <v>87</v>
      </c>
      <c r="O14" s="56" t="s">
        <v>44</v>
      </c>
      <c r="P14" s="56" t="s">
        <v>104</v>
      </c>
      <c r="Q14" s="56" t="s">
        <v>113</v>
      </c>
      <c r="R14" s="51" t="s">
        <v>56</v>
      </c>
      <c r="S14" s="51" t="s">
        <v>57</v>
      </c>
      <c r="T14" s="60">
        <v>46296.0</v>
      </c>
      <c r="U14" s="42"/>
      <c r="V14" s="62"/>
      <c r="W14" s="64"/>
      <c r="X14" s="76"/>
      <c r="Y14" s="76"/>
      <c r="Z14" s="76"/>
      <c r="AA14" s="76"/>
    </row>
    <row r="15">
      <c r="A15" s="42">
        <f t="shared" si="1"/>
        <v>14</v>
      </c>
      <c r="B15" s="51" t="s">
        <v>41</v>
      </c>
      <c r="C15" s="53" t="s">
        <v>114</v>
      </c>
      <c r="D15" s="42" t="s">
        <v>44</v>
      </c>
      <c r="E15" s="42" t="s">
        <v>44</v>
      </c>
      <c r="F15" s="53" t="s">
        <v>46</v>
      </c>
      <c r="G15" s="53" t="s">
        <v>47</v>
      </c>
      <c r="H15" s="53" t="s">
        <v>48</v>
      </c>
      <c r="I15" s="53" t="s">
        <v>49</v>
      </c>
      <c r="J15" s="53" t="s">
        <v>50</v>
      </c>
      <c r="K15" s="53" t="s">
        <v>51</v>
      </c>
      <c r="L15" s="53" t="s">
        <v>52</v>
      </c>
      <c r="M15" s="53" t="s">
        <v>52</v>
      </c>
      <c r="N15" s="56" t="s">
        <v>61</v>
      </c>
      <c r="O15" s="56" t="s">
        <v>44</v>
      </c>
      <c r="P15" s="56" t="s">
        <v>115</v>
      </c>
      <c r="Q15" s="56" t="s">
        <v>116</v>
      </c>
      <c r="R15" s="51" t="s">
        <v>56</v>
      </c>
      <c r="S15" s="51" t="s">
        <v>57</v>
      </c>
      <c r="T15" s="60">
        <v>46296.0</v>
      </c>
      <c r="U15" s="42"/>
      <c r="V15" s="62"/>
      <c r="W15" s="64"/>
      <c r="X15" s="76"/>
      <c r="Y15" s="76"/>
      <c r="Z15" s="76"/>
      <c r="AA15" s="76"/>
    </row>
    <row r="16">
      <c r="A16" s="42">
        <f t="shared" si="1"/>
        <v>15</v>
      </c>
      <c r="B16" s="51" t="s">
        <v>41</v>
      </c>
      <c r="C16" s="53" t="s">
        <v>117</v>
      </c>
      <c r="D16" s="42" t="s">
        <v>44</v>
      </c>
      <c r="E16" s="42" t="s">
        <v>44</v>
      </c>
      <c r="F16" s="53" t="s">
        <v>46</v>
      </c>
      <c r="G16" s="53" t="s">
        <v>47</v>
      </c>
      <c r="H16" s="53" t="s">
        <v>48</v>
      </c>
      <c r="I16" s="53" t="s">
        <v>49</v>
      </c>
      <c r="J16" s="53" t="s">
        <v>50</v>
      </c>
      <c r="K16" s="53" t="s">
        <v>51</v>
      </c>
      <c r="L16" s="53" t="s">
        <v>52</v>
      </c>
      <c r="M16" s="53" t="s">
        <v>52</v>
      </c>
      <c r="N16" s="56" t="s">
        <v>61</v>
      </c>
      <c r="O16" s="56" t="s">
        <v>44</v>
      </c>
      <c r="P16" s="56" t="s">
        <v>118</v>
      </c>
      <c r="Q16" s="56" t="s">
        <v>119</v>
      </c>
      <c r="R16" s="51" t="s">
        <v>56</v>
      </c>
      <c r="S16" s="51" t="s">
        <v>57</v>
      </c>
      <c r="T16" s="60">
        <v>46296.0</v>
      </c>
      <c r="U16" s="42"/>
      <c r="V16" s="62"/>
      <c r="W16" s="64"/>
      <c r="X16" s="76"/>
      <c r="Y16" s="76"/>
      <c r="Z16" s="76"/>
      <c r="AA16" s="76"/>
    </row>
    <row r="17">
      <c r="A17" s="42">
        <f t="shared" si="1"/>
        <v>16</v>
      </c>
      <c r="B17" s="51" t="s">
        <v>41</v>
      </c>
      <c r="C17" s="53" t="s">
        <v>120</v>
      </c>
      <c r="D17" s="42" t="s">
        <v>44</v>
      </c>
      <c r="E17" s="42" t="s">
        <v>44</v>
      </c>
      <c r="F17" s="53" t="s">
        <v>46</v>
      </c>
      <c r="G17" s="53" t="s">
        <v>47</v>
      </c>
      <c r="H17" s="53" t="s">
        <v>48</v>
      </c>
      <c r="I17" s="53" t="s">
        <v>49</v>
      </c>
      <c r="J17" s="53" t="s">
        <v>50</v>
      </c>
      <c r="K17" s="53" t="s">
        <v>51</v>
      </c>
      <c r="L17" s="53" t="s">
        <v>52</v>
      </c>
      <c r="M17" s="53" t="s">
        <v>52</v>
      </c>
      <c r="N17" s="56" t="s">
        <v>121</v>
      </c>
      <c r="O17" s="56" t="s">
        <v>44</v>
      </c>
      <c r="P17" s="56" t="s">
        <v>122</v>
      </c>
      <c r="Q17" s="56" t="s">
        <v>123</v>
      </c>
      <c r="R17" s="51" t="s">
        <v>56</v>
      </c>
      <c r="S17" s="51" t="s">
        <v>57</v>
      </c>
      <c r="T17" s="60">
        <v>46296.0</v>
      </c>
      <c r="U17" s="42"/>
      <c r="V17" s="62"/>
      <c r="W17" s="64"/>
      <c r="X17" s="76"/>
      <c r="Y17" s="76"/>
      <c r="Z17" s="76"/>
      <c r="AA17" s="76"/>
    </row>
    <row r="18">
      <c r="A18" s="42">
        <f t="shared" si="1"/>
        <v>17</v>
      </c>
      <c r="B18" s="51" t="s">
        <v>41</v>
      </c>
      <c r="C18" s="53" t="s">
        <v>124</v>
      </c>
      <c r="D18" s="42" t="s">
        <v>44</v>
      </c>
      <c r="E18" s="42" t="s">
        <v>44</v>
      </c>
      <c r="F18" s="53" t="s">
        <v>46</v>
      </c>
      <c r="G18" s="53" t="s">
        <v>111</v>
      </c>
      <c r="H18" s="53" t="s">
        <v>91</v>
      </c>
      <c r="I18" s="53" t="s">
        <v>49</v>
      </c>
      <c r="J18" s="53" t="s">
        <v>50</v>
      </c>
      <c r="K18" s="53" t="s">
        <v>51</v>
      </c>
      <c r="L18" s="53" t="s">
        <v>52</v>
      </c>
      <c r="M18" s="53" t="s">
        <v>52</v>
      </c>
      <c r="N18" s="56" t="s">
        <v>126</v>
      </c>
      <c r="O18" s="56" t="s">
        <v>44</v>
      </c>
      <c r="P18" s="56" t="s">
        <v>127</v>
      </c>
      <c r="Q18" s="56" t="s">
        <v>128</v>
      </c>
      <c r="R18" s="51" t="s">
        <v>56</v>
      </c>
      <c r="S18" s="51" t="s">
        <v>57</v>
      </c>
      <c r="T18" s="60">
        <v>46296.0</v>
      </c>
      <c r="U18" s="42"/>
      <c r="V18" s="62"/>
      <c r="W18" s="64"/>
      <c r="X18" s="76"/>
      <c r="Y18" s="76"/>
      <c r="Z18" s="76"/>
      <c r="AA18" s="76"/>
    </row>
    <row r="19">
      <c r="A19" s="42">
        <f t="shared" si="1"/>
        <v>18</v>
      </c>
      <c r="B19" s="51" t="s">
        <v>41</v>
      </c>
      <c r="C19" s="53" t="s">
        <v>129</v>
      </c>
      <c r="D19" s="42" t="s">
        <v>44</v>
      </c>
      <c r="E19" s="42" t="s">
        <v>44</v>
      </c>
      <c r="F19" s="53" t="s">
        <v>46</v>
      </c>
      <c r="G19" s="53" t="s">
        <v>47</v>
      </c>
      <c r="H19" s="53" t="s">
        <v>48</v>
      </c>
      <c r="I19" s="53" t="s">
        <v>49</v>
      </c>
      <c r="J19" s="53" t="s">
        <v>50</v>
      </c>
      <c r="K19" s="53" t="s">
        <v>51</v>
      </c>
      <c r="L19" s="53" t="s">
        <v>52</v>
      </c>
      <c r="M19" s="53" t="s">
        <v>52</v>
      </c>
      <c r="N19" s="56" t="s">
        <v>61</v>
      </c>
      <c r="O19" s="56" t="s">
        <v>44</v>
      </c>
      <c r="P19" s="56" t="s">
        <v>130</v>
      </c>
      <c r="Q19" s="56" t="s">
        <v>131</v>
      </c>
      <c r="R19" s="51" t="s">
        <v>56</v>
      </c>
      <c r="S19" s="51" t="s">
        <v>57</v>
      </c>
      <c r="T19" s="60">
        <v>46296.0</v>
      </c>
      <c r="U19" s="42"/>
      <c r="V19" s="62"/>
      <c r="W19" s="64"/>
      <c r="X19" s="76"/>
      <c r="Y19" s="76"/>
      <c r="Z19" s="76"/>
      <c r="AA19" s="76"/>
    </row>
    <row r="20">
      <c r="A20" s="42">
        <f t="shared" si="1"/>
        <v>19</v>
      </c>
      <c r="B20" s="51" t="s">
        <v>41</v>
      </c>
      <c r="C20" s="53" t="s">
        <v>132</v>
      </c>
      <c r="D20" s="42" t="s">
        <v>44</v>
      </c>
      <c r="E20" s="42" t="s">
        <v>44</v>
      </c>
      <c r="F20" s="53" t="s">
        <v>46</v>
      </c>
      <c r="G20" s="53" t="s">
        <v>47</v>
      </c>
      <c r="H20" s="53" t="s">
        <v>48</v>
      </c>
      <c r="I20" s="53" t="s">
        <v>49</v>
      </c>
      <c r="J20" s="53" t="s">
        <v>50</v>
      </c>
      <c r="K20" s="53" t="s">
        <v>51</v>
      </c>
      <c r="L20" s="53" t="s">
        <v>52</v>
      </c>
      <c r="M20" s="53" t="s">
        <v>52</v>
      </c>
      <c r="N20" s="56" t="s">
        <v>61</v>
      </c>
      <c r="O20" s="56" t="s">
        <v>44</v>
      </c>
      <c r="P20" s="56" t="s">
        <v>133</v>
      </c>
      <c r="Q20" s="56" t="s">
        <v>134</v>
      </c>
      <c r="R20" s="51" t="s">
        <v>56</v>
      </c>
      <c r="S20" s="51" t="s">
        <v>57</v>
      </c>
      <c r="T20" s="60">
        <v>46296.0</v>
      </c>
      <c r="U20" s="42"/>
      <c r="V20" s="62"/>
      <c r="W20" s="64"/>
      <c r="X20" s="76"/>
      <c r="Y20" s="76"/>
      <c r="Z20" s="76"/>
      <c r="AA20" s="76"/>
    </row>
    <row r="21">
      <c r="A21" s="42">
        <f t="shared" si="1"/>
        <v>20</v>
      </c>
      <c r="B21" s="51" t="s">
        <v>41</v>
      </c>
      <c r="C21" s="53" t="s">
        <v>135</v>
      </c>
      <c r="D21" s="42" t="s">
        <v>44</v>
      </c>
      <c r="E21" s="42" t="s">
        <v>44</v>
      </c>
      <c r="F21" s="53" t="s">
        <v>46</v>
      </c>
      <c r="G21" s="53" t="s">
        <v>47</v>
      </c>
      <c r="H21" s="53" t="s">
        <v>95</v>
      </c>
      <c r="I21" s="53" t="s">
        <v>49</v>
      </c>
      <c r="J21" s="53" t="s">
        <v>50</v>
      </c>
      <c r="K21" s="53" t="s">
        <v>51</v>
      </c>
      <c r="L21" s="53" t="s">
        <v>52</v>
      </c>
      <c r="M21" s="53" t="s">
        <v>52</v>
      </c>
      <c r="N21" s="56" t="s">
        <v>136</v>
      </c>
      <c r="O21" s="56" t="s">
        <v>44</v>
      </c>
      <c r="P21" s="56" t="s">
        <v>137</v>
      </c>
      <c r="Q21" s="56" t="s">
        <v>138</v>
      </c>
      <c r="R21" s="53"/>
      <c r="S21" s="53" t="s">
        <v>44</v>
      </c>
      <c r="T21" s="82"/>
      <c r="U21" s="42"/>
      <c r="V21" s="62"/>
      <c r="W21" s="64"/>
      <c r="X21" s="76"/>
      <c r="Y21" s="76"/>
      <c r="Z21" s="76"/>
      <c r="AA21" s="76"/>
    </row>
    <row r="22">
      <c r="A22" s="42">
        <f t="shared" si="1"/>
        <v>21</v>
      </c>
      <c r="B22" s="51" t="s">
        <v>41</v>
      </c>
      <c r="C22" s="53" t="s">
        <v>139</v>
      </c>
      <c r="D22" s="42" t="s">
        <v>44</v>
      </c>
      <c r="E22" s="42" t="s">
        <v>44</v>
      </c>
      <c r="F22" s="53" t="s">
        <v>46</v>
      </c>
      <c r="G22" s="53" t="s">
        <v>111</v>
      </c>
      <c r="H22" s="53" t="s">
        <v>91</v>
      </c>
      <c r="I22" s="53" t="s">
        <v>49</v>
      </c>
      <c r="J22" s="53" t="s">
        <v>50</v>
      </c>
      <c r="K22" s="53" t="s">
        <v>51</v>
      </c>
      <c r="L22" s="53" t="s">
        <v>52</v>
      </c>
      <c r="M22" s="53" t="s">
        <v>52</v>
      </c>
      <c r="N22" s="56" t="s">
        <v>140</v>
      </c>
      <c r="O22" s="56" t="s">
        <v>44</v>
      </c>
      <c r="P22" s="56" t="s">
        <v>141</v>
      </c>
      <c r="Q22" s="58" t="s">
        <v>142</v>
      </c>
      <c r="R22" s="51" t="s">
        <v>56</v>
      </c>
      <c r="S22" s="51" t="s">
        <v>57</v>
      </c>
      <c r="T22" s="60">
        <v>46296.0</v>
      </c>
      <c r="U22" s="42"/>
      <c r="V22" s="62"/>
      <c r="W22" s="64"/>
      <c r="X22" s="76"/>
      <c r="Y22" s="76"/>
      <c r="Z22" s="76"/>
      <c r="AA22" s="76"/>
    </row>
    <row r="23">
      <c r="A23" s="42">
        <f t="shared" si="1"/>
        <v>22</v>
      </c>
      <c r="B23" s="51" t="s">
        <v>41</v>
      </c>
      <c r="C23" s="53" t="s">
        <v>143</v>
      </c>
      <c r="D23" s="42" t="s">
        <v>44</v>
      </c>
      <c r="E23" s="42" t="s">
        <v>44</v>
      </c>
      <c r="F23" s="53" t="s">
        <v>46</v>
      </c>
      <c r="G23" s="53" t="s">
        <v>47</v>
      </c>
      <c r="H23" s="53" t="s">
        <v>48</v>
      </c>
      <c r="I23" s="53" t="s">
        <v>49</v>
      </c>
      <c r="J23" s="53" t="s">
        <v>144</v>
      </c>
      <c r="K23" s="53" t="s">
        <v>51</v>
      </c>
      <c r="L23" s="53" t="s">
        <v>52</v>
      </c>
      <c r="M23" s="53" t="s">
        <v>52</v>
      </c>
      <c r="N23" s="56" t="s">
        <v>145</v>
      </c>
      <c r="O23" s="56" t="s">
        <v>44</v>
      </c>
      <c r="P23" s="56" t="s">
        <v>146</v>
      </c>
      <c r="Q23" s="56" t="s">
        <v>147</v>
      </c>
      <c r="R23" s="51" t="s">
        <v>56</v>
      </c>
      <c r="S23" s="51" t="s">
        <v>57</v>
      </c>
      <c r="T23" s="60">
        <v>46296.0</v>
      </c>
      <c r="U23" s="42"/>
      <c r="V23" s="62"/>
      <c r="W23" s="64"/>
      <c r="X23" s="76"/>
      <c r="Y23" s="76"/>
      <c r="Z23" s="76"/>
      <c r="AA23" s="76"/>
    </row>
    <row r="24">
      <c r="A24" s="42">
        <f t="shared" si="1"/>
        <v>23</v>
      </c>
      <c r="B24" s="51" t="s">
        <v>41</v>
      </c>
      <c r="C24" s="53" t="s">
        <v>148</v>
      </c>
      <c r="D24" s="42" t="s">
        <v>44</v>
      </c>
      <c r="E24" s="42" t="s">
        <v>44</v>
      </c>
      <c r="F24" s="53" t="s">
        <v>46</v>
      </c>
      <c r="G24" s="53" t="s">
        <v>47</v>
      </c>
      <c r="H24" s="53" t="s">
        <v>48</v>
      </c>
      <c r="I24" s="53" t="s">
        <v>49</v>
      </c>
      <c r="J24" s="53" t="s">
        <v>144</v>
      </c>
      <c r="K24" s="53" t="s">
        <v>51</v>
      </c>
      <c r="L24" s="53" t="s">
        <v>52</v>
      </c>
      <c r="M24" s="53" t="s">
        <v>52</v>
      </c>
      <c r="N24" s="56" t="s">
        <v>145</v>
      </c>
      <c r="O24" s="56" t="s">
        <v>44</v>
      </c>
      <c r="P24" s="56" t="s">
        <v>149</v>
      </c>
      <c r="Q24" s="58" t="s">
        <v>150</v>
      </c>
      <c r="R24" s="51" t="s">
        <v>56</v>
      </c>
      <c r="S24" s="51" t="s">
        <v>57</v>
      </c>
      <c r="T24" s="60">
        <v>46296.0</v>
      </c>
      <c r="U24" s="42"/>
      <c r="V24" s="62"/>
      <c r="W24" s="64"/>
      <c r="X24" s="76"/>
      <c r="Y24" s="76"/>
      <c r="Z24" s="76"/>
      <c r="AA24" s="76"/>
    </row>
    <row r="25">
      <c r="A25" s="42">
        <f t="shared" si="1"/>
        <v>24</v>
      </c>
      <c r="B25" s="51" t="s">
        <v>41</v>
      </c>
      <c r="C25" s="53" t="s">
        <v>151</v>
      </c>
      <c r="D25" s="42" t="s">
        <v>44</v>
      </c>
      <c r="E25" s="42" t="s">
        <v>44</v>
      </c>
      <c r="F25" s="53" t="s">
        <v>46</v>
      </c>
      <c r="G25" s="53" t="s">
        <v>47</v>
      </c>
      <c r="H25" s="53" t="s">
        <v>48</v>
      </c>
      <c r="I25" s="53" t="s">
        <v>49</v>
      </c>
      <c r="J25" s="53" t="s">
        <v>144</v>
      </c>
      <c r="K25" s="53" t="s">
        <v>51</v>
      </c>
      <c r="L25" s="53" t="s">
        <v>52</v>
      </c>
      <c r="M25" s="53" t="s">
        <v>52</v>
      </c>
      <c r="N25" s="56" t="s">
        <v>145</v>
      </c>
      <c r="O25" s="56" t="s">
        <v>44</v>
      </c>
      <c r="P25" s="56" t="s">
        <v>152</v>
      </c>
      <c r="Q25" s="56" t="s">
        <v>153</v>
      </c>
      <c r="R25" s="51" t="s">
        <v>56</v>
      </c>
      <c r="S25" s="51" t="s">
        <v>57</v>
      </c>
      <c r="T25" s="60">
        <v>46296.0</v>
      </c>
      <c r="U25" s="42"/>
      <c r="V25" s="62"/>
      <c r="W25" s="64"/>
      <c r="X25" s="76"/>
      <c r="Y25" s="76"/>
      <c r="Z25" s="76"/>
      <c r="AA25" s="76"/>
    </row>
    <row r="26">
      <c r="A26" s="42">
        <f t="shared" si="1"/>
        <v>25</v>
      </c>
      <c r="B26" s="51" t="s">
        <v>41</v>
      </c>
      <c r="C26" s="53" t="s">
        <v>155</v>
      </c>
      <c r="D26" s="42" t="s">
        <v>44</v>
      </c>
      <c r="E26" s="42" t="s">
        <v>44</v>
      </c>
      <c r="F26" s="53" t="s">
        <v>46</v>
      </c>
      <c r="G26" s="53" t="s">
        <v>47</v>
      </c>
      <c r="H26" s="53" t="s">
        <v>48</v>
      </c>
      <c r="I26" s="53" t="s">
        <v>49</v>
      </c>
      <c r="J26" s="53" t="s">
        <v>144</v>
      </c>
      <c r="K26" s="53" t="s">
        <v>51</v>
      </c>
      <c r="L26" s="53" t="s">
        <v>52</v>
      </c>
      <c r="M26" s="53" t="s">
        <v>52</v>
      </c>
      <c r="N26" s="56" t="s">
        <v>145</v>
      </c>
      <c r="O26" s="56" t="s">
        <v>44</v>
      </c>
      <c r="P26" s="56" t="s">
        <v>156</v>
      </c>
      <c r="Q26" s="56" t="s">
        <v>157</v>
      </c>
      <c r="R26" s="51" t="s">
        <v>56</v>
      </c>
      <c r="S26" s="51" t="s">
        <v>57</v>
      </c>
      <c r="T26" s="60">
        <v>46296.0</v>
      </c>
      <c r="U26" s="42"/>
      <c r="V26" s="62"/>
      <c r="W26" s="64"/>
      <c r="X26" s="76"/>
      <c r="Y26" s="76"/>
      <c r="Z26" s="76"/>
      <c r="AA26" s="76"/>
    </row>
    <row r="27">
      <c r="A27" s="42">
        <f t="shared" si="1"/>
        <v>26</v>
      </c>
      <c r="B27" s="51" t="s">
        <v>41</v>
      </c>
      <c r="C27" s="53" t="s">
        <v>158</v>
      </c>
      <c r="D27" s="42" t="s">
        <v>44</v>
      </c>
      <c r="E27" s="42" t="s">
        <v>44</v>
      </c>
      <c r="F27" s="53" t="s">
        <v>46</v>
      </c>
      <c r="G27" s="53" t="s">
        <v>47</v>
      </c>
      <c r="H27" s="53" t="s">
        <v>48</v>
      </c>
      <c r="I27" s="53" t="s">
        <v>49</v>
      </c>
      <c r="J27" s="53" t="s">
        <v>144</v>
      </c>
      <c r="K27" s="53" t="s">
        <v>51</v>
      </c>
      <c r="L27" s="53" t="s">
        <v>52</v>
      </c>
      <c r="M27" s="53" t="s">
        <v>52</v>
      </c>
      <c r="N27" s="56" t="s">
        <v>145</v>
      </c>
      <c r="O27" s="56" t="s">
        <v>44</v>
      </c>
      <c r="P27" s="56" t="s">
        <v>159</v>
      </c>
      <c r="Q27" s="56" t="s">
        <v>160</v>
      </c>
      <c r="R27" s="51" t="s">
        <v>56</v>
      </c>
      <c r="S27" s="51" t="s">
        <v>57</v>
      </c>
      <c r="T27" s="60">
        <v>46296.0</v>
      </c>
      <c r="U27" s="53"/>
      <c r="V27" s="62"/>
      <c r="W27" s="64"/>
      <c r="X27" s="76"/>
      <c r="Y27" s="76"/>
      <c r="Z27" s="76"/>
      <c r="AA27" s="76"/>
    </row>
    <row r="28">
      <c r="A28" s="42">
        <f t="shared" si="1"/>
        <v>27</v>
      </c>
      <c r="B28" s="51" t="s">
        <v>41</v>
      </c>
      <c r="C28" s="53" t="s">
        <v>161</v>
      </c>
      <c r="D28" s="42" t="s">
        <v>44</v>
      </c>
      <c r="E28" s="42" t="s">
        <v>44</v>
      </c>
      <c r="F28" s="53" t="s">
        <v>46</v>
      </c>
      <c r="G28" s="53" t="s">
        <v>47</v>
      </c>
      <c r="H28" s="53" t="s">
        <v>48</v>
      </c>
      <c r="I28" s="53" t="s">
        <v>49</v>
      </c>
      <c r="J28" s="53" t="s">
        <v>144</v>
      </c>
      <c r="K28" s="53" t="s">
        <v>51</v>
      </c>
      <c r="L28" s="53" t="s">
        <v>52</v>
      </c>
      <c r="M28" s="53" t="s">
        <v>52</v>
      </c>
      <c r="N28" s="56" t="s">
        <v>145</v>
      </c>
      <c r="O28" s="56" t="s">
        <v>44</v>
      </c>
      <c r="P28" s="56" t="s">
        <v>162</v>
      </c>
      <c r="Q28" s="56" t="s">
        <v>163</v>
      </c>
      <c r="R28" s="51" t="s">
        <v>56</v>
      </c>
      <c r="S28" s="51" t="s">
        <v>57</v>
      </c>
      <c r="T28" s="60">
        <v>46296.0</v>
      </c>
      <c r="U28" s="42"/>
      <c r="V28" s="62"/>
      <c r="W28" s="64"/>
      <c r="X28" s="76"/>
      <c r="Y28" s="76"/>
      <c r="Z28" s="76"/>
      <c r="AA28" s="76"/>
    </row>
    <row r="29">
      <c r="A29" s="42">
        <f t="shared" si="1"/>
        <v>28</v>
      </c>
      <c r="B29" s="51" t="s">
        <v>41</v>
      </c>
      <c r="C29" s="53" t="s">
        <v>165</v>
      </c>
      <c r="D29" s="42" t="s">
        <v>44</v>
      </c>
      <c r="E29" s="42" t="s">
        <v>44</v>
      </c>
      <c r="F29" s="53" t="s">
        <v>46</v>
      </c>
      <c r="G29" s="53" t="s">
        <v>47</v>
      </c>
      <c r="H29" s="53" t="s">
        <v>48</v>
      </c>
      <c r="I29" s="53" t="s">
        <v>49</v>
      </c>
      <c r="J29" s="53" t="s">
        <v>144</v>
      </c>
      <c r="K29" s="53" t="s">
        <v>51</v>
      </c>
      <c r="L29" s="53" t="s">
        <v>52</v>
      </c>
      <c r="M29" s="53" t="s">
        <v>52</v>
      </c>
      <c r="N29" s="56" t="s">
        <v>145</v>
      </c>
      <c r="O29" s="56" t="s">
        <v>44</v>
      </c>
      <c r="P29" s="56" t="s">
        <v>166</v>
      </c>
      <c r="Q29" s="56" t="s">
        <v>167</v>
      </c>
      <c r="R29" s="51" t="s">
        <v>56</v>
      </c>
      <c r="S29" s="51" t="s">
        <v>57</v>
      </c>
      <c r="T29" s="60">
        <v>46296.0</v>
      </c>
      <c r="U29" s="42"/>
      <c r="V29" s="62"/>
      <c r="W29" s="64"/>
      <c r="X29" s="76"/>
      <c r="Y29" s="76"/>
      <c r="Z29" s="76"/>
      <c r="AA29" s="76"/>
    </row>
    <row r="30">
      <c r="A30" s="42">
        <f t="shared" si="1"/>
        <v>29</v>
      </c>
      <c r="B30" s="51" t="s">
        <v>41</v>
      </c>
      <c r="C30" s="53" t="s">
        <v>168</v>
      </c>
      <c r="D30" s="42" t="s">
        <v>44</v>
      </c>
      <c r="E30" s="42" t="s">
        <v>44</v>
      </c>
      <c r="F30" s="53" t="s">
        <v>46</v>
      </c>
      <c r="G30" s="53" t="s">
        <v>47</v>
      </c>
      <c r="H30" s="53" t="s">
        <v>48</v>
      </c>
      <c r="I30" s="53" t="s">
        <v>49</v>
      </c>
      <c r="J30" s="53" t="s">
        <v>144</v>
      </c>
      <c r="K30" s="53" t="s">
        <v>51</v>
      </c>
      <c r="L30" s="53" t="s">
        <v>52</v>
      </c>
      <c r="M30" s="53" t="s">
        <v>52</v>
      </c>
      <c r="N30" s="56" t="s">
        <v>169</v>
      </c>
      <c r="O30" s="56" t="s">
        <v>44</v>
      </c>
      <c r="P30" s="56" t="s">
        <v>171</v>
      </c>
      <c r="Q30" s="56" t="s">
        <v>172</v>
      </c>
      <c r="R30" s="51" t="s">
        <v>56</v>
      </c>
      <c r="S30" s="51" t="s">
        <v>57</v>
      </c>
      <c r="T30" s="60">
        <v>46296.0</v>
      </c>
      <c r="U30" s="53"/>
      <c r="V30" s="62"/>
      <c r="W30" s="64"/>
      <c r="X30" s="76"/>
      <c r="Y30" s="76"/>
      <c r="Z30" s="76"/>
      <c r="AA30" s="76"/>
    </row>
    <row r="31">
      <c r="A31" s="42">
        <f t="shared" si="1"/>
        <v>30</v>
      </c>
      <c r="B31" s="51" t="s">
        <v>41</v>
      </c>
      <c r="C31" s="53" t="s">
        <v>173</v>
      </c>
      <c r="D31" s="42" t="s">
        <v>44</v>
      </c>
      <c r="E31" s="42" t="s">
        <v>44</v>
      </c>
      <c r="F31" s="53" t="s">
        <v>46</v>
      </c>
      <c r="G31" s="53" t="s">
        <v>47</v>
      </c>
      <c r="H31" s="53" t="s">
        <v>91</v>
      </c>
      <c r="I31" s="53" t="s">
        <v>49</v>
      </c>
      <c r="J31" s="53" t="s">
        <v>144</v>
      </c>
      <c r="K31" s="53" t="s">
        <v>51</v>
      </c>
      <c r="L31" s="53" t="s">
        <v>52</v>
      </c>
      <c r="M31" s="53" t="s">
        <v>52</v>
      </c>
      <c r="N31" s="56" t="s">
        <v>145</v>
      </c>
      <c r="O31" s="56" t="s">
        <v>44</v>
      </c>
      <c r="P31" s="56" t="s">
        <v>174</v>
      </c>
      <c r="Q31" s="58" t="s">
        <v>175</v>
      </c>
      <c r="R31" s="51" t="s">
        <v>56</v>
      </c>
      <c r="S31" s="51" t="s">
        <v>57</v>
      </c>
      <c r="T31" s="60">
        <v>46296.0</v>
      </c>
      <c r="U31" s="42"/>
      <c r="V31" s="62"/>
      <c r="W31" s="64"/>
      <c r="X31" s="76"/>
      <c r="Y31" s="76"/>
      <c r="Z31" s="76"/>
      <c r="AA31" s="76"/>
    </row>
    <row r="32">
      <c r="A32" s="42">
        <f t="shared" si="1"/>
        <v>31</v>
      </c>
      <c r="B32" s="51" t="s">
        <v>41</v>
      </c>
      <c r="C32" s="53" t="s">
        <v>176</v>
      </c>
      <c r="D32" s="42" t="s">
        <v>44</v>
      </c>
      <c r="E32" s="42" t="s">
        <v>44</v>
      </c>
      <c r="F32" s="53" t="s">
        <v>46</v>
      </c>
      <c r="G32" s="53" t="s">
        <v>85</v>
      </c>
      <c r="H32" s="53" t="s">
        <v>86</v>
      </c>
      <c r="I32" s="53" t="s">
        <v>49</v>
      </c>
      <c r="J32" s="53" t="s">
        <v>144</v>
      </c>
      <c r="K32" s="53" t="s">
        <v>51</v>
      </c>
      <c r="L32" s="53" t="s">
        <v>52</v>
      </c>
      <c r="M32" s="53" t="s">
        <v>52</v>
      </c>
      <c r="N32" s="56" t="s">
        <v>177</v>
      </c>
      <c r="O32" s="56" t="s">
        <v>44</v>
      </c>
      <c r="P32" s="56" t="s">
        <v>178</v>
      </c>
      <c r="Q32" s="58" t="s">
        <v>179</v>
      </c>
      <c r="R32" s="51" t="s">
        <v>56</v>
      </c>
      <c r="S32" s="51" t="s">
        <v>57</v>
      </c>
      <c r="T32" s="60">
        <v>46296.0</v>
      </c>
      <c r="U32" s="42"/>
      <c r="V32" s="62"/>
      <c r="W32" s="64"/>
      <c r="X32" s="76"/>
      <c r="Y32" s="76"/>
      <c r="Z32" s="76"/>
      <c r="AA32" s="76"/>
    </row>
    <row r="33">
      <c r="A33" s="42">
        <f t="shared" si="1"/>
        <v>32</v>
      </c>
      <c r="B33" s="51" t="s">
        <v>41</v>
      </c>
      <c r="C33" s="53" t="s">
        <v>180</v>
      </c>
      <c r="D33" s="42" t="s">
        <v>44</v>
      </c>
      <c r="E33" s="42" t="s">
        <v>44</v>
      </c>
      <c r="F33" s="53" t="s">
        <v>46</v>
      </c>
      <c r="G33" s="53" t="s">
        <v>47</v>
      </c>
      <c r="H33" s="53" t="s">
        <v>48</v>
      </c>
      <c r="I33" s="53" t="s">
        <v>49</v>
      </c>
      <c r="J33" s="53" t="s">
        <v>144</v>
      </c>
      <c r="K33" s="53" t="s">
        <v>51</v>
      </c>
      <c r="L33" s="53" t="s">
        <v>52</v>
      </c>
      <c r="M33" s="53" t="s">
        <v>52</v>
      </c>
      <c r="N33" s="56" t="s">
        <v>145</v>
      </c>
      <c r="O33" s="56" t="s">
        <v>44</v>
      </c>
      <c r="P33" s="56" t="s">
        <v>181</v>
      </c>
      <c r="Q33" s="56" t="s">
        <v>182</v>
      </c>
      <c r="R33" s="51" t="s">
        <v>56</v>
      </c>
      <c r="S33" s="51" t="s">
        <v>57</v>
      </c>
      <c r="T33" s="60">
        <v>46296.0</v>
      </c>
      <c r="U33" s="42"/>
      <c r="V33" s="62"/>
      <c r="W33" s="64"/>
      <c r="X33" s="76"/>
      <c r="Y33" s="76"/>
      <c r="Z33" s="76"/>
      <c r="AA33" s="76"/>
    </row>
    <row r="34">
      <c r="A34" s="42">
        <f t="shared" si="1"/>
        <v>33</v>
      </c>
      <c r="B34" s="51" t="s">
        <v>41</v>
      </c>
      <c r="C34" s="53" t="s">
        <v>184</v>
      </c>
      <c r="D34" s="42" t="s">
        <v>44</v>
      </c>
      <c r="E34" s="42" t="s">
        <v>44</v>
      </c>
      <c r="F34" s="53" t="s">
        <v>46</v>
      </c>
      <c r="G34" s="53" t="s">
        <v>47</v>
      </c>
      <c r="H34" s="53" t="s">
        <v>48</v>
      </c>
      <c r="I34" s="53" t="s">
        <v>49</v>
      </c>
      <c r="J34" s="53" t="s">
        <v>144</v>
      </c>
      <c r="K34" s="53" t="s">
        <v>51</v>
      </c>
      <c r="L34" s="53" t="s">
        <v>52</v>
      </c>
      <c r="M34" s="53" t="s">
        <v>52</v>
      </c>
      <c r="N34" s="56" t="s">
        <v>145</v>
      </c>
      <c r="O34" s="56" t="s">
        <v>44</v>
      </c>
      <c r="P34" s="56" t="s">
        <v>185</v>
      </c>
      <c r="Q34" s="56" t="s">
        <v>186</v>
      </c>
      <c r="R34" s="51" t="s">
        <v>56</v>
      </c>
      <c r="S34" s="51" t="s">
        <v>57</v>
      </c>
      <c r="T34" s="60">
        <v>46296.0</v>
      </c>
      <c r="U34" s="53"/>
      <c r="V34" s="62"/>
      <c r="W34" s="64"/>
      <c r="X34" s="76"/>
      <c r="Y34" s="76"/>
      <c r="Z34" s="76"/>
      <c r="AA34" s="76"/>
    </row>
    <row r="35">
      <c r="A35" s="42">
        <f t="shared" si="1"/>
        <v>34</v>
      </c>
      <c r="B35" s="51" t="s">
        <v>41</v>
      </c>
      <c r="C35" s="53" t="s">
        <v>187</v>
      </c>
      <c r="D35" s="42" t="s">
        <v>44</v>
      </c>
      <c r="E35" s="42" t="s">
        <v>44</v>
      </c>
      <c r="F35" s="53" t="s">
        <v>46</v>
      </c>
      <c r="G35" s="53" t="s">
        <v>47</v>
      </c>
      <c r="H35" s="53" t="s">
        <v>91</v>
      </c>
      <c r="I35" s="53" t="s">
        <v>49</v>
      </c>
      <c r="J35" s="53" t="s">
        <v>144</v>
      </c>
      <c r="K35" s="53" t="s">
        <v>51</v>
      </c>
      <c r="L35" s="53" t="s">
        <v>52</v>
      </c>
      <c r="M35" s="53" t="s">
        <v>52</v>
      </c>
      <c r="N35" s="56" t="s">
        <v>169</v>
      </c>
      <c r="O35" s="56" t="s">
        <v>44</v>
      </c>
      <c r="P35" s="56" t="s">
        <v>188</v>
      </c>
      <c r="Q35" s="58" t="s">
        <v>189</v>
      </c>
      <c r="R35" s="51" t="s">
        <v>56</v>
      </c>
      <c r="S35" s="51" t="s">
        <v>57</v>
      </c>
      <c r="T35" s="60">
        <v>46296.0</v>
      </c>
      <c r="U35" s="42"/>
      <c r="V35" s="62"/>
      <c r="W35" s="64"/>
      <c r="X35" s="76"/>
      <c r="Y35" s="76"/>
      <c r="Z35" s="76"/>
      <c r="AA35" s="76"/>
    </row>
    <row r="36">
      <c r="A36" s="42">
        <f t="shared" si="1"/>
        <v>35</v>
      </c>
      <c r="B36" s="51" t="s">
        <v>41</v>
      </c>
      <c r="C36" s="53" t="s">
        <v>190</v>
      </c>
      <c r="D36" s="42" t="s">
        <v>44</v>
      </c>
      <c r="E36" s="42" t="s">
        <v>44</v>
      </c>
      <c r="F36" s="53" t="s">
        <v>46</v>
      </c>
      <c r="G36" s="53" t="s">
        <v>85</v>
      </c>
      <c r="H36" s="53" t="s">
        <v>86</v>
      </c>
      <c r="I36" s="53" t="s">
        <v>49</v>
      </c>
      <c r="J36" s="53" t="s">
        <v>144</v>
      </c>
      <c r="K36" s="53" t="s">
        <v>51</v>
      </c>
      <c r="L36" s="53" t="s">
        <v>52</v>
      </c>
      <c r="M36" s="53" t="s">
        <v>52</v>
      </c>
      <c r="N36" s="56" t="s">
        <v>145</v>
      </c>
      <c r="O36" s="56" t="s">
        <v>44</v>
      </c>
      <c r="P36" s="56" t="s">
        <v>191</v>
      </c>
      <c r="Q36" s="58" t="s">
        <v>192</v>
      </c>
      <c r="R36" s="51" t="s">
        <v>56</v>
      </c>
      <c r="S36" s="51" t="s">
        <v>57</v>
      </c>
      <c r="T36" s="60">
        <v>46296.0</v>
      </c>
      <c r="U36" s="42"/>
      <c r="V36" s="62"/>
      <c r="W36" s="64"/>
      <c r="X36" s="76"/>
      <c r="Y36" s="76"/>
      <c r="Z36" s="76"/>
      <c r="AA36" s="76"/>
    </row>
    <row r="37">
      <c r="A37" s="42">
        <f t="shared" si="1"/>
        <v>36</v>
      </c>
      <c r="B37" s="51" t="s">
        <v>41</v>
      </c>
      <c r="C37" s="53" t="s">
        <v>195</v>
      </c>
      <c r="D37" s="42" t="s">
        <v>44</v>
      </c>
      <c r="E37" s="42" t="s">
        <v>44</v>
      </c>
      <c r="F37" s="53" t="s">
        <v>46</v>
      </c>
      <c r="G37" s="53" t="s">
        <v>197</v>
      </c>
      <c r="H37" s="53" t="s">
        <v>198</v>
      </c>
      <c r="I37" s="53" t="s">
        <v>49</v>
      </c>
      <c r="J37" s="53" t="s">
        <v>144</v>
      </c>
      <c r="K37" s="53" t="s">
        <v>51</v>
      </c>
      <c r="L37" s="53" t="s">
        <v>52</v>
      </c>
      <c r="M37" s="53" t="s">
        <v>52</v>
      </c>
      <c r="N37" s="56" t="s">
        <v>145</v>
      </c>
      <c r="O37" s="56" t="s">
        <v>44</v>
      </c>
      <c r="P37" s="56" t="s">
        <v>199</v>
      </c>
      <c r="Q37" s="58" t="s">
        <v>201</v>
      </c>
      <c r="R37" s="51" t="s">
        <v>56</v>
      </c>
      <c r="S37" s="51" t="s">
        <v>57</v>
      </c>
      <c r="T37" s="60">
        <v>46296.0</v>
      </c>
      <c r="U37" s="42"/>
      <c r="V37" s="62"/>
      <c r="W37" s="64"/>
      <c r="X37" s="61"/>
      <c r="Y37" s="61"/>
      <c r="Z37" s="61"/>
      <c r="AA37" s="61"/>
    </row>
    <row r="38">
      <c r="A38" s="42">
        <f t="shared" si="1"/>
        <v>37</v>
      </c>
      <c r="B38" s="51" t="s">
        <v>41</v>
      </c>
      <c r="C38" s="53" t="s">
        <v>204</v>
      </c>
      <c r="D38" s="42" t="s">
        <v>44</v>
      </c>
      <c r="E38" s="42" t="s">
        <v>44</v>
      </c>
      <c r="F38" s="53" t="s">
        <v>205</v>
      </c>
      <c r="G38" s="53" t="s">
        <v>111</v>
      </c>
      <c r="H38" s="53" t="s">
        <v>91</v>
      </c>
      <c r="I38" s="53" t="s">
        <v>49</v>
      </c>
      <c r="J38" s="53" t="s">
        <v>206</v>
      </c>
      <c r="K38" s="53" t="s">
        <v>51</v>
      </c>
      <c r="L38" s="53" t="s">
        <v>52</v>
      </c>
      <c r="M38" s="53" t="s">
        <v>52</v>
      </c>
      <c r="N38" s="56" t="s">
        <v>207</v>
      </c>
      <c r="O38" s="56" t="s">
        <v>44</v>
      </c>
      <c r="P38" s="56" t="s">
        <v>209</v>
      </c>
      <c r="Q38" s="56" t="s">
        <v>210</v>
      </c>
      <c r="R38" s="53"/>
      <c r="S38" s="53" t="s">
        <v>44</v>
      </c>
      <c r="T38" s="82"/>
      <c r="U38" s="53"/>
      <c r="V38" s="62"/>
      <c r="W38" s="64"/>
      <c r="X38" s="76"/>
      <c r="Y38" s="76"/>
      <c r="Z38" s="76"/>
      <c r="AA38" s="76"/>
    </row>
    <row r="39">
      <c r="A39" s="42">
        <f t="shared" si="1"/>
        <v>38</v>
      </c>
      <c r="B39" s="51" t="s">
        <v>41</v>
      </c>
      <c r="C39" s="53" t="s">
        <v>211</v>
      </c>
      <c r="D39" s="42" t="s">
        <v>44</v>
      </c>
      <c r="E39" s="42" t="s">
        <v>44</v>
      </c>
      <c r="F39" s="53" t="s">
        <v>205</v>
      </c>
      <c r="G39" s="53" t="s">
        <v>47</v>
      </c>
      <c r="H39" s="53" t="s">
        <v>48</v>
      </c>
      <c r="I39" s="53" t="s">
        <v>49</v>
      </c>
      <c r="J39" s="53" t="s">
        <v>206</v>
      </c>
      <c r="K39" s="53" t="s">
        <v>51</v>
      </c>
      <c r="L39" s="53" t="s">
        <v>52</v>
      </c>
      <c r="M39" s="53" t="s">
        <v>52</v>
      </c>
      <c r="N39" s="62" t="s">
        <v>212</v>
      </c>
      <c r="O39" s="62" t="s">
        <v>44</v>
      </c>
      <c r="P39" s="62" t="s">
        <v>213</v>
      </c>
      <c r="Q39" s="62" t="s">
        <v>214</v>
      </c>
      <c r="R39" s="53"/>
      <c r="S39" s="53" t="s">
        <v>44</v>
      </c>
      <c r="T39" s="82"/>
      <c r="U39" s="53"/>
      <c r="V39" s="62"/>
      <c r="W39" s="64"/>
      <c r="X39" s="76"/>
      <c r="Y39" s="76"/>
      <c r="Z39" s="76"/>
      <c r="AA39" s="76"/>
    </row>
    <row r="40">
      <c r="A40" s="42">
        <f t="shared" si="1"/>
        <v>39</v>
      </c>
      <c r="B40" s="51" t="s">
        <v>41</v>
      </c>
      <c r="C40" s="53" t="s">
        <v>215</v>
      </c>
      <c r="D40" s="42" t="s">
        <v>44</v>
      </c>
      <c r="E40" s="42" t="s">
        <v>44</v>
      </c>
      <c r="F40" s="53" t="s">
        <v>205</v>
      </c>
      <c r="G40" s="53" t="s">
        <v>47</v>
      </c>
      <c r="H40" s="53" t="s">
        <v>48</v>
      </c>
      <c r="I40" s="53" t="s">
        <v>49</v>
      </c>
      <c r="J40" s="53" t="s">
        <v>206</v>
      </c>
      <c r="K40" s="53" t="s">
        <v>51</v>
      </c>
      <c r="L40" s="53" t="s">
        <v>52</v>
      </c>
      <c r="M40" s="53" t="s">
        <v>52</v>
      </c>
      <c r="N40" s="62" t="s">
        <v>216</v>
      </c>
      <c r="O40" s="62" t="s">
        <v>44</v>
      </c>
      <c r="P40" s="62" t="s">
        <v>217</v>
      </c>
      <c r="Q40" s="62" t="s">
        <v>218</v>
      </c>
      <c r="R40" s="53"/>
      <c r="S40" s="53" t="s">
        <v>44</v>
      </c>
      <c r="T40" s="82"/>
      <c r="U40" s="53"/>
      <c r="V40" s="62"/>
      <c r="W40" s="64"/>
      <c r="X40" s="61"/>
      <c r="Y40" s="61"/>
      <c r="Z40" s="61"/>
      <c r="AA40" s="61"/>
    </row>
    <row r="41">
      <c r="A41" s="42">
        <f t="shared" si="1"/>
        <v>40</v>
      </c>
      <c r="B41" s="51" t="s">
        <v>41</v>
      </c>
      <c r="C41" s="53" t="s">
        <v>221</v>
      </c>
      <c r="D41" s="42" t="s">
        <v>44</v>
      </c>
      <c r="E41" s="42" t="s">
        <v>44</v>
      </c>
      <c r="F41" s="53" t="s">
        <v>205</v>
      </c>
      <c r="G41" s="53" t="s">
        <v>47</v>
      </c>
      <c r="H41" s="53" t="s">
        <v>95</v>
      </c>
      <c r="I41" s="53" t="s">
        <v>49</v>
      </c>
      <c r="J41" s="53" t="s">
        <v>206</v>
      </c>
      <c r="K41" s="53" t="s">
        <v>51</v>
      </c>
      <c r="L41" s="53" t="s">
        <v>52</v>
      </c>
      <c r="M41" s="53" t="s">
        <v>52</v>
      </c>
      <c r="N41" s="62" t="s">
        <v>136</v>
      </c>
      <c r="O41" s="62" t="s">
        <v>44</v>
      </c>
      <c r="P41" s="62" t="s">
        <v>223</v>
      </c>
      <c r="Q41" s="62" t="s">
        <v>225</v>
      </c>
      <c r="R41" s="53"/>
      <c r="S41" s="53" t="s">
        <v>44</v>
      </c>
      <c r="T41" s="82"/>
      <c r="U41" s="42"/>
      <c r="V41" s="62"/>
      <c r="W41" s="64"/>
      <c r="X41" s="76"/>
      <c r="Y41" s="76"/>
      <c r="Z41" s="76"/>
      <c r="AA41" s="76"/>
    </row>
    <row r="42">
      <c r="A42" s="42">
        <f t="shared" si="1"/>
        <v>41</v>
      </c>
      <c r="B42" s="51" t="s">
        <v>41</v>
      </c>
      <c r="C42" s="53" t="s">
        <v>228</v>
      </c>
      <c r="D42" s="42" t="s">
        <v>44</v>
      </c>
      <c r="E42" s="42" t="s">
        <v>44</v>
      </c>
      <c r="F42" s="53" t="s">
        <v>205</v>
      </c>
      <c r="G42" s="53" t="s">
        <v>47</v>
      </c>
      <c r="H42" s="53" t="s">
        <v>48</v>
      </c>
      <c r="I42" s="53" t="s">
        <v>49</v>
      </c>
      <c r="J42" s="53" t="s">
        <v>206</v>
      </c>
      <c r="K42" s="53" t="s">
        <v>51</v>
      </c>
      <c r="L42" s="53" t="s">
        <v>52</v>
      </c>
      <c r="M42" s="53" t="s">
        <v>52</v>
      </c>
      <c r="N42" s="62" t="s">
        <v>229</v>
      </c>
      <c r="O42" s="62" t="s">
        <v>44</v>
      </c>
      <c r="P42" s="62" t="s">
        <v>230</v>
      </c>
      <c r="Q42" s="62" t="s">
        <v>231</v>
      </c>
      <c r="R42" s="53"/>
      <c r="S42" s="53" t="s">
        <v>44</v>
      </c>
      <c r="T42" s="82"/>
      <c r="U42" s="42"/>
      <c r="V42" s="62"/>
      <c r="W42" s="64"/>
      <c r="X42" s="76"/>
      <c r="Y42" s="76"/>
      <c r="Z42" s="76"/>
      <c r="AA42" s="76"/>
    </row>
    <row r="43">
      <c r="A43" s="42">
        <f t="shared" si="1"/>
        <v>42</v>
      </c>
      <c r="B43" s="51" t="s">
        <v>41</v>
      </c>
      <c r="C43" s="53" t="s">
        <v>232</v>
      </c>
      <c r="D43" s="42" t="s">
        <v>44</v>
      </c>
      <c r="E43" s="42" t="s">
        <v>44</v>
      </c>
      <c r="F43" s="53" t="s">
        <v>205</v>
      </c>
      <c r="G43" s="53" t="s">
        <v>47</v>
      </c>
      <c r="H43" s="53" t="s">
        <v>95</v>
      </c>
      <c r="I43" s="53" t="s">
        <v>49</v>
      </c>
      <c r="J43" s="53" t="s">
        <v>206</v>
      </c>
      <c r="K43" s="53" t="s">
        <v>51</v>
      </c>
      <c r="L43" s="53" t="s">
        <v>52</v>
      </c>
      <c r="M43" s="53" t="s">
        <v>52</v>
      </c>
      <c r="N43" s="62" t="s">
        <v>233</v>
      </c>
      <c r="O43" s="62" t="s">
        <v>44</v>
      </c>
      <c r="P43" s="62" t="s">
        <v>223</v>
      </c>
      <c r="Q43" s="62" t="s">
        <v>234</v>
      </c>
      <c r="R43" s="53"/>
      <c r="S43" s="53" t="s">
        <v>44</v>
      </c>
      <c r="T43" s="82"/>
      <c r="U43" s="53"/>
      <c r="V43" s="62"/>
      <c r="W43" s="64"/>
      <c r="X43" s="76"/>
      <c r="Y43" s="76"/>
      <c r="Z43" s="76"/>
      <c r="AA43" s="76"/>
    </row>
    <row r="44">
      <c r="A44" s="42">
        <f t="shared" si="1"/>
        <v>43</v>
      </c>
      <c r="B44" s="51" t="s">
        <v>41</v>
      </c>
      <c r="C44" s="53" t="s">
        <v>236</v>
      </c>
      <c r="D44" s="42" t="s">
        <v>44</v>
      </c>
      <c r="E44" s="42" t="s">
        <v>44</v>
      </c>
      <c r="F44" s="53" t="s">
        <v>205</v>
      </c>
      <c r="G44" s="53" t="s">
        <v>47</v>
      </c>
      <c r="H44" s="53" t="s">
        <v>95</v>
      </c>
      <c r="I44" s="53" t="s">
        <v>49</v>
      </c>
      <c r="J44" s="53" t="s">
        <v>206</v>
      </c>
      <c r="K44" s="53" t="s">
        <v>51</v>
      </c>
      <c r="L44" s="53" t="s">
        <v>52</v>
      </c>
      <c r="M44" s="53" t="s">
        <v>52</v>
      </c>
      <c r="N44" s="62" t="s">
        <v>233</v>
      </c>
      <c r="O44" s="62" t="s">
        <v>44</v>
      </c>
      <c r="P44" s="62" t="s">
        <v>223</v>
      </c>
      <c r="Q44" s="62" t="s">
        <v>237</v>
      </c>
      <c r="R44" s="53"/>
      <c r="S44" s="53" t="s">
        <v>44</v>
      </c>
      <c r="T44" s="82"/>
      <c r="U44" s="42"/>
      <c r="V44" s="62"/>
      <c r="W44" s="64"/>
      <c r="X44" s="76"/>
      <c r="Y44" s="76"/>
      <c r="Z44" s="76"/>
      <c r="AA44" s="76"/>
    </row>
    <row r="45">
      <c r="A45" s="42">
        <f t="shared" si="1"/>
        <v>44</v>
      </c>
      <c r="B45" s="51" t="s">
        <v>41</v>
      </c>
      <c r="C45" s="53" t="s">
        <v>238</v>
      </c>
      <c r="D45" s="42" t="s">
        <v>44</v>
      </c>
      <c r="E45" s="42" t="s">
        <v>44</v>
      </c>
      <c r="F45" s="53" t="s">
        <v>205</v>
      </c>
      <c r="G45" s="53" t="s">
        <v>47</v>
      </c>
      <c r="H45" s="53" t="s">
        <v>95</v>
      </c>
      <c r="I45" s="53" t="s">
        <v>49</v>
      </c>
      <c r="J45" s="53" t="s">
        <v>206</v>
      </c>
      <c r="K45" s="53" t="s">
        <v>51</v>
      </c>
      <c r="L45" s="53" t="s">
        <v>52</v>
      </c>
      <c r="M45" s="53" t="s">
        <v>52</v>
      </c>
      <c r="N45" s="62" t="s">
        <v>240</v>
      </c>
      <c r="O45" s="62" t="s">
        <v>44</v>
      </c>
      <c r="P45" s="62" t="s">
        <v>223</v>
      </c>
      <c r="Q45" s="62" t="s">
        <v>241</v>
      </c>
      <c r="R45" s="53"/>
      <c r="S45" s="53" t="s">
        <v>44</v>
      </c>
      <c r="T45" s="82"/>
      <c r="U45" s="42"/>
      <c r="V45" s="62"/>
      <c r="W45" s="64"/>
      <c r="X45" s="76"/>
      <c r="Y45" s="76"/>
      <c r="Z45" s="76"/>
      <c r="AA45" s="76"/>
    </row>
    <row r="46">
      <c r="A46" s="42">
        <f t="shared" si="1"/>
        <v>45</v>
      </c>
      <c r="B46" s="51" t="s">
        <v>41</v>
      </c>
      <c r="C46" s="53" t="s">
        <v>243</v>
      </c>
      <c r="D46" s="42" t="s">
        <v>44</v>
      </c>
      <c r="E46" s="42" t="s">
        <v>44</v>
      </c>
      <c r="F46" s="53" t="s">
        <v>205</v>
      </c>
      <c r="G46" s="53" t="s">
        <v>47</v>
      </c>
      <c r="H46" s="53" t="s">
        <v>95</v>
      </c>
      <c r="I46" s="53" t="s">
        <v>49</v>
      </c>
      <c r="J46" s="53" t="s">
        <v>206</v>
      </c>
      <c r="K46" s="53" t="s">
        <v>51</v>
      </c>
      <c r="L46" s="53" t="s">
        <v>52</v>
      </c>
      <c r="M46" s="53" t="s">
        <v>52</v>
      </c>
      <c r="N46" s="62" t="s">
        <v>245</v>
      </c>
      <c r="O46" s="62" t="s">
        <v>44</v>
      </c>
      <c r="P46" s="62" t="s">
        <v>223</v>
      </c>
      <c r="Q46" s="62" t="s">
        <v>246</v>
      </c>
      <c r="R46" s="53"/>
      <c r="S46" s="53" t="s">
        <v>44</v>
      </c>
      <c r="T46" s="82"/>
      <c r="U46" s="42"/>
      <c r="V46" s="62"/>
      <c r="W46" s="64"/>
      <c r="X46" s="76"/>
      <c r="Y46" s="76"/>
      <c r="Z46" s="76"/>
      <c r="AA46" s="76"/>
    </row>
    <row r="47">
      <c r="A47" s="42">
        <f t="shared" si="1"/>
        <v>46</v>
      </c>
      <c r="B47" s="51" t="s">
        <v>41</v>
      </c>
      <c r="C47" s="53" t="s">
        <v>248</v>
      </c>
      <c r="D47" s="42" t="s">
        <v>44</v>
      </c>
      <c r="E47" s="42" t="s">
        <v>44</v>
      </c>
      <c r="F47" s="53" t="s">
        <v>205</v>
      </c>
      <c r="G47" s="53" t="s">
        <v>47</v>
      </c>
      <c r="H47" s="53" t="s">
        <v>95</v>
      </c>
      <c r="I47" s="53" t="s">
        <v>49</v>
      </c>
      <c r="J47" s="53" t="s">
        <v>206</v>
      </c>
      <c r="K47" s="53" t="s">
        <v>51</v>
      </c>
      <c r="L47" s="53" t="s">
        <v>52</v>
      </c>
      <c r="M47" s="53" t="s">
        <v>52</v>
      </c>
      <c r="N47" s="62" t="s">
        <v>249</v>
      </c>
      <c r="O47" s="62" t="s">
        <v>44</v>
      </c>
      <c r="P47" s="62" t="s">
        <v>223</v>
      </c>
      <c r="Q47" s="62" t="s">
        <v>241</v>
      </c>
      <c r="R47" s="53"/>
      <c r="S47" s="53" t="s">
        <v>44</v>
      </c>
      <c r="T47" s="82"/>
      <c r="U47" s="42"/>
      <c r="V47" s="62"/>
      <c r="W47" s="64"/>
      <c r="X47" s="76"/>
      <c r="Y47" s="76"/>
      <c r="Z47" s="76"/>
      <c r="AA47" s="76"/>
    </row>
    <row r="48">
      <c r="A48" s="42">
        <f t="shared" si="1"/>
        <v>47</v>
      </c>
      <c r="B48" s="51" t="s">
        <v>41</v>
      </c>
      <c r="C48" s="53" t="s">
        <v>251</v>
      </c>
      <c r="D48" s="42" t="s">
        <v>44</v>
      </c>
      <c r="E48" s="42" t="s">
        <v>44</v>
      </c>
      <c r="F48" s="53" t="s">
        <v>205</v>
      </c>
      <c r="G48" s="53" t="s">
        <v>47</v>
      </c>
      <c r="H48" s="53" t="s">
        <v>95</v>
      </c>
      <c r="I48" s="53" t="s">
        <v>49</v>
      </c>
      <c r="J48" s="53" t="s">
        <v>206</v>
      </c>
      <c r="K48" s="53" t="s">
        <v>51</v>
      </c>
      <c r="L48" s="53" t="s">
        <v>52</v>
      </c>
      <c r="M48" s="53" t="s">
        <v>52</v>
      </c>
      <c r="N48" s="62" t="s">
        <v>252</v>
      </c>
      <c r="O48" s="62" t="s">
        <v>44</v>
      </c>
      <c r="P48" s="62" t="s">
        <v>253</v>
      </c>
      <c r="Q48" s="62" t="s">
        <v>254</v>
      </c>
      <c r="R48" s="53"/>
      <c r="S48" s="53" t="s">
        <v>44</v>
      </c>
      <c r="T48" s="82"/>
      <c r="U48" s="42"/>
      <c r="V48" s="62"/>
      <c r="W48" s="64"/>
      <c r="X48" s="61"/>
      <c r="Y48" s="61"/>
      <c r="Z48" s="61"/>
      <c r="AA48" s="61"/>
    </row>
    <row r="49">
      <c r="A49" s="42">
        <f t="shared" si="1"/>
        <v>48</v>
      </c>
      <c r="B49" s="51" t="s">
        <v>41</v>
      </c>
      <c r="C49" s="53" t="s">
        <v>256</v>
      </c>
      <c r="D49" s="42" t="s">
        <v>44</v>
      </c>
      <c r="E49" s="42" t="s">
        <v>44</v>
      </c>
      <c r="F49" s="53" t="s">
        <v>205</v>
      </c>
      <c r="G49" s="53" t="s">
        <v>47</v>
      </c>
      <c r="H49" s="53" t="s">
        <v>95</v>
      </c>
      <c r="I49" s="53" t="s">
        <v>49</v>
      </c>
      <c r="J49" s="53" t="s">
        <v>206</v>
      </c>
      <c r="K49" s="53" t="s">
        <v>51</v>
      </c>
      <c r="L49" s="53" t="s">
        <v>52</v>
      </c>
      <c r="M49" s="53" t="s">
        <v>52</v>
      </c>
      <c r="N49" s="62" t="s">
        <v>259</v>
      </c>
      <c r="O49" s="62" t="s">
        <v>44</v>
      </c>
      <c r="P49" s="62" t="s">
        <v>260</v>
      </c>
      <c r="Q49" s="62" t="s">
        <v>261</v>
      </c>
      <c r="R49" s="53"/>
      <c r="S49" s="53" t="s">
        <v>44</v>
      </c>
      <c r="T49" s="82"/>
      <c r="U49" s="42"/>
      <c r="V49" s="62"/>
      <c r="W49" s="64"/>
      <c r="X49" s="61"/>
      <c r="Y49" s="61"/>
      <c r="Z49" s="61"/>
      <c r="AA49" s="61"/>
    </row>
    <row r="50">
      <c r="A50" s="42">
        <f t="shared" si="1"/>
        <v>49</v>
      </c>
      <c r="B50" s="51" t="s">
        <v>41</v>
      </c>
      <c r="C50" s="53" t="s">
        <v>262</v>
      </c>
      <c r="D50" s="42" t="s">
        <v>44</v>
      </c>
      <c r="E50" s="42" t="s">
        <v>44</v>
      </c>
      <c r="F50" s="53" t="s">
        <v>205</v>
      </c>
      <c r="G50" s="53" t="s">
        <v>47</v>
      </c>
      <c r="H50" s="53" t="s">
        <v>91</v>
      </c>
      <c r="I50" s="53" t="s">
        <v>49</v>
      </c>
      <c r="J50" s="53" t="s">
        <v>206</v>
      </c>
      <c r="K50" s="53" t="s">
        <v>51</v>
      </c>
      <c r="L50" s="53" t="s">
        <v>52</v>
      </c>
      <c r="M50" s="53" t="s">
        <v>52</v>
      </c>
      <c r="N50" s="62" t="s">
        <v>264</v>
      </c>
      <c r="O50" s="62" t="s">
        <v>44</v>
      </c>
      <c r="P50" s="62" t="s">
        <v>266</v>
      </c>
      <c r="Q50" s="62" t="s">
        <v>267</v>
      </c>
      <c r="R50" s="53"/>
      <c r="S50" s="53" t="s">
        <v>44</v>
      </c>
      <c r="T50" s="82"/>
      <c r="U50" s="42"/>
      <c r="V50" s="62"/>
      <c r="W50" s="140"/>
      <c r="X50" s="61"/>
      <c r="Y50" s="61"/>
      <c r="Z50" s="61"/>
      <c r="AA50" s="61"/>
    </row>
    <row r="51">
      <c r="A51" s="42">
        <f t="shared" si="1"/>
        <v>50</v>
      </c>
      <c r="B51" s="51" t="s">
        <v>41</v>
      </c>
      <c r="C51" s="53" t="s">
        <v>271</v>
      </c>
      <c r="D51" s="42" t="s">
        <v>44</v>
      </c>
      <c r="E51" s="42" t="s">
        <v>44</v>
      </c>
      <c r="F51" s="53" t="s">
        <v>205</v>
      </c>
      <c r="G51" s="53" t="s">
        <v>47</v>
      </c>
      <c r="H51" s="53" t="s">
        <v>91</v>
      </c>
      <c r="I51" s="53" t="s">
        <v>49</v>
      </c>
      <c r="J51" s="53" t="s">
        <v>206</v>
      </c>
      <c r="K51" s="53" t="s">
        <v>51</v>
      </c>
      <c r="L51" s="53" t="s">
        <v>52</v>
      </c>
      <c r="M51" s="53" t="s">
        <v>52</v>
      </c>
      <c r="N51" s="62" t="s">
        <v>264</v>
      </c>
      <c r="O51" s="62" t="s">
        <v>44</v>
      </c>
      <c r="P51" s="62" t="s">
        <v>273</v>
      </c>
      <c r="Q51" s="62" t="s">
        <v>274</v>
      </c>
      <c r="R51" s="53"/>
      <c r="S51" s="53" t="s">
        <v>44</v>
      </c>
      <c r="T51" s="82"/>
      <c r="U51" s="42"/>
      <c r="V51" s="62"/>
      <c r="W51" s="140"/>
      <c r="X51" s="61"/>
      <c r="Y51" s="61"/>
      <c r="Z51" s="61"/>
      <c r="AA51" s="61"/>
    </row>
    <row r="52">
      <c r="A52" s="42">
        <f t="shared" si="1"/>
        <v>51</v>
      </c>
      <c r="B52" s="51" t="s">
        <v>41</v>
      </c>
      <c r="C52" s="53" t="s">
        <v>276</v>
      </c>
      <c r="D52" s="42" t="s">
        <v>44</v>
      </c>
      <c r="E52" s="42" t="s">
        <v>44</v>
      </c>
      <c r="F52" s="53" t="s">
        <v>205</v>
      </c>
      <c r="G52" s="53" t="s">
        <v>47</v>
      </c>
      <c r="H52" s="53" t="s">
        <v>95</v>
      </c>
      <c r="I52" s="53" t="s">
        <v>49</v>
      </c>
      <c r="J52" s="53" t="s">
        <v>206</v>
      </c>
      <c r="K52" s="53" t="s">
        <v>51</v>
      </c>
      <c r="L52" s="53" t="s">
        <v>52</v>
      </c>
      <c r="M52" s="53" t="s">
        <v>52</v>
      </c>
      <c r="N52" s="62" t="s">
        <v>264</v>
      </c>
      <c r="O52" s="62" t="s">
        <v>44</v>
      </c>
      <c r="P52" s="62" t="s">
        <v>278</v>
      </c>
      <c r="Q52" s="62" t="s">
        <v>279</v>
      </c>
      <c r="R52" s="53"/>
      <c r="S52" s="53" t="s">
        <v>44</v>
      </c>
      <c r="T52" s="82"/>
      <c r="U52" s="53"/>
      <c r="V52" s="62"/>
      <c r="W52" s="64"/>
      <c r="X52" s="61"/>
      <c r="Y52" s="61"/>
      <c r="Z52" s="61"/>
      <c r="AA52" s="61"/>
    </row>
    <row r="53">
      <c r="A53" s="42">
        <f t="shared" si="1"/>
        <v>52</v>
      </c>
      <c r="B53" s="51" t="s">
        <v>41</v>
      </c>
      <c r="C53" s="53" t="s">
        <v>281</v>
      </c>
      <c r="D53" s="42" t="s">
        <v>44</v>
      </c>
      <c r="E53" s="42" t="s">
        <v>44</v>
      </c>
      <c r="F53" s="53" t="s">
        <v>205</v>
      </c>
      <c r="G53" s="53" t="s">
        <v>47</v>
      </c>
      <c r="H53" s="53" t="s">
        <v>48</v>
      </c>
      <c r="I53" s="53" t="s">
        <v>49</v>
      </c>
      <c r="J53" s="53" t="s">
        <v>206</v>
      </c>
      <c r="K53" s="53" t="s">
        <v>51</v>
      </c>
      <c r="L53" s="53" t="s">
        <v>52</v>
      </c>
      <c r="M53" s="53" t="s">
        <v>52</v>
      </c>
      <c r="N53" s="62" t="s">
        <v>264</v>
      </c>
      <c r="O53" s="62" t="s">
        <v>44</v>
      </c>
      <c r="P53" s="62" t="s">
        <v>282</v>
      </c>
      <c r="Q53" s="62" t="s">
        <v>283</v>
      </c>
      <c r="R53" s="53"/>
      <c r="S53" s="53" t="s">
        <v>44</v>
      </c>
      <c r="T53" s="82"/>
      <c r="U53" s="42"/>
      <c r="V53" s="62"/>
      <c r="W53" s="64"/>
      <c r="X53" s="61"/>
      <c r="Y53" s="61"/>
      <c r="Z53" s="61"/>
      <c r="AA53" s="61"/>
    </row>
    <row r="54">
      <c r="A54" s="42">
        <f t="shared" si="1"/>
        <v>53</v>
      </c>
      <c r="B54" s="51" t="s">
        <v>41</v>
      </c>
      <c r="C54" s="53" t="s">
        <v>286</v>
      </c>
      <c r="D54" s="42" t="s">
        <v>44</v>
      </c>
      <c r="E54" s="42" t="s">
        <v>44</v>
      </c>
      <c r="F54" s="53" t="s">
        <v>205</v>
      </c>
      <c r="G54" s="53" t="s">
        <v>47</v>
      </c>
      <c r="H54" s="53" t="s">
        <v>48</v>
      </c>
      <c r="I54" s="53" t="s">
        <v>49</v>
      </c>
      <c r="J54" s="53" t="s">
        <v>206</v>
      </c>
      <c r="K54" s="53" t="s">
        <v>51</v>
      </c>
      <c r="L54" s="53" t="s">
        <v>52</v>
      </c>
      <c r="M54" s="53" t="s">
        <v>52</v>
      </c>
      <c r="N54" s="62" t="s">
        <v>287</v>
      </c>
      <c r="O54" s="62" t="s">
        <v>44</v>
      </c>
      <c r="P54" s="62" t="s">
        <v>288</v>
      </c>
      <c r="Q54" s="62" t="s">
        <v>289</v>
      </c>
      <c r="R54" s="53"/>
      <c r="S54" s="53" t="s">
        <v>44</v>
      </c>
      <c r="T54" s="82"/>
      <c r="U54" s="42"/>
      <c r="V54" s="62"/>
      <c r="W54" s="64"/>
      <c r="X54" s="61"/>
      <c r="Y54" s="61"/>
      <c r="Z54" s="61"/>
      <c r="AA54" s="61"/>
    </row>
    <row r="55">
      <c r="A55" s="42">
        <f t="shared" si="1"/>
        <v>54</v>
      </c>
      <c r="B55" s="51" t="s">
        <v>41</v>
      </c>
      <c r="C55" s="53" t="s">
        <v>291</v>
      </c>
      <c r="D55" s="42" t="s">
        <v>44</v>
      </c>
      <c r="E55" s="42" t="s">
        <v>44</v>
      </c>
      <c r="F55" s="53" t="s">
        <v>205</v>
      </c>
      <c r="G55" s="53" t="s">
        <v>47</v>
      </c>
      <c r="H55" s="53" t="s">
        <v>95</v>
      </c>
      <c r="I55" s="53" t="s">
        <v>49</v>
      </c>
      <c r="J55" s="53" t="s">
        <v>206</v>
      </c>
      <c r="K55" s="53" t="s">
        <v>51</v>
      </c>
      <c r="L55" s="53" t="s">
        <v>52</v>
      </c>
      <c r="M55" s="53" t="s">
        <v>52</v>
      </c>
      <c r="N55" s="62" t="s">
        <v>293</v>
      </c>
      <c r="O55" s="62" t="s">
        <v>44</v>
      </c>
      <c r="P55" s="62" t="s">
        <v>296</v>
      </c>
      <c r="Q55" s="62" t="s">
        <v>297</v>
      </c>
      <c r="R55" s="53"/>
      <c r="S55" s="53" t="s">
        <v>44</v>
      </c>
      <c r="T55" s="82"/>
      <c r="U55" s="53"/>
      <c r="V55" s="62"/>
      <c r="W55" s="64"/>
      <c r="X55" s="61"/>
      <c r="Y55" s="61"/>
      <c r="Z55" s="61"/>
      <c r="AA55" s="61"/>
    </row>
    <row r="56">
      <c r="A56" s="42">
        <f t="shared" si="1"/>
        <v>55</v>
      </c>
      <c r="B56" s="51" t="s">
        <v>41</v>
      </c>
      <c r="C56" s="53" t="s">
        <v>299</v>
      </c>
      <c r="D56" s="42" t="s">
        <v>44</v>
      </c>
      <c r="E56" s="42" t="s">
        <v>44</v>
      </c>
      <c r="F56" s="53" t="s">
        <v>205</v>
      </c>
      <c r="G56" s="53" t="s">
        <v>47</v>
      </c>
      <c r="H56" s="53" t="s">
        <v>95</v>
      </c>
      <c r="I56" s="53" t="s">
        <v>49</v>
      </c>
      <c r="J56" s="53" t="s">
        <v>206</v>
      </c>
      <c r="K56" s="53" t="s">
        <v>51</v>
      </c>
      <c r="L56" s="53" t="s">
        <v>52</v>
      </c>
      <c r="M56" s="53" t="s">
        <v>52</v>
      </c>
      <c r="N56" s="62" t="s">
        <v>301</v>
      </c>
      <c r="O56" s="62" t="s">
        <v>44</v>
      </c>
      <c r="P56" s="62" t="s">
        <v>296</v>
      </c>
      <c r="Q56" s="62" t="s">
        <v>302</v>
      </c>
      <c r="R56" s="53"/>
      <c r="S56" s="53" t="s">
        <v>44</v>
      </c>
      <c r="T56" s="82"/>
      <c r="U56" s="53"/>
      <c r="V56" s="62"/>
      <c r="W56" s="64"/>
      <c r="X56" s="76"/>
      <c r="Y56" s="76"/>
      <c r="Z56" s="76"/>
      <c r="AA56" s="76"/>
    </row>
    <row r="57">
      <c r="A57" s="42">
        <f t="shared" si="1"/>
        <v>56</v>
      </c>
      <c r="B57" s="51" t="s">
        <v>41</v>
      </c>
      <c r="C57" s="53" t="s">
        <v>304</v>
      </c>
      <c r="D57" s="42" t="s">
        <v>44</v>
      </c>
      <c r="E57" s="42" t="s">
        <v>44</v>
      </c>
      <c r="F57" s="53" t="s">
        <v>205</v>
      </c>
      <c r="G57" s="53" t="s">
        <v>47</v>
      </c>
      <c r="H57" s="53" t="s">
        <v>95</v>
      </c>
      <c r="I57" s="53" t="s">
        <v>49</v>
      </c>
      <c r="J57" s="53" t="s">
        <v>206</v>
      </c>
      <c r="K57" s="53" t="s">
        <v>51</v>
      </c>
      <c r="L57" s="53" t="s">
        <v>52</v>
      </c>
      <c r="M57" s="53" t="s">
        <v>52</v>
      </c>
      <c r="N57" s="62" t="s">
        <v>307</v>
      </c>
      <c r="O57" s="62" t="s">
        <v>44</v>
      </c>
      <c r="P57" s="62" t="s">
        <v>296</v>
      </c>
      <c r="Q57" s="62" t="s">
        <v>308</v>
      </c>
      <c r="R57" s="53"/>
      <c r="S57" s="53" t="s">
        <v>44</v>
      </c>
      <c r="T57" s="82"/>
      <c r="U57" s="42"/>
      <c r="V57" s="62"/>
      <c r="W57" s="64"/>
      <c r="X57" s="76"/>
      <c r="Y57" s="76"/>
      <c r="Z57" s="76"/>
      <c r="AA57" s="76"/>
    </row>
    <row r="58">
      <c r="A58" s="42">
        <f t="shared" si="1"/>
        <v>57</v>
      </c>
      <c r="B58" s="51" t="s">
        <v>41</v>
      </c>
      <c r="C58" s="53" t="s">
        <v>309</v>
      </c>
      <c r="D58" s="42" t="s">
        <v>44</v>
      </c>
      <c r="E58" s="42" t="s">
        <v>44</v>
      </c>
      <c r="F58" s="53" t="s">
        <v>205</v>
      </c>
      <c r="G58" s="53" t="s">
        <v>47</v>
      </c>
      <c r="H58" s="53" t="s">
        <v>91</v>
      </c>
      <c r="I58" s="53" t="s">
        <v>49</v>
      </c>
      <c r="J58" s="53" t="s">
        <v>206</v>
      </c>
      <c r="K58" s="53" t="s">
        <v>51</v>
      </c>
      <c r="L58" s="53" t="s">
        <v>52</v>
      </c>
      <c r="M58" s="53" t="s">
        <v>52</v>
      </c>
      <c r="N58" s="62" t="s">
        <v>264</v>
      </c>
      <c r="O58" s="62" t="s">
        <v>44</v>
      </c>
      <c r="P58" s="62" t="s">
        <v>311</v>
      </c>
      <c r="Q58" s="62" t="s">
        <v>312</v>
      </c>
      <c r="R58" s="53"/>
      <c r="S58" s="53" t="s">
        <v>44</v>
      </c>
      <c r="T58" s="82"/>
      <c r="U58" s="42"/>
      <c r="V58" s="62"/>
      <c r="W58" s="64"/>
      <c r="X58" s="61"/>
      <c r="Y58" s="61"/>
      <c r="Z58" s="61"/>
      <c r="AA58" s="61"/>
    </row>
    <row r="59">
      <c r="A59" s="42">
        <f t="shared" si="1"/>
        <v>58</v>
      </c>
      <c r="B59" s="51" t="s">
        <v>41</v>
      </c>
      <c r="C59" s="53" t="s">
        <v>313</v>
      </c>
      <c r="D59" s="42" t="s">
        <v>44</v>
      </c>
      <c r="E59" s="42" t="s">
        <v>44</v>
      </c>
      <c r="F59" s="53" t="s">
        <v>205</v>
      </c>
      <c r="G59" s="53" t="s">
        <v>47</v>
      </c>
      <c r="H59" s="53" t="s">
        <v>48</v>
      </c>
      <c r="I59" s="53" t="s">
        <v>49</v>
      </c>
      <c r="J59" s="53" t="s">
        <v>206</v>
      </c>
      <c r="K59" s="53" t="s">
        <v>51</v>
      </c>
      <c r="L59" s="53" t="s">
        <v>52</v>
      </c>
      <c r="M59" s="53" t="s">
        <v>52</v>
      </c>
      <c r="N59" s="62" t="s">
        <v>316</v>
      </c>
      <c r="O59" s="62" t="s">
        <v>44</v>
      </c>
      <c r="P59" s="62" t="s">
        <v>317</v>
      </c>
      <c r="Q59" s="62" t="s">
        <v>318</v>
      </c>
      <c r="R59" s="53"/>
      <c r="S59" s="53" t="s">
        <v>44</v>
      </c>
      <c r="T59" s="82"/>
      <c r="U59" s="42"/>
      <c r="V59" s="62"/>
      <c r="W59" s="64"/>
      <c r="X59" s="61"/>
      <c r="Y59" s="61"/>
      <c r="Z59" s="61"/>
      <c r="AA59" s="61"/>
    </row>
    <row r="60">
      <c r="A60" s="42">
        <f t="shared" si="1"/>
        <v>59</v>
      </c>
      <c r="B60" s="51" t="s">
        <v>41</v>
      </c>
      <c r="C60" s="53" t="s">
        <v>320</v>
      </c>
      <c r="D60" s="42" t="s">
        <v>44</v>
      </c>
      <c r="E60" s="42" t="s">
        <v>44</v>
      </c>
      <c r="F60" s="53" t="s">
        <v>205</v>
      </c>
      <c r="G60" s="53" t="s">
        <v>47</v>
      </c>
      <c r="H60" s="53" t="s">
        <v>48</v>
      </c>
      <c r="I60" s="53" t="s">
        <v>49</v>
      </c>
      <c r="J60" s="53" t="s">
        <v>206</v>
      </c>
      <c r="K60" s="53" t="s">
        <v>51</v>
      </c>
      <c r="L60" s="53" t="s">
        <v>52</v>
      </c>
      <c r="M60" s="53" t="s">
        <v>52</v>
      </c>
      <c r="N60" s="62" t="s">
        <v>264</v>
      </c>
      <c r="O60" s="62" t="s">
        <v>44</v>
      </c>
      <c r="P60" s="62" t="s">
        <v>322</v>
      </c>
      <c r="Q60" s="62" t="s">
        <v>323</v>
      </c>
      <c r="R60" s="53"/>
      <c r="S60" s="53" t="s">
        <v>44</v>
      </c>
      <c r="T60" s="82"/>
      <c r="U60" s="42"/>
      <c r="V60" s="62"/>
      <c r="W60" s="64"/>
      <c r="X60" s="76"/>
      <c r="Y60" s="76"/>
      <c r="Z60" s="76"/>
      <c r="AA60" s="76"/>
    </row>
    <row r="61">
      <c r="A61" s="42">
        <f t="shared" si="1"/>
        <v>60</v>
      </c>
      <c r="B61" s="51" t="s">
        <v>41</v>
      </c>
      <c r="C61" s="53" t="s">
        <v>325</v>
      </c>
      <c r="D61" s="42" t="s">
        <v>44</v>
      </c>
      <c r="E61" s="42" t="s">
        <v>44</v>
      </c>
      <c r="F61" s="53" t="s">
        <v>205</v>
      </c>
      <c r="G61" s="53" t="s">
        <v>47</v>
      </c>
      <c r="H61" s="53" t="s">
        <v>48</v>
      </c>
      <c r="I61" s="53" t="s">
        <v>49</v>
      </c>
      <c r="J61" s="53" t="s">
        <v>206</v>
      </c>
      <c r="K61" s="53" t="s">
        <v>51</v>
      </c>
      <c r="L61" s="53" t="s">
        <v>52</v>
      </c>
      <c r="M61" s="53" t="s">
        <v>52</v>
      </c>
      <c r="N61" s="62" t="s">
        <v>264</v>
      </c>
      <c r="O61" s="62" t="s">
        <v>44</v>
      </c>
      <c r="P61" s="62" t="s">
        <v>327</v>
      </c>
      <c r="Q61" s="62" t="s">
        <v>328</v>
      </c>
      <c r="R61" s="53"/>
      <c r="S61" s="53" t="s">
        <v>44</v>
      </c>
      <c r="T61" s="82"/>
      <c r="U61" s="42"/>
      <c r="V61" s="62"/>
      <c r="W61" s="64"/>
      <c r="X61" s="76"/>
      <c r="Y61" s="76"/>
      <c r="Z61" s="76"/>
      <c r="AA61" s="76"/>
    </row>
    <row r="62">
      <c r="A62" s="42">
        <f t="shared" si="1"/>
        <v>61</v>
      </c>
      <c r="B62" s="51" t="s">
        <v>41</v>
      </c>
      <c r="C62" s="53" t="s">
        <v>330</v>
      </c>
      <c r="D62" s="42" t="s">
        <v>44</v>
      </c>
      <c r="E62" s="42" t="s">
        <v>44</v>
      </c>
      <c r="F62" s="53" t="s">
        <v>205</v>
      </c>
      <c r="G62" s="53" t="s">
        <v>85</v>
      </c>
      <c r="H62" s="53" t="s">
        <v>86</v>
      </c>
      <c r="I62" s="53" t="s">
        <v>49</v>
      </c>
      <c r="J62" s="53" t="s">
        <v>206</v>
      </c>
      <c r="K62" s="53" t="s">
        <v>51</v>
      </c>
      <c r="L62" s="53" t="s">
        <v>52</v>
      </c>
      <c r="M62" s="53" t="s">
        <v>52</v>
      </c>
      <c r="N62" s="62" t="s">
        <v>264</v>
      </c>
      <c r="O62" s="62" t="s">
        <v>44</v>
      </c>
      <c r="P62" s="62" t="s">
        <v>333</v>
      </c>
      <c r="Q62" s="62" t="s">
        <v>335</v>
      </c>
      <c r="R62" s="53"/>
      <c r="S62" s="53" t="s">
        <v>44</v>
      </c>
      <c r="T62" s="82"/>
      <c r="U62" s="42"/>
      <c r="V62" s="62"/>
      <c r="W62" s="64"/>
      <c r="X62" s="76"/>
      <c r="Y62" s="76"/>
      <c r="Z62" s="76"/>
      <c r="AA62" s="76"/>
    </row>
    <row r="63">
      <c r="A63" s="42">
        <f t="shared" si="1"/>
        <v>62</v>
      </c>
      <c r="B63" s="51" t="s">
        <v>41</v>
      </c>
      <c r="C63" s="53" t="s">
        <v>338</v>
      </c>
      <c r="D63" s="42" t="s">
        <v>44</v>
      </c>
      <c r="E63" s="42" t="s">
        <v>44</v>
      </c>
      <c r="F63" s="53" t="s">
        <v>205</v>
      </c>
      <c r="G63" s="53" t="s">
        <v>47</v>
      </c>
      <c r="H63" s="53" t="s">
        <v>48</v>
      </c>
      <c r="I63" s="53" t="s">
        <v>49</v>
      </c>
      <c r="J63" s="53" t="s">
        <v>206</v>
      </c>
      <c r="K63" s="53" t="s">
        <v>51</v>
      </c>
      <c r="L63" s="53" t="s">
        <v>52</v>
      </c>
      <c r="M63" s="53" t="s">
        <v>52</v>
      </c>
      <c r="N63" s="62" t="s">
        <v>264</v>
      </c>
      <c r="O63" s="62" t="s">
        <v>44</v>
      </c>
      <c r="P63" s="62" t="s">
        <v>339</v>
      </c>
      <c r="Q63" s="62" t="s">
        <v>340</v>
      </c>
      <c r="R63" s="53"/>
      <c r="S63" s="53" t="s">
        <v>44</v>
      </c>
      <c r="T63" s="82"/>
      <c r="U63" s="42"/>
      <c r="V63" s="62"/>
      <c r="W63" s="64"/>
      <c r="X63" s="76"/>
      <c r="Y63" s="76"/>
      <c r="Z63" s="76"/>
      <c r="AA63" s="76"/>
    </row>
    <row r="64">
      <c r="A64" s="42">
        <f t="shared" si="1"/>
        <v>63</v>
      </c>
      <c r="B64" s="51" t="s">
        <v>41</v>
      </c>
      <c r="C64" s="53" t="s">
        <v>342</v>
      </c>
      <c r="D64" s="42" t="s">
        <v>44</v>
      </c>
      <c r="E64" s="42" t="s">
        <v>44</v>
      </c>
      <c r="F64" s="53" t="s">
        <v>205</v>
      </c>
      <c r="G64" s="53" t="s">
        <v>197</v>
      </c>
      <c r="H64" s="53" t="s">
        <v>112</v>
      </c>
      <c r="I64" s="53" t="s">
        <v>49</v>
      </c>
      <c r="J64" s="53" t="s">
        <v>206</v>
      </c>
      <c r="K64" s="53" t="s">
        <v>51</v>
      </c>
      <c r="L64" s="53" t="s">
        <v>52</v>
      </c>
      <c r="M64" s="53" t="s">
        <v>52</v>
      </c>
      <c r="N64" s="62" t="s">
        <v>345</v>
      </c>
      <c r="O64" s="62" t="s">
        <v>44</v>
      </c>
      <c r="P64" s="62" t="s">
        <v>346</v>
      </c>
      <c r="Q64" s="62" t="s">
        <v>347</v>
      </c>
      <c r="R64" s="53"/>
      <c r="S64" s="53" t="s">
        <v>44</v>
      </c>
      <c r="T64" s="82"/>
      <c r="U64" s="42"/>
      <c r="V64" s="62"/>
      <c r="W64" s="64"/>
      <c r="X64" s="76"/>
      <c r="Y64" s="76"/>
      <c r="Z64" s="76"/>
      <c r="AA64" s="76"/>
    </row>
    <row r="65">
      <c r="A65" s="42">
        <f t="shared" si="1"/>
        <v>64</v>
      </c>
      <c r="B65" s="51" t="s">
        <v>41</v>
      </c>
      <c r="C65" s="53" t="s">
        <v>350</v>
      </c>
      <c r="D65" s="42" t="s">
        <v>44</v>
      </c>
      <c r="E65" s="42" t="s">
        <v>44</v>
      </c>
      <c r="F65" s="53" t="s">
        <v>205</v>
      </c>
      <c r="G65" s="53" t="s">
        <v>197</v>
      </c>
      <c r="H65" s="53" t="s">
        <v>112</v>
      </c>
      <c r="I65" s="53" t="s">
        <v>49</v>
      </c>
      <c r="J65" s="53" t="s">
        <v>206</v>
      </c>
      <c r="K65" s="53" t="s">
        <v>51</v>
      </c>
      <c r="L65" s="53" t="s">
        <v>52</v>
      </c>
      <c r="M65" s="53" t="s">
        <v>52</v>
      </c>
      <c r="N65" s="62" t="s">
        <v>353</v>
      </c>
      <c r="O65" s="62" t="s">
        <v>44</v>
      </c>
      <c r="P65" s="62" t="s">
        <v>354</v>
      </c>
      <c r="Q65" s="62" t="s">
        <v>355</v>
      </c>
      <c r="R65" s="53"/>
      <c r="S65" s="53" t="s">
        <v>44</v>
      </c>
      <c r="T65" s="82"/>
      <c r="U65" s="42"/>
      <c r="V65" s="62"/>
      <c r="W65" s="64"/>
      <c r="X65" s="76"/>
      <c r="Y65" s="76"/>
      <c r="Z65" s="76"/>
      <c r="AA65" s="76"/>
    </row>
    <row r="66">
      <c r="A66" s="42">
        <f t="shared" si="1"/>
        <v>65</v>
      </c>
      <c r="B66" s="51" t="s">
        <v>41</v>
      </c>
      <c r="C66" s="53" t="s">
        <v>358</v>
      </c>
      <c r="D66" s="42" t="s">
        <v>44</v>
      </c>
      <c r="E66" s="42" t="s">
        <v>44</v>
      </c>
      <c r="F66" s="53" t="s">
        <v>205</v>
      </c>
      <c r="G66" s="53" t="s">
        <v>47</v>
      </c>
      <c r="H66" s="53" t="s">
        <v>48</v>
      </c>
      <c r="I66" s="53" t="s">
        <v>49</v>
      </c>
      <c r="J66" s="53" t="s">
        <v>206</v>
      </c>
      <c r="K66" s="53" t="s">
        <v>51</v>
      </c>
      <c r="L66" s="53" t="s">
        <v>52</v>
      </c>
      <c r="M66" s="53" t="s">
        <v>52</v>
      </c>
      <c r="N66" s="62" t="s">
        <v>353</v>
      </c>
      <c r="O66" s="62" t="s">
        <v>44</v>
      </c>
      <c r="P66" s="62" t="s">
        <v>360</v>
      </c>
      <c r="Q66" s="62" t="s">
        <v>361</v>
      </c>
      <c r="R66" s="53"/>
      <c r="S66" s="53" t="s">
        <v>44</v>
      </c>
      <c r="T66" s="82"/>
      <c r="U66" s="42"/>
      <c r="V66" s="62"/>
      <c r="W66" s="64"/>
      <c r="X66" s="76"/>
      <c r="Y66" s="76"/>
      <c r="Z66" s="76"/>
      <c r="AA66" s="76"/>
    </row>
    <row r="67">
      <c r="A67" s="42">
        <f t="shared" si="1"/>
        <v>66</v>
      </c>
      <c r="B67" s="51" t="s">
        <v>41</v>
      </c>
      <c r="C67" s="53" t="s">
        <v>365</v>
      </c>
      <c r="D67" s="42" t="s">
        <v>44</v>
      </c>
      <c r="E67" s="42" t="s">
        <v>44</v>
      </c>
      <c r="F67" s="53" t="s">
        <v>205</v>
      </c>
      <c r="G67" s="53" t="s">
        <v>47</v>
      </c>
      <c r="H67" s="53" t="s">
        <v>48</v>
      </c>
      <c r="I67" s="53" t="s">
        <v>49</v>
      </c>
      <c r="J67" s="53" t="s">
        <v>206</v>
      </c>
      <c r="K67" s="53" t="s">
        <v>51</v>
      </c>
      <c r="L67" s="53" t="s">
        <v>52</v>
      </c>
      <c r="M67" s="53" t="s">
        <v>52</v>
      </c>
      <c r="N67" s="62" t="s">
        <v>212</v>
      </c>
      <c r="O67" s="62" t="s">
        <v>44</v>
      </c>
      <c r="P67" s="62" t="s">
        <v>368</v>
      </c>
      <c r="Q67" s="62" t="s">
        <v>369</v>
      </c>
      <c r="R67" s="53"/>
      <c r="S67" s="53" t="s">
        <v>44</v>
      </c>
      <c r="T67" s="82"/>
      <c r="U67" s="42"/>
      <c r="V67" s="62"/>
      <c r="W67" s="64"/>
      <c r="X67" s="76"/>
      <c r="Y67" s="76"/>
      <c r="Z67" s="76"/>
      <c r="AA67" s="76"/>
    </row>
    <row r="68">
      <c r="A68" s="42">
        <f t="shared" si="1"/>
        <v>67</v>
      </c>
      <c r="B68" s="51" t="s">
        <v>41</v>
      </c>
      <c r="C68" s="53" t="s">
        <v>373</v>
      </c>
      <c r="D68" s="42" t="s">
        <v>44</v>
      </c>
      <c r="E68" s="42" t="s">
        <v>44</v>
      </c>
      <c r="F68" s="53" t="s">
        <v>205</v>
      </c>
      <c r="G68" s="53" t="s">
        <v>47</v>
      </c>
      <c r="H68" s="53" t="s">
        <v>48</v>
      </c>
      <c r="I68" s="53" t="s">
        <v>49</v>
      </c>
      <c r="J68" s="53" t="s">
        <v>206</v>
      </c>
      <c r="K68" s="53" t="s">
        <v>51</v>
      </c>
      <c r="L68" s="53" t="s">
        <v>52</v>
      </c>
      <c r="M68" s="53" t="s">
        <v>52</v>
      </c>
      <c r="N68" s="62" t="s">
        <v>264</v>
      </c>
      <c r="O68" s="62" t="s">
        <v>44</v>
      </c>
      <c r="P68" s="62" t="s">
        <v>375</v>
      </c>
      <c r="Q68" s="62" t="s">
        <v>377</v>
      </c>
      <c r="R68" s="53"/>
      <c r="S68" s="53" t="s">
        <v>44</v>
      </c>
      <c r="T68" s="82"/>
      <c r="U68" s="42"/>
      <c r="V68" s="62"/>
      <c r="W68" s="64"/>
      <c r="X68" s="76"/>
      <c r="Y68" s="76"/>
      <c r="Z68" s="76"/>
      <c r="AA68" s="76"/>
    </row>
    <row r="69">
      <c r="A69" s="42">
        <f t="shared" si="1"/>
        <v>68</v>
      </c>
      <c r="B69" s="51" t="s">
        <v>41</v>
      </c>
      <c r="C69" s="53" t="s">
        <v>379</v>
      </c>
      <c r="D69" s="42" t="s">
        <v>44</v>
      </c>
      <c r="E69" s="42" t="s">
        <v>44</v>
      </c>
      <c r="F69" s="53" t="s">
        <v>205</v>
      </c>
      <c r="G69" s="53" t="s">
        <v>197</v>
      </c>
      <c r="H69" s="53" t="s">
        <v>112</v>
      </c>
      <c r="I69" s="53" t="s">
        <v>49</v>
      </c>
      <c r="J69" s="53" t="s">
        <v>206</v>
      </c>
      <c r="K69" s="53" t="s">
        <v>51</v>
      </c>
      <c r="L69" s="53" t="s">
        <v>52</v>
      </c>
      <c r="M69" s="53" t="s">
        <v>52</v>
      </c>
      <c r="N69" s="62" t="s">
        <v>264</v>
      </c>
      <c r="O69" s="62" t="s">
        <v>44</v>
      </c>
      <c r="P69" s="62" t="s">
        <v>382</v>
      </c>
      <c r="Q69" s="62" t="s">
        <v>383</v>
      </c>
      <c r="R69" s="53"/>
      <c r="S69" s="53" t="s">
        <v>44</v>
      </c>
      <c r="T69" s="82"/>
      <c r="U69" s="42"/>
      <c r="V69" s="62"/>
      <c r="W69" s="64"/>
      <c r="X69" s="76"/>
      <c r="Y69" s="76"/>
      <c r="Z69" s="76"/>
      <c r="AA69" s="76"/>
    </row>
    <row r="70">
      <c r="A70" s="42">
        <f t="shared" si="1"/>
        <v>69</v>
      </c>
      <c r="B70" s="51" t="s">
        <v>41</v>
      </c>
      <c r="C70" s="53" t="s">
        <v>385</v>
      </c>
      <c r="D70" s="42" t="s">
        <v>44</v>
      </c>
      <c r="E70" s="42" t="s">
        <v>44</v>
      </c>
      <c r="F70" s="53" t="s">
        <v>205</v>
      </c>
      <c r="G70" s="53" t="s">
        <v>47</v>
      </c>
      <c r="H70" s="53" t="s">
        <v>95</v>
      </c>
      <c r="I70" s="53" t="s">
        <v>49</v>
      </c>
      <c r="J70" s="53" t="s">
        <v>206</v>
      </c>
      <c r="K70" s="53" t="s">
        <v>51</v>
      </c>
      <c r="L70" s="53" t="s">
        <v>52</v>
      </c>
      <c r="M70" s="53" t="s">
        <v>52</v>
      </c>
      <c r="N70" s="62" t="s">
        <v>387</v>
      </c>
      <c r="O70" s="62" t="s">
        <v>44</v>
      </c>
      <c r="P70" s="62" t="s">
        <v>390</v>
      </c>
      <c r="Q70" s="62" t="s">
        <v>391</v>
      </c>
      <c r="R70" s="53"/>
      <c r="S70" s="53" t="s">
        <v>44</v>
      </c>
      <c r="T70" s="82"/>
      <c r="U70" s="42"/>
      <c r="V70" s="62"/>
      <c r="W70" s="64"/>
      <c r="X70" s="61"/>
      <c r="Y70" s="61"/>
      <c r="Z70" s="61"/>
      <c r="AA70" s="61"/>
    </row>
    <row r="71">
      <c r="A71" s="42">
        <f t="shared" si="1"/>
        <v>70</v>
      </c>
      <c r="B71" s="51" t="s">
        <v>41</v>
      </c>
      <c r="C71" s="53" t="s">
        <v>394</v>
      </c>
      <c r="D71" s="42" t="s">
        <v>44</v>
      </c>
      <c r="E71" s="42" t="s">
        <v>44</v>
      </c>
      <c r="F71" s="53" t="s">
        <v>205</v>
      </c>
      <c r="G71" s="53" t="s">
        <v>47</v>
      </c>
      <c r="H71" s="53" t="s">
        <v>48</v>
      </c>
      <c r="I71" s="53" t="s">
        <v>49</v>
      </c>
      <c r="J71" s="53" t="s">
        <v>396</v>
      </c>
      <c r="K71" s="53" t="s">
        <v>51</v>
      </c>
      <c r="L71" s="53" t="s">
        <v>52</v>
      </c>
      <c r="M71" s="53" t="s">
        <v>52</v>
      </c>
      <c r="N71" s="62" t="s">
        <v>264</v>
      </c>
      <c r="O71" s="62" t="s">
        <v>44</v>
      </c>
      <c r="P71" s="62" t="s">
        <v>397</v>
      </c>
      <c r="Q71" s="62" t="s">
        <v>399</v>
      </c>
      <c r="R71" s="53"/>
      <c r="S71" s="53" t="s">
        <v>44</v>
      </c>
      <c r="T71" s="82"/>
      <c r="U71" s="53"/>
      <c r="V71" s="62"/>
      <c r="W71" s="64"/>
      <c r="X71" s="76"/>
      <c r="Y71" s="76"/>
      <c r="Z71" s="76"/>
      <c r="AA71" s="76"/>
    </row>
    <row r="72">
      <c r="A72" s="42">
        <f t="shared" si="1"/>
        <v>71</v>
      </c>
      <c r="B72" s="51" t="s">
        <v>41</v>
      </c>
      <c r="C72" s="53" t="s">
        <v>403</v>
      </c>
      <c r="D72" s="42" t="s">
        <v>44</v>
      </c>
      <c r="E72" s="42" t="s">
        <v>44</v>
      </c>
      <c r="F72" s="53" t="s">
        <v>205</v>
      </c>
      <c r="G72" s="53" t="s">
        <v>47</v>
      </c>
      <c r="H72" s="53" t="s">
        <v>48</v>
      </c>
      <c r="I72" s="53" t="s">
        <v>49</v>
      </c>
      <c r="J72" s="53" t="s">
        <v>396</v>
      </c>
      <c r="K72" s="53" t="s">
        <v>51</v>
      </c>
      <c r="L72" s="53" t="s">
        <v>52</v>
      </c>
      <c r="M72" s="53" t="s">
        <v>52</v>
      </c>
      <c r="N72" s="62" t="s">
        <v>406</v>
      </c>
      <c r="O72" s="62" t="s">
        <v>44</v>
      </c>
      <c r="P72" s="62" t="s">
        <v>407</v>
      </c>
      <c r="Q72" s="62" t="s">
        <v>409</v>
      </c>
      <c r="R72" s="53"/>
      <c r="S72" s="53" t="s">
        <v>44</v>
      </c>
      <c r="T72" s="82"/>
      <c r="U72" s="42"/>
      <c r="V72" s="62"/>
      <c r="W72" s="64"/>
      <c r="X72" s="76"/>
      <c r="Y72" s="76"/>
      <c r="Z72" s="76"/>
      <c r="AA72" s="76"/>
    </row>
    <row r="73">
      <c r="A73" s="42">
        <f t="shared" si="1"/>
        <v>72</v>
      </c>
      <c r="B73" s="51" t="s">
        <v>41</v>
      </c>
      <c r="C73" s="53" t="s">
        <v>412</v>
      </c>
      <c r="D73" s="42" t="s">
        <v>44</v>
      </c>
      <c r="E73" s="42" t="s">
        <v>44</v>
      </c>
      <c r="F73" s="53" t="s">
        <v>205</v>
      </c>
      <c r="G73" s="53" t="s">
        <v>47</v>
      </c>
      <c r="H73" s="53" t="s">
        <v>48</v>
      </c>
      <c r="I73" s="53" t="s">
        <v>49</v>
      </c>
      <c r="J73" s="53" t="s">
        <v>396</v>
      </c>
      <c r="K73" s="53" t="s">
        <v>51</v>
      </c>
      <c r="L73" s="53" t="s">
        <v>52</v>
      </c>
      <c r="M73" s="53" t="s">
        <v>52</v>
      </c>
      <c r="N73" s="62" t="s">
        <v>415</v>
      </c>
      <c r="O73" s="62" t="s">
        <v>44</v>
      </c>
      <c r="P73" s="62" t="s">
        <v>417</v>
      </c>
      <c r="Q73" s="62" t="s">
        <v>418</v>
      </c>
      <c r="R73" s="53"/>
      <c r="S73" s="53" t="s">
        <v>44</v>
      </c>
      <c r="T73" s="82"/>
      <c r="U73" s="42"/>
      <c r="V73" s="62"/>
      <c r="W73" s="64"/>
      <c r="X73" s="76"/>
      <c r="Y73" s="76"/>
      <c r="Z73" s="76"/>
      <c r="AA73" s="76"/>
    </row>
    <row r="74">
      <c r="A74" s="42">
        <f t="shared" si="1"/>
        <v>73</v>
      </c>
      <c r="B74" s="51" t="s">
        <v>41</v>
      </c>
      <c r="C74" s="53" t="s">
        <v>419</v>
      </c>
      <c r="D74" s="42" t="s">
        <v>44</v>
      </c>
      <c r="E74" s="42" t="s">
        <v>44</v>
      </c>
      <c r="F74" s="53" t="s">
        <v>205</v>
      </c>
      <c r="G74" s="53" t="s">
        <v>47</v>
      </c>
      <c r="H74" s="53" t="s">
        <v>48</v>
      </c>
      <c r="I74" s="53" t="s">
        <v>49</v>
      </c>
      <c r="J74" s="53" t="s">
        <v>396</v>
      </c>
      <c r="K74" s="53" t="s">
        <v>51</v>
      </c>
      <c r="L74" s="53" t="s">
        <v>52</v>
      </c>
      <c r="M74" s="53" t="s">
        <v>52</v>
      </c>
      <c r="N74" s="62" t="s">
        <v>422</v>
      </c>
      <c r="O74" s="62" t="s">
        <v>44</v>
      </c>
      <c r="P74" s="62" t="s">
        <v>423</v>
      </c>
      <c r="Q74" s="62" t="s">
        <v>424</v>
      </c>
      <c r="R74" s="53"/>
      <c r="S74" s="53" t="s">
        <v>44</v>
      </c>
      <c r="T74" s="82"/>
      <c r="U74" s="42"/>
      <c r="V74" s="62"/>
      <c r="W74" s="64"/>
      <c r="X74" s="76"/>
      <c r="Y74" s="76"/>
      <c r="Z74" s="76"/>
      <c r="AA74" s="76"/>
    </row>
    <row r="75">
      <c r="A75" s="42">
        <f t="shared" si="1"/>
        <v>74</v>
      </c>
      <c r="B75" s="51" t="s">
        <v>41</v>
      </c>
      <c r="C75" s="53" t="s">
        <v>426</v>
      </c>
      <c r="D75" s="42" t="s">
        <v>44</v>
      </c>
      <c r="E75" s="42" t="s">
        <v>44</v>
      </c>
      <c r="F75" s="53" t="s">
        <v>205</v>
      </c>
      <c r="G75" s="53" t="s">
        <v>47</v>
      </c>
      <c r="H75" s="53" t="s">
        <v>95</v>
      </c>
      <c r="I75" s="53" t="s">
        <v>49</v>
      </c>
      <c r="J75" s="53" t="s">
        <v>396</v>
      </c>
      <c r="K75" s="53" t="s">
        <v>51</v>
      </c>
      <c r="L75" s="53" t="s">
        <v>52</v>
      </c>
      <c r="M75" s="53" t="s">
        <v>52</v>
      </c>
      <c r="N75" s="62" t="s">
        <v>429</v>
      </c>
      <c r="O75" s="62" t="s">
        <v>44</v>
      </c>
      <c r="P75" s="62" t="s">
        <v>430</v>
      </c>
      <c r="Q75" s="62" t="s">
        <v>432</v>
      </c>
      <c r="R75" s="53"/>
      <c r="S75" s="53" t="s">
        <v>44</v>
      </c>
      <c r="T75" s="82"/>
      <c r="U75" s="42"/>
      <c r="V75" s="62"/>
      <c r="W75" s="64"/>
      <c r="X75" s="76"/>
      <c r="Y75" s="76"/>
      <c r="Z75" s="76"/>
      <c r="AA75" s="76"/>
    </row>
    <row r="76">
      <c r="A76" s="42">
        <f t="shared" si="1"/>
        <v>75</v>
      </c>
      <c r="B76" s="51" t="s">
        <v>41</v>
      </c>
      <c r="C76" s="53" t="s">
        <v>434</v>
      </c>
      <c r="D76" s="42" t="s">
        <v>44</v>
      </c>
      <c r="E76" s="42" t="s">
        <v>44</v>
      </c>
      <c r="F76" s="53" t="s">
        <v>205</v>
      </c>
      <c r="G76" s="53" t="s">
        <v>47</v>
      </c>
      <c r="H76" s="53" t="s">
        <v>48</v>
      </c>
      <c r="I76" s="53" t="s">
        <v>49</v>
      </c>
      <c r="J76" s="53" t="s">
        <v>396</v>
      </c>
      <c r="K76" s="53" t="s">
        <v>51</v>
      </c>
      <c r="L76" s="53" t="s">
        <v>52</v>
      </c>
      <c r="M76" s="53" t="s">
        <v>52</v>
      </c>
      <c r="N76" s="62" t="s">
        <v>415</v>
      </c>
      <c r="O76" s="62" t="s">
        <v>44</v>
      </c>
      <c r="P76" s="62" t="s">
        <v>438</v>
      </c>
      <c r="Q76" s="62" t="s">
        <v>439</v>
      </c>
      <c r="R76" s="53"/>
      <c r="S76" s="53" t="s">
        <v>44</v>
      </c>
      <c r="T76" s="82"/>
      <c r="U76" s="42"/>
      <c r="V76" s="62"/>
      <c r="W76" s="64"/>
      <c r="X76" s="76"/>
      <c r="Y76" s="76"/>
      <c r="Z76" s="76"/>
      <c r="AA76" s="76"/>
    </row>
    <row r="77">
      <c r="A77" s="42">
        <f t="shared" si="1"/>
        <v>76</v>
      </c>
      <c r="B77" s="51" t="s">
        <v>41</v>
      </c>
      <c r="C77" s="53" t="s">
        <v>441</v>
      </c>
      <c r="D77" s="42" t="s">
        <v>44</v>
      </c>
      <c r="E77" s="42" t="s">
        <v>44</v>
      </c>
      <c r="F77" s="53" t="s">
        <v>205</v>
      </c>
      <c r="G77" s="53" t="s">
        <v>47</v>
      </c>
      <c r="H77" s="53" t="s">
        <v>48</v>
      </c>
      <c r="I77" s="53" t="s">
        <v>49</v>
      </c>
      <c r="J77" s="53" t="s">
        <v>396</v>
      </c>
      <c r="K77" s="53" t="s">
        <v>51</v>
      </c>
      <c r="L77" s="53" t="s">
        <v>52</v>
      </c>
      <c r="M77" s="53" t="s">
        <v>52</v>
      </c>
      <c r="N77" s="62" t="s">
        <v>415</v>
      </c>
      <c r="O77" s="62" t="s">
        <v>44</v>
      </c>
      <c r="P77" s="62" t="s">
        <v>443</v>
      </c>
      <c r="Q77" s="62" t="s">
        <v>445</v>
      </c>
      <c r="R77" s="53"/>
      <c r="S77" s="53" t="s">
        <v>44</v>
      </c>
      <c r="T77" s="82"/>
      <c r="U77" s="42"/>
      <c r="V77" s="62"/>
      <c r="W77" s="64"/>
      <c r="X77" s="76"/>
      <c r="Y77" s="76"/>
      <c r="Z77" s="76"/>
      <c r="AA77" s="76"/>
    </row>
    <row r="78">
      <c r="A78" s="42">
        <f t="shared" si="1"/>
        <v>77</v>
      </c>
      <c r="B78" s="51" t="s">
        <v>41</v>
      </c>
      <c r="C78" s="53" t="s">
        <v>450</v>
      </c>
      <c r="D78" s="42" t="s">
        <v>44</v>
      </c>
      <c r="E78" s="42" t="s">
        <v>44</v>
      </c>
      <c r="F78" s="53" t="s">
        <v>205</v>
      </c>
      <c r="G78" s="53" t="s">
        <v>47</v>
      </c>
      <c r="H78" s="53" t="s">
        <v>48</v>
      </c>
      <c r="I78" s="53" t="s">
        <v>49</v>
      </c>
      <c r="J78" s="53" t="s">
        <v>396</v>
      </c>
      <c r="K78" s="53" t="s">
        <v>51</v>
      </c>
      <c r="L78" s="53" t="s">
        <v>52</v>
      </c>
      <c r="M78" s="53" t="s">
        <v>52</v>
      </c>
      <c r="N78" s="62" t="s">
        <v>415</v>
      </c>
      <c r="O78" s="62" t="s">
        <v>44</v>
      </c>
      <c r="P78" s="62" t="s">
        <v>453</v>
      </c>
      <c r="Q78" s="62" t="s">
        <v>454</v>
      </c>
      <c r="R78" s="53"/>
      <c r="S78" s="53" t="s">
        <v>44</v>
      </c>
      <c r="T78" s="82"/>
      <c r="U78" s="42"/>
      <c r="V78" s="62"/>
      <c r="W78" s="64"/>
      <c r="X78" s="76"/>
      <c r="Y78" s="76"/>
      <c r="Z78" s="76"/>
      <c r="AA78" s="76"/>
    </row>
    <row r="79">
      <c r="A79" s="42">
        <f t="shared" si="1"/>
        <v>78</v>
      </c>
      <c r="B79" s="51" t="s">
        <v>41</v>
      </c>
      <c r="C79" s="53" t="s">
        <v>457</v>
      </c>
      <c r="D79" s="42" t="s">
        <v>44</v>
      </c>
      <c r="E79" s="42" t="s">
        <v>44</v>
      </c>
      <c r="F79" s="53" t="s">
        <v>205</v>
      </c>
      <c r="G79" s="53" t="s">
        <v>47</v>
      </c>
      <c r="H79" s="53" t="s">
        <v>48</v>
      </c>
      <c r="I79" s="53" t="s">
        <v>49</v>
      </c>
      <c r="J79" s="53" t="s">
        <v>396</v>
      </c>
      <c r="K79" s="53" t="s">
        <v>51</v>
      </c>
      <c r="L79" s="53" t="s">
        <v>52</v>
      </c>
      <c r="M79" s="53" t="s">
        <v>52</v>
      </c>
      <c r="N79" s="62" t="s">
        <v>415</v>
      </c>
      <c r="O79" s="62" t="s">
        <v>44</v>
      </c>
      <c r="P79" s="62" t="s">
        <v>459</v>
      </c>
      <c r="Q79" s="62" t="s">
        <v>460</v>
      </c>
      <c r="R79" s="53"/>
      <c r="S79" s="53" t="s">
        <v>44</v>
      </c>
      <c r="T79" s="82"/>
      <c r="U79" s="42"/>
      <c r="V79" s="62"/>
      <c r="W79" s="64"/>
      <c r="X79" s="76"/>
      <c r="Y79" s="76"/>
      <c r="Z79" s="76"/>
      <c r="AA79" s="76"/>
    </row>
    <row r="80">
      <c r="A80" s="42">
        <f t="shared" si="1"/>
        <v>79</v>
      </c>
      <c r="B80" s="51" t="s">
        <v>41</v>
      </c>
      <c r="C80" s="53" t="s">
        <v>464</v>
      </c>
      <c r="D80" s="42" t="s">
        <v>44</v>
      </c>
      <c r="E80" s="42" t="s">
        <v>44</v>
      </c>
      <c r="F80" s="53" t="s">
        <v>205</v>
      </c>
      <c r="G80" s="53" t="s">
        <v>111</v>
      </c>
      <c r="H80" s="53" t="s">
        <v>91</v>
      </c>
      <c r="I80" s="53" t="s">
        <v>49</v>
      </c>
      <c r="J80" s="53" t="s">
        <v>396</v>
      </c>
      <c r="K80" s="53" t="s">
        <v>51</v>
      </c>
      <c r="L80" s="53" t="s">
        <v>52</v>
      </c>
      <c r="M80" s="53" t="s">
        <v>52</v>
      </c>
      <c r="N80" s="62" t="s">
        <v>468</v>
      </c>
      <c r="O80" s="62" t="s">
        <v>44</v>
      </c>
      <c r="P80" s="62" t="s">
        <v>469</v>
      </c>
      <c r="Q80" s="62" t="s">
        <v>472</v>
      </c>
      <c r="R80" s="53"/>
      <c r="S80" s="53" t="s">
        <v>44</v>
      </c>
      <c r="T80" s="82"/>
      <c r="U80" s="42"/>
      <c r="V80" s="62"/>
      <c r="W80" s="64"/>
      <c r="X80" s="76"/>
      <c r="Y80" s="76"/>
      <c r="Z80" s="76"/>
      <c r="AA80" s="76"/>
    </row>
    <row r="81">
      <c r="A81" s="42">
        <f t="shared" si="1"/>
        <v>80</v>
      </c>
      <c r="B81" s="51" t="s">
        <v>41</v>
      </c>
      <c r="C81" s="53" t="s">
        <v>474</v>
      </c>
      <c r="D81" s="42" t="s">
        <v>44</v>
      </c>
      <c r="E81" s="42" t="s">
        <v>44</v>
      </c>
      <c r="F81" s="53" t="s">
        <v>205</v>
      </c>
      <c r="G81" s="53" t="s">
        <v>47</v>
      </c>
      <c r="H81" s="53" t="s">
        <v>48</v>
      </c>
      <c r="I81" s="53" t="s">
        <v>49</v>
      </c>
      <c r="J81" s="53" t="s">
        <v>396</v>
      </c>
      <c r="K81" s="53" t="s">
        <v>51</v>
      </c>
      <c r="L81" s="53" t="s">
        <v>52</v>
      </c>
      <c r="M81" s="53" t="s">
        <v>52</v>
      </c>
      <c r="N81" s="62" t="s">
        <v>476</v>
      </c>
      <c r="O81" s="62" t="s">
        <v>44</v>
      </c>
      <c r="P81" s="62" t="s">
        <v>477</v>
      </c>
      <c r="Q81" s="62" t="s">
        <v>478</v>
      </c>
      <c r="R81" s="53"/>
      <c r="S81" s="53" t="s">
        <v>44</v>
      </c>
      <c r="T81" s="82"/>
      <c r="U81" s="42"/>
      <c r="V81" s="62"/>
      <c r="W81" s="64"/>
      <c r="X81" s="223"/>
      <c r="Y81" s="223"/>
      <c r="Z81" s="223"/>
      <c r="AA81" s="223"/>
    </row>
    <row r="82">
      <c r="A82" s="42">
        <f t="shared" si="1"/>
        <v>81</v>
      </c>
      <c r="B82" s="51" t="s">
        <v>41</v>
      </c>
      <c r="C82" s="53" t="s">
        <v>484</v>
      </c>
      <c r="D82" s="42" t="s">
        <v>44</v>
      </c>
      <c r="E82" s="42" t="s">
        <v>44</v>
      </c>
      <c r="F82" s="53" t="s">
        <v>205</v>
      </c>
      <c r="G82" s="53" t="s">
        <v>47</v>
      </c>
      <c r="H82" s="53" t="s">
        <v>48</v>
      </c>
      <c r="I82" s="53" t="s">
        <v>49</v>
      </c>
      <c r="J82" s="53" t="s">
        <v>396</v>
      </c>
      <c r="K82" s="53" t="s">
        <v>51</v>
      </c>
      <c r="L82" s="53" t="s">
        <v>52</v>
      </c>
      <c r="M82" s="53" t="s">
        <v>52</v>
      </c>
      <c r="N82" s="62" t="s">
        <v>488</v>
      </c>
      <c r="O82" s="62" t="s">
        <v>44</v>
      </c>
      <c r="P82" s="62" t="s">
        <v>489</v>
      </c>
      <c r="Q82" s="62" t="s">
        <v>490</v>
      </c>
      <c r="R82" s="53"/>
      <c r="S82" s="53" t="s">
        <v>44</v>
      </c>
      <c r="T82" s="82"/>
      <c r="U82" s="42"/>
      <c r="V82" s="62"/>
      <c r="W82" s="64"/>
      <c r="X82" s="223"/>
      <c r="Y82" s="223"/>
      <c r="Z82" s="223"/>
      <c r="AA82" s="223"/>
    </row>
    <row r="83">
      <c r="A83" s="42">
        <f t="shared" si="1"/>
        <v>82</v>
      </c>
      <c r="B83" s="51" t="s">
        <v>41</v>
      </c>
      <c r="C83" s="53" t="s">
        <v>494</v>
      </c>
      <c r="D83" s="42" t="s">
        <v>44</v>
      </c>
      <c r="E83" s="42" t="s">
        <v>44</v>
      </c>
      <c r="F83" s="53" t="s">
        <v>205</v>
      </c>
      <c r="G83" s="53" t="s">
        <v>47</v>
      </c>
      <c r="H83" s="53" t="s">
        <v>48</v>
      </c>
      <c r="I83" s="53" t="s">
        <v>49</v>
      </c>
      <c r="J83" s="53" t="s">
        <v>396</v>
      </c>
      <c r="K83" s="53" t="s">
        <v>51</v>
      </c>
      <c r="L83" s="53" t="s">
        <v>52</v>
      </c>
      <c r="M83" s="53" t="s">
        <v>52</v>
      </c>
      <c r="N83" s="62" t="s">
        <v>468</v>
      </c>
      <c r="O83" s="62" t="s">
        <v>44</v>
      </c>
      <c r="P83" s="62" t="s">
        <v>496</v>
      </c>
      <c r="Q83" s="62" t="s">
        <v>497</v>
      </c>
      <c r="R83" s="53"/>
      <c r="S83" s="53" t="s">
        <v>44</v>
      </c>
      <c r="T83" s="82"/>
      <c r="U83" s="42"/>
      <c r="V83" s="62"/>
      <c r="W83" s="64"/>
      <c r="X83" s="223"/>
      <c r="Y83" s="223"/>
      <c r="Z83" s="223"/>
      <c r="AA83" s="223"/>
    </row>
    <row r="84">
      <c r="A84" s="42">
        <f t="shared" si="1"/>
        <v>83</v>
      </c>
      <c r="B84" s="51" t="s">
        <v>41</v>
      </c>
      <c r="C84" s="53" t="s">
        <v>499</v>
      </c>
      <c r="D84" s="42" t="s">
        <v>44</v>
      </c>
      <c r="E84" s="42" t="s">
        <v>44</v>
      </c>
      <c r="F84" s="53" t="s">
        <v>205</v>
      </c>
      <c r="G84" s="53" t="s">
        <v>47</v>
      </c>
      <c r="H84" s="53" t="s">
        <v>48</v>
      </c>
      <c r="I84" s="53" t="s">
        <v>49</v>
      </c>
      <c r="J84" s="53" t="s">
        <v>396</v>
      </c>
      <c r="K84" s="53" t="s">
        <v>51</v>
      </c>
      <c r="L84" s="53" t="s">
        <v>52</v>
      </c>
      <c r="M84" s="53" t="s">
        <v>52</v>
      </c>
      <c r="N84" s="62" t="s">
        <v>488</v>
      </c>
      <c r="O84" s="62" t="s">
        <v>44</v>
      </c>
      <c r="P84" s="62" t="s">
        <v>502</v>
      </c>
      <c r="Q84" s="62" t="s">
        <v>503</v>
      </c>
      <c r="R84" s="53"/>
      <c r="S84" s="53" t="s">
        <v>44</v>
      </c>
      <c r="T84" s="82"/>
      <c r="U84" s="42"/>
      <c r="V84" s="62"/>
      <c r="W84" s="64"/>
      <c r="X84" s="223"/>
      <c r="Y84" s="223"/>
      <c r="Z84" s="223"/>
      <c r="AA84" s="223"/>
    </row>
    <row r="85">
      <c r="A85" s="42">
        <f t="shared" si="1"/>
        <v>84</v>
      </c>
      <c r="B85" s="51" t="s">
        <v>41</v>
      </c>
      <c r="C85" s="53" t="s">
        <v>508</v>
      </c>
      <c r="D85" s="42" t="s">
        <v>44</v>
      </c>
      <c r="E85" s="42" t="s">
        <v>44</v>
      </c>
      <c r="F85" s="53" t="s">
        <v>205</v>
      </c>
      <c r="G85" s="53" t="s">
        <v>111</v>
      </c>
      <c r="H85" s="53" t="s">
        <v>91</v>
      </c>
      <c r="I85" s="53" t="s">
        <v>49</v>
      </c>
      <c r="J85" s="53" t="s">
        <v>396</v>
      </c>
      <c r="K85" s="53" t="s">
        <v>51</v>
      </c>
      <c r="L85" s="53" t="s">
        <v>52</v>
      </c>
      <c r="M85" s="53" t="s">
        <v>52</v>
      </c>
      <c r="N85" s="62" t="s">
        <v>510</v>
      </c>
      <c r="O85" s="62" t="s">
        <v>44</v>
      </c>
      <c r="P85" s="62" t="s">
        <v>511</v>
      </c>
      <c r="Q85" s="62" t="s">
        <v>512</v>
      </c>
      <c r="R85" s="53"/>
      <c r="S85" s="53" t="s">
        <v>44</v>
      </c>
      <c r="T85" s="82"/>
      <c r="U85" s="42"/>
      <c r="V85" s="62"/>
      <c r="W85" s="64"/>
      <c r="X85" s="223"/>
      <c r="Y85" s="223"/>
      <c r="Z85" s="223"/>
      <c r="AA85" s="223"/>
    </row>
    <row r="86">
      <c r="A86" s="42">
        <f t="shared" si="1"/>
        <v>85</v>
      </c>
      <c r="B86" s="51" t="s">
        <v>41</v>
      </c>
      <c r="C86" s="53" t="s">
        <v>513</v>
      </c>
      <c r="D86" s="42" t="s">
        <v>44</v>
      </c>
      <c r="E86" s="42" t="s">
        <v>44</v>
      </c>
      <c r="F86" s="53" t="s">
        <v>205</v>
      </c>
      <c r="G86" s="53" t="s">
        <v>47</v>
      </c>
      <c r="H86" s="53" t="s">
        <v>95</v>
      </c>
      <c r="I86" s="53" t="s">
        <v>49</v>
      </c>
      <c r="J86" s="53" t="s">
        <v>396</v>
      </c>
      <c r="K86" s="53" t="s">
        <v>51</v>
      </c>
      <c r="L86" s="53" t="s">
        <v>52</v>
      </c>
      <c r="M86" s="53" t="s">
        <v>52</v>
      </c>
      <c r="N86" s="62" t="s">
        <v>516</v>
      </c>
      <c r="O86" s="62" t="s">
        <v>44</v>
      </c>
      <c r="P86" s="62" t="s">
        <v>517</v>
      </c>
      <c r="Q86" s="62" t="s">
        <v>518</v>
      </c>
      <c r="R86" s="53"/>
      <c r="S86" s="53" t="s">
        <v>44</v>
      </c>
      <c r="T86" s="82"/>
      <c r="U86" s="42"/>
      <c r="V86" s="62"/>
      <c r="W86" s="64"/>
      <c r="X86" s="223"/>
      <c r="Y86" s="223"/>
      <c r="Z86" s="223"/>
      <c r="AA86" s="223"/>
    </row>
    <row r="87">
      <c r="A87" s="42">
        <f t="shared" si="1"/>
        <v>86</v>
      </c>
      <c r="B87" s="51" t="s">
        <v>41</v>
      </c>
      <c r="C87" s="53" t="s">
        <v>520</v>
      </c>
      <c r="D87" s="42" t="s">
        <v>44</v>
      </c>
      <c r="E87" s="42" t="s">
        <v>44</v>
      </c>
      <c r="F87" s="53" t="s">
        <v>205</v>
      </c>
      <c r="G87" s="53" t="s">
        <v>47</v>
      </c>
      <c r="H87" s="53" t="s">
        <v>48</v>
      </c>
      <c r="I87" s="53" t="s">
        <v>49</v>
      </c>
      <c r="J87" s="53" t="s">
        <v>396</v>
      </c>
      <c r="K87" s="53" t="s">
        <v>51</v>
      </c>
      <c r="L87" s="53" t="s">
        <v>52</v>
      </c>
      <c r="M87" s="53" t="s">
        <v>52</v>
      </c>
      <c r="N87" s="62" t="s">
        <v>522</v>
      </c>
      <c r="O87" s="62" t="s">
        <v>44</v>
      </c>
      <c r="P87" s="62" t="s">
        <v>523</v>
      </c>
      <c r="Q87" s="62" t="s">
        <v>524</v>
      </c>
      <c r="R87" s="53"/>
      <c r="S87" s="53" t="s">
        <v>44</v>
      </c>
      <c r="T87" s="82"/>
      <c r="U87" s="42"/>
      <c r="V87" s="62"/>
      <c r="W87" s="64"/>
      <c r="X87" s="223"/>
      <c r="Y87" s="223"/>
      <c r="Z87" s="223"/>
      <c r="AA87" s="223"/>
    </row>
    <row r="88">
      <c r="A88" s="42">
        <f t="shared" si="1"/>
        <v>87</v>
      </c>
      <c r="B88" s="51" t="s">
        <v>41</v>
      </c>
      <c r="C88" s="53" t="s">
        <v>526</v>
      </c>
      <c r="D88" s="42" t="s">
        <v>44</v>
      </c>
      <c r="E88" s="42" t="s">
        <v>44</v>
      </c>
      <c r="F88" s="53" t="s">
        <v>205</v>
      </c>
      <c r="G88" s="53" t="s">
        <v>47</v>
      </c>
      <c r="H88" s="53" t="s">
        <v>48</v>
      </c>
      <c r="I88" s="53" t="s">
        <v>49</v>
      </c>
      <c r="J88" s="53" t="s">
        <v>396</v>
      </c>
      <c r="K88" s="53" t="s">
        <v>51</v>
      </c>
      <c r="L88" s="53" t="s">
        <v>52</v>
      </c>
      <c r="M88" s="53" t="s">
        <v>52</v>
      </c>
      <c r="N88" s="62" t="s">
        <v>488</v>
      </c>
      <c r="O88" s="62" t="s">
        <v>44</v>
      </c>
      <c r="P88" s="62" t="s">
        <v>528</v>
      </c>
      <c r="Q88" s="62" t="s">
        <v>529</v>
      </c>
      <c r="R88" s="53"/>
      <c r="S88" s="53" t="s">
        <v>44</v>
      </c>
      <c r="T88" s="82"/>
      <c r="U88" s="42"/>
      <c r="V88" s="62"/>
      <c r="W88" s="64"/>
      <c r="X88" s="223"/>
      <c r="Y88" s="223"/>
      <c r="Z88" s="223"/>
      <c r="AA88" s="223"/>
    </row>
    <row r="89">
      <c r="A89" s="42">
        <f t="shared" si="1"/>
        <v>88</v>
      </c>
      <c r="B89" s="51" t="s">
        <v>41</v>
      </c>
      <c r="C89" s="53" t="s">
        <v>531</v>
      </c>
      <c r="D89" s="42" t="s">
        <v>44</v>
      </c>
      <c r="E89" s="42" t="s">
        <v>44</v>
      </c>
      <c r="F89" s="53" t="s">
        <v>205</v>
      </c>
      <c r="G89" s="53" t="s">
        <v>47</v>
      </c>
      <c r="H89" s="53" t="s">
        <v>48</v>
      </c>
      <c r="I89" s="53" t="s">
        <v>49</v>
      </c>
      <c r="J89" s="53" t="s">
        <v>396</v>
      </c>
      <c r="K89" s="53" t="s">
        <v>51</v>
      </c>
      <c r="L89" s="53" t="s">
        <v>52</v>
      </c>
      <c r="M89" s="53" t="s">
        <v>52</v>
      </c>
      <c r="N89" s="62" t="s">
        <v>488</v>
      </c>
      <c r="O89" s="62" t="s">
        <v>44</v>
      </c>
      <c r="P89" s="62" t="s">
        <v>532</v>
      </c>
      <c r="Q89" s="62" t="s">
        <v>533</v>
      </c>
      <c r="R89" s="53"/>
      <c r="S89" s="53" t="s">
        <v>44</v>
      </c>
      <c r="T89" s="82"/>
      <c r="U89" s="42"/>
      <c r="V89" s="62"/>
      <c r="W89" s="64"/>
      <c r="X89" s="223"/>
      <c r="Y89" s="223"/>
      <c r="Z89" s="223"/>
      <c r="AA89" s="223"/>
    </row>
    <row r="90">
      <c r="A90" s="42">
        <f t="shared" si="1"/>
        <v>89</v>
      </c>
      <c r="B90" s="51" t="s">
        <v>41</v>
      </c>
      <c r="C90" s="53" t="s">
        <v>534</v>
      </c>
      <c r="D90" s="42" t="s">
        <v>44</v>
      </c>
      <c r="E90" s="42" t="s">
        <v>44</v>
      </c>
      <c r="F90" s="53" t="s">
        <v>205</v>
      </c>
      <c r="G90" s="53" t="s">
        <v>47</v>
      </c>
      <c r="H90" s="53" t="s">
        <v>48</v>
      </c>
      <c r="I90" s="53" t="s">
        <v>49</v>
      </c>
      <c r="J90" s="53" t="s">
        <v>396</v>
      </c>
      <c r="K90" s="53" t="s">
        <v>51</v>
      </c>
      <c r="L90" s="53" t="s">
        <v>52</v>
      </c>
      <c r="M90" s="53" t="s">
        <v>52</v>
      </c>
      <c r="N90" s="62" t="s">
        <v>488</v>
      </c>
      <c r="O90" s="62" t="s">
        <v>44</v>
      </c>
      <c r="P90" s="62" t="s">
        <v>536</v>
      </c>
      <c r="Q90" s="62" t="s">
        <v>537</v>
      </c>
      <c r="R90" s="53"/>
      <c r="S90" s="53" t="s">
        <v>44</v>
      </c>
      <c r="T90" s="82"/>
      <c r="U90" s="42"/>
      <c r="V90" s="62"/>
      <c r="W90" s="64"/>
      <c r="X90" s="223"/>
      <c r="Y90" s="223"/>
      <c r="Z90" s="223"/>
      <c r="AA90" s="223"/>
    </row>
    <row r="91">
      <c r="A91" s="42">
        <f t="shared" si="1"/>
        <v>90</v>
      </c>
      <c r="B91" s="51" t="s">
        <v>41</v>
      </c>
      <c r="C91" s="53" t="s">
        <v>539</v>
      </c>
      <c r="D91" s="42" t="s">
        <v>44</v>
      </c>
      <c r="E91" s="42" t="s">
        <v>44</v>
      </c>
      <c r="F91" s="53" t="s">
        <v>205</v>
      </c>
      <c r="G91" s="53" t="s">
        <v>47</v>
      </c>
      <c r="H91" s="53" t="s">
        <v>48</v>
      </c>
      <c r="I91" s="53" t="s">
        <v>49</v>
      </c>
      <c r="J91" s="53" t="s">
        <v>396</v>
      </c>
      <c r="K91" s="53" t="s">
        <v>51</v>
      </c>
      <c r="L91" s="53" t="s">
        <v>52</v>
      </c>
      <c r="M91" s="53" t="s">
        <v>52</v>
      </c>
      <c r="N91" s="62" t="s">
        <v>540</v>
      </c>
      <c r="O91" s="62" t="s">
        <v>44</v>
      </c>
      <c r="P91" s="62" t="s">
        <v>541</v>
      </c>
      <c r="Q91" s="62" t="s">
        <v>542</v>
      </c>
      <c r="R91" s="53"/>
      <c r="S91" s="53" t="s">
        <v>44</v>
      </c>
      <c r="T91" s="82"/>
      <c r="U91" s="42"/>
      <c r="V91" s="62"/>
      <c r="W91" s="64"/>
      <c r="X91" s="223"/>
      <c r="Y91" s="223"/>
      <c r="Z91" s="223"/>
      <c r="AA91" s="223"/>
    </row>
    <row r="92">
      <c r="A92" s="42">
        <f t="shared" si="1"/>
        <v>91</v>
      </c>
      <c r="B92" s="51" t="s">
        <v>41</v>
      </c>
      <c r="C92" s="53" t="s">
        <v>543</v>
      </c>
      <c r="D92" s="42" t="s">
        <v>44</v>
      </c>
      <c r="E92" s="42" t="s">
        <v>44</v>
      </c>
      <c r="F92" s="53" t="s">
        <v>205</v>
      </c>
      <c r="G92" s="53" t="s">
        <v>47</v>
      </c>
      <c r="H92" s="53" t="s">
        <v>48</v>
      </c>
      <c r="I92" s="53" t="s">
        <v>49</v>
      </c>
      <c r="J92" s="53" t="s">
        <v>396</v>
      </c>
      <c r="K92" s="53" t="s">
        <v>51</v>
      </c>
      <c r="L92" s="53" t="s">
        <v>52</v>
      </c>
      <c r="M92" s="53" t="s">
        <v>52</v>
      </c>
      <c r="N92" s="62" t="s">
        <v>544</v>
      </c>
      <c r="O92" s="62" t="s">
        <v>44</v>
      </c>
      <c r="P92" s="62" t="s">
        <v>545</v>
      </c>
      <c r="Q92" s="62" t="s">
        <v>546</v>
      </c>
      <c r="R92" s="53"/>
      <c r="S92" s="53" t="s">
        <v>44</v>
      </c>
      <c r="T92" s="82"/>
      <c r="U92" s="42"/>
      <c r="V92" s="62"/>
      <c r="W92" s="64"/>
      <c r="X92" s="223"/>
      <c r="Y92" s="223"/>
      <c r="Z92" s="223"/>
      <c r="AA92" s="223"/>
    </row>
    <row r="93">
      <c r="A93" s="42">
        <f t="shared" si="1"/>
        <v>92</v>
      </c>
      <c r="B93" s="51" t="s">
        <v>41</v>
      </c>
      <c r="C93" s="53" t="s">
        <v>548</v>
      </c>
      <c r="D93" s="42" t="s">
        <v>44</v>
      </c>
      <c r="E93" s="42" t="s">
        <v>44</v>
      </c>
      <c r="F93" s="53" t="s">
        <v>205</v>
      </c>
      <c r="G93" s="53" t="s">
        <v>47</v>
      </c>
      <c r="H93" s="53" t="s">
        <v>48</v>
      </c>
      <c r="I93" s="53" t="s">
        <v>49</v>
      </c>
      <c r="J93" s="53" t="s">
        <v>396</v>
      </c>
      <c r="K93" s="53" t="s">
        <v>51</v>
      </c>
      <c r="L93" s="53" t="s">
        <v>52</v>
      </c>
      <c r="M93" s="53" t="s">
        <v>52</v>
      </c>
      <c r="N93" s="62" t="s">
        <v>549</v>
      </c>
      <c r="O93" s="62" t="s">
        <v>44</v>
      </c>
      <c r="P93" s="62" t="s">
        <v>551</v>
      </c>
      <c r="Q93" s="62" t="s">
        <v>552</v>
      </c>
      <c r="R93" s="53"/>
      <c r="S93" s="53" t="s">
        <v>44</v>
      </c>
      <c r="T93" s="82"/>
      <c r="U93" s="42"/>
      <c r="V93" s="62"/>
      <c r="W93" s="64"/>
      <c r="X93" s="223"/>
      <c r="Y93" s="223"/>
      <c r="Z93" s="223"/>
      <c r="AA93" s="223"/>
    </row>
    <row r="94">
      <c r="A94" s="42">
        <f t="shared" si="1"/>
        <v>93</v>
      </c>
      <c r="B94" s="51" t="s">
        <v>41</v>
      </c>
      <c r="C94" s="53" t="s">
        <v>554</v>
      </c>
      <c r="D94" s="42" t="s">
        <v>44</v>
      </c>
      <c r="E94" s="42" t="s">
        <v>44</v>
      </c>
      <c r="F94" s="53" t="s">
        <v>205</v>
      </c>
      <c r="G94" s="53" t="s">
        <v>47</v>
      </c>
      <c r="H94" s="53" t="s">
        <v>95</v>
      </c>
      <c r="I94" s="53" t="s">
        <v>49</v>
      </c>
      <c r="J94" s="53" t="s">
        <v>396</v>
      </c>
      <c r="K94" s="53" t="s">
        <v>51</v>
      </c>
      <c r="L94" s="53" t="s">
        <v>52</v>
      </c>
      <c r="M94" s="53" t="s">
        <v>52</v>
      </c>
      <c r="N94" s="62" t="s">
        <v>557</v>
      </c>
      <c r="O94" s="62" t="s">
        <v>44</v>
      </c>
      <c r="P94" s="62" t="s">
        <v>397</v>
      </c>
      <c r="Q94" s="62" t="s">
        <v>559</v>
      </c>
      <c r="R94" s="53"/>
      <c r="S94" s="53" t="s">
        <v>44</v>
      </c>
      <c r="T94" s="82"/>
      <c r="U94" s="42"/>
      <c r="V94" s="62"/>
      <c r="W94" s="64"/>
      <c r="X94" s="223"/>
      <c r="Y94" s="223"/>
      <c r="Z94" s="223"/>
      <c r="AA94" s="223"/>
    </row>
    <row r="95">
      <c r="A95" s="42">
        <f t="shared" si="1"/>
        <v>94</v>
      </c>
      <c r="B95" s="51" t="s">
        <v>41</v>
      </c>
      <c r="C95" s="53" t="s">
        <v>562</v>
      </c>
      <c r="D95" s="42" t="s">
        <v>44</v>
      </c>
      <c r="E95" s="42" t="s">
        <v>44</v>
      </c>
      <c r="F95" s="53" t="s">
        <v>205</v>
      </c>
      <c r="G95" s="53" t="s">
        <v>47</v>
      </c>
      <c r="H95" s="53" t="s">
        <v>48</v>
      </c>
      <c r="I95" s="53" t="s">
        <v>49</v>
      </c>
      <c r="J95" s="53" t="s">
        <v>396</v>
      </c>
      <c r="K95" s="53" t="s">
        <v>51</v>
      </c>
      <c r="L95" s="53" t="s">
        <v>52</v>
      </c>
      <c r="M95" s="53" t="s">
        <v>52</v>
      </c>
      <c r="N95" s="62" t="s">
        <v>468</v>
      </c>
      <c r="O95" s="62" t="s">
        <v>44</v>
      </c>
      <c r="P95" s="62" t="s">
        <v>566</v>
      </c>
      <c r="Q95" s="62" t="s">
        <v>567</v>
      </c>
      <c r="R95" s="53"/>
      <c r="S95" s="53" t="s">
        <v>44</v>
      </c>
      <c r="T95" s="82"/>
      <c r="U95" s="42"/>
      <c r="V95" s="62"/>
      <c r="W95" s="64"/>
      <c r="X95" s="223"/>
      <c r="Y95" s="223"/>
      <c r="Z95" s="223"/>
      <c r="AA95" s="223"/>
    </row>
    <row r="96">
      <c r="A96" s="42">
        <f t="shared" si="1"/>
        <v>95</v>
      </c>
      <c r="B96" s="51" t="s">
        <v>41</v>
      </c>
      <c r="C96" s="53" t="s">
        <v>569</v>
      </c>
      <c r="D96" s="42" t="s">
        <v>44</v>
      </c>
      <c r="E96" s="42" t="s">
        <v>44</v>
      </c>
      <c r="F96" s="53" t="s">
        <v>205</v>
      </c>
      <c r="G96" s="53" t="s">
        <v>47</v>
      </c>
      <c r="H96" s="53" t="s">
        <v>48</v>
      </c>
      <c r="I96" s="53" t="s">
        <v>49</v>
      </c>
      <c r="J96" s="53" t="s">
        <v>570</v>
      </c>
      <c r="K96" s="53" t="s">
        <v>51</v>
      </c>
      <c r="L96" s="53" t="s">
        <v>52</v>
      </c>
      <c r="M96" s="53" t="s">
        <v>52</v>
      </c>
      <c r="N96" s="62" t="s">
        <v>264</v>
      </c>
      <c r="O96" s="62" t="s">
        <v>44</v>
      </c>
      <c r="P96" s="62" t="s">
        <v>571</v>
      </c>
      <c r="Q96" s="62" t="s">
        <v>572</v>
      </c>
      <c r="R96" s="53"/>
      <c r="S96" s="53" t="s">
        <v>44</v>
      </c>
      <c r="T96" s="82"/>
      <c r="U96" s="42"/>
      <c r="V96" s="62"/>
      <c r="W96" s="64"/>
      <c r="X96" s="223"/>
      <c r="Y96" s="223"/>
      <c r="Z96" s="223"/>
      <c r="AA96" s="223"/>
    </row>
    <row r="97">
      <c r="A97" s="42">
        <f t="shared" si="1"/>
        <v>96</v>
      </c>
      <c r="B97" s="51" t="s">
        <v>41</v>
      </c>
      <c r="C97" s="53" t="s">
        <v>574</v>
      </c>
      <c r="D97" s="42" t="s">
        <v>44</v>
      </c>
      <c r="E97" s="42" t="s">
        <v>44</v>
      </c>
      <c r="F97" s="53" t="s">
        <v>205</v>
      </c>
      <c r="G97" s="53" t="s">
        <v>47</v>
      </c>
      <c r="H97" s="53" t="s">
        <v>48</v>
      </c>
      <c r="I97" s="53" t="s">
        <v>49</v>
      </c>
      <c r="J97" s="53" t="s">
        <v>570</v>
      </c>
      <c r="K97" s="53" t="s">
        <v>51</v>
      </c>
      <c r="L97" s="53" t="s">
        <v>52</v>
      </c>
      <c r="M97" s="53" t="s">
        <v>52</v>
      </c>
      <c r="N97" s="62" t="s">
        <v>575</v>
      </c>
      <c r="O97" s="62" t="s">
        <v>44</v>
      </c>
      <c r="P97" s="62" t="s">
        <v>576</v>
      </c>
      <c r="Q97" s="62" t="s">
        <v>577</v>
      </c>
      <c r="R97" s="53"/>
      <c r="S97" s="53" t="s">
        <v>44</v>
      </c>
      <c r="T97" s="82"/>
      <c r="U97" s="42"/>
      <c r="V97" s="62"/>
      <c r="W97" s="64"/>
      <c r="X97" s="223"/>
      <c r="Y97" s="223"/>
      <c r="Z97" s="223"/>
      <c r="AA97" s="223"/>
    </row>
    <row r="98">
      <c r="A98" s="42">
        <f t="shared" si="1"/>
        <v>97</v>
      </c>
      <c r="B98" s="51" t="s">
        <v>41</v>
      </c>
      <c r="C98" s="53" t="s">
        <v>579</v>
      </c>
      <c r="D98" s="42" t="s">
        <v>44</v>
      </c>
      <c r="E98" s="42" t="s">
        <v>44</v>
      </c>
      <c r="F98" s="53" t="s">
        <v>205</v>
      </c>
      <c r="G98" s="53" t="s">
        <v>47</v>
      </c>
      <c r="H98" s="53" t="s">
        <v>95</v>
      </c>
      <c r="I98" s="53" t="s">
        <v>49</v>
      </c>
      <c r="J98" s="53" t="s">
        <v>570</v>
      </c>
      <c r="K98" s="53" t="s">
        <v>51</v>
      </c>
      <c r="L98" s="53" t="s">
        <v>52</v>
      </c>
      <c r="M98" s="53" t="s">
        <v>52</v>
      </c>
      <c r="N98" s="62" t="s">
        <v>581</v>
      </c>
      <c r="O98" s="62" t="s">
        <v>44</v>
      </c>
      <c r="P98" s="62" t="s">
        <v>582</v>
      </c>
      <c r="Q98" s="62" t="s">
        <v>583</v>
      </c>
      <c r="R98" s="53"/>
      <c r="S98" s="53" t="s">
        <v>44</v>
      </c>
      <c r="T98" s="82"/>
      <c r="U98" s="42"/>
      <c r="V98" s="62"/>
      <c r="W98" s="64"/>
      <c r="X98" s="223"/>
      <c r="Y98" s="223"/>
      <c r="Z98" s="223"/>
      <c r="AA98" s="223"/>
    </row>
    <row r="99">
      <c r="A99" s="42">
        <f t="shared" si="1"/>
        <v>98</v>
      </c>
      <c r="B99" s="51" t="s">
        <v>41</v>
      </c>
      <c r="C99" s="53" t="s">
        <v>585</v>
      </c>
      <c r="D99" s="42" t="s">
        <v>44</v>
      </c>
      <c r="E99" s="42" t="s">
        <v>44</v>
      </c>
      <c r="F99" s="53" t="s">
        <v>205</v>
      </c>
      <c r="G99" s="53" t="s">
        <v>47</v>
      </c>
      <c r="H99" s="53" t="s">
        <v>48</v>
      </c>
      <c r="I99" s="53" t="s">
        <v>49</v>
      </c>
      <c r="J99" s="53" t="s">
        <v>570</v>
      </c>
      <c r="K99" s="53" t="s">
        <v>51</v>
      </c>
      <c r="L99" s="53" t="s">
        <v>52</v>
      </c>
      <c r="M99" s="53" t="s">
        <v>52</v>
      </c>
      <c r="N99" s="62" t="s">
        <v>587</v>
      </c>
      <c r="O99" s="62" t="s">
        <v>44</v>
      </c>
      <c r="P99" s="62" t="s">
        <v>588</v>
      </c>
      <c r="Q99" s="62" t="s">
        <v>589</v>
      </c>
      <c r="R99" s="53"/>
      <c r="S99" s="53" t="s">
        <v>44</v>
      </c>
      <c r="T99" s="82"/>
      <c r="U99" s="42"/>
      <c r="V99" s="62"/>
      <c r="W99" s="64"/>
      <c r="X99" s="223"/>
      <c r="Y99" s="223"/>
      <c r="Z99" s="223"/>
      <c r="AA99" s="223"/>
    </row>
    <row r="100">
      <c r="A100" s="42">
        <f t="shared" si="1"/>
        <v>99</v>
      </c>
      <c r="B100" s="51" t="s">
        <v>41</v>
      </c>
      <c r="C100" s="53" t="s">
        <v>591</v>
      </c>
      <c r="D100" s="42" t="s">
        <v>44</v>
      </c>
      <c r="E100" s="42" t="s">
        <v>44</v>
      </c>
      <c r="F100" s="53" t="s">
        <v>205</v>
      </c>
      <c r="G100" s="53" t="s">
        <v>47</v>
      </c>
      <c r="H100" s="53" t="s">
        <v>48</v>
      </c>
      <c r="I100" s="53" t="s">
        <v>49</v>
      </c>
      <c r="J100" s="53" t="s">
        <v>570</v>
      </c>
      <c r="K100" s="53" t="s">
        <v>51</v>
      </c>
      <c r="L100" s="53" t="s">
        <v>52</v>
      </c>
      <c r="M100" s="53" t="s">
        <v>52</v>
      </c>
      <c r="N100" s="62" t="s">
        <v>593</v>
      </c>
      <c r="O100" s="62" t="s">
        <v>44</v>
      </c>
      <c r="P100" s="62" t="s">
        <v>594</v>
      </c>
      <c r="Q100" s="62" t="s">
        <v>595</v>
      </c>
      <c r="R100" s="53"/>
      <c r="S100" s="53" t="s">
        <v>44</v>
      </c>
      <c r="T100" s="82"/>
      <c r="U100" s="42"/>
      <c r="V100" s="62"/>
      <c r="W100" s="64"/>
      <c r="X100" s="223"/>
      <c r="Y100" s="223"/>
      <c r="Z100" s="223"/>
      <c r="AA100" s="223"/>
    </row>
    <row r="101">
      <c r="A101" s="42">
        <f t="shared" si="1"/>
        <v>100</v>
      </c>
      <c r="B101" s="51" t="s">
        <v>41</v>
      </c>
      <c r="C101" s="53" t="s">
        <v>598</v>
      </c>
      <c r="D101" s="42" t="s">
        <v>44</v>
      </c>
      <c r="E101" s="42" t="s">
        <v>44</v>
      </c>
      <c r="F101" s="53" t="s">
        <v>205</v>
      </c>
      <c r="G101" s="53" t="s">
        <v>47</v>
      </c>
      <c r="H101" s="53" t="s">
        <v>48</v>
      </c>
      <c r="I101" s="53" t="s">
        <v>49</v>
      </c>
      <c r="J101" s="53" t="s">
        <v>570</v>
      </c>
      <c r="K101" s="53" t="s">
        <v>51</v>
      </c>
      <c r="L101" s="53" t="s">
        <v>52</v>
      </c>
      <c r="M101" s="53" t="s">
        <v>52</v>
      </c>
      <c r="N101" s="62" t="s">
        <v>600</v>
      </c>
      <c r="O101" s="62" t="s">
        <v>44</v>
      </c>
      <c r="P101" s="62" t="s">
        <v>602</v>
      </c>
      <c r="Q101" s="62" t="s">
        <v>603</v>
      </c>
      <c r="R101" s="53"/>
      <c r="S101" s="53" t="s">
        <v>44</v>
      </c>
      <c r="T101" s="82"/>
      <c r="U101" s="42"/>
      <c r="V101" s="62"/>
      <c r="W101" s="64"/>
      <c r="X101" s="223"/>
      <c r="Y101" s="223"/>
      <c r="Z101" s="223"/>
      <c r="AA101" s="223"/>
    </row>
    <row r="102">
      <c r="A102" s="42">
        <f t="shared" si="1"/>
        <v>101</v>
      </c>
      <c r="B102" s="51" t="s">
        <v>41</v>
      </c>
      <c r="C102" s="53" t="s">
        <v>604</v>
      </c>
      <c r="D102" s="42" t="s">
        <v>44</v>
      </c>
      <c r="E102" s="42" t="s">
        <v>44</v>
      </c>
      <c r="F102" s="53" t="s">
        <v>205</v>
      </c>
      <c r="G102" s="53" t="s">
        <v>47</v>
      </c>
      <c r="H102" s="53" t="s">
        <v>91</v>
      </c>
      <c r="I102" s="53" t="s">
        <v>49</v>
      </c>
      <c r="J102" s="53" t="s">
        <v>570</v>
      </c>
      <c r="K102" s="53" t="s">
        <v>51</v>
      </c>
      <c r="L102" s="53" t="s">
        <v>52</v>
      </c>
      <c r="M102" s="53" t="s">
        <v>52</v>
      </c>
      <c r="N102" s="62" t="s">
        <v>605</v>
      </c>
      <c r="O102" s="62" t="s">
        <v>44</v>
      </c>
      <c r="P102" s="62" t="s">
        <v>606</v>
      </c>
      <c r="Q102" s="62" t="s">
        <v>607</v>
      </c>
      <c r="R102" s="53"/>
      <c r="S102" s="53" t="s">
        <v>44</v>
      </c>
      <c r="T102" s="82"/>
      <c r="U102" s="42"/>
      <c r="V102" s="62"/>
      <c r="W102" s="64"/>
      <c r="X102" s="223"/>
      <c r="Y102" s="223"/>
      <c r="Z102" s="223"/>
      <c r="AA102" s="223"/>
    </row>
    <row r="103">
      <c r="A103" s="42">
        <f t="shared" si="1"/>
        <v>102</v>
      </c>
      <c r="B103" s="51" t="s">
        <v>41</v>
      </c>
      <c r="C103" s="53" t="s">
        <v>608</v>
      </c>
      <c r="D103" s="42" t="s">
        <v>44</v>
      </c>
      <c r="E103" s="42" t="s">
        <v>44</v>
      </c>
      <c r="F103" s="53" t="s">
        <v>205</v>
      </c>
      <c r="G103" s="53" t="s">
        <v>47</v>
      </c>
      <c r="H103" s="53" t="s">
        <v>95</v>
      </c>
      <c r="I103" s="53" t="s">
        <v>49</v>
      </c>
      <c r="J103" s="53" t="s">
        <v>570</v>
      </c>
      <c r="K103" s="53" t="s">
        <v>51</v>
      </c>
      <c r="L103" s="53" t="s">
        <v>52</v>
      </c>
      <c r="M103" s="53" t="s">
        <v>52</v>
      </c>
      <c r="N103" s="62" t="s">
        <v>609</v>
      </c>
      <c r="O103" s="62" t="s">
        <v>44</v>
      </c>
      <c r="P103" s="62" t="s">
        <v>610</v>
      </c>
      <c r="Q103" s="62" t="s">
        <v>611</v>
      </c>
      <c r="R103" s="53"/>
      <c r="S103" s="53" t="s">
        <v>44</v>
      </c>
      <c r="T103" s="82"/>
      <c r="U103" s="42"/>
      <c r="V103" s="62"/>
      <c r="W103" s="64"/>
      <c r="X103" s="223"/>
      <c r="Y103" s="223"/>
      <c r="Z103" s="223"/>
      <c r="AA103" s="223"/>
    </row>
    <row r="104">
      <c r="A104" s="42">
        <f t="shared" si="1"/>
        <v>103</v>
      </c>
      <c r="B104" s="51" t="s">
        <v>41</v>
      </c>
      <c r="C104" s="53" t="s">
        <v>612</v>
      </c>
      <c r="D104" s="42" t="s">
        <v>44</v>
      </c>
      <c r="E104" s="42" t="s">
        <v>44</v>
      </c>
      <c r="F104" s="53" t="s">
        <v>205</v>
      </c>
      <c r="G104" s="53" t="s">
        <v>47</v>
      </c>
      <c r="H104" s="53" t="s">
        <v>91</v>
      </c>
      <c r="I104" s="53" t="s">
        <v>49</v>
      </c>
      <c r="J104" s="53" t="s">
        <v>570</v>
      </c>
      <c r="K104" s="53" t="s">
        <v>51</v>
      </c>
      <c r="L104" s="53" t="s">
        <v>52</v>
      </c>
      <c r="M104" s="53" t="s">
        <v>52</v>
      </c>
      <c r="N104" s="62" t="s">
        <v>613</v>
      </c>
      <c r="O104" s="62" t="s">
        <v>44</v>
      </c>
      <c r="P104" s="62" t="s">
        <v>614</v>
      </c>
      <c r="Q104" s="62" t="s">
        <v>615</v>
      </c>
      <c r="R104" s="53"/>
      <c r="S104" s="53" t="s">
        <v>44</v>
      </c>
      <c r="T104" s="82"/>
      <c r="U104" s="42"/>
      <c r="V104" s="62"/>
      <c r="W104" s="64"/>
      <c r="X104" s="223"/>
      <c r="Y104" s="223"/>
      <c r="Z104" s="223"/>
      <c r="AA104" s="223"/>
    </row>
    <row r="105">
      <c r="A105" s="42">
        <f t="shared" si="1"/>
        <v>104</v>
      </c>
      <c r="B105" s="51" t="s">
        <v>41</v>
      </c>
      <c r="C105" s="53" t="s">
        <v>616</v>
      </c>
      <c r="D105" s="42" t="s">
        <v>44</v>
      </c>
      <c r="E105" s="42" t="s">
        <v>44</v>
      </c>
      <c r="F105" s="53" t="s">
        <v>205</v>
      </c>
      <c r="G105" s="53" t="s">
        <v>47</v>
      </c>
      <c r="H105" s="53" t="s">
        <v>48</v>
      </c>
      <c r="I105" s="53" t="s">
        <v>49</v>
      </c>
      <c r="J105" s="53" t="s">
        <v>570</v>
      </c>
      <c r="K105" s="53" t="s">
        <v>51</v>
      </c>
      <c r="L105" s="53" t="s">
        <v>52</v>
      </c>
      <c r="M105" s="53" t="s">
        <v>52</v>
      </c>
      <c r="N105" s="62" t="s">
        <v>593</v>
      </c>
      <c r="O105" s="62" t="s">
        <v>44</v>
      </c>
      <c r="P105" s="62" t="s">
        <v>617</v>
      </c>
      <c r="Q105" s="62" t="s">
        <v>618</v>
      </c>
      <c r="R105" s="53"/>
      <c r="S105" s="53" t="s">
        <v>44</v>
      </c>
      <c r="T105" s="82"/>
      <c r="U105" s="42"/>
      <c r="V105" s="62"/>
      <c r="W105" s="64"/>
      <c r="X105" s="223"/>
      <c r="Y105" s="223"/>
      <c r="Z105" s="223"/>
      <c r="AA105" s="223"/>
    </row>
    <row r="106">
      <c r="A106" s="42">
        <f t="shared" si="1"/>
        <v>105</v>
      </c>
      <c r="B106" s="51" t="s">
        <v>41</v>
      </c>
      <c r="C106" s="53" t="s">
        <v>619</v>
      </c>
      <c r="D106" s="42" t="s">
        <v>44</v>
      </c>
      <c r="E106" s="42" t="s">
        <v>44</v>
      </c>
      <c r="F106" s="53" t="s">
        <v>205</v>
      </c>
      <c r="G106" s="53" t="s">
        <v>111</v>
      </c>
      <c r="H106" s="53" t="s">
        <v>91</v>
      </c>
      <c r="I106" s="53" t="s">
        <v>49</v>
      </c>
      <c r="J106" s="53" t="s">
        <v>570</v>
      </c>
      <c r="K106" s="53" t="s">
        <v>51</v>
      </c>
      <c r="L106" s="53" t="s">
        <v>52</v>
      </c>
      <c r="M106" s="53" t="s">
        <v>52</v>
      </c>
      <c r="N106" s="62" t="s">
        <v>620</v>
      </c>
      <c r="O106" s="62" t="s">
        <v>44</v>
      </c>
      <c r="P106" s="62" t="s">
        <v>621</v>
      </c>
      <c r="Q106" s="62" t="s">
        <v>622</v>
      </c>
      <c r="R106" s="53"/>
      <c r="S106" s="53" t="s">
        <v>44</v>
      </c>
      <c r="T106" s="82"/>
      <c r="U106" s="42"/>
      <c r="V106" s="62"/>
      <c r="W106" s="64"/>
      <c r="X106" s="223"/>
      <c r="Y106" s="223"/>
      <c r="Z106" s="223"/>
      <c r="AA106" s="223"/>
    </row>
    <row r="107">
      <c r="A107" s="42">
        <f t="shared" si="1"/>
        <v>106</v>
      </c>
      <c r="B107" s="51" t="s">
        <v>41</v>
      </c>
      <c r="C107" s="53" t="s">
        <v>623</v>
      </c>
      <c r="D107" s="42" t="s">
        <v>44</v>
      </c>
      <c r="E107" s="42" t="s">
        <v>44</v>
      </c>
      <c r="F107" s="53" t="s">
        <v>205</v>
      </c>
      <c r="G107" s="53" t="s">
        <v>197</v>
      </c>
      <c r="H107" s="53" t="s">
        <v>198</v>
      </c>
      <c r="I107" s="53" t="s">
        <v>49</v>
      </c>
      <c r="J107" s="53" t="s">
        <v>570</v>
      </c>
      <c r="K107" s="53" t="s">
        <v>51</v>
      </c>
      <c r="L107" s="53" t="s">
        <v>52</v>
      </c>
      <c r="M107" s="53" t="s">
        <v>52</v>
      </c>
      <c r="N107" s="62" t="s">
        <v>624</v>
      </c>
      <c r="O107" s="62" t="s">
        <v>44</v>
      </c>
      <c r="P107" s="62" t="s">
        <v>621</v>
      </c>
      <c r="Q107" s="62" t="s">
        <v>625</v>
      </c>
      <c r="R107" s="53"/>
      <c r="S107" s="53" t="s">
        <v>44</v>
      </c>
      <c r="T107" s="82"/>
      <c r="U107" s="42"/>
      <c r="V107" s="62"/>
      <c r="W107" s="64"/>
      <c r="X107" s="223"/>
      <c r="Y107" s="223"/>
      <c r="Z107" s="223"/>
      <c r="AA107" s="223"/>
    </row>
    <row r="108">
      <c r="A108" s="42">
        <f t="shared" si="1"/>
        <v>107</v>
      </c>
      <c r="B108" s="51" t="s">
        <v>41</v>
      </c>
      <c r="C108" s="53" t="s">
        <v>626</v>
      </c>
      <c r="D108" s="42" t="s">
        <v>44</v>
      </c>
      <c r="E108" s="42" t="s">
        <v>44</v>
      </c>
      <c r="F108" s="53" t="s">
        <v>205</v>
      </c>
      <c r="G108" s="53" t="s">
        <v>47</v>
      </c>
      <c r="H108" s="53" t="s">
        <v>48</v>
      </c>
      <c r="I108" s="53" t="s">
        <v>49</v>
      </c>
      <c r="J108" s="53" t="s">
        <v>570</v>
      </c>
      <c r="K108" s="53" t="s">
        <v>51</v>
      </c>
      <c r="L108" s="53" t="s">
        <v>52</v>
      </c>
      <c r="M108" s="53" t="s">
        <v>52</v>
      </c>
      <c r="N108" s="62" t="s">
        <v>627</v>
      </c>
      <c r="O108" s="62" t="s">
        <v>44</v>
      </c>
      <c r="P108" s="62" t="s">
        <v>628</v>
      </c>
      <c r="Q108" s="62" t="s">
        <v>629</v>
      </c>
      <c r="R108" s="53"/>
      <c r="S108" s="53" t="s">
        <v>44</v>
      </c>
      <c r="T108" s="82"/>
      <c r="U108" s="42"/>
      <c r="V108" s="62"/>
      <c r="W108" s="64"/>
      <c r="X108" s="223"/>
      <c r="Y108" s="223"/>
      <c r="Z108" s="223"/>
      <c r="AA108" s="223"/>
    </row>
    <row r="109">
      <c r="A109" s="42">
        <f t="shared" si="1"/>
        <v>108</v>
      </c>
      <c r="B109" s="51" t="s">
        <v>41</v>
      </c>
      <c r="C109" s="53" t="s">
        <v>630</v>
      </c>
      <c r="D109" s="42" t="s">
        <v>44</v>
      </c>
      <c r="E109" s="42" t="s">
        <v>44</v>
      </c>
      <c r="F109" s="53" t="s">
        <v>205</v>
      </c>
      <c r="G109" s="53" t="s">
        <v>47</v>
      </c>
      <c r="H109" s="53" t="s">
        <v>48</v>
      </c>
      <c r="I109" s="53" t="s">
        <v>49</v>
      </c>
      <c r="J109" s="53" t="s">
        <v>570</v>
      </c>
      <c r="K109" s="53" t="s">
        <v>51</v>
      </c>
      <c r="L109" s="53" t="s">
        <v>52</v>
      </c>
      <c r="M109" s="53" t="s">
        <v>52</v>
      </c>
      <c r="N109" s="62" t="s">
        <v>593</v>
      </c>
      <c r="O109" s="62" t="s">
        <v>44</v>
      </c>
      <c r="P109" s="62" t="s">
        <v>631</v>
      </c>
      <c r="Q109" s="62" t="s">
        <v>632</v>
      </c>
      <c r="R109" s="53"/>
      <c r="S109" s="53" t="s">
        <v>44</v>
      </c>
      <c r="T109" s="82"/>
      <c r="U109" s="42"/>
      <c r="V109" s="62"/>
      <c r="W109" s="64"/>
      <c r="X109" s="223"/>
      <c r="Y109" s="223"/>
      <c r="Z109" s="223"/>
      <c r="AA109" s="223"/>
    </row>
    <row r="110">
      <c r="A110" s="42">
        <f t="shared" si="1"/>
        <v>109</v>
      </c>
      <c r="B110" s="51" t="s">
        <v>41</v>
      </c>
      <c r="C110" s="53" t="s">
        <v>633</v>
      </c>
      <c r="D110" s="42" t="s">
        <v>44</v>
      </c>
      <c r="E110" s="42" t="s">
        <v>44</v>
      </c>
      <c r="F110" s="53" t="s">
        <v>205</v>
      </c>
      <c r="G110" s="53" t="s">
        <v>47</v>
      </c>
      <c r="H110" s="53" t="s">
        <v>48</v>
      </c>
      <c r="I110" s="53" t="s">
        <v>49</v>
      </c>
      <c r="J110" s="53" t="s">
        <v>570</v>
      </c>
      <c r="K110" s="53" t="s">
        <v>51</v>
      </c>
      <c r="L110" s="53" t="s">
        <v>52</v>
      </c>
      <c r="M110" s="53" t="s">
        <v>52</v>
      </c>
      <c r="N110" s="62" t="s">
        <v>593</v>
      </c>
      <c r="O110" s="62" t="s">
        <v>44</v>
      </c>
      <c r="P110" s="62" t="s">
        <v>634</v>
      </c>
      <c r="Q110" s="62" t="s">
        <v>635</v>
      </c>
      <c r="R110" s="53"/>
      <c r="S110" s="53" t="s">
        <v>44</v>
      </c>
      <c r="T110" s="82"/>
      <c r="U110" s="42"/>
      <c r="V110" s="62"/>
      <c r="W110" s="64"/>
      <c r="X110" s="223"/>
      <c r="Y110" s="223"/>
      <c r="Z110" s="223"/>
      <c r="AA110" s="223"/>
    </row>
    <row r="111">
      <c r="A111" s="42">
        <f t="shared" si="1"/>
        <v>110</v>
      </c>
      <c r="B111" s="51" t="s">
        <v>41</v>
      </c>
      <c r="C111" s="53" t="s">
        <v>636</v>
      </c>
      <c r="D111" s="42" t="s">
        <v>44</v>
      </c>
      <c r="E111" s="42" t="s">
        <v>44</v>
      </c>
      <c r="F111" s="53" t="s">
        <v>205</v>
      </c>
      <c r="G111" s="53" t="s">
        <v>47</v>
      </c>
      <c r="H111" s="53" t="s">
        <v>48</v>
      </c>
      <c r="I111" s="53" t="s">
        <v>49</v>
      </c>
      <c r="J111" s="53" t="s">
        <v>570</v>
      </c>
      <c r="K111" s="53" t="s">
        <v>51</v>
      </c>
      <c r="L111" s="53" t="s">
        <v>52</v>
      </c>
      <c r="M111" s="53" t="s">
        <v>52</v>
      </c>
      <c r="N111" s="62" t="s">
        <v>637</v>
      </c>
      <c r="O111" s="62" t="s">
        <v>44</v>
      </c>
      <c r="P111" s="62" t="s">
        <v>638</v>
      </c>
      <c r="Q111" s="62" t="s">
        <v>639</v>
      </c>
      <c r="R111" s="53"/>
      <c r="S111" s="53" t="s">
        <v>44</v>
      </c>
      <c r="T111" s="82"/>
      <c r="U111" s="42"/>
      <c r="V111" s="62"/>
      <c r="W111" s="64"/>
      <c r="X111" s="223"/>
      <c r="Y111" s="223"/>
      <c r="Z111" s="223"/>
      <c r="AA111" s="223"/>
    </row>
    <row r="112">
      <c r="A112" s="42">
        <f t="shared" si="1"/>
        <v>111</v>
      </c>
      <c r="B112" s="51" t="s">
        <v>41</v>
      </c>
      <c r="C112" s="53" t="s">
        <v>640</v>
      </c>
      <c r="D112" s="42" t="s">
        <v>44</v>
      </c>
      <c r="E112" s="42" t="s">
        <v>44</v>
      </c>
      <c r="F112" s="53" t="s">
        <v>205</v>
      </c>
      <c r="G112" s="53" t="s">
        <v>47</v>
      </c>
      <c r="H112" s="53" t="s">
        <v>48</v>
      </c>
      <c r="I112" s="53" t="s">
        <v>49</v>
      </c>
      <c r="J112" s="53" t="s">
        <v>570</v>
      </c>
      <c r="K112" s="53" t="s">
        <v>51</v>
      </c>
      <c r="L112" s="53" t="s">
        <v>52</v>
      </c>
      <c r="M112" s="53" t="s">
        <v>52</v>
      </c>
      <c r="N112" s="62" t="s">
        <v>637</v>
      </c>
      <c r="O112" s="62" t="s">
        <v>44</v>
      </c>
      <c r="P112" s="62" t="s">
        <v>641</v>
      </c>
      <c r="Q112" s="62" t="s">
        <v>642</v>
      </c>
      <c r="R112" s="53"/>
      <c r="S112" s="53" t="s">
        <v>44</v>
      </c>
      <c r="T112" s="82"/>
      <c r="U112" s="42"/>
      <c r="V112" s="62"/>
      <c r="W112" s="64"/>
      <c r="X112" s="223"/>
      <c r="Y112" s="223"/>
      <c r="Z112" s="223"/>
      <c r="AA112" s="223"/>
    </row>
    <row r="113">
      <c r="A113" s="42">
        <f t="shared" si="1"/>
        <v>112</v>
      </c>
      <c r="B113" s="51" t="s">
        <v>41</v>
      </c>
      <c r="C113" s="53" t="s">
        <v>643</v>
      </c>
      <c r="D113" s="42" t="s">
        <v>44</v>
      </c>
      <c r="E113" s="42" t="s">
        <v>44</v>
      </c>
      <c r="F113" s="53" t="s">
        <v>205</v>
      </c>
      <c r="G113" s="53" t="s">
        <v>47</v>
      </c>
      <c r="H113" s="53" t="s">
        <v>48</v>
      </c>
      <c r="I113" s="53" t="s">
        <v>49</v>
      </c>
      <c r="J113" s="53" t="s">
        <v>570</v>
      </c>
      <c r="K113" s="53" t="s">
        <v>51</v>
      </c>
      <c r="L113" s="53" t="s">
        <v>52</v>
      </c>
      <c r="M113" s="53" t="s">
        <v>52</v>
      </c>
      <c r="N113" s="62" t="s">
        <v>593</v>
      </c>
      <c r="O113" s="62" t="s">
        <v>44</v>
      </c>
      <c r="P113" s="62" t="s">
        <v>644</v>
      </c>
      <c r="Q113" s="62" t="s">
        <v>645</v>
      </c>
      <c r="R113" s="53"/>
      <c r="S113" s="53" t="s">
        <v>44</v>
      </c>
      <c r="T113" s="82"/>
      <c r="U113" s="42"/>
      <c r="V113" s="62"/>
      <c r="W113" s="64"/>
      <c r="X113" s="223"/>
      <c r="Y113" s="223"/>
      <c r="Z113" s="223"/>
      <c r="AA113" s="223"/>
    </row>
    <row r="114">
      <c r="A114" s="42">
        <f t="shared" si="1"/>
        <v>113</v>
      </c>
      <c r="B114" s="51" t="s">
        <v>41</v>
      </c>
      <c r="C114" s="53" t="s">
        <v>646</v>
      </c>
      <c r="D114" s="42" t="s">
        <v>44</v>
      </c>
      <c r="E114" s="42" t="s">
        <v>44</v>
      </c>
      <c r="F114" s="53" t="s">
        <v>205</v>
      </c>
      <c r="G114" s="53" t="s">
        <v>47</v>
      </c>
      <c r="H114" s="53" t="s">
        <v>95</v>
      </c>
      <c r="I114" s="53" t="s">
        <v>49</v>
      </c>
      <c r="J114" s="53" t="s">
        <v>570</v>
      </c>
      <c r="K114" s="53" t="s">
        <v>51</v>
      </c>
      <c r="L114" s="53" t="s">
        <v>52</v>
      </c>
      <c r="M114" s="53" t="s">
        <v>52</v>
      </c>
      <c r="N114" s="62" t="s">
        <v>647</v>
      </c>
      <c r="O114" s="62" t="s">
        <v>44</v>
      </c>
      <c r="P114" s="62" t="s">
        <v>648</v>
      </c>
      <c r="Q114" s="62" t="s">
        <v>649</v>
      </c>
      <c r="R114" s="53"/>
      <c r="S114" s="53" t="s">
        <v>44</v>
      </c>
      <c r="T114" s="82"/>
      <c r="U114" s="42"/>
      <c r="V114" s="62"/>
      <c r="W114" s="64"/>
      <c r="X114" s="223"/>
      <c r="Y114" s="223"/>
      <c r="Z114" s="223"/>
      <c r="AA114" s="223"/>
    </row>
    <row r="115">
      <c r="A115" s="42">
        <f t="shared" si="1"/>
        <v>114</v>
      </c>
      <c r="B115" s="51" t="s">
        <v>41</v>
      </c>
      <c r="C115" s="53" t="s">
        <v>650</v>
      </c>
      <c r="D115" s="42" t="s">
        <v>44</v>
      </c>
      <c r="E115" s="42" t="s">
        <v>44</v>
      </c>
      <c r="F115" s="53" t="s">
        <v>205</v>
      </c>
      <c r="G115" s="53" t="s">
        <v>47</v>
      </c>
      <c r="H115" s="53" t="s">
        <v>48</v>
      </c>
      <c r="I115" s="53" t="s">
        <v>49</v>
      </c>
      <c r="J115" s="53" t="s">
        <v>570</v>
      </c>
      <c r="K115" s="53" t="s">
        <v>51</v>
      </c>
      <c r="L115" s="53" t="s">
        <v>52</v>
      </c>
      <c r="M115" s="53" t="s">
        <v>52</v>
      </c>
      <c r="N115" s="62" t="s">
        <v>651</v>
      </c>
      <c r="O115" s="62" t="s">
        <v>44</v>
      </c>
      <c r="P115" s="62" t="s">
        <v>652</v>
      </c>
      <c r="Q115" s="62" t="s">
        <v>653</v>
      </c>
      <c r="R115" s="53"/>
      <c r="S115" s="53" t="s">
        <v>44</v>
      </c>
      <c r="T115" s="82"/>
      <c r="U115" s="42"/>
      <c r="V115" s="62"/>
      <c r="W115" s="64"/>
      <c r="X115" s="223"/>
      <c r="Y115" s="223"/>
      <c r="Z115" s="223"/>
      <c r="AA115" s="223"/>
    </row>
    <row r="116">
      <c r="A116" s="42">
        <f t="shared" si="1"/>
        <v>115</v>
      </c>
      <c r="B116" s="51" t="s">
        <v>41</v>
      </c>
      <c r="C116" s="53" t="s">
        <v>654</v>
      </c>
      <c r="D116" s="42" t="s">
        <v>44</v>
      </c>
      <c r="E116" s="42" t="s">
        <v>44</v>
      </c>
      <c r="F116" s="53" t="s">
        <v>205</v>
      </c>
      <c r="G116" s="53" t="s">
        <v>47</v>
      </c>
      <c r="H116" s="53" t="s">
        <v>48</v>
      </c>
      <c r="I116" s="53" t="s">
        <v>49</v>
      </c>
      <c r="J116" s="53" t="s">
        <v>570</v>
      </c>
      <c r="K116" s="53" t="s">
        <v>51</v>
      </c>
      <c r="L116" s="53" t="s">
        <v>52</v>
      </c>
      <c r="M116" s="53" t="s">
        <v>52</v>
      </c>
      <c r="N116" s="62" t="s">
        <v>655</v>
      </c>
      <c r="O116" s="62" t="s">
        <v>44</v>
      </c>
      <c r="P116" s="62" t="s">
        <v>656</v>
      </c>
      <c r="Q116" s="62" t="s">
        <v>657</v>
      </c>
      <c r="R116" s="53"/>
      <c r="S116" s="53" t="s">
        <v>44</v>
      </c>
      <c r="T116" s="82"/>
      <c r="U116" s="53"/>
      <c r="V116" s="62"/>
      <c r="W116" s="64"/>
      <c r="X116" s="223"/>
      <c r="Y116" s="223"/>
      <c r="Z116" s="223"/>
      <c r="AA116" s="223"/>
    </row>
    <row r="117">
      <c r="A117" s="42">
        <f t="shared" si="1"/>
        <v>116</v>
      </c>
      <c r="B117" s="51" t="s">
        <v>41</v>
      </c>
      <c r="C117" s="53" t="s">
        <v>658</v>
      </c>
      <c r="D117" s="42" t="s">
        <v>44</v>
      </c>
      <c r="E117" s="42" t="s">
        <v>44</v>
      </c>
      <c r="F117" s="53" t="s">
        <v>205</v>
      </c>
      <c r="G117" s="53" t="s">
        <v>47</v>
      </c>
      <c r="H117" s="53" t="s">
        <v>48</v>
      </c>
      <c r="I117" s="53" t="s">
        <v>49</v>
      </c>
      <c r="J117" s="53" t="s">
        <v>570</v>
      </c>
      <c r="K117" s="53" t="s">
        <v>51</v>
      </c>
      <c r="L117" s="53" t="s">
        <v>52</v>
      </c>
      <c r="M117" s="53" t="s">
        <v>52</v>
      </c>
      <c r="N117" s="62" t="s">
        <v>659</v>
      </c>
      <c r="O117" s="62" t="s">
        <v>44</v>
      </c>
      <c r="P117" s="62" t="s">
        <v>656</v>
      </c>
      <c r="Q117" s="62" t="s">
        <v>660</v>
      </c>
      <c r="R117" s="53"/>
      <c r="S117" s="53" t="s">
        <v>44</v>
      </c>
      <c r="T117" s="82"/>
      <c r="U117" s="42"/>
      <c r="V117" s="62"/>
      <c r="W117" s="64"/>
      <c r="X117" s="264"/>
      <c r="Y117" s="223"/>
      <c r="Z117" s="223"/>
      <c r="AA117" s="223"/>
    </row>
    <row r="118">
      <c r="A118" s="42">
        <f t="shared" si="1"/>
        <v>117</v>
      </c>
      <c r="B118" s="51" t="s">
        <v>41</v>
      </c>
      <c r="C118" s="53" t="s">
        <v>661</v>
      </c>
      <c r="D118" s="42" t="s">
        <v>44</v>
      </c>
      <c r="E118" s="42" t="s">
        <v>44</v>
      </c>
      <c r="F118" s="53" t="s">
        <v>205</v>
      </c>
      <c r="G118" s="53" t="s">
        <v>47</v>
      </c>
      <c r="H118" s="53" t="s">
        <v>48</v>
      </c>
      <c r="I118" s="53" t="s">
        <v>49</v>
      </c>
      <c r="J118" s="53" t="s">
        <v>570</v>
      </c>
      <c r="K118" s="53" t="s">
        <v>51</v>
      </c>
      <c r="L118" s="53" t="s">
        <v>52</v>
      </c>
      <c r="M118" s="53" t="s">
        <v>52</v>
      </c>
      <c r="N118" s="62" t="s">
        <v>593</v>
      </c>
      <c r="O118" s="62" t="s">
        <v>44</v>
      </c>
      <c r="P118" s="62" t="s">
        <v>662</v>
      </c>
      <c r="Q118" s="62" t="s">
        <v>663</v>
      </c>
      <c r="R118" s="53"/>
      <c r="S118" s="53" t="s">
        <v>44</v>
      </c>
      <c r="T118" s="82"/>
      <c r="U118" s="42"/>
      <c r="V118" s="62"/>
      <c r="W118" s="64"/>
      <c r="X118" s="223"/>
      <c r="Y118" s="223"/>
      <c r="Z118" s="223"/>
      <c r="AA118" s="223"/>
    </row>
    <row r="119">
      <c r="A119" s="42">
        <f t="shared" si="1"/>
        <v>118</v>
      </c>
      <c r="B119" s="51" t="s">
        <v>41</v>
      </c>
      <c r="C119" s="53" t="s">
        <v>664</v>
      </c>
      <c r="D119" s="42" t="s">
        <v>44</v>
      </c>
      <c r="E119" s="42" t="s">
        <v>44</v>
      </c>
      <c r="F119" s="53" t="s">
        <v>205</v>
      </c>
      <c r="G119" s="53" t="s">
        <v>47</v>
      </c>
      <c r="H119" s="53" t="s">
        <v>48</v>
      </c>
      <c r="I119" s="53" t="s">
        <v>49</v>
      </c>
      <c r="J119" s="53" t="s">
        <v>570</v>
      </c>
      <c r="K119" s="53" t="s">
        <v>51</v>
      </c>
      <c r="L119" s="53" t="s">
        <v>52</v>
      </c>
      <c r="M119" s="53" t="s">
        <v>52</v>
      </c>
      <c r="N119" s="62" t="s">
        <v>593</v>
      </c>
      <c r="O119" s="62" t="s">
        <v>44</v>
      </c>
      <c r="P119" s="62" t="s">
        <v>665</v>
      </c>
      <c r="Q119" s="62" t="s">
        <v>666</v>
      </c>
      <c r="R119" s="53"/>
      <c r="S119" s="53" t="s">
        <v>44</v>
      </c>
      <c r="T119" s="82"/>
      <c r="U119" s="53"/>
      <c r="V119" s="62"/>
      <c r="W119" s="64"/>
      <c r="X119" s="223"/>
      <c r="Y119" s="223"/>
      <c r="Z119" s="223"/>
      <c r="AA119" s="223"/>
    </row>
    <row r="120">
      <c r="A120" s="42">
        <f t="shared" si="1"/>
        <v>119</v>
      </c>
      <c r="B120" s="51" t="s">
        <v>41</v>
      </c>
      <c r="C120" s="53" t="s">
        <v>667</v>
      </c>
      <c r="D120" s="42" t="s">
        <v>44</v>
      </c>
      <c r="E120" s="42" t="s">
        <v>44</v>
      </c>
      <c r="F120" s="53" t="s">
        <v>205</v>
      </c>
      <c r="G120" s="53" t="s">
        <v>47</v>
      </c>
      <c r="H120" s="53" t="s">
        <v>48</v>
      </c>
      <c r="I120" s="53" t="s">
        <v>49</v>
      </c>
      <c r="J120" s="53" t="s">
        <v>570</v>
      </c>
      <c r="K120" s="53" t="s">
        <v>51</v>
      </c>
      <c r="L120" s="53" t="s">
        <v>52</v>
      </c>
      <c r="M120" s="53" t="s">
        <v>52</v>
      </c>
      <c r="N120" s="62" t="s">
        <v>600</v>
      </c>
      <c r="O120" s="62" t="s">
        <v>44</v>
      </c>
      <c r="P120" s="62" t="s">
        <v>668</v>
      </c>
      <c r="Q120" s="62" t="s">
        <v>669</v>
      </c>
      <c r="R120" s="53"/>
      <c r="S120" s="53" t="s">
        <v>44</v>
      </c>
      <c r="T120" s="82"/>
      <c r="U120" s="42"/>
      <c r="V120" s="62"/>
      <c r="W120" s="64"/>
      <c r="X120" s="223"/>
      <c r="Y120" s="223"/>
      <c r="Z120" s="223"/>
      <c r="AA120" s="223"/>
    </row>
    <row r="121">
      <c r="A121" s="42">
        <f t="shared" si="1"/>
        <v>120</v>
      </c>
      <c r="B121" s="51" t="s">
        <v>41</v>
      </c>
      <c r="C121" s="53" t="s">
        <v>670</v>
      </c>
      <c r="D121" s="42" t="s">
        <v>44</v>
      </c>
      <c r="E121" s="42" t="s">
        <v>44</v>
      </c>
      <c r="F121" s="53" t="s">
        <v>205</v>
      </c>
      <c r="G121" s="53" t="s">
        <v>47</v>
      </c>
      <c r="H121" s="53" t="s">
        <v>91</v>
      </c>
      <c r="I121" s="53" t="s">
        <v>49</v>
      </c>
      <c r="J121" s="53" t="s">
        <v>570</v>
      </c>
      <c r="K121" s="53" t="s">
        <v>51</v>
      </c>
      <c r="L121" s="53" t="s">
        <v>52</v>
      </c>
      <c r="M121" s="53" t="s">
        <v>52</v>
      </c>
      <c r="N121" s="62" t="s">
        <v>671</v>
      </c>
      <c r="O121" s="62" t="s">
        <v>44</v>
      </c>
      <c r="P121" s="62" t="s">
        <v>672</v>
      </c>
      <c r="Q121" s="62" t="s">
        <v>673</v>
      </c>
      <c r="R121" s="53"/>
      <c r="S121" s="53" t="s">
        <v>44</v>
      </c>
      <c r="T121" s="82"/>
      <c r="U121" s="42"/>
      <c r="V121" s="62"/>
      <c r="W121" s="64"/>
      <c r="X121" s="223"/>
      <c r="Y121" s="223"/>
      <c r="Z121" s="223"/>
      <c r="AA121" s="223"/>
    </row>
    <row r="122">
      <c r="A122" s="42">
        <f t="shared" si="1"/>
        <v>121</v>
      </c>
      <c r="B122" s="51" t="s">
        <v>41</v>
      </c>
      <c r="C122" s="53" t="s">
        <v>674</v>
      </c>
      <c r="D122" s="42" t="s">
        <v>44</v>
      </c>
      <c r="E122" s="42" t="s">
        <v>44</v>
      </c>
      <c r="F122" s="53" t="s">
        <v>205</v>
      </c>
      <c r="G122" s="53" t="s">
        <v>47</v>
      </c>
      <c r="H122" s="53" t="s">
        <v>48</v>
      </c>
      <c r="I122" s="53" t="s">
        <v>49</v>
      </c>
      <c r="J122" s="53" t="s">
        <v>570</v>
      </c>
      <c r="K122" s="53" t="s">
        <v>51</v>
      </c>
      <c r="L122" s="53" t="s">
        <v>52</v>
      </c>
      <c r="M122" s="53" t="s">
        <v>52</v>
      </c>
      <c r="N122" s="62" t="s">
        <v>675</v>
      </c>
      <c r="O122" s="62" t="s">
        <v>44</v>
      </c>
      <c r="P122" s="62" t="s">
        <v>676</v>
      </c>
      <c r="Q122" s="62" t="s">
        <v>677</v>
      </c>
      <c r="R122" s="53"/>
      <c r="S122" s="53" t="s">
        <v>44</v>
      </c>
      <c r="T122" s="82"/>
      <c r="U122" s="42"/>
      <c r="V122" s="62"/>
      <c r="W122" s="64"/>
      <c r="X122" s="223"/>
      <c r="Y122" s="223"/>
      <c r="Z122" s="223"/>
      <c r="AA122" s="223"/>
    </row>
    <row r="123">
      <c r="A123" s="42">
        <f t="shared" si="1"/>
        <v>122</v>
      </c>
      <c r="B123" s="51" t="s">
        <v>41</v>
      </c>
      <c r="C123" s="53" t="s">
        <v>678</v>
      </c>
      <c r="D123" s="42" t="s">
        <v>44</v>
      </c>
      <c r="E123" s="42" t="s">
        <v>44</v>
      </c>
      <c r="F123" s="53" t="s">
        <v>205</v>
      </c>
      <c r="G123" s="53" t="s">
        <v>47</v>
      </c>
      <c r="H123" s="53" t="s">
        <v>48</v>
      </c>
      <c r="I123" s="53" t="s">
        <v>49</v>
      </c>
      <c r="J123" s="53" t="s">
        <v>570</v>
      </c>
      <c r="K123" s="53" t="s">
        <v>51</v>
      </c>
      <c r="L123" s="53" t="s">
        <v>52</v>
      </c>
      <c r="M123" s="53" t="s">
        <v>52</v>
      </c>
      <c r="N123" s="62" t="s">
        <v>675</v>
      </c>
      <c r="O123" s="62" t="s">
        <v>44</v>
      </c>
      <c r="P123" s="62" t="s">
        <v>679</v>
      </c>
      <c r="Q123" s="62" t="s">
        <v>680</v>
      </c>
      <c r="R123" s="53"/>
      <c r="S123" s="53" t="s">
        <v>44</v>
      </c>
      <c r="T123" s="82"/>
      <c r="U123" s="42"/>
      <c r="V123" s="62"/>
      <c r="W123" s="64"/>
      <c r="X123" s="223"/>
      <c r="Y123" s="223"/>
      <c r="Z123" s="223"/>
      <c r="AA123" s="223"/>
    </row>
    <row r="124">
      <c r="A124" s="42">
        <f t="shared" si="1"/>
        <v>123</v>
      </c>
      <c r="B124" s="51" t="s">
        <v>41</v>
      </c>
      <c r="C124" s="53" t="s">
        <v>681</v>
      </c>
      <c r="D124" s="42" t="s">
        <v>44</v>
      </c>
      <c r="E124" s="42" t="s">
        <v>44</v>
      </c>
      <c r="F124" s="53" t="s">
        <v>205</v>
      </c>
      <c r="G124" s="53" t="s">
        <v>47</v>
      </c>
      <c r="H124" s="53" t="s">
        <v>48</v>
      </c>
      <c r="I124" s="53" t="s">
        <v>49</v>
      </c>
      <c r="J124" s="53" t="s">
        <v>570</v>
      </c>
      <c r="K124" s="53" t="s">
        <v>51</v>
      </c>
      <c r="L124" s="53" t="s">
        <v>52</v>
      </c>
      <c r="M124" s="53" t="s">
        <v>52</v>
      </c>
      <c r="N124" s="62" t="s">
        <v>675</v>
      </c>
      <c r="O124" s="62" t="s">
        <v>44</v>
      </c>
      <c r="P124" s="62" t="s">
        <v>682</v>
      </c>
      <c r="Q124" s="62" t="s">
        <v>683</v>
      </c>
      <c r="R124" s="53"/>
      <c r="S124" s="53" t="s">
        <v>44</v>
      </c>
      <c r="T124" s="82"/>
      <c r="U124" s="42"/>
      <c r="V124" s="62"/>
      <c r="W124" s="64"/>
      <c r="X124" s="223"/>
      <c r="Y124" s="223"/>
      <c r="Z124" s="223"/>
      <c r="AA124" s="223"/>
    </row>
    <row r="125">
      <c r="A125" s="42">
        <f t="shared" si="1"/>
        <v>124</v>
      </c>
      <c r="B125" s="51" t="s">
        <v>41</v>
      </c>
      <c r="C125" s="53" t="s">
        <v>684</v>
      </c>
      <c r="D125" s="42" t="s">
        <v>44</v>
      </c>
      <c r="E125" s="42" t="s">
        <v>44</v>
      </c>
      <c r="F125" s="53" t="s">
        <v>205</v>
      </c>
      <c r="G125" s="53" t="s">
        <v>47</v>
      </c>
      <c r="H125" s="53" t="s">
        <v>48</v>
      </c>
      <c r="I125" s="53" t="s">
        <v>49</v>
      </c>
      <c r="J125" s="53" t="s">
        <v>570</v>
      </c>
      <c r="K125" s="53" t="s">
        <v>51</v>
      </c>
      <c r="L125" s="53" t="s">
        <v>52</v>
      </c>
      <c r="M125" s="53" t="s">
        <v>52</v>
      </c>
      <c r="N125" s="62" t="s">
        <v>675</v>
      </c>
      <c r="O125" s="62" t="s">
        <v>44</v>
      </c>
      <c r="P125" s="62" t="s">
        <v>685</v>
      </c>
      <c r="Q125" s="62" t="s">
        <v>686</v>
      </c>
      <c r="R125" s="53"/>
      <c r="S125" s="53" t="s">
        <v>44</v>
      </c>
      <c r="T125" s="82"/>
      <c r="U125" s="42"/>
      <c r="V125" s="62"/>
      <c r="W125" s="140"/>
      <c r="X125" s="223"/>
      <c r="Y125" s="223"/>
      <c r="Z125" s="223"/>
      <c r="AA125" s="223"/>
    </row>
    <row r="126">
      <c r="A126" s="42">
        <f t="shared" si="1"/>
        <v>125</v>
      </c>
      <c r="B126" s="51" t="s">
        <v>41</v>
      </c>
      <c r="C126" s="53" t="s">
        <v>687</v>
      </c>
      <c r="D126" s="42" t="s">
        <v>44</v>
      </c>
      <c r="E126" s="42" t="s">
        <v>44</v>
      </c>
      <c r="F126" s="53" t="s">
        <v>205</v>
      </c>
      <c r="G126" s="53" t="s">
        <v>47</v>
      </c>
      <c r="H126" s="53" t="s">
        <v>48</v>
      </c>
      <c r="I126" s="53" t="s">
        <v>49</v>
      </c>
      <c r="J126" s="53" t="s">
        <v>570</v>
      </c>
      <c r="K126" s="53" t="s">
        <v>51</v>
      </c>
      <c r="L126" s="53" t="s">
        <v>52</v>
      </c>
      <c r="M126" s="53" t="s">
        <v>52</v>
      </c>
      <c r="N126" s="62" t="s">
        <v>688</v>
      </c>
      <c r="O126" s="62" t="s">
        <v>44</v>
      </c>
      <c r="P126" s="62" t="s">
        <v>689</v>
      </c>
      <c r="Q126" s="62" t="s">
        <v>690</v>
      </c>
      <c r="R126" s="53"/>
      <c r="S126" s="53" t="s">
        <v>44</v>
      </c>
      <c r="T126" s="82"/>
      <c r="U126" s="42"/>
      <c r="V126" s="62"/>
      <c r="W126" s="140"/>
      <c r="X126" s="223"/>
      <c r="Y126" s="223"/>
      <c r="Z126" s="223"/>
      <c r="AA126" s="223"/>
    </row>
    <row r="127">
      <c r="A127" s="42">
        <f t="shared" si="1"/>
        <v>126</v>
      </c>
      <c r="B127" s="51" t="s">
        <v>41</v>
      </c>
      <c r="C127" s="53" t="s">
        <v>691</v>
      </c>
      <c r="D127" s="42" t="s">
        <v>44</v>
      </c>
      <c r="E127" s="42" t="s">
        <v>44</v>
      </c>
      <c r="F127" s="53" t="s">
        <v>205</v>
      </c>
      <c r="G127" s="53" t="s">
        <v>47</v>
      </c>
      <c r="H127" s="53" t="s">
        <v>95</v>
      </c>
      <c r="I127" s="53" t="s">
        <v>49</v>
      </c>
      <c r="J127" s="53" t="s">
        <v>570</v>
      </c>
      <c r="K127" s="53" t="s">
        <v>51</v>
      </c>
      <c r="L127" s="53" t="s">
        <v>52</v>
      </c>
      <c r="M127" s="53" t="s">
        <v>52</v>
      </c>
      <c r="N127" s="62" t="s">
        <v>692</v>
      </c>
      <c r="O127" s="62" t="s">
        <v>44</v>
      </c>
      <c r="P127" s="62" t="s">
        <v>571</v>
      </c>
      <c r="Q127" s="62" t="s">
        <v>693</v>
      </c>
      <c r="R127" s="53"/>
      <c r="S127" s="53" t="s">
        <v>44</v>
      </c>
      <c r="T127" s="82"/>
      <c r="U127" s="42"/>
      <c r="V127" s="62"/>
      <c r="W127" s="64"/>
      <c r="X127" s="223"/>
      <c r="Y127" s="223"/>
      <c r="Z127" s="223"/>
      <c r="AA127" s="223"/>
    </row>
    <row r="128">
      <c r="A128" s="42">
        <f t="shared" si="1"/>
        <v>127</v>
      </c>
      <c r="B128" s="51" t="s">
        <v>41</v>
      </c>
      <c r="C128" s="53" t="s">
        <v>694</v>
      </c>
      <c r="D128" s="42" t="s">
        <v>44</v>
      </c>
      <c r="E128" s="42" t="s">
        <v>44</v>
      </c>
      <c r="F128" s="53" t="s">
        <v>205</v>
      </c>
      <c r="G128" s="53" t="s">
        <v>47</v>
      </c>
      <c r="H128" s="53" t="s">
        <v>95</v>
      </c>
      <c r="I128" s="53" t="s">
        <v>49</v>
      </c>
      <c r="J128" s="53" t="s">
        <v>570</v>
      </c>
      <c r="K128" s="53" t="s">
        <v>51</v>
      </c>
      <c r="L128" s="53" t="s">
        <v>52</v>
      </c>
      <c r="M128" s="53" t="s">
        <v>52</v>
      </c>
      <c r="N128" s="62" t="s">
        <v>695</v>
      </c>
      <c r="O128" s="62" t="s">
        <v>44</v>
      </c>
      <c r="P128" s="62" t="s">
        <v>696</v>
      </c>
      <c r="Q128" s="62" t="s">
        <v>697</v>
      </c>
      <c r="R128" s="53"/>
      <c r="S128" s="53" t="s">
        <v>44</v>
      </c>
      <c r="T128" s="82"/>
      <c r="U128" s="53"/>
      <c r="V128" s="62"/>
      <c r="W128" s="64"/>
      <c r="X128" s="223"/>
      <c r="Y128" s="223"/>
      <c r="Z128" s="223"/>
      <c r="AA128" s="223"/>
    </row>
    <row r="129">
      <c r="A129" s="42">
        <f t="shared" si="1"/>
        <v>128</v>
      </c>
      <c r="B129" s="51" t="s">
        <v>41</v>
      </c>
      <c r="C129" s="53" t="s">
        <v>698</v>
      </c>
      <c r="D129" s="42" t="s">
        <v>44</v>
      </c>
      <c r="E129" s="42" t="s">
        <v>44</v>
      </c>
      <c r="F129" s="53" t="s">
        <v>205</v>
      </c>
      <c r="G129" s="53" t="s">
        <v>47</v>
      </c>
      <c r="H129" s="53" t="s">
        <v>48</v>
      </c>
      <c r="I129" s="53" t="s">
        <v>49</v>
      </c>
      <c r="J129" s="53" t="s">
        <v>699</v>
      </c>
      <c r="K129" s="53" t="s">
        <v>51</v>
      </c>
      <c r="L129" s="53" t="s">
        <v>52</v>
      </c>
      <c r="M129" s="53" t="s">
        <v>52</v>
      </c>
      <c r="N129" s="62" t="s">
        <v>700</v>
      </c>
      <c r="O129" s="62" t="s">
        <v>44</v>
      </c>
      <c r="P129" s="62" t="s">
        <v>701</v>
      </c>
      <c r="Q129" s="62" t="s">
        <v>702</v>
      </c>
      <c r="R129" s="53"/>
      <c r="S129" s="53" t="s">
        <v>44</v>
      </c>
      <c r="T129" s="82"/>
      <c r="U129" s="42"/>
      <c r="V129" s="62"/>
      <c r="W129" s="64"/>
      <c r="X129" s="223"/>
      <c r="Y129" s="223"/>
      <c r="Z129" s="223"/>
      <c r="AA129" s="223"/>
    </row>
    <row r="130">
      <c r="A130" s="42">
        <f t="shared" si="1"/>
        <v>129</v>
      </c>
      <c r="B130" s="51" t="s">
        <v>41</v>
      </c>
      <c r="C130" s="53" t="s">
        <v>703</v>
      </c>
      <c r="D130" s="42" t="s">
        <v>44</v>
      </c>
      <c r="E130" s="42" t="s">
        <v>44</v>
      </c>
      <c r="F130" s="53" t="s">
        <v>205</v>
      </c>
      <c r="G130" s="53" t="s">
        <v>47</v>
      </c>
      <c r="H130" s="53" t="s">
        <v>48</v>
      </c>
      <c r="I130" s="53" t="s">
        <v>49</v>
      </c>
      <c r="J130" s="53" t="s">
        <v>699</v>
      </c>
      <c r="K130" s="53" t="s">
        <v>51</v>
      </c>
      <c r="L130" s="53" t="s">
        <v>52</v>
      </c>
      <c r="M130" s="53" t="s">
        <v>52</v>
      </c>
      <c r="N130" s="62" t="s">
        <v>704</v>
      </c>
      <c r="O130" s="62" t="s">
        <v>44</v>
      </c>
      <c r="P130" s="62" t="s">
        <v>705</v>
      </c>
      <c r="Q130" s="62" t="s">
        <v>706</v>
      </c>
      <c r="R130" s="53"/>
      <c r="S130" s="53" t="s">
        <v>44</v>
      </c>
      <c r="T130" s="82"/>
      <c r="U130" s="42"/>
      <c r="V130" s="62"/>
      <c r="W130" s="64"/>
      <c r="X130" s="223"/>
      <c r="Y130" s="223"/>
      <c r="Z130" s="223"/>
      <c r="AA130" s="223"/>
    </row>
    <row r="131">
      <c r="A131" s="42">
        <f t="shared" si="1"/>
        <v>130</v>
      </c>
      <c r="B131" s="51" t="s">
        <v>41</v>
      </c>
      <c r="C131" s="53" t="s">
        <v>707</v>
      </c>
      <c r="D131" s="42" t="s">
        <v>44</v>
      </c>
      <c r="E131" s="42" t="s">
        <v>44</v>
      </c>
      <c r="F131" s="53" t="s">
        <v>205</v>
      </c>
      <c r="G131" s="53" t="s">
        <v>111</v>
      </c>
      <c r="H131" s="53" t="s">
        <v>91</v>
      </c>
      <c r="I131" s="53" t="s">
        <v>49</v>
      </c>
      <c r="J131" s="53" t="s">
        <v>699</v>
      </c>
      <c r="K131" s="53" t="s">
        <v>51</v>
      </c>
      <c r="L131" s="53" t="s">
        <v>52</v>
      </c>
      <c r="M131" s="53" t="s">
        <v>52</v>
      </c>
      <c r="N131" s="62" t="s">
        <v>704</v>
      </c>
      <c r="O131" s="62" t="s">
        <v>44</v>
      </c>
      <c r="P131" s="62" t="s">
        <v>708</v>
      </c>
      <c r="Q131" s="62" t="s">
        <v>709</v>
      </c>
      <c r="R131" s="53"/>
      <c r="S131" s="53" t="s">
        <v>44</v>
      </c>
      <c r="T131" s="82"/>
      <c r="U131" s="42"/>
      <c r="V131" s="62"/>
      <c r="W131" s="64"/>
      <c r="X131" s="223"/>
      <c r="Y131" s="223"/>
      <c r="Z131" s="223"/>
      <c r="AA131" s="223"/>
    </row>
    <row r="132">
      <c r="A132" s="42">
        <f t="shared" si="1"/>
        <v>131</v>
      </c>
      <c r="B132" s="51" t="s">
        <v>41</v>
      </c>
      <c r="C132" s="53" t="s">
        <v>710</v>
      </c>
      <c r="D132" s="42" t="s">
        <v>44</v>
      </c>
      <c r="E132" s="42" t="s">
        <v>44</v>
      </c>
      <c r="F132" s="53" t="s">
        <v>205</v>
      </c>
      <c r="G132" s="53" t="s">
        <v>47</v>
      </c>
      <c r="H132" s="53" t="s">
        <v>48</v>
      </c>
      <c r="I132" s="53" t="s">
        <v>49</v>
      </c>
      <c r="J132" s="53" t="s">
        <v>699</v>
      </c>
      <c r="K132" s="53" t="s">
        <v>51</v>
      </c>
      <c r="L132" s="53" t="s">
        <v>52</v>
      </c>
      <c r="M132" s="53" t="s">
        <v>52</v>
      </c>
      <c r="N132" s="62" t="s">
        <v>711</v>
      </c>
      <c r="O132" s="62" t="s">
        <v>44</v>
      </c>
      <c r="P132" s="62" t="s">
        <v>712</v>
      </c>
      <c r="Q132" s="62" t="s">
        <v>713</v>
      </c>
      <c r="R132" s="53"/>
      <c r="S132" s="53" t="s">
        <v>44</v>
      </c>
      <c r="T132" s="82"/>
      <c r="U132" s="42"/>
      <c r="V132" s="62"/>
      <c r="W132" s="64"/>
      <c r="X132" s="223"/>
      <c r="Y132" s="223"/>
      <c r="Z132" s="223"/>
      <c r="AA132" s="223"/>
    </row>
    <row r="133">
      <c r="A133" s="42">
        <f t="shared" si="1"/>
        <v>132</v>
      </c>
      <c r="B133" s="51" t="s">
        <v>41</v>
      </c>
      <c r="C133" s="53" t="s">
        <v>714</v>
      </c>
      <c r="D133" s="42" t="s">
        <v>44</v>
      </c>
      <c r="E133" s="42" t="s">
        <v>44</v>
      </c>
      <c r="F133" s="53" t="s">
        <v>205</v>
      </c>
      <c r="G133" s="53" t="s">
        <v>47</v>
      </c>
      <c r="H133" s="53" t="s">
        <v>48</v>
      </c>
      <c r="I133" s="53" t="s">
        <v>49</v>
      </c>
      <c r="J133" s="53" t="s">
        <v>699</v>
      </c>
      <c r="K133" s="53" t="s">
        <v>51</v>
      </c>
      <c r="L133" s="53" t="s">
        <v>52</v>
      </c>
      <c r="M133" s="53" t="s">
        <v>52</v>
      </c>
      <c r="N133" s="62" t="s">
        <v>704</v>
      </c>
      <c r="O133" s="62" t="s">
        <v>44</v>
      </c>
      <c r="P133" s="62" t="s">
        <v>715</v>
      </c>
      <c r="Q133" s="62" t="s">
        <v>716</v>
      </c>
      <c r="R133" s="53"/>
      <c r="S133" s="53" t="s">
        <v>44</v>
      </c>
      <c r="T133" s="82"/>
      <c r="U133" s="53"/>
      <c r="V133" s="62"/>
      <c r="W133" s="64"/>
      <c r="X133" s="223"/>
      <c r="Y133" s="223"/>
      <c r="Z133" s="223"/>
      <c r="AA133" s="223"/>
    </row>
    <row r="134">
      <c r="A134" s="42">
        <f t="shared" si="1"/>
        <v>133</v>
      </c>
      <c r="B134" s="51" t="s">
        <v>41</v>
      </c>
      <c r="C134" s="53" t="s">
        <v>717</v>
      </c>
      <c r="D134" s="42" t="s">
        <v>44</v>
      </c>
      <c r="E134" s="42" t="s">
        <v>44</v>
      </c>
      <c r="F134" s="53" t="s">
        <v>205</v>
      </c>
      <c r="G134" s="53" t="s">
        <v>47</v>
      </c>
      <c r="H134" s="53" t="s">
        <v>48</v>
      </c>
      <c r="I134" s="53" t="s">
        <v>49</v>
      </c>
      <c r="J134" s="53" t="s">
        <v>699</v>
      </c>
      <c r="K134" s="53" t="s">
        <v>51</v>
      </c>
      <c r="L134" s="53" t="s">
        <v>52</v>
      </c>
      <c r="M134" s="53" t="s">
        <v>52</v>
      </c>
      <c r="N134" s="62" t="s">
        <v>704</v>
      </c>
      <c r="O134" s="62" t="s">
        <v>44</v>
      </c>
      <c r="P134" s="62" t="s">
        <v>718</v>
      </c>
      <c r="Q134" s="62" t="s">
        <v>719</v>
      </c>
      <c r="R134" s="53"/>
      <c r="S134" s="53" t="s">
        <v>44</v>
      </c>
      <c r="T134" s="82"/>
      <c r="U134" s="42"/>
      <c r="V134" s="62"/>
      <c r="W134" s="64"/>
      <c r="X134" s="223"/>
      <c r="Y134" s="223"/>
      <c r="Z134" s="223"/>
      <c r="AA134" s="223"/>
    </row>
    <row r="135">
      <c r="A135" s="42">
        <f t="shared" si="1"/>
        <v>134</v>
      </c>
      <c r="B135" s="51" t="s">
        <v>41</v>
      </c>
      <c r="C135" s="53" t="s">
        <v>720</v>
      </c>
      <c r="D135" s="42" t="s">
        <v>44</v>
      </c>
      <c r="E135" s="42" t="s">
        <v>44</v>
      </c>
      <c r="F135" s="53" t="s">
        <v>205</v>
      </c>
      <c r="G135" s="53" t="s">
        <v>47</v>
      </c>
      <c r="H135" s="53" t="s">
        <v>48</v>
      </c>
      <c r="I135" s="53" t="s">
        <v>49</v>
      </c>
      <c r="J135" s="53" t="s">
        <v>699</v>
      </c>
      <c r="K135" s="53" t="s">
        <v>51</v>
      </c>
      <c r="L135" s="53" t="s">
        <v>52</v>
      </c>
      <c r="M135" s="53" t="s">
        <v>52</v>
      </c>
      <c r="N135" s="62" t="s">
        <v>704</v>
      </c>
      <c r="O135" s="62" t="s">
        <v>44</v>
      </c>
      <c r="P135" s="62" t="s">
        <v>721</v>
      </c>
      <c r="Q135" s="62" t="s">
        <v>722</v>
      </c>
      <c r="R135" s="53"/>
      <c r="S135" s="53" t="s">
        <v>44</v>
      </c>
      <c r="T135" s="82"/>
      <c r="U135" s="42"/>
      <c r="V135" s="62"/>
      <c r="W135" s="64"/>
      <c r="X135" s="223"/>
      <c r="Y135" s="223"/>
      <c r="Z135" s="223"/>
      <c r="AA135" s="223"/>
    </row>
    <row r="136">
      <c r="A136" s="42">
        <f t="shared" si="1"/>
        <v>135</v>
      </c>
      <c r="B136" s="51" t="s">
        <v>41</v>
      </c>
      <c r="C136" s="53" t="s">
        <v>723</v>
      </c>
      <c r="D136" s="42" t="s">
        <v>44</v>
      </c>
      <c r="E136" s="42" t="s">
        <v>44</v>
      </c>
      <c r="F136" s="53" t="s">
        <v>205</v>
      </c>
      <c r="G136" s="53" t="s">
        <v>47</v>
      </c>
      <c r="H136" s="53" t="s">
        <v>48</v>
      </c>
      <c r="I136" s="53" t="s">
        <v>49</v>
      </c>
      <c r="J136" s="53" t="s">
        <v>699</v>
      </c>
      <c r="K136" s="53" t="s">
        <v>51</v>
      </c>
      <c r="L136" s="53" t="s">
        <v>52</v>
      </c>
      <c r="M136" s="53" t="s">
        <v>52</v>
      </c>
      <c r="N136" s="62" t="s">
        <v>704</v>
      </c>
      <c r="O136" s="62" t="s">
        <v>44</v>
      </c>
      <c r="P136" s="62" t="s">
        <v>724</v>
      </c>
      <c r="Q136" s="62" t="s">
        <v>725</v>
      </c>
      <c r="R136" s="53"/>
      <c r="S136" s="53" t="s">
        <v>44</v>
      </c>
      <c r="T136" s="82"/>
      <c r="U136" s="42"/>
      <c r="V136" s="62"/>
      <c r="W136" s="64"/>
      <c r="X136" s="223"/>
      <c r="Y136" s="223"/>
      <c r="Z136" s="223"/>
      <c r="AA136" s="223"/>
    </row>
    <row r="137">
      <c r="A137" s="42">
        <f t="shared" si="1"/>
        <v>136</v>
      </c>
      <c r="B137" s="51" t="s">
        <v>41</v>
      </c>
      <c r="C137" s="53" t="s">
        <v>726</v>
      </c>
      <c r="D137" s="42" t="s">
        <v>44</v>
      </c>
      <c r="E137" s="42" t="s">
        <v>44</v>
      </c>
      <c r="F137" s="53" t="s">
        <v>205</v>
      </c>
      <c r="G137" s="53" t="s">
        <v>47</v>
      </c>
      <c r="H137" s="53" t="s">
        <v>48</v>
      </c>
      <c r="I137" s="53" t="s">
        <v>49</v>
      </c>
      <c r="J137" s="53" t="s">
        <v>699</v>
      </c>
      <c r="K137" s="53" t="s">
        <v>51</v>
      </c>
      <c r="L137" s="53" t="s">
        <v>52</v>
      </c>
      <c r="M137" s="53" t="s">
        <v>52</v>
      </c>
      <c r="N137" s="62" t="s">
        <v>727</v>
      </c>
      <c r="O137" s="62" t="s">
        <v>44</v>
      </c>
      <c r="P137" s="62" t="s">
        <v>728</v>
      </c>
      <c r="Q137" s="62" t="s">
        <v>729</v>
      </c>
      <c r="R137" s="53"/>
      <c r="S137" s="53" t="s">
        <v>44</v>
      </c>
      <c r="T137" s="82"/>
      <c r="U137" s="42"/>
      <c r="V137" s="62"/>
      <c r="W137" s="64"/>
      <c r="X137" s="223"/>
      <c r="Y137" s="223"/>
      <c r="Z137" s="223"/>
      <c r="AA137" s="223"/>
    </row>
    <row r="138">
      <c r="A138" s="42">
        <f t="shared" si="1"/>
        <v>137</v>
      </c>
      <c r="B138" s="51" t="s">
        <v>41</v>
      </c>
      <c r="C138" s="53" t="s">
        <v>730</v>
      </c>
      <c r="D138" s="42" t="s">
        <v>44</v>
      </c>
      <c r="E138" s="42" t="s">
        <v>44</v>
      </c>
      <c r="F138" s="53" t="s">
        <v>205</v>
      </c>
      <c r="G138" s="53" t="s">
        <v>47</v>
      </c>
      <c r="H138" s="53" t="s">
        <v>48</v>
      </c>
      <c r="I138" s="53" t="s">
        <v>49</v>
      </c>
      <c r="J138" s="53" t="s">
        <v>699</v>
      </c>
      <c r="K138" s="53" t="s">
        <v>51</v>
      </c>
      <c r="L138" s="53" t="s">
        <v>52</v>
      </c>
      <c r="M138" s="53" t="s">
        <v>52</v>
      </c>
      <c r="N138" s="62" t="s">
        <v>731</v>
      </c>
      <c r="O138" s="62" t="s">
        <v>44</v>
      </c>
      <c r="P138" s="62" t="s">
        <v>732</v>
      </c>
      <c r="Q138" s="62" t="s">
        <v>733</v>
      </c>
      <c r="R138" s="53"/>
      <c r="S138" s="53" t="s">
        <v>44</v>
      </c>
      <c r="T138" s="82"/>
      <c r="U138" s="42"/>
      <c r="V138" s="62"/>
      <c r="W138" s="64"/>
      <c r="X138" s="223"/>
      <c r="Y138" s="223"/>
      <c r="Z138" s="223"/>
      <c r="AA138" s="223"/>
    </row>
    <row r="139">
      <c r="A139" s="42">
        <f t="shared" si="1"/>
        <v>138</v>
      </c>
      <c r="B139" s="51" t="s">
        <v>41</v>
      </c>
      <c r="C139" s="53" t="s">
        <v>734</v>
      </c>
      <c r="D139" s="42" t="s">
        <v>44</v>
      </c>
      <c r="E139" s="42" t="s">
        <v>44</v>
      </c>
      <c r="F139" s="53" t="s">
        <v>205</v>
      </c>
      <c r="G139" s="53" t="s">
        <v>47</v>
      </c>
      <c r="H139" s="53" t="s">
        <v>48</v>
      </c>
      <c r="I139" s="53" t="s">
        <v>49</v>
      </c>
      <c r="J139" s="53" t="s">
        <v>699</v>
      </c>
      <c r="K139" s="53" t="s">
        <v>51</v>
      </c>
      <c r="L139" s="53" t="s">
        <v>52</v>
      </c>
      <c r="M139" s="53" t="s">
        <v>52</v>
      </c>
      <c r="N139" s="62" t="s">
        <v>704</v>
      </c>
      <c r="O139" s="62" t="s">
        <v>44</v>
      </c>
      <c r="P139" s="62" t="s">
        <v>735</v>
      </c>
      <c r="Q139" s="62" t="s">
        <v>736</v>
      </c>
      <c r="R139" s="53"/>
      <c r="S139" s="53" t="s">
        <v>44</v>
      </c>
      <c r="T139" s="82"/>
      <c r="U139" s="53"/>
      <c r="V139" s="62"/>
      <c r="W139" s="64"/>
      <c r="X139" s="223"/>
      <c r="Y139" s="223"/>
      <c r="Z139" s="223"/>
      <c r="AA139" s="223"/>
    </row>
    <row r="140">
      <c r="A140" s="42">
        <f t="shared" si="1"/>
        <v>139</v>
      </c>
      <c r="B140" s="51" t="s">
        <v>41</v>
      </c>
      <c r="C140" s="53" t="s">
        <v>737</v>
      </c>
      <c r="D140" s="42" t="s">
        <v>44</v>
      </c>
      <c r="E140" s="42" t="s">
        <v>44</v>
      </c>
      <c r="F140" s="53" t="s">
        <v>205</v>
      </c>
      <c r="G140" s="53" t="s">
        <v>47</v>
      </c>
      <c r="H140" s="53" t="s">
        <v>48</v>
      </c>
      <c r="I140" s="53" t="s">
        <v>49</v>
      </c>
      <c r="J140" s="53" t="s">
        <v>699</v>
      </c>
      <c r="K140" s="53" t="s">
        <v>51</v>
      </c>
      <c r="L140" s="53" t="s">
        <v>52</v>
      </c>
      <c r="M140" s="53" t="s">
        <v>52</v>
      </c>
      <c r="N140" s="62" t="s">
        <v>704</v>
      </c>
      <c r="O140" s="62" t="s">
        <v>44</v>
      </c>
      <c r="P140" s="62" t="s">
        <v>738</v>
      </c>
      <c r="Q140" s="62" t="s">
        <v>739</v>
      </c>
      <c r="R140" s="53"/>
      <c r="S140" s="53" t="s">
        <v>44</v>
      </c>
      <c r="T140" s="82"/>
      <c r="U140" s="42"/>
      <c r="V140" s="62"/>
      <c r="W140" s="64"/>
      <c r="X140" s="223"/>
      <c r="Y140" s="223"/>
      <c r="Z140" s="223"/>
      <c r="AA140" s="223"/>
    </row>
    <row r="141">
      <c r="A141" s="42">
        <f t="shared" si="1"/>
        <v>140</v>
      </c>
      <c r="B141" s="51" t="s">
        <v>41</v>
      </c>
      <c r="C141" s="53" t="s">
        <v>740</v>
      </c>
      <c r="D141" s="42" t="s">
        <v>44</v>
      </c>
      <c r="E141" s="42" t="s">
        <v>44</v>
      </c>
      <c r="F141" s="53" t="s">
        <v>205</v>
      </c>
      <c r="G141" s="53" t="s">
        <v>47</v>
      </c>
      <c r="H141" s="53" t="s">
        <v>48</v>
      </c>
      <c r="I141" s="53" t="s">
        <v>49</v>
      </c>
      <c r="J141" s="53" t="s">
        <v>741</v>
      </c>
      <c r="K141" s="53" t="s">
        <v>51</v>
      </c>
      <c r="L141" s="53" t="s">
        <v>52</v>
      </c>
      <c r="M141" s="53" t="s">
        <v>52</v>
      </c>
      <c r="N141" s="62" t="s">
        <v>264</v>
      </c>
      <c r="O141" s="62" t="s">
        <v>44</v>
      </c>
      <c r="P141" s="62" t="s">
        <v>742</v>
      </c>
      <c r="Q141" s="62" t="s">
        <v>743</v>
      </c>
      <c r="R141" s="53"/>
      <c r="S141" s="53" t="s">
        <v>44</v>
      </c>
      <c r="T141" s="82"/>
      <c r="U141" s="42"/>
      <c r="V141" s="62"/>
      <c r="W141" s="64"/>
      <c r="X141" s="223"/>
      <c r="Y141" s="223"/>
      <c r="Z141" s="223"/>
      <c r="AA141" s="223"/>
    </row>
    <row r="142">
      <c r="A142" s="42">
        <f t="shared" si="1"/>
        <v>141</v>
      </c>
      <c r="B142" s="51" t="s">
        <v>41</v>
      </c>
      <c r="C142" s="53" t="s">
        <v>744</v>
      </c>
      <c r="D142" s="42" t="s">
        <v>44</v>
      </c>
      <c r="E142" s="42" t="s">
        <v>44</v>
      </c>
      <c r="F142" s="53" t="s">
        <v>205</v>
      </c>
      <c r="G142" s="53" t="s">
        <v>47</v>
      </c>
      <c r="H142" s="53" t="s">
        <v>48</v>
      </c>
      <c r="I142" s="53" t="s">
        <v>49</v>
      </c>
      <c r="J142" s="53" t="s">
        <v>741</v>
      </c>
      <c r="K142" s="53" t="s">
        <v>51</v>
      </c>
      <c r="L142" s="53" t="s">
        <v>52</v>
      </c>
      <c r="M142" s="53" t="s">
        <v>52</v>
      </c>
      <c r="N142" s="62" t="s">
        <v>745</v>
      </c>
      <c r="O142" s="62" t="s">
        <v>44</v>
      </c>
      <c r="P142" s="62" t="s">
        <v>747</v>
      </c>
      <c r="Q142" s="62" t="s">
        <v>409</v>
      </c>
      <c r="R142" s="53"/>
      <c r="S142" s="53" t="s">
        <v>44</v>
      </c>
      <c r="T142" s="82"/>
      <c r="U142" s="53"/>
      <c r="V142" s="62"/>
      <c r="W142" s="64"/>
      <c r="X142" s="223"/>
      <c r="Y142" s="223"/>
      <c r="Z142" s="223"/>
      <c r="AA142" s="223"/>
    </row>
    <row r="143">
      <c r="A143" s="42">
        <f t="shared" si="1"/>
        <v>142</v>
      </c>
      <c r="B143" s="51" t="s">
        <v>41</v>
      </c>
      <c r="C143" s="53" t="s">
        <v>748</v>
      </c>
      <c r="D143" s="42" t="s">
        <v>44</v>
      </c>
      <c r="E143" s="42" t="s">
        <v>44</v>
      </c>
      <c r="F143" s="53" t="s">
        <v>205</v>
      </c>
      <c r="G143" s="53" t="s">
        <v>47</v>
      </c>
      <c r="H143" s="53" t="s">
        <v>48</v>
      </c>
      <c r="I143" s="53" t="s">
        <v>49</v>
      </c>
      <c r="J143" s="53" t="s">
        <v>741</v>
      </c>
      <c r="K143" s="53" t="s">
        <v>51</v>
      </c>
      <c r="L143" s="53" t="s">
        <v>52</v>
      </c>
      <c r="M143" s="53" t="s">
        <v>52</v>
      </c>
      <c r="N143" s="62" t="s">
        <v>751</v>
      </c>
      <c r="O143" s="62" t="s">
        <v>44</v>
      </c>
      <c r="P143" s="62" t="s">
        <v>752</v>
      </c>
      <c r="Q143" s="62" t="s">
        <v>753</v>
      </c>
      <c r="R143" s="53"/>
      <c r="S143" s="53" t="s">
        <v>44</v>
      </c>
      <c r="T143" s="82"/>
      <c r="U143" s="42"/>
      <c r="V143" s="62"/>
      <c r="W143" s="64"/>
      <c r="X143" s="223"/>
      <c r="Y143" s="223"/>
      <c r="Z143" s="223"/>
      <c r="AA143" s="223"/>
    </row>
    <row r="144">
      <c r="A144" s="42">
        <f t="shared" si="1"/>
        <v>143</v>
      </c>
      <c r="B144" s="51" t="s">
        <v>41</v>
      </c>
      <c r="C144" s="53" t="s">
        <v>754</v>
      </c>
      <c r="D144" s="42" t="s">
        <v>44</v>
      </c>
      <c r="E144" s="42" t="s">
        <v>44</v>
      </c>
      <c r="F144" s="53" t="s">
        <v>205</v>
      </c>
      <c r="G144" s="53" t="s">
        <v>47</v>
      </c>
      <c r="H144" s="53" t="s">
        <v>95</v>
      </c>
      <c r="I144" s="53" t="s">
        <v>49</v>
      </c>
      <c r="J144" s="53" t="s">
        <v>741</v>
      </c>
      <c r="K144" s="53" t="s">
        <v>51</v>
      </c>
      <c r="L144" s="53" t="s">
        <v>52</v>
      </c>
      <c r="M144" s="53" t="s">
        <v>52</v>
      </c>
      <c r="N144" s="62" t="s">
        <v>756</v>
      </c>
      <c r="O144" s="62" t="s">
        <v>44</v>
      </c>
      <c r="P144" s="62" t="s">
        <v>763</v>
      </c>
      <c r="Q144" s="62" t="s">
        <v>764</v>
      </c>
      <c r="R144" s="53"/>
      <c r="S144" s="53" t="s">
        <v>44</v>
      </c>
      <c r="T144" s="82"/>
      <c r="U144" s="42"/>
      <c r="V144" s="62"/>
      <c r="W144" s="64"/>
      <c r="X144" s="223"/>
      <c r="Y144" s="223"/>
      <c r="Z144" s="223"/>
      <c r="AA144" s="223"/>
    </row>
    <row r="145">
      <c r="A145" s="42">
        <f t="shared" si="1"/>
        <v>144</v>
      </c>
      <c r="B145" s="51" t="s">
        <v>41</v>
      </c>
      <c r="C145" s="53" t="s">
        <v>768</v>
      </c>
      <c r="D145" s="42" t="s">
        <v>44</v>
      </c>
      <c r="E145" s="42" t="s">
        <v>44</v>
      </c>
      <c r="F145" s="53" t="s">
        <v>205</v>
      </c>
      <c r="G145" s="53" t="s">
        <v>47</v>
      </c>
      <c r="H145" s="53" t="s">
        <v>48</v>
      </c>
      <c r="I145" s="53" t="s">
        <v>49</v>
      </c>
      <c r="J145" s="53" t="s">
        <v>741</v>
      </c>
      <c r="K145" s="53" t="s">
        <v>51</v>
      </c>
      <c r="L145" s="53" t="s">
        <v>52</v>
      </c>
      <c r="M145" s="53" t="s">
        <v>52</v>
      </c>
      <c r="N145" s="62" t="s">
        <v>769</v>
      </c>
      <c r="O145" s="62" t="s">
        <v>44</v>
      </c>
      <c r="P145" s="62" t="s">
        <v>770</v>
      </c>
      <c r="Q145" s="62" t="s">
        <v>771</v>
      </c>
      <c r="R145" s="53"/>
      <c r="S145" s="53" t="s">
        <v>44</v>
      </c>
      <c r="T145" s="82"/>
      <c r="U145" s="53"/>
      <c r="V145" s="62"/>
      <c r="W145" s="64"/>
      <c r="X145" s="223"/>
      <c r="Y145" s="223"/>
      <c r="Z145" s="223"/>
      <c r="AA145" s="223"/>
    </row>
    <row r="146">
      <c r="A146" s="42">
        <f t="shared" si="1"/>
        <v>145</v>
      </c>
      <c r="B146" s="51" t="s">
        <v>41</v>
      </c>
      <c r="C146" s="53" t="s">
        <v>776</v>
      </c>
      <c r="D146" s="42" t="s">
        <v>44</v>
      </c>
      <c r="E146" s="42" t="s">
        <v>44</v>
      </c>
      <c r="F146" s="53" t="s">
        <v>205</v>
      </c>
      <c r="G146" s="53" t="s">
        <v>47</v>
      </c>
      <c r="H146" s="53" t="s">
        <v>48</v>
      </c>
      <c r="I146" s="53" t="s">
        <v>49</v>
      </c>
      <c r="J146" s="53" t="s">
        <v>741</v>
      </c>
      <c r="K146" s="53" t="s">
        <v>51</v>
      </c>
      <c r="L146" s="53" t="s">
        <v>52</v>
      </c>
      <c r="M146" s="53" t="s">
        <v>52</v>
      </c>
      <c r="N146" s="62" t="s">
        <v>769</v>
      </c>
      <c r="O146" s="62" t="s">
        <v>44</v>
      </c>
      <c r="P146" s="62" t="s">
        <v>780</v>
      </c>
      <c r="Q146" s="62" t="s">
        <v>781</v>
      </c>
      <c r="R146" s="53"/>
      <c r="S146" s="53" t="s">
        <v>44</v>
      </c>
      <c r="T146" s="82"/>
      <c r="U146" s="42"/>
      <c r="V146" s="62"/>
      <c r="W146" s="64"/>
      <c r="X146" s="223"/>
      <c r="Y146" s="223"/>
      <c r="Z146" s="223"/>
      <c r="AA146" s="223"/>
    </row>
    <row r="147">
      <c r="A147" s="42">
        <f t="shared" si="1"/>
        <v>146</v>
      </c>
      <c r="B147" s="51" t="s">
        <v>41</v>
      </c>
      <c r="C147" s="53" t="s">
        <v>782</v>
      </c>
      <c r="D147" s="42" t="s">
        <v>44</v>
      </c>
      <c r="E147" s="42" t="s">
        <v>44</v>
      </c>
      <c r="F147" s="53" t="s">
        <v>205</v>
      </c>
      <c r="G147" s="53" t="s">
        <v>47</v>
      </c>
      <c r="H147" s="53" t="s">
        <v>48</v>
      </c>
      <c r="I147" s="53" t="s">
        <v>49</v>
      </c>
      <c r="J147" s="53" t="s">
        <v>741</v>
      </c>
      <c r="K147" s="53" t="s">
        <v>51</v>
      </c>
      <c r="L147" s="53" t="s">
        <v>52</v>
      </c>
      <c r="M147" s="53" t="s">
        <v>52</v>
      </c>
      <c r="N147" s="62" t="s">
        <v>769</v>
      </c>
      <c r="O147" s="62" t="s">
        <v>44</v>
      </c>
      <c r="P147" s="62" t="s">
        <v>786</v>
      </c>
      <c r="Q147" s="62" t="s">
        <v>787</v>
      </c>
      <c r="R147" s="53"/>
      <c r="S147" s="53" t="s">
        <v>44</v>
      </c>
      <c r="T147" s="82"/>
      <c r="U147" s="42"/>
      <c r="V147" s="62"/>
      <c r="W147" s="64"/>
      <c r="X147" s="223"/>
      <c r="Y147" s="223"/>
      <c r="Z147" s="223"/>
      <c r="AA147" s="223"/>
    </row>
    <row r="148">
      <c r="A148" s="42">
        <f t="shared" si="1"/>
        <v>147</v>
      </c>
      <c r="B148" s="51" t="s">
        <v>41</v>
      </c>
      <c r="C148" s="53" t="s">
        <v>793</v>
      </c>
      <c r="D148" s="42" t="s">
        <v>44</v>
      </c>
      <c r="E148" s="42" t="s">
        <v>44</v>
      </c>
      <c r="F148" s="53" t="s">
        <v>205</v>
      </c>
      <c r="G148" s="53" t="s">
        <v>111</v>
      </c>
      <c r="H148" s="53" t="s">
        <v>91</v>
      </c>
      <c r="I148" s="53" t="s">
        <v>49</v>
      </c>
      <c r="J148" s="53" t="s">
        <v>741</v>
      </c>
      <c r="K148" s="53" t="s">
        <v>51</v>
      </c>
      <c r="L148" s="53" t="s">
        <v>52</v>
      </c>
      <c r="M148" s="53" t="s">
        <v>52</v>
      </c>
      <c r="N148" s="62" t="s">
        <v>769</v>
      </c>
      <c r="O148" s="62" t="s">
        <v>44</v>
      </c>
      <c r="P148" s="62" t="s">
        <v>797</v>
      </c>
      <c r="Q148" s="62" t="s">
        <v>798</v>
      </c>
      <c r="R148" s="53"/>
      <c r="S148" s="53" t="s">
        <v>44</v>
      </c>
      <c r="T148" s="82"/>
      <c r="U148" s="42"/>
      <c r="V148" s="62"/>
      <c r="W148" s="64"/>
      <c r="X148" s="223"/>
      <c r="Y148" s="223"/>
      <c r="Z148" s="223"/>
      <c r="AA148" s="223"/>
    </row>
    <row r="149">
      <c r="A149" s="42">
        <f t="shared" si="1"/>
        <v>148</v>
      </c>
      <c r="B149" s="51" t="s">
        <v>41</v>
      </c>
      <c r="C149" s="53" t="s">
        <v>804</v>
      </c>
      <c r="D149" s="42" t="s">
        <v>44</v>
      </c>
      <c r="E149" s="42" t="s">
        <v>44</v>
      </c>
      <c r="F149" s="53" t="s">
        <v>205</v>
      </c>
      <c r="G149" s="53" t="s">
        <v>47</v>
      </c>
      <c r="H149" s="53" t="s">
        <v>48</v>
      </c>
      <c r="I149" s="53" t="s">
        <v>49</v>
      </c>
      <c r="J149" s="53" t="s">
        <v>741</v>
      </c>
      <c r="K149" s="53" t="s">
        <v>51</v>
      </c>
      <c r="L149" s="53" t="s">
        <v>52</v>
      </c>
      <c r="M149" s="53" t="s">
        <v>52</v>
      </c>
      <c r="N149" s="62" t="s">
        <v>769</v>
      </c>
      <c r="O149" s="62" t="s">
        <v>44</v>
      </c>
      <c r="P149" s="62" t="s">
        <v>810</v>
      </c>
      <c r="Q149" s="62" t="s">
        <v>811</v>
      </c>
      <c r="R149" s="53"/>
      <c r="S149" s="53" t="s">
        <v>44</v>
      </c>
      <c r="T149" s="82"/>
      <c r="U149" s="42"/>
      <c r="V149" s="62"/>
      <c r="W149" s="64"/>
      <c r="X149" s="223"/>
      <c r="Y149" s="223"/>
      <c r="Z149" s="223"/>
      <c r="AA149" s="223"/>
    </row>
    <row r="150">
      <c r="A150" s="42">
        <f t="shared" si="1"/>
        <v>149</v>
      </c>
      <c r="B150" s="51" t="s">
        <v>41</v>
      </c>
      <c r="C150" s="53" t="s">
        <v>814</v>
      </c>
      <c r="D150" s="42" t="s">
        <v>44</v>
      </c>
      <c r="E150" s="42" t="s">
        <v>44</v>
      </c>
      <c r="F150" s="53" t="s">
        <v>205</v>
      </c>
      <c r="G150" s="53" t="s">
        <v>47</v>
      </c>
      <c r="H150" s="53" t="s">
        <v>48</v>
      </c>
      <c r="I150" s="53" t="s">
        <v>49</v>
      </c>
      <c r="J150" s="53" t="s">
        <v>741</v>
      </c>
      <c r="K150" s="53" t="s">
        <v>51</v>
      </c>
      <c r="L150" s="53" t="s">
        <v>52</v>
      </c>
      <c r="M150" s="53" t="s">
        <v>52</v>
      </c>
      <c r="N150" s="62" t="s">
        <v>769</v>
      </c>
      <c r="O150" s="62" t="s">
        <v>44</v>
      </c>
      <c r="P150" s="62" t="s">
        <v>816</v>
      </c>
      <c r="Q150" s="62" t="s">
        <v>818</v>
      </c>
      <c r="R150" s="53"/>
      <c r="S150" s="53" t="s">
        <v>44</v>
      </c>
      <c r="T150" s="82"/>
      <c r="U150" s="42"/>
      <c r="V150" s="62"/>
      <c r="W150" s="64"/>
      <c r="X150" s="223"/>
      <c r="Y150" s="223"/>
      <c r="Z150" s="223"/>
      <c r="AA150" s="223"/>
    </row>
    <row r="151">
      <c r="A151" s="42">
        <f t="shared" si="1"/>
        <v>150</v>
      </c>
      <c r="B151" s="51" t="s">
        <v>41</v>
      </c>
      <c r="C151" s="53" t="s">
        <v>825</v>
      </c>
      <c r="D151" s="42" t="s">
        <v>44</v>
      </c>
      <c r="E151" s="42" t="s">
        <v>44</v>
      </c>
      <c r="F151" s="53" t="s">
        <v>205</v>
      </c>
      <c r="G151" s="53" t="s">
        <v>47</v>
      </c>
      <c r="H151" s="53" t="s">
        <v>48</v>
      </c>
      <c r="I151" s="53" t="s">
        <v>49</v>
      </c>
      <c r="J151" s="53" t="s">
        <v>741</v>
      </c>
      <c r="K151" s="53" t="s">
        <v>51</v>
      </c>
      <c r="L151" s="53" t="s">
        <v>52</v>
      </c>
      <c r="M151" s="53" t="s">
        <v>52</v>
      </c>
      <c r="N151" s="62" t="s">
        <v>769</v>
      </c>
      <c r="O151" s="62" t="s">
        <v>44</v>
      </c>
      <c r="P151" s="62" t="s">
        <v>829</v>
      </c>
      <c r="Q151" s="62" t="s">
        <v>830</v>
      </c>
      <c r="R151" s="53"/>
      <c r="S151" s="53" t="s">
        <v>44</v>
      </c>
      <c r="T151" s="82"/>
      <c r="U151" s="42"/>
      <c r="V151" s="62"/>
      <c r="W151" s="64"/>
      <c r="X151" s="223"/>
      <c r="Y151" s="223"/>
      <c r="Z151" s="223"/>
      <c r="AA151" s="223"/>
    </row>
    <row r="152">
      <c r="A152" s="42">
        <f t="shared" si="1"/>
        <v>151</v>
      </c>
      <c r="B152" s="51" t="s">
        <v>41</v>
      </c>
      <c r="C152" s="53" t="s">
        <v>833</v>
      </c>
      <c r="D152" s="42" t="s">
        <v>44</v>
      </c>
      <c r="E152" s="42" t="s">
        <v>44</v>
      </c>
      <c r="F152" s="53" t="s">
        <v>205</v>
      </c>
      <c r="G152" s="53" t="s">
        <v>47</v>
      </c>
      <c r="H152" s="53" t="s">
        <v>48</v>
      </c>
      <c r="I152" s="53" t="s">
        <v>49</v>
      </c>
      <c r="J152" s="53" t="s">
        <v>741</v>
      </c>
      <c r="K152" s="53" t="s">
        <v>51</v>
      </c>
      <c r="L152" s="53" t="s">
        <v>52</v>
      </c>
      <c r="M152" s="53" t="s">
        <v>52</v>
      </c>
      <c r="N152" s="62" t="s">
        <v>769</v>
      </c>
      <c r="O152" s="62" t="s">
        <v>44</v>
      </c>
      <c r="P152" s="62" t="s">
        <v>836</v>
      </c>
      <c r="Q152" s="62" t="s">
        <v>837</v>
      </c>
      <c r="R152" s="53"/>
      <c r="S152" s="53" t="s">
        <v>44</v>
      </c>
      <c r="T152" s="82"/>
      <c r="U152" s="42"/>
      <c r="V152" s="62"/>
      <c r="W152" s="64"/>
      <c r="X152" s="223"/>
      <c r="Y152" s="223"/>
      <c r="Z152" s="223"/>
      <c r="AA152" s="223"/>
    </row>
    <row r="153">
      <c r="A153" s="42">
        <f t="shared" si="1"/>
        <v>152</v>
      </c>
      <c r="B153" s="51" t="s">
        <v>41</v>
      </c>
      <c r="C153" s="53" t="s">
        <v>841</v>
      </c>
      <c r="D153" s="42" t="s">
        <v>44</v>
      </c>
      <c r="E153" s="42" t="s">
        <v>44</v>
      </c>
      <c r="F153" s="53" t="s">
        <v>205</v>
      </c>
      <c r="G153" s="53" t="s">
        <v>47</v>
      </c>
      <c r="H153" s="53" t="s">
        <v>48</v>
      </c>
      <c r="I153" s="53" t="s">
        <v>49</v>
      </c>
      <c r="J153" s="53" t="s">
        <v>741</v>
      </c>
      <c r="K153" s="53" t="s">
        <v>51</v>
      </c>
      <c r="L153" s="53" t="s">
        <v>52</v>
      </c>
      <c r="M153" s="53" t="s">
        <v>52</v>
      </c>
      <c r="N153" s="62" t="s">
        <v>769</v>
      </c>
      <c r="O153" s="62" t="s">
        <v>44</v>
      </c>
      <c r="P153" s="62" t="s">
        <v>843</v>
      </c>
      <c r="Q153" s="62" t="s">
        <v>846</v>
      </c>
      <c r="R153" s="53"/>
      <c r="S153" s="53" t="s">
        <v>44</v>
      </c>
      <c r="T153" s="82"/>
      <c r="U153" s="42"/>
      <c r="V153" s="62"/>
      <c r="W153" s="64"/>
      <c r="X153" s="223"/>
      <c r="Y153" s="223"/>
      <c r="Z153" s="223"/>
      <c r="AA153" s="223"/>
    </row>
    <row r="154">
      <c r="A154" s="42">
        <f t="shared" si="1"/>
        <v>153</v>
      </c>
      <c r="B154" s="51" t="s">
        <v>41</v>
      </c>
      <c r="C154" s="53" t="s">
        <v>852</v>
      </c>
      <c r="D154" s="42" t="s">
        <v>44</v>
      </c>
      <c r="E154" s="42" t="s">
        <v>44</v>
      </c>
      <c r="F154" s="53" t="s">
        <v>205</v>
      </c>
      <c r="G154" s="53" t="s">
        <v>47</v>
      </c>
      <c r="H154" s="53" t="s">
        <v>48</v>
      </c>
      <c r="I154" s="53" t="s">
        <v>49</v>
      </c>
      <c r="J154" s="53" t="s">
        <v>741</v>
      </c>
      <c r="K154" s="53" t="s">
        <v>51</v>
      </c>
      <c r="L154" s="53" t="s">
        <v>52</v>
      </c>
      <c r="M154" s="53" t="s">
        <v>52</v>
      </c>
      <c r="N154" s="62" t="s">
        <v>858</v>
      </c>
      <c r="O154" s="62" t="s">
        <v>44</v>
      </c>
      <c r="P154" s="62" t="s">
        <v>860</v>
      </c>
      <c r="Q154" s="62" t="s">
        <v>862</v>
      </c>
      <c r="R154" s="53"/>
      <c r="S154" s="53" t="s">
        <v>44</v>
      </c>
      <c r="T154" s="82"/>
      <c r="U154" s="42"/>
      <c r="V154" s="62"/>
      <c r="W154" s="64"/>
      <c r="X154" s="223"/>
      <c r="Y154" s="223"/>
      <c r="Z154" s="223"/>
      <c r="AA154" s="223"/>
    </row>
    <row r="155">
      <c r="A155" s="42">
        <f t="shared" si="1"/>
        <v>154</v>
      </c>
      <c r="B155" s="51" t="s">
        <v>41</v>
      </c>
      <c r="C155" s="53" t="s">
        <v>867</v>
      </c>
      <c r="D155" s="42" t="s">
        <v>44</v>
      </c>
      <c r="E155" s="42" t="s">
        <v>44</v>
      </c>
      <c r="F155" s="53" t="s">
        <v>205</v>
      </c>
      <c r="G155" s="53" t="s">
        <v>47</v>
      </c>
      <c r="H155" s="53" t="s">
        <v>48</v>
      </c>
      <c r="I155" s="53" t="s">
        <v>49</v>
      </c>
      <c r="J155" s="53" t="s">
        <v>741</v>
      </c>
      <c r="K155" s="53" t="s">
        <v>51</v>
      </c>
      <c r="L155" s="53" t="s">
        <v>52</v>
      </c>
      <c r="M155" s="53" t="s">
        <v>52</v>
      </c>
      <c r="N155" s="62" t="s">
        <v>872</v>
      </c>
      <c r="O155" s="62" t="s">
        <v>44</v>
      </c>
      <c r="P155" s="62" t="s">
        <v>874</v>
      </c>
      <c r="Q155" s="62" t="s">
        <v>876</v>
      </c>
      <c r="R155" s="53"/>
      <c r="S155" s="53" t="s">
        <v>44</v>
      </c>
      <c r="T155" s="82"/>
      <c r="U155" s="42"/>
      <c r="V155" s="62"/>
      <c r="W155" s="64"/>
      <c r="X155" s="223"/>
      <c r="Y155" s="223"/>
      <c r="Z155" s="223"/>
      <c r="AA155" s="223"/>
    </row>
    <row r="156">
      <c r="A156" s="42">
        <f t="shared" si="1"/>
        <v>155</v>
      </c>
      <c r="B156" s="51" t="s">
        <v>41</v>
      </c>
      <c r="C156" s="53" t="s">
        <v>884</v>
      </c>
      <c r="D156" s="42" t="s">
        <v>44</v>
      </c>
      <c r="E156" s="42" t="s">
        <v>44</v>
      </c>
      <c r="F156" s="53" t="s">
        <v>205</v>
      </c>
      <c r="G156" s="53" t="s">
        <v>47</v>
      </c>
      <c r="H156" s="53" t="s">
        <v>91</v>
      </c>
      <c r="I156" s="53" t="s">
        <v>49</v>
      </c>
      <c r="J156" s="53" t="s">
        <v>741</v>
      </c>
      <c r="K156" s="53" t="s">
        <v>51</v>
      </c>
      <c r="L156" s="53" t="s">
        <v>52</v>
      </c>
      <c r="M156" s="53" t="s">
        <v>52</v>
      </c>
      <c r="N156" s="62" t="s">
        <v>889</v>
      </c>
      <c r="O156" s="62" t="s">
        <v>44</v>
      </c>
      <c r="P156" s="62" t="s">
        <v>891</v>
      </c>
      <c r="Q156" s="62" t="s">
        <v>893</v>
      </c>
      <c r="R156" s="53"/>
      <c r="S156" s="53"/>
      <c r="T156" s="82"/>
      <c r="U156" s="42"/>
      <c r="V156" s="62"/>
      <c r="W156" s="140"/>
      <c r="X156" s="223"/>
      <c r="Y156" s="223"/>
      <c r="Z156" s="223"/>
      <c r="AA156" s="223"/>
    </row>
    <row r="157">
      <c r="A157" s="42">
        <f t="shared" si="1"/>
        <v>156</v>
      </c>
      <c r="B157" s="51" t="s">
        <v>41</v>
      </c>
      <c r="C157" s="53" t="s">
        <v>899</v>
      </c>
      <c r="D157" s="42" t="s">
        <v>44</v>
      </c>
      <c r="E157" s="42" t="s">
        <v>44</v>
      </c>
      <c r="F157" s="53" t="s">
        <v>205</v>
      </c>
      <c r="G157" s="53" t="s">
        <v>85</v>
      </c>
      <c r="H157" s="53" t="s">
        <v>86</v>
      </c>
      <c r="I157" s="53" t="s">
        <v>49</v>
      </c>
      <c r="J157" s="53" t="s">
        <v>741</v>
      </c>
      <c r="K157" s="53" t="s">
        <v>51</v>
      </c>
      <c r="L157" s="53" t="s">
        <v>52</v>
      </c>
      <c r="M157" s="53" t="s">
        <v>52</v>
      </c>
      <c r="N157" s="62" t="s">
        <v>889</v>
      </c>
      <c r="O157" s="62" t="s">
        <v>44</v>
      </c>
      <c r="P157" s="62" t="s">
        <v>905</v>
      </c>
      <c r="Q157" s="62" t="s">
        <v>907</v>
      </c>
      <c r="R157" s="53"/>
      <c r="S157" s="53"/>
      <c r="T157" s="82"/>
      <c r="U157" s="42"/>
      <c r="V157" s="62"/>
      <c r="W157" s="64"/>
      <c r="X157" s="223"/>
      <c r="Y157" s="223"/>
      <c r="Z157" s="223"/>
      <c r="AA157" s="223"/>
    </row>
    <row r="158">
      <c r="A158" s="42">
        <f t="shared" si="1"/>
        <v>157</v>
      </c>
      <c r="B158" s="51" t="s">
        <v>41</v>
      </c>
      <c r="C158" s="53" t="s">
        <v>915</v>
      </c>
      <c r="D158" s="42" t="s">
        <v>44</v>
      </c>
      <c r="E158" s="42" t="s">
        <v>44</v>
      </c>
      <c r="F158" s="53" t="s">
        <v>205</v>
      </c>
      <c r="G158" s="53" t="s">
        <v>47</v>
      </c>
      <c r="H158" s="53" t="s">
        <v>95</v>
      </c>
      <c r="I158" s="53" t="s">
        <v>49</v>
      </c>
      <c r="J158" s="53" t="s">
        <v>741</v>
      </c>
      <c r="K158" s="53" t="s">
        <v>51</v>
      </c>
      <c r="L158" s="53" t="s">
        <v>52</v>
      </c>
      <c r="M158" s="53" t="s">
        <v>52</v>
      </c>
      <c r="N158" s="62" t="s">
        <v>917</v>
      </c>
      <c r="O158" s="62" t="s">
        <v>44</v>
      </c>
      <c r="P158" s="62" t="s">
        <v>742</v>
      </c>
      <c r="Q158" s="62" t="s">
        <v>919</v>
      </c>
      <c r="R158" s="53"/>
      <c r="S158" s="53"/>
      <c r="T158" s="82"/>
      <c r="U158" s="53"/>
      <c r="V158" s="62"/>
      <c r="W158" s="64"/>
      <c r="X158" s="223"/>
      <c r="Y158" s="223"/>
      <c r="Z158" s="223"/>
      <c r="AA158" s="223"/>
    </row>
    <row r="159">
      <c r="A159" s="42">
        <f t="shared" si="1"/>
        <v>158</v>
      </c>
      <c r="B159" s="51" t="s">
        <v>41</v>
      </c>
      <c r="C159" s="53" t="s">
        <v>921</v>
      </c>
      <c r="D159" s="42" t="s">
        <v>44</v>
      </c>
      <c r="E159" s="42" t="s">
        <v>44</v>
      </c>
      <c r="F159" s="53" t="s">
        <v>923</v>
      </c>
      <c r="G159" s="53" t="s">
        <v>47</v>
      </c>
      <c r="H159" s="53" t="s">
        <v>48</v>
      </c>
      <c r="I159" s="53" t="s">
        <v>485</v>
      </c>
      <c r="J159" s="53" t="s">
        <v>926</v>
      </c>
      <c r="K159" s="53" t="s">
        <v>927</v>
      </c>
      <c r="L159" s="53" t="s">
        <v>52</v>
      </c>
      <c r="M159" s="53" t="s">
        <v>52</v>
      </c>
      <c r="N159" s="306" t="s">
        <v>931</v>
      </c>
      <c r="O159" s="62" t="s">
        <v>44</v>
      </c>
      <c r="P159" s="62" t="s">
        <v>934</v>
      </c>
      <c r="Q159" s="62" t="s">
        <v>937</v>
      </c>
      <c r="R159" s="51" t="s">
        <v>56</v>
      </c>
      <c r="S159" s="51" t="s">
        <v>940</v>
      </c>
      <c r="T159" s="60">
        <v>46296.0</v>
      </c>
      <c r="U159" s="42"/>
      <c r="V159" s="62"/>
      <c r="W159" s="64"/>
      <c r="X159" s="223"/>
      <c r="Y159" s="223"/>
      <c r="Z159" s="223"/>
      <c r="AA159" s="223"/>
    </row>
    <row r="160">
      <c r="A160" s="42">
        <f t="shared" si="1"/>
        <v>159</v>
      </c>
      <c r="B160" s="51" t="s">
        <v>41</v>
      </c>
      <c r="C160" s="53" t="s">
        <v>943</v>
      </c>
      <c r="D160" s="42" t="s">
        <v>44</v>
      </c>
      <c r="E160" s="42" t="s">
        <v>44</v>
      </c>
      <c r="F160" s="53" t="s">
        <v>923</v>
      </c>
      <c r="G160" s="53" t="s">
        <v>47</v>
      </c>
      <c r="H160" s="53" t="s">
        <v>48</v>
      </c>
      <c r="I160" s="53" t="s">
        <v>485</v>
      </c>
      <c r="J160" s="53" t="s">
        <v>926</v>
      </c>
      <c r="K160" s="53" t="s">
        <v>927</v>
      </c>
      <c r="L160" s="53" t="s">
        <v>52</v>
      </c>
      <c r="M160" s="53" t="s">
        <v>52</v>
      </c>
      <c r="N160" s="62" t="s">
        <v>931</v>
      </c>
      <c r="O160" s="62" t="s">
        <v>44</v>
      </c>
      <c r="P160" s="62" t="s">
        <v>945</v>
      </c>
      <c r="Q160" s="62" t="s">
        <v>946</v>
      </c>
      <c r="R160" s="51" t="s">
        <v>56</v>
      </c>
      <c r="S160" s="51" t="s">
        <v>940</v>
      </c>
      <c r="T160" s="60">
        <v>46296.0</v>
      </c>
      <c r="U160" s="42"/>
      <c r="V160" s="62"/>
      <c r="W160" s="64"/>
      <c r="X160" s="223"/>
      <c r="Y160" s="223"/>
      <c r="Z160" s="223"/>
      <c r="AA160" s="223"/>
    </row>
    <row r="161">
      <c r="A161" s="42">
        <f t="shared" si="1"/>
        <v>160</v>
      </c>
      <c r="B161" s="51" t="s">
        <v>41</v>
      </c>
      <c r="C161" s="53" t="s">
        <v>950</v>
      </c>
      <c r="D161" s="42" t="s">
        <v>44</v>
      </c>
      <c r="E161" s="42" t="s">
        <v>44</v>
      </c>
      <c r="F161" s="53" t="s">
        <v>923</v>
      </c>
      <c r="G161" s="53" t="s">
        <v>47</v>
      </c>
      <c r="H161" s="53" t="s">
        <v>48</v>
      </c>
      <c r="I161" s="53" t="s">
        <v>485</v>
      </c>
      <c r="J161" s="53" t="s">
        <v>926</v>
      </c>
      <c r="K161" s="53" t="s">
        <v>927</v>
      </c>
      <c r="L161" s="53" t="s">
        <v>52</v>
      </c>
      <c r="M161" s="53" t="s">
        <v>52</v>
      </c>
      <c r="N161" s="62" t="s">
        <v>931</v>
      </c>
      <c r="O161" s="62" t="s">
        <v>44</v>
      </c>
      <c r="P161" s="62" t="s">
        <v>955</v>
      </c>
      <c r="Q161" s="62" t="s">
        <v>956</v>
      </c>
      <c r="R161" s="51" t="s">
        <v>71</v>
      </c>
      <c r="S161" s="51" t="s">
        <v>940</v>
      </c>
      <c r="T161" s="60">
        <v>46296.0</v>
      </c>
      <c r="U161" s="308" t="s">
        <v>962</v>
      </c>
      <c r="V161" s="309" t="s">
        <v>990</v>
      </c>
      <c r="W161" s="64"/>
      <c r="X161" s="223"/>
      <c r="Y161" s="223"/>
      <c r="Z161" s="223"/>
      <c r="AA161" s="223"/>
    </row>
    <row r="162">
      <c r="A162" s="42">
        <f t="shared" si="1"/>
        <v>161</v>
      </c>
      <c r="B162" s="51" t="s">
        <v>41</v>
      </c>
      <c r="C162" s="53" t="s">
        <v>994</v>
      </c>
      <c r="D162" s="42" t="s">
        <v>44</v>
      </c>
      <c r="E162" s="42" t="s">
        <v>44</v>
      </c>
      <c r="F162" s="53" t="s">
        <v>923</v>
      </c>
      <c r="G162" s="53" t="s">
        <v>47</v>
      </c>
      <c r="H162" s="53" t="s">
        <v>48</v>
      </c>
      <c r="I162" s="53" t="s">
        <v>485</v>
      </c>
      <c r="J162" s="53" t="s">
        <v>926</v>
      </c>
      <c r="K162" s="53" t="s">
        <v>927</v>
      </c>
      <c r="L162" s="53" t="s">
        <v>52</v>
      </c>
      <c r="M162" s="53" t="s">
        <v>52</v>
      </c>
      <c r="N162" s="62" t="s">
        <v>931</v>
      </c>
      <c r="O162" s="62" t="s">
        <v>44</v>
      </c>
      <c r="P162" s="62" t="s">
        <v>996</v>
      </c>
      <c r="Q162" s="62" t="s">
        <v>997</v>
      </c>
      <c r="R162" s="51" t="s">
        <v>56</v>
      </c>
      <c r="S162" s="51" t="s">
        <v>940</v>
      </c>
      <c r="T162" s="60">
        <v>46296.0</v>
      </c>
      <c r="U162" s="53"/>
      <c r="V162" s="62"/>
      <c r="W162" s="64"/>
      <c r="X162" s="223"/>
      <c r="Y162" s="223"/>
      <c r="Z162" s="223"/>
      <c r="AA162" s="223"/>
    </row>
    <row r="163">
      <c r="A163" s="42">
        <f t="shared" si="1"/>
        <v>162</v>
      </c>
      <c r="B163" s="51" t="s">
        <v>41</v>
      </c>
      <c r="C163" s="53" t="s">
        <v>1001</v>
      </c>
      <c r="D163" s="42" t="s">
        <v>44</v>
      </c>
      <c r="E163" s="42" t="s">
        <v>44</v>
      </c>
      <c r="F163" s="53" t="s">
        <v>923</v>
      </c>
      <c r="G163" s="53" t="s">
        <v>47</v>
      </c>
      <c r="H163" s="53" t="s">
        <v>48</v>
      </c>
      <c r="I163" s="53" t="s">
        <v>485</v>
      </c>
      <c r="J163" s="53" t="s">
        <v>926</v>
      </c>
      <c r="K163" s="53" t="s">
        <v>927</v>
      </c>
      <c r="L163" s="53" t="s">
        <v>52</v>
      </c>
      <c r="M163" s="53" t="s">
        <v>52</v>
      </c>
      <c r="N163" s="62" t="s">
        <v>931</v>
      </c>
      <c r="O163" s="62" t="s">
        <v>44</v>
      </c>
      <c r="P163" s="62" t="s">
        <v>1002</v>
      </c>
      <c r="Q163" s="309" t="s">
        <v>1003</v>
      </c>
      <c r="R163" s="51" t="s">
        <v>56</v>
      </c>
      <c r="S163" s="51" t="s">
        <v>940</v>
      </c>
      <c r="T163" s="60">
        <v>46296.0</v>
      </c>
      <c r="U163" s="42"/>
      <c r="V163" s="62"/>
      <c r="W163" s="64"/>
      <c r="X163" s="223"/>
      <c r="Y163" s="223"/>
      <c r="Z163" s="223"/>
      <c r="AA163" s="223"/>
    </row>
    <row r="164">
      <c r="A164" s="42">
        <f t="shared" si="1"/>
        <v>163</v>
      </c>
      <c r="B164" s="51" t="s">
        <v>41</v>
      </c>
      <c r="C164" s="53" t="s">
        <v>1007</v>
      </c>
      <c r="D164" s="42" t="s">
        <v>44</v>
      </c>
      <c r="E164" s="42" t="s">
        <v>44</v>
      </c>
      <c r="F164" s="53" t="s">
        <v>923</v>
      </c>
      <c r="G164" s="53" t="s">
        <v>47</v>
      </c>
      <c r="H164" s="53" t="s">
        <v>48</v>
      </c>
      <c r="I164" s="53" t="s">
        <v>485</v>
      </c>
      <c r="J164" s="53" t="s">
        <v>926</v>
      </c>
      <c r="K164" s="53" t="s">
        <v>927</v>
      </c>
      <c r="L164" s="53" t="s">
        <v>52</v>
      </c>
      <c r="M164" s="53" t="s">
        <v>52</v>
      </c>
      <c r="N164" s="62" t="s">
        <v>931</v>
      </c>
      <c r="O164" s="62" t="s">
        <v>44</v>
      </c>
      <c r="P164" s="62" t="s">
        <v>1009</v>
      </c>
      <c r="Q164" s="62" t="s">
        <v>1010</v>
      </c>
      <c r="R164" s="51" t="s">
        <v>56</v>
      </c>
      <c r="S164" s="51" t="s">
        <v>940</v>
      </c>
      <c r="T164" s="60">
        <v>46296.0</v>
      </c>
      <c r="U164" s="42"/>
      <c r="V164" s="62"/>
      <c r="W164" s="64"/>
      <c r="X164" s="223"/>
      <c r="Y164" s="223"/>
      <c r="Z164" s="223"/>
      <c r="AA164" s="223"/>
    </row>
    <row r="165">
      <c r="A165" s="42">
        <f t="shared" si="1"/>
        <v>164</v>
      </c>
      <c r="B165" s="51" t="s">
        <v>41</v>
      </c>
      <c r="C165" s="53" t="s">
        <v>1011</v>
      </c>
      <c r="D165" s="42" t="s">
        <v>44</v>
      </c>
      <c r="E165" s="42" t="s">
        <v>44</v>
      </c>
      <c r="F165" s="53" t="s">
        <v>923</v>
      </c>
      <c r="G165" s="53" t="s">
        <v>197</v>
      </c>
      <c r="H165" s="53" t="s">
        <v>112</v>
      </c>
      <c r="I165" s="53" t="s">
        <v>485</v>
      </c>
      <c r="J165" s="53" t="s">
        <v>926</v>
      </c>
      <c r="K165" s="53" t="s">
        <v>927</v>
      </c>
      <c r="L165" s="53" t="s">
        <v>52</v>
      </c>
      <c r="M165" s="53" t="s">
        <v>52</v>
      </c>
      <c r="N165" s="62" t="s">
        <v>1012</v>
      </c>
      <c r="O165" s="62" t="s">
        <v>44</v>
      </c>
      <c r="P165" s="62" t="s">
        <v>1013</v>
      </c>
      <c r="Q165" s="62" t="s">
        <v>1015</v>
      </c>
      <c r="R165" s="51" t="s">
        <v>56</v>
      </c>
      <c r="S165" s="51" t="s">
        <v>940</v>
      </c>
      <c r="T165" s="60">
        <v>46296.0</v>
      </c>
      <c r="U165" s="42"/>
      <c r="V165" s="62"/>
      <c r="W165" s="64"/>
      <c r="X165" s="223"/>
      <c r="Y165" s="223"/>
      <c r="Z165" s="223"/>
      <c r="AA165" s="223"/>
    </row>
    <row r="166">
      <c r="A166" s="42">
        <f t="shared" si="1"/>
        <v>165</v>
      </c>
      <c r="B166" s="51" t="s">
        <v>41</v>
      </c>
      <c r="C166" s="53" t="s">
        <v>1020</v>
      </c>
      <c r="D166" s="42" t="s">
        <v>44</v>
      </c>
      <c r="E166" s="42" t="s">
        <v>44</v>
      </c>
      <c r="F166" s="53" t="s">
        <v>923</v>
      </c>
      <c r="G166" s="53" t="s">
        <v>47</v>
      </c>
      <c r="H166" s="53" t="s">
        <v>95</v>
      </c>
      <c r="I166" s="53" t="s">
        <v>485</v>
      </c>
      <c r="J166" s="53" t="s">
        <v>926</v>
      </c>
      <c r="K166" s="53" t="s">
        <v>927</v>
      </c>
      <c r="L166" s="53" t="s">
        <v>52</v>
      </c>
      <c r="M166" s="53" t="s">
        <v>52</v>
      </c>
      <c r="N166" s="62" t="s">
        <v>931</v>
      </c>
      <c r="O166" s="62" t="s">
        <v>44</v>
      </c>
      <c r="P166" s="62" t="s">
        <v>1024</v>
      </c>
      <c r="Q166" s="309" t="s">
        <v>1025</v>
      </c>
      <c r="R166" s="51" t="s">
        <v>56</v>
      </c>
      <c r="S166" s="51" t="s">
        <v>940</v>
      </c>
      <c r="T166" s="60">
        <v>46296.0</v>
      </c>
      <c r="U166" s="42"/>
      <c r="V166" s="62"/>
      <c r="W166" s="64"/>
      <c r="X166" s="223"/>
      <c r="Y166" s="223"/>
      <c r="Z166" s="223"/>
      <c r="AA166" s="223"/>
    </row>
    <row r="167">
      <c r="A167" s="42">
        <f t="shared" si="1"/>
        <v>166</v>
      </c>
      <c r="B167" s="51" t="s">
        <v>41</v>
      </c>
      <c r="C167" s="53" t="s">
        <v>1030</v>
      </c>
      <c r="D167" s="42" t="s">
        <v>44</v>
      </c>
      <c r="E167" s="42" t="s">
        <v>44</v>
      </c>
      <c r="F167" s="53" t="s">
        <v>923</v>
      </c>
      <c r="G167" s="53" t="s">
        <v>47</v>
      </c>
      <c r="H167" s="53" t="s">
        <v>48</v>
      </c>
      <c r="I167" s="53" t="s">
        <v>485</v>
      </c>
      <c r="J167" s="53" t="s">
        <v>926</v>
      </c>
      <c r="K167" s="53" t="s">
        <v>927</v>
      </c>
      <c r="L167" s="53" t="s">
        <v>52</v>
      </c>
      <c r="M167" s="53" t="s">
        <v>52</v>
      </c>
      <c r="N167" s="62" t="s">
        <v>931</v>
      </c>
      <c r="O167" s="62" t="s">
        <v>44</v>
      </c>
      <c r="P167" s="62" t="s">
        <v>1034</v>
      </c>
      <c r="Q167" s="62" t="s">
        <v>1035</v>
      </c>
      <c r="R167" s="51" t="s">
        <v>56</v>
      </c>
      <c r="S167" s="51" t="s">
        <v>940</v>
      </c>
      <c r="T167" s="60">
        <v>46296.0</v>
      </c>
      <c r="U167" s="42"/>
      <c r="V167" s="62"/>
      <c r="W167" s="64"/>
      <c r="X167" s="223"/>
      <c r="Y167" s="223"/>
      <c r="Z167" s="223"/>
      <c r="AA167" s="223"/>
    </row>
    <row r="168">
      <c r="A168" s="42">
        <f t="shared" si="1"/>
        <v>167</v>
      </c>
      <c r="B168" s="51" t="s">
        <v>41</v>
      </c>
      <c r="C168" s="53" t="s">
        <v>1038</v>
      </c>
      <c r="D168" s="42" t="s">
        <v>44</v>
      </c>
      <c r="E168" s="42" t="s">
        <v>44</v>
      </c>
      <c r="F168" s="53" t="s">
        <v>923</v>
      </c>
      <c r="G168" s="53" t="s">
        <v>47</v>
      </c>
      <c r="H168" s="53" t="s">
        <v>48</v>
      </c>
      <c r="I168" s="53" t="s">
        <v>485</v>
      </c>
      <c r="J168" s="53" t="s">
        <v>926</v>
      </c>
      <c r="K168" s="53" t="s">
        <v>927</v>
      </c>
      <c r="L168" s="53" t="s">
        <v>52</v>
      </c>
      <c r="M168" s="53" t="s">
        <v>52</v>
      </c>
      <c r="N168" s="62" t="s">
        <v>931</v>
      </c>
      <c r="O168" s="62" t="s">
        <v>44</v>
      </c>
      <c r="P168" s="62" t="s">
        <v>1040</v>
      </c>
      <c r="Q168" s="62" t="s">
        <v>1041</v>
      </c>
      <c r="R168" s="51" t="s">
        <v>56</v>
      </c>
      <c r="S168" s="51" t="s">
        <v>940</v>
      </c>
      <c r="T168" s="60">
        <v>46296.0</v>
      </c>
      <c r="U168" s="42"/>
      <c r="V168" s="62"/>
      <c r="W168" s="64"/>
      <c r="X168" s="223"/>
      <c r="Y168" s="223"/>
      <c r="Z168" s="223"/>
      <c r="AA168" s="223"/>
    </row>
    <row r="169">
      <c r="A169" s="42">
        <f t="shared" si="1"/>
        <v>168</v>
      </c>
      <c r="B169" s="51" t="s">
        <v>41</v>
      </c>
      <c r="C169" s="53" t="s">
        <v>1045</v>
      </c>
      <c r="D169" s="42" t="s">
        <v>44</v>
      </c>
      <c r="E169" s="42" t="s">
        <v>44</v>
      </c>
      <c r="F169" s="53" t="s">
        <v>923</v>
      </c>
      <c r="G169" s="53" t="s">
        <v>85</v>
      </c>
      <c r="H169" s="53" t="s">
        <v>86</v>
      </c>
      <c r="I169" s="53" t="s">
        <v>485</v>
      </c>
      <c r="J169" s="53" t="s">
        <v>926</v>
      </c>
      <c r="K169" s="53" t="s">
        <v>927</v>
      </c>
      <c r="L169" s="53" t="s">
        <v>52</v>
      </c>
      <c r="M169" s="53" t="s">
        <v>52</v>
      </c>
      <c r="N169" s="62" t="s">
        <v>1049</v>
      </c>
      <c r="O169" s="62" t="s">
        <v>44</v>
      </c>
      <c r="P169" s="62" t="s">
        <v>1050</v>
      </c>
      <c r="Q169" s="62" t="s">
        <v>1051</v>
      </c>
      <c r="R169" s="51" t="s">
        <v>56</v>
      </c>
      <c r="S169" s="51" t="s">
        <v>940</v>
      </c>
      <c r="T169" s="60">
        <v>46296.0</v>
      </c>
      <c r="U169" s="42"/>
      <c r="V169" s="62"/>
      <c r="W169" s="140"/>
      <c r="X169" s="223"/>
      <c r="Y169" s="223"/>
      <c r="Z169" s="223"/>
      <c r="AA169" s="223"/>
    </row>
    <row r="170">
      <c r="A170" s="42">
        <f t="shared" si="1"/>
        <v>169</v>
      </c>
      <c r="B170" s="51" t="s">
        <v>41</v>
      </c>
      <c r="C170" s="53" t="s">
        <v>1056</v>
      </c>
      <c r="D170" s="42" t="s">
        <v>44</v>
      </c>
      <c r="E170" s="42" t="s">
        <v>44</v>
      </c>
      <c r="F170" s="53" t="s">
        <v>923</v>
      </c>
      <c r="G170" s="53" t="s">
        <v>85</v>
      </c>
      <c r="H170" s="53" t="s">
        <v>86</v>
      </c>
      <c r="I170" s="53" t="s">
        <v>485</v>
      </c>
      <c r="J170" s="53" t="s">
        <v>926</v>
      </c>
      <c r="K170" s="53" t="s">
        <v>927</v>
      </c>
      <c r="L170" s="53" t="s">
        <v>52</v>
      </c>
      <c r="M170" s="53" t="s">
        <v>52</v>
      </c>
      <c r="N170" s="62" t="s">
        <v>1060</v>
      </c>
      <c r="O170" s="62" t="s">
        <v>44</v>
      </c>
      <c r="P170" s="62" t="s">
        <v>1063</v>
      </c>
      <c r="Q170" s="309" t="s">
        <v>1064</v>
      </c>
      <c r="R170" s="51" t="s">
        <v>71</v>
      </c>
      <c r="S170" s="51" t="s">
        <v>940</v>
      </c>
      <c r="T170" s="60">
        <v>46296.0</v>
      </c>
      <c r="U170" s="308" t="s">
        <v>1067</v>
      </c>
      <c r="V170" s="309" t="s">
        <v>1085</v>
      </c>
      <c r="W170" s="140"/>
      <c r="X170" s="223"/>
      <c r="Y170" s="223"/>
      <c r="Z170" s="223"/>
      <c r="AA170" s="223"/>
    </row>
    <row r="171">
      <c r="A171" s="42">
        <f t="shared" si="1"/>
        <v>170</v>
      </c>
      <c r="B171" s="51" t="s">
        <v>41</v>
      </c>
      <c r="C171" s="53" t="s">
        <v>1088</v>
      </c>
      <c r="D171" s="42" t="s">
        <v>44</v>
      </c>
      <c r="E171" s="42" t="s">
        <v>44</v>
      </c>
      <c r="F171" s="53" t="s">
        <v>923</v>
      </c>
      <c r="G171" s="53" t="s">
        <v>47</v>
      </c>
      <c r="H171" s="53" t="s">
        <v>48</v>
      </c>
      <c r="I171" s="53" t="s">
        <v>485</v>
      </c>
      <c r="J171" s="53" t="s">
        <v>926</v>
      </c>
      <c r="K171" s="53" t="s">
        <v>927</v>
      </c>
      <c r="L171" s="53" t="s">
        <v>52</v>
      </c>
      <c r="M171" s="53" t="s">
        <v>52</v>
      </c>
      <c r="N171" s="62" t="s">
        <v>931</v>
      </c>
      <c r="O171" s="62" t="s">
        <v>44</v>
      </c>
      <c r="P171" s="309" t="s">
        <v>1091</v>
      </c>
      <c r="Q171" s="309" t="s">
        <v>1092</v>
      </c>
      <c r="R171" s="51" t="s">
        <v>71</v>
      </c>
      <c r="S171" s="51" t="s">
        <v>940</v>
      </c>
      <c r="T171" s="60">
        <v>46296.0</v>
      </c>
      <c r="U171" s="308" t="s">
        <v>1093</v>
      </c>
      <c r="V171" s="309" t="s">
        <v>1101</v>
      </c>
      <c r="W171" s="64"/>
      <c r="X171" s="223"/>
      <c r="Y171" s="223"/>
      <c r="Z171" s="223"/>
      <c r="AA171" s="223"/>
    </row>
    <row r="172">
      <c r="A172" s="42">
        <f t="shared" si="1"/>
        <v>171</v>
      </c>
      <c r="B172" s="51" t="s">
        <v>41</v>
      </c>
      <c r="C172" s="53" t="s">
        <v>1104</v>
      </c>
      <c r="D172" s="42" t="s">
        <v>44</v>
      </c>
      <c r="E172" s="42" t="s">
        <v>44</v>
      </c>
      <c r="F172" s="53" t="s">
        <v>923</v>
      </c>
      <c r="G172" s="53" t="s">
        <v>47</v>
      </c>
      <c r="H172" s="53" t="s">
        <v>48</v>
      </c>
      <c r="I172" s="53" t="s">
        <v>485</v>
      </c>
      <c r="J172" s="53" t="s">
        <v>926</v>
      </c>
      <c r="K172" s="53" t="s">
        <v>927</v>
      </c>
      <c r="L172" s="53" t="s">
        <v>52</v>
      </c>
      <c r="M172" s="53" t="s">
        <v>52</v>
      </c>
      <c r="N172" s="62" t="s">
        <v>931</v>
      </c>
      <c r="O172" s="62" t="s">
        <v>44</v>
      </c>
      <c r="P172" s="62" t="s">
        <v>1106</v>
      </c>
      <c r="Q172" s="62" t="s">
        <v>1107</v>
      </c>
      <c r="R172" s="51" t="s">
        <v>56</v>
      </c>
      <c r="S172" s="51" t="s">
        <v>940</v>
      </c>
      <c r="T172" s="60">
        <v>46296.0</v>
      </c>
      <c r="U172" s="42"/>
      <c r="V172" s="62"/>
      <c r="W172" s="64"/>
      <c r="X172" s="223"/>
      <c r="Y172" s="223"/>
      <c r="Z172" s="223"/>
      <c r="AA172" s="223"/>
    </row>
    <row r="173">
      <c r="A173" s="42">
        <f t="shared" si="1"/>
        <v>172</v>
      </c>
      <c r="B173" s="51" t="s">
        <v>41</v>
      </c>
      <c r="C173" s="53" t="s">
        <v>1110</v>
      </c>
      <c r="D173" s="42" t="s">
        <v>44</v>
      </c>
      <c r="E173" s="42" t="s">
        <v>44</v>
      </c>
      <c r="F173" s="53" t="s">
        <v>923</v>
      </c>
      <c r="G173" s="53" t="s">
        <v>47</v>
      </c>
      <c r="H173" s="53" t="s">
        <v>48</v>
      </c>
      <c r="I173" s="53" t="s">
        <v>485</v>
      </c>
      <c r="J173" s="53" t="s">
        <v>926</v>
      </c>
      <c r="K173" s="53" t="s">
        <v>927</v>
      </c>
      <c r="L173" s="53" t="s">
        <v>52</v>
      </c>
      <c r="M173" s="53" t="s">
        <v>52</v>
      </c>
      <c r="N173" s="62" t="s">
        <v>931</v>
      </c>
      <c r="O173" s="62" t="s">
        <v>44</v>
      </c>
      <c r="P173" s="62" t="s">
        <v>1113</v>
      </c>
      <c r="Q173" s="62" t="s">
        <v>1114</v>
      </c>
      <c r="R173" s="51" t="s">
        <v>56</v>
      </c>
      <c r="S173" s="51" t="s">
        <v>940</v>
      </c>
      <c r="T173" s="60">
        <v>46296.0</v>
      </c>
      <c r="U173" s="42"/>
      <c r="V173" s="62"/>
      <c r="W173" s="140"/>
      <c r="X173" s="223"/>
      <c r="Y173" s="223"/>
      <c r="Z173" s="223"/>
      <c r="AA173" s="223"/>
    </row>
    <row r="174">
      <c r="A174" s="42">
        <f t="shared" si="1"/>
        <v>173</v>
      </c>
      <c r="B174" s="51" t="s">
        <v>41</v>
      </c>
      <c r="C174" s="53" t="s">
        <v>1118</v>
      </c>
      <c r="D174" s="42" t="s">
        <v>44</v>
      </c>
      <c r="E174" s="42" t="s">
        <v>44</v>
      </c>
      <c r="F174" s="53" t="s">
        <v>923</v>
      </c>
      <c r="G174" s="53" t="s">
        <v>47</v>
      </c>
      <c r="H174" s="53" t="s">
        <v>48</v>
      </c>
      <c r="I174" s="53" t="s">
        <v>485</v>
      </c>
      <c r="J174" s="53" t="s">
        <v>926</v>
      </c>
      <c r="K174" s="53" t="s">
        <v>927</v>
      </c>
      <c r="L174" s="53" t="s">
        <v>52</v>
      </c>
      <c r="M174" s="53" t="s">
        <v>52</v>
      </c>
      <c r="N174" s="62" t="s">
        <v>931</v>
      </c>
      <c r="O174" s="62" t="s">
        <v>44</v>
      </c>
      <c r="P174" s="62" t="s">
        <v>1121</v>
      </c>
      <c r="Q174" s="62" t="s">
        <v>1122</v>
      </c>
      <c r="R174" s="51" t="s">
        <v>56</v>
      </c>
      <c r="S174" s="51" t="s">
        <v>940</v>
      </c>
      <c r="T174" s="60">
        <v>46296.0</v>
      </c>
      <c r="U174" s="53"/>
      <c r="V174" s="62"/>
      <c r="W174" s="140"/>
      <c r="X174" s="223"/>
      <c r="Y174" s="223"/>
      <c r="Z174" s="223"/>
      <c r="AA174" s="223"/>
    </row>
    <row r="175">
      <c r="A175" s="42">
        <f t="shared" si="1"/>
        <v>174</v>
      </c>
      <c r="B175" s="51" t="s">
        <v>41</v>
      </c>
      <c r="C175" s="53" t="s">
        <v>1126</v>
      </c>
      <c r="D175" s="42" t="s">
        <v>44</v>
      </c>
      <c r="E175" s="42" t="s">
        <v>44</v>
      </c>
      <c r="F175" s="53" t="s">
        <v>923</v>
      </c>
      <c r="G175" s="53" t="s">
        <v>47</v>
      </c>
      <c r="H175" s="53" t="s">
        <v>48</v>
      </c>
      <c r="I175" s="53" t="s">
        <v>485</v>
      </c>
      <c r="J175" s="53" t="s">
        <v>926</v>
      </c>
      <c r="K175" s="53" t="s">
        <v>927</v>
      </c>
      <c r="L175" s="53" t="s">
        <v>52</v>
      </c>
      <c r="M175" s="53" t="s">
        <v>52</v>
      </c>
      <c r="N175" s="62" t="s">
        <v>931</v>
      </c>
      <c r="O175" s="62" t="s">
        <v>44</v>
      </c>
      <c r="P175" s="62" t="s">
        <v>1128</v>
      </c>
      <c r="Q175" s="62" t="s">
        <v>1130</v>
      </c>
      <c r="R175" s="51" t="s">
        <v>56</v>
      </c>
      <c r="S175" s="51" t="s">
        <v>940</v>
      </c>
      <c r="T175" s="60">
        <v>46296.0</v>
      </c>
      <c r="U175" s="42"/>
      <c r="V175" s="62"/>
      <c r="W175" s="64"/>
      <c r="X175" s="223"/>
      <c r="Y175" s="223"/>
      <c r="Z175" s="223"/>
      <c r="AA175" s="223"/>
    </row>
    <row r="176">
      <c r="A176" s="42">
        <f t="shared" si="1"/>
        <v>175</v>
      </c>
      <c r="B176" s="51" t="s">
        <v>41</v>
      </c>
      <c r="C176" s="53" t="s">
        <v>1133</v>
      </c>
      <c r="D176" s="42" t="s">
        <v>44</v>
      </c>
      <c r="E176" s="42" t="s">
        <v>44</v>
      </c>
      <c r="F176" s="53" t="s">
        <v>923</v>
      </c>
      <c r="G176" s="53" t="s">
        <v>47</v>
      </c>
      <c r="H176" s="53" t="s">
        <v>95</v>
      </c>
      <c r="I176" s="53" t="s">
        <v>485</v>
      </c>
      <c r="J176" s="53" t="s">
        <v>926</v>
      </c>
      <c r="K176" s="53" t="s">
        <v>927</v>
      </c>
      <c r="L176" s="53" t="s">
        <v>52</v>
      </c>
      <c r="M176" s="53" t="s">
        <v>52</v>
      </c>
      <c r="N176" s="62" t="s">
        <v>1137</v>
      </c>
      <c r="O176" s="62" t="s">
        <v>44</v>
      </c>
      <c r="P176" s="62" t="s">
        <v>1138</v>
      </c>
      <c r="Q176" s="309" t="s">
        <v>1064</v>
      </c>
      <c r="R176" s="51" t="s">
        <v>56</v>
      </c>
      <c r="S176" s="51" t="s">
        <v>940</v>
      </c>
      <c r="T176" s="60">
        <v>46296.0</v>
      </c>
      <c r="U176" s="42"/>
      <c r="V176" s="62"/>
      <c r="W176" s="64"/>
      <c r="X176" s="223"/>
      <c r="Y176" s="223"/>
      <c r="Z176" s="223"/>
      <c r="AA176" s="223"/>
    </row>
    <row r="177">
      <c r="A177" s="42">
        <f t="shared" si="1"/>
        <v>176</v>
      </c>
      <c r="B177" s="51" t="s">
        <v>41</v>
      </c>
      <c r="C177" s="53" t="s">
        <v>1143</v>
      </c>
      <c r="D177" s="42" t="s">
        <v>44</v>
      </c>
      <c r="E177" s="42" t="s">
        <v>44</v>
      </c>
      <c r="F177" s="53" t="s">
        <v>923</v>
      </c>
      <c r="G177" s="53" t="s">
        <v>47</v>
      </c>
      <c r="H177" s="53" t="s">
        <v>48</v>
      </c>
      <c r="I177" s="53" t="s">
        <v>485</v>
      </c>
      <c r="J177" s="53" t="s">
        <v>926</v>
      </c>
      <c r="K177" s="53" t="s">
        <v>927</v>
      </c>
      <c r="L177" s="53" t="s">
        <v>52</v>
      </c>
      <c r="M177" s="53" t="s">
        <v>52</v>
      </c>
      <c r="N177" s="62" t="s">
        <v>931</v>
      </c>
      <c r="O177" s="62" t="s">
        <v>44</v>
      </c>
      <c r="P177" s="62" t="s">
        <v>1145</v>
      </c>
      <c r="Q177" s="62" t="s">
        <v>1147</v>
      </c>
      <c r="R177" s="51" t="s">
        <v>56</v>
      </c>
      <c r="S177" s="51" t="s">
        <v>940</v>
      </c>
      <c r="T177" s="60">
        <v>46296.0</v>
      </c>
      <c r="U177" s="42"/>
      <c r="V177" s="62"/>
      <c r="W177" s="64"/>
      <c r="X177" s="223"/>
      <c r="Y177" s="223"/>
      <c r="Z177" s="223"/>
      <c r="AA177" s="223"/>
    </row>
    <row r="178">
      <c r="A178" s="42">
        <f t="shared" si="1"/>
        <v>177</v>
      </c>
      <c r="B178" s="51" t="s">
        <v>41</v>
      </c>
      <c r="C178" s="53" t="s">
        <v>1151</v>
      </c>
      <c r="D178" s="42" t="s">
        <v>44</v>
      </c>
      <c r="E178" s="42" t="s">
        <v>44</v>
      </c>
      <c r="F178" s="53" t="s">
        <v>923</v>
      </c>
      <c r="G178" s="53" t="s">
        <v>47</v>
      </c>
      <c r="H178" s="53" t="s">
        <v>48</v>
      </c>
      <c r="I178" s="53" t="s">
        <v>485</v>
      </c>
      <c r="J178" s="53" t="s">
        <v>926</v>
      </c>
      <c r="K178" s="53" t="s">
        <v>927</v>
      </c>
      <c r="L178" s="53" t="s">
        <v>52</v>
      </c>
      <c r="M178" s="53" t="s">
        <v>52</v>
      </c>
      <c r="N178" s="62" t="s">
        <v>1137</v>
      </c>
      <c r="O178" s="62" t="s">
        <v>44</v>
      </c>
      <c r="P178" s="62" t="s">
        <v>1153</v>
      </c>
      <c r="Q178" s="62" t="s">
        <v>1155</v>
      </c>
      <c r="R178" s="51" t="s">
        <v>56</v>
      </c>
      <c r="S178" s="51" t="s">
        <v>940</v>
      </c>
      <c r="T178" s="60">
        <v>46296.0</v>
      </c>
      <c r="U178" s="42"/>
      <c r="V178" s="62"/>
      <c r="W178" s="140"/>
      <c r="X178" s="223"/>
      <c r="Y178" s="223"/>
      <c r="Z178" s="223"/>
      <c r="AA178" s="223"/>
    </row>
    <row r="179">
      <c r="A179" s="42">
        <f t="shared" si="1"/>
        <v>178</v>
      </c>
      <c r="B179" s="51" t="s">
        <v>41</v>
      </c>
      <c r="C179" s="53" t="s">
        <v>1160</v>
      </c>
      <c r="D179" s="42" t="s">
        <v>44</v>
      </c>
      <c r="E179" s="42" t="s">
        <v>44</v>
      </c>
      <c r="F179" s="53" t="s">
        <v>923</v>
      </c>
      <c r="G179" s="53" t="s">
        <v>111</v>
      </c>
      <c r="H179" s="53" t="s">
        <v>91</v>
      </c>
      <c r="I179" s="53" t="s">
        <v>485</v>
      </c>
      <c r="J179" s="53" t="s">
        <v>926</v>
      </c>
      <c r="K179" s="53" t="s">
        <v>927</v>
      </c>
      <c r="L179" s="53" t="s">
        <v>52</v>
      </c>
      <c r="M179" s="53" t="s">
        <v>52</v>
      </c>
      <c r="N179" s="62" t="s">
        <v>1137</v>
      </c>
      <c r="O179" s="62" t="s">
        <v>44</v>
      </c>
      <c r="P179" s="62" t="s">
        <v>1163</v>
      </c>
      <c r="Q179" s="62" t="s">
        <v>1164</v>
      </c>
      <c r="R179" s="51" t="s">
        <v>56</v>
      </c>
      <c r="S179" s="51" t="s">
        <v>940</v>
      </c>
      <c r="T179" s="60">
        <v>46296.0</v>
      </c>
      <c r="U179" s="42"/>
      <c r="V179" s="62"/>
      <c r="W179" s="64"/>
      <c r="X179" s="223"/>
      <c r="Y179" s="223"/>
      <c r="Z179" s="223"/>
      <c r="AA179" s="223"/>
    </row>
    <row r="180">
      <c r="A180" s="42">
        <f t="shared" si="1"/>
        <v>179</v>
      </c>
      <c r="B180" s="51" t="s">
        <v>41</v>
      </c>
      <c r="C180" s="53" t="s">
        <v>1167</v>
      </c>
      <c r="D180" s="42" t="s">
        <v>44</v>
      </c>
      <c r="E180" s="42" t="s">
        <v>44</v>
      </c>
      <c r="F180" s="53" t="s">
        <v>923</v>
      </c>
      <c r="G180" s="53" t="s">
        <v>47</v>
      </c>
      <c r="H180" s="53" t="s">
        <v>48</v>
      </c>
      <c r="I180" s="53" t="s">
        <v>485</v>
      </c>
      <c r="J180" s="53" t="s">
        <v>926</v>
      </c>
      <c r="K180" s="53" t="s">
        <v>927</v>
      </c>
      <c r="L180" s="53" t="s">
        <v>52</v>
      </c>
      <c r="M180" s="53" t="s">
        <v>52</v>
      </c>
      <c r="N180" s="62" t="s">
        <v>931</v>
      </c>
      <c r="O180" s="62" t="s">
        <v>44</v>
      </c>
      <c r="P180" s="62" t="s">
        <v>1170</v>
      </c>
      <c r="Q180" s="62" t="s">
        <v>1171</v>
      </c>
      <c r="R180" s="51" t="s">
        <v>56</v>
      </c>
      <c r="S180" s="51" t="s">
        <v>940</v>
      </c>
      <c r="T180" s="60">
        <v>46296.0</v>
      </c>
      <c r="U180" s="42"/>
      <c r="V180" s="62"/>
      <c r="W180" s="140"/>
      <c r="X180" s="223"/>
      <c r="Y180" s="223"/>
      <c r="Z180" s="223"/>
      <c r="AA180" s="223"/>
    </row>
    <row r="181">
      <c r="A181" s="42">
        <f t="shared" si="1"/>
        <v>180</v>
      </c>
      <c r="B181" s="51" t="s">
        <v>41</v>
      </c>
      <c r="C181" s="53" t="s">
        <v>1174</v>
      </c>
      <c r="D181" s="42" t="s">
        <v>44</v>
      </c>
      <c r="E181" s="42" t="s">
        <v>44</v>
      </c>
      <c r="F181" s="53" t="s">
        <v>923</v>
      </c>
      <c r="G181" s="53" t="s">
        <v>47</v>
      </c>
      <c r="H181" s="53" t="s">
        <v>95</v>
      </c>
      <c r="I181" s="53" t="s">
        <v>485</v>
      </c>
      <c r="J181" s="53" t="s">
        <v>926</v>
      </c>
      <c r="K181" s="53" t="s">
        <v>927</v>
      </c>
      <c r="L181" s="53" t="s">
        <v>52</v>
      </c>
      <c r="M181" s="53" t="s">
        <v>52</v>
      </c>
      <c r="N181" s="62" t="s">
        <v>1137</v>
      </c>
      <c r="O181" s="62" t="s">
        <v>44</v>
      </c>
      <c r="P181" s="62" t="s">
        <v>1178</v>
      </c>
      <c r="Q181" s="309" t="s">
        <v>1179</v>
      </c>
      <c r="R181" s="51" t="s">
        <v>56</v>
      </c>
      <c r="S181" s="51" t="s">
        <v>940</v>
      </c>
      <c r="T181" s="60">
        <v>46296.0</v>
      </c>
      <c r="U181" s="53"/>
      <c r="V181" s="62"/>
      <c r="W181" s="64"/>
      <c r="X181" s="223"/>
      <c r="Y181" s="223"/>
      <c r="Z181" s="223"/>
      <c r="AA181" s="223"/>
    </row>
    <row r="182">
      <c r="A182" s="42">
        <f t="shared" si="1"/>
        <v>181</v>
      </c>
      <c r="B182" s="51" t="s">
        <v>41</v>
      </c>
      <c r="C182" s="53" t="s">
        <v>1183</v>
      </c>
      <c r="D182" s="42" t="s">
        <v>44</v>
      </c>
      <c r="E182" s="42" t="s">
        <v>44</v>
      </c>
      <c r="F182" s="53" t="s">
        <v>923</v>
      </c>
      <c r="G182" s="53" t="s">
        <v>47</v>
      </c>
      <c r="H182" s="53" t="s">
        <v>48</v>
      </c>
      <c r="I182" s="53" t="s">
        <v>485</v>
      </c>
      <c r="J182" s="53" t="s">
        <v>926</v>
      </c>
      <c r="K182" s="53" t="s">
        <v>927</v>
      </c>
      <c r="L182" s="53" t="s">
        <v>52</v>
      </c>
      <c r="M182" s="53" t="s">
        <v>52</v>
      </c>
      <c r="N182" s="62" t="s">
        <v>931</v>
      </c>
      <c r="O182" s="62" t="s">
        <v>44</v>
      </c>
      <c r="P182" s="62" t="s">
        <v>1187</v>
      </c>
      <c r="Q182" s="62" t="s">
        <v>1188</v>
      </c>
      <c r="R182" s="51" t="s">
        <v>56</v>
      </c>
      <c r="S182" s="51" t="s">
        <v>940</v>
      </c>
      <c r="T182" s="60">
        <v>46296.0</v>
      </c>
      <c r="U182" s="53"/>
      <c r="V182" s="62"/>
      <c r="W182" s="64"/>
      <c r="X182" s="223"/>
      <c r="Y182" s="223"/>
      <c r="Z182" s="223"/>
      <c r="AA182" s="223"/>
    </row>
    <row r="183">
      <c r="A183" s="42">
        <f t="shared" si="1"/>
        <v>182</v>
      </c>
      <c r="B183" s="51" t="s">
        <v>41</v>
      </c>
      <c r="C183" s="53" t="s">
        <v>1191</v>
      </c>
      <c r="D183" s="42" t="s">
        <v>44</v>
      </c>
      <c r="E183" s="42" t="s">
        <v>44</v>
      </c>
      <c r="F183" s="53" t="s">
        <v>923</v>
      </c>
      <c r="G183" s="53" t="s">
        <v>47</v>
      </c>
      <c r="H183" s="53" t="s">
        <v>48</v>
      </c>
      <c r="I183" s="53" t="s">
        <v>485</v>
      </c>
      <c r="J183" s="53" t="s">
        <v>926</v>
      </c>
      <c r="K183" s="53" t="s">
        <v>927</v>
      </c>
      <c r="L183" s="53" t="s">
        <v>52</v>
      </c>
      <c r="M183" s="53" t="s">
        <v>52</v>
      </c>
      <c r="N183" s="62" t="s">
        <v>1193</v>
      </c>
      <c r="O183" s="62" t="s">
        <v>44</v>
      </c>
      <c r="P183" s="62" t="s">
        <v>1194</v>
      </c>
      <c r="Q183" s="62" t="s">
        <v>1196</v>
      </c>
      <c r="R183" s="51" t="s">
        <v>56</v>
      </c>
      <c r="S183" s="51" t="s">
        <v>940</v>
      </c>
      <c r="T183" s="60">
        <v>46296.0</v>
      </c>
      <c r="U183" s="42"/>
      <c r="V183" s="62"/>
      <c r="W183" s="64"/>
      <c r="X183" s="223"/>
      <c r="Y183" s="223"/>
      <c r="Z183" s="223"/>
      <c r="AA183" s="223"/>
    </row>
    <row r="184">
      <c r="A184" s="42">
        <f t="shared" si="1"/>
        <v>183</v>
      </c>
      <c r="B184" s="51" t="s">
        <v>41</v>
      </c>
      <c r="C184" s="53" t="s">
        <v>1199</v>
      </c>
      <c r="D184" s="42" t="s">
        <v>44</v>
      </c>
      <c r="E184" s="42" t="s">
        <v>44</v>
      </c>
      <c r="F184" s="53" t="s">
        <v>923</v>
      </c>
      <c r="G184" s="53" t="s">
        <v>47</v>
      </c>
      <c r="H184" s="53" t="s">
        <v>48</v>
      </c>
      <c r="I184" s="53" t="s">
        <v>485</v>
      </c>
      <c r="J184" s="53" t="s">
        <v>926</v>
      </c>
      <c r="K184" s="53" t="s">
        <v>927</v>
      </c>
      <c r="L184" s="53" t="s">
        <v>52</v>
      </c>
      <c r="M184" s="53" t="s">
        <v>52</v>
      </c>
      <c r="N184" s="62" t="s">
        <v>1201</v>
      </c>
      <c r="O184" s="62" t="s">
        <v>44</v>
      </c>
      <c r="P184" s="62" t="s">
        <v>1194</v>
      </c>
      <c r="Q184" s="62" t="s">
        <v>1203</v>
      </c>
      <c r="R184" s="51" t="s">
        <v>56</v>
      </c>
      <c r="S184" s="51" t="s">
        <v>940</v>
      </c>
      <c r="T184" s="60">
        <v>46296.0</v>
      </c>
      <c r="U184" s="42"/>
      <c r="V184" s="62"/>
      <c r="W184" s="64"/>
      <c r="X184" s="223"/>
      <c r="Y184" s="223"/>
      <c r="Z184" s="223"/>
      <c r="AA184" s="223"/>
    </row>
    <row r="185">
      <c r="A185" s="42">
        <f t="shared" si="1"/>
        <v>184</v>
      </c>
      <c r="B185" s="51" t="s">
        <v>41</v>
      </c>
      <c r="C185" s="53" t="s">
        <v>1206</v>
      </c>
      <c r="D185" s="42" t="s">
        <v>44</v>
      </c>
      <c r="E185" s="42" t="s">
        <v>44</v>
      </c>
      <c r="F185" s="53" t="s">
        <v>923</v>
      </c>
      <c r="G185" s="53" t="s">
        <v>47</v>
      </c>
      <c r="H185" s="53" t="s">
        <v>95</v>
      </c>
      <c r="I185" s="53" t="s">
        <v>485</v>
      </c>
      <c r="J185" s="53" t="s">
        <v>926</v>
      </c>
      <c r="K185" s="53" t="s">
        <v>927</v>
      </c>
      <c r="L185" s="53" t="s">
        <v>52</v>
      </c>
      <c r="M185" s="53" t="s">
        <v>52</v>
      </c>
      <c r="N185" s="62" t="s">
        <v>1208</v>
      </c>
      <c r="O185" s="62" t="s">
        <v>44</v>
      </c>
      <c r="P185" s="62" t="s">
        <v>1194</v>
      </c>
      <c r="Q185" s="62" t="s">
        <v>1210</v>
      </c>
      <c r="R185" s="51" t="s">
        <v>56</v>
      </c>
      <c r="S185" s="51" t="s">
        <v>940</v>
      </c>
      <c r="T185" s="60">
        <v>46296.0</v>
      </c>
      <c r="U185" s="42"/>
      <c r="V185" s="62"/>
      <c r="W185" s="64"/>
      <c r="X185" s="223"/>
      <c r="Y185" s="223"/>
      <c r="Z185" s="223"/>
      <c r="AA185" s="223"/>
    </row>
    <row r="186">
      <c r="A186" s="42">
        <f t="shared" si="1"/>
        <v>185</v>
      </c>
      <c r="B186" s="51" t="s">
        <v>41</v>
      </c>
      <c r="C186" s="53" t="s">
        <v>1212</v>
      </c>
      <c r="D186" s="42" t="s">
        <v>44</v>
      </c>
      <c r="E186" s="42" t="s">
        <v>44</v>
      </c>
      <c r="F186" s="53" t="s">
        <v>923</v>
      </c>
      <c r="G186" s="53" t="s">
        <v>47</v>
      </c>
      <c r="H186" s="53" t="s">
        <v>48</v>
      </c>
      <c r="I186" s="53" t="s">
        <v>485</v>
      </c>
      <c r="J186" s="53" t="s">
        <v>926</v>
      </c>
      <c r="K186" s="53" t="s">
        <v>927</v>
      </c>
      <c r="L186" s="53" t="s">
        <v>52</v>
      </c>
      <c r="M186" s="53" t="s">
        <v>52</v>
      </c>
      <c r="N186" s="62" t="s">
        <v>931</v>
      </c>
      <c r="O186" s="62" t="s">
        <v>44</v>
      </c>
      <c r="P186" s="62" t="s">
        <v>1216</v>
      </c>
      <c r="Q186" s="62" t="s">
        <v>1217</v>
      </c>
      <c r="R186" s="51" t="s">
        <v>56</v>
      </c>
      <c r="S186" s="51" t="s">
        <v>940</v>
      </c>
      <c r="T186" s="60">
        <v>46296.0</v>
      </c>
      <c r="U186" s="42"/>
      <c r="V186" s="62"/>
      <c r="W186" s="64"/>
      <c r="X186" s="223"/>
      <c r="Y186" s="223"/>
      <c r="Z186" s="223"/>
      <c r="AA186" s="223"/>
    </row>
    <row r="187">
      <c r="A187" s="42">
        <f t="shared" si="1"/>
        <v>186</v>
      </c>
      <c r="B187" s="51" t="s">
        <v>41</v>
      </c>
      <c r="C187" s="53" t="s">
        <v>1220</v>
      </c>
      <c r="D187" s="42" t="s">
        <v>44</v>
      </c>
      <c r="E187" s="42" t="s">
        <v>44</v>
      </c>
      <c r="F187" s="53" t="s">
        <v>923</v>
      </c>
      <c r="G187" s="53" t="s">
        <v>47</v>
      </c>
      <c r="H187" s="53" t="s">
        <v>48</v>
      </c>
      <c r="I187" s="53" t="s">
        <v>485</v>
      </c>
      <c r="J187" s="53" t="s">
        <v>926</v>
      </c>
      <c r="K187" s="53" t="s">
        <v>927</v>
      </c>
      <c r="L187" s="53" t="s">
        <v>52</v>
      </c>
      <c r="M187" s="53" t="s">
        <v>52</v>
      </c>
      <c r="N187" s="62" t="s">
        <v>1224</v>
      </c>
      <c r="O187" s="62" t="s">
        <v>44</v>
      </c>
      <c r="P187" s="62" t="s">
        <v>1225</v>
      </c>
      <c r="Q187" s="62" t="s">
        <v>1226</v>
      </c>
      <c r="R187" s="51" t="s">
        <v>56</v>
      </c>
      <c r="S187" s="51" t="s">
        <v>940</v>
      </c>
      <c r="T187" s="60">
        <v>46296.0</v>
      </c>
      <c r="U187" s="42"/>
      <c r="V187" s="62"/>
      <c r="W187" s="64"/>
      <c r="X187" s="223"/>
      <c r="Y187" s="223"/>
      <c r="Z187" s="223"/>
      <c r="AA187" s="223"/>
    </row>
    <row r="188">
      <c r="A188" s="42">
        <f t="shared" si="1"/>
        <v>187</v>
      </c>
      <c r="B188" s="51" t="s">
        <v>41</v>
      </c>
      <c r="C188" s="53" t="s">
        <v>1229</v>
      </c>
      <c r="D188" s="42" t="s">
        <v>44</v>
      </c>
      <c r="E188" s="42" t="s">
        <v>44</v>
      </c>
      <c r="F188" s="53" t="s">
        <v>923</v>
      </c>
      <c r="G188" s="53" t="s">
        <v>47</v>
      </c>
      <c r="H188" s="53" t="s">
        <v>48</v>
      </c>
      <c r="I188" s="53" t="s">
        <v>485</v>
      </c>
      <c r="J188" s="53" t="s">
        <v>926</v>
      </c>
      <c r="K188" s="53" t="s">
        <v>927</v>
      </c>
      <c r="L188" s="53" t="s">
        <v>52</v>
      </c>
      <c r="M188" s="53" t="s">
        <v>52</v>
      </c>
      <c r="N188" s="62" t="s">
        <v>1232</v>
      </c>
      <c r="O188" s="62" t="s">
        <v>44</v>
      </c>
      <c r="P188" s="62" t="s">
        <v>1225</v>
      </c>
      <c r="Q188" s="62" t="s">
        <v>1233</v>
      </c>
      <c r="R188" s="51" t="s">
        <v>56</v>
      </c>
      <c r="S188" s="51" t="s">
        <v>940</v>
      </c>
      <c r="T188" s="60">
        <v>46296.0</v>
      </c>
      <c r="U188" s="53"/>
      <c r="V188" s="62"/>
      <c r="W188" s="64"/>
      <c r="X188" s="223"/>
      <c r="Y188" s="223"/>
      <c r="Z188" s="223"/>
      <c r="AA188" s="223"/>
    </row>
    <row r="189">
      <c r="A189" s="42">
        <f t="shared" si="1"/>
        <v>188</v>
      </c>
      <c r="B189" s="51" t="s">
        <v>41</v>
      </c>
      <c r="C189" s="53" t="s">
        <v>1236</v>
      </c>
      <c r="D189" s="42" t="s">
        <v>44</v>
      </c>
      <c r="E189" s="42" t="s">
        <v>44</v>
      </c>
      <c r="F189" s="53" t="s">
        <v>923</v>
      </c>
      <c r="G189" s="53" t="s">
        <v>47</v>
      </c>
      <c r="H189" s="53" t="s">
        <v>95</v>
      </c>
      <c r="I189" s="53" t="s">
        <v>485</v>
      </c>
      <c r="J189" s="53" t="s">
        <v>926</v>
      </c>
      <c r="K189" s="53" t="s">
        <v>927</v>
      </c>
      <c r="L189" s="53" t="s">
        <v>52</v>
      </c>
      <c r="M189" s="53" t="s">
        <v>52</v>
      </c>
      <c r="N189" s="62" t="s">
        <v>1208</v>
      </c>
      <c r="O189" s="62" t="s">
        <v>44</v>
      </c>
      <c r="P189" s="62" t="s">
        <v>1225</v>
      </c>
      <c r="Q189" s="62" t="s">
        <v>1210</v>
      </c>
      <c r="R189" s="51" t="s">
        <v>56</v>
      </c>
      <c r="S189" s="51" t="s">
        <v>940</v>
      </c>
      <c r="T189" s="60">
        <v>46296.0</v>
      </c>
      <c r="U189" s="42"/>
      <c r="V189" s="62"/>
      <c r="W189" s="64"/>
      <c r="X189" s="223"/>
      <c r="Y189" s="223"/>
      <c r="Z189" s="223"/>
      <c r="AA189" s="223"/>
    </row>
    <row r="190">
      <c r="A190" s="42">
        <f t="shared" si="1"/>
        <v>189</v>
      </c>
      <c r="B190" s="51" t="s">
        <v>41</v>
      </c>
      <c r="C190" s="53" t="s">
        <v>1241</v>
      </c>
      <c r="D190" s="42" t="s">
        <v>44</v>
      </c>
      <c r="E190" s="42" t="s">
        <v>44</v>
      </c>
      <c r="F190" s="53" t="s">
        <v>923</v>
      </c>
      <c r="G190" s="53" t="s">
        <v>47</v>
      </c>
      <c r="H190" s="53" t="s">
        <v>95</v>
      </c>
      <c r="I190" s="53" t="s">
        <v>485</v>
      </c>
      <c r="J190" s="53" t="s">
        <v>926</v>
      </c>
      <c r="K190" s="53" t="s">
        <v>927</v>
      </c>
      <c r="L190" s="53" t="s">
        <v>52</v>
      </c>
      <c r="M190" s="53" t="s">
        <v>52</v>
      </c>
      <c r="N190" s="62" t="s">
        <v>1193</v>
      </c>
      <c r="O190" s="62" t="s">
        <v>44</v>
      </c>
      <c r="P190" s="62" t="s">
        <v>1225</v>
      </c>
      <c r="Q190" s="62" t="s">
        <v>1210</v>
      </c>
      <c r="R190" s="51" t="s">
        <v>56</v>
      </c>
      <c r="S190" s="51" t="s">
        <v>940</v>
      </c>
      <c r="T190" s="60">
        <v>46296.0</v>
      </c>
      <c r="U190" s="42"/>
      <c r="V190" s="62"/>
      <c r="W190" s="64"/>
      <c r="X190" s="223"/>
      <c r="Y190" s="223"/>
      <c r="Z190" s="223"/>
      <c r="AA190" s="223"/>
    </row>
    <row r="191">
      <c r="A191" s="42">
        <f t="shared" si="1"/>
        <v>190</v>
      </c>
      <c r="B191" s="51" t="s">
        <v>41</v>
      </c>
      <c r="C191" s="53" t="s">
        <v>1246</v>
      </c>
      <c r="D191" s="42" t="s">
        <v>44</v>
      </c>
      <c r="E191" s="42" t="s">
        <v>44</v>
      </c>
      <c r="F191" s="53" t="s">
        <v>923</v>
      </c>
      <c r="G191" s="53" t="s">
        <v>47</v>
      </c>
      <c r="H191" s="53" t="s">
        <v>48</v>
      </c>
      <c r="I191" s="53" t="s">
        <v>485</v>
      </c>
      <c r="J191" s="53" t="s">
        <v>926</v>
      </c>
      <c r="K191" s="53" t="s">
        <v>927</v>
      </c>
      <c r="L191" s="53" t="s">
        <v>52</v>
      </c>
      <c r="M191" s="53" t="s">
        <v>52</v>
      </c>
      <c r="N191" s="62" t="s">
        <v>931</v>
      </c>
      <c r="O191" s="62" t="s">
        <v>44</v>
      </c>
      <c r="P191" s="62" t="s">
        <v>1249</v>
      </c>
      <c r="Q191" s="62" t="s">
        <v>1250</v>
      </c>
      <c r="R191" s="51" t="s">
        <v>56</v>
      </c>
      <c r="S191" s="51" t="s">
        <v>940</v>
      </c>
      <c r="T191" s="60">
        <v>46296.0</v>
      </c>
      <c r="U191" s="53"/>
      <c r="V191" s="62"/>
      <c r="W191" s="64"/>
      <c r="X191" s="223"/>
      <c r="Y191" s="223"/>
      <c r="Z191" s="223"/>
      <c r="AA191" s="223"/>
    </row>
    <row r="192">
      <c r="A192" s="42">
        <f t="shared" si="1"/>
        <v>191</v>
      </c>
      <c r="B192" s="51" t="s">
        <v>41</v>
      </c>
      <c r="C192" s="53" t="s">
        <v>1252</v>
      </c>
      <c r="D192" s="42" t="s">
        <v>44</v>
      </c>
      <c r="E192" s="42" t="s">
        <v>44</v>
      </c>
      <c r="F192" s="53" t="s">
        <v>923</v>
      </c>
      <c r="G192" s="53" t="s">
        <v>47</v>
      </c>
      <c r="H192" s="53" t="s">
        <v>48</v>
      </c>
      <c r="I192" s="53" t="s">
        <v>485</v>
      </c>
      <c r="J192" s="53" t="s">
        <v>926</v>
      </c>
      <c r="K192" s="53" t="s">
        <v>927</v>
      </c>
      <c r="L192" s="53" t="s">
        <v>52</v>
      </c>
      <c r="M192" s="53" t="s">
        <v>52</v>
      </c>
      <c r="N192" s="62" t="s">
        <v>1254</v>
      </c>
      <c r="O192" s="62" t="s">
        <v>44</v>
      </c>
      <c r="P192" s="62" t="s">
        <v>1255</v>
      </c>
      <c r="Q192" s="62" t="s">
        <v>1256</v>
      </c>
      <c r="R192" s="51" t="s">
        <v>56</v>
      </c>
      <c r="S192" s="51" t="s">
        <v>940</v>
      </c>
      <c r="T192" s="60">
        <v>46296.0</v>
      </c>
      <c r="U192" s="42"/>
      <c r="V192" s="62"/>
      <c r="W192" s="64"/>
      <c r="X192" s="223"/>
      <c r="Y192" s="223"/>
      <c r="Z192" s="223"/>
      <c r="AA192" s="223"/>
    </row>
    <row r="193">
      <c r="A193" s="42">
        <f t="shared" si="1"/>
        <v>192</v>
      </c>
      <c r="B193" s="51" t="s">
        <v>41</v>
      </c>
      <c r="C193" s="53" t="s">
        <v>1261</v>
      </c>
      <c r="D193" s="42" t="s">
        <v>44</v>
      </c>
      <c r="E193" s="42" t="s">
        <v>44</v>
      </c>
      <c r="F193" s="53" t="s">
        <v>923</v>
      </c>
      <c r="G193" s="53" t="s">
        <v>47</v>
      </c>
      <c r="H193" s="53" t="s">
        <v>48</v>
      </c>
      <c r="I193" s="53" t="s">
        <v>485</v>
      </c>
      <c r="J193" s="53" t="s">
        <v>926</v>
      </c>
      <c r="K193" s="53" t="s">
        <v>927</v>
      </c>
      <c r="L193" s="53" t="s">
        <v>52</v>
      </c>
      <c r="M193" s="53" t="s">
        <v>52</v>
      </c>
      <c r="N193" s="62" t="s">
        <v>1262</v>
      </c>
      <c r="O193" s="62" t="s">
        <v>44</v>
      </c>
      <c r="P193" s="62" t="s">
        <v>1255</v>
      </c>
      <c r="Q193" s="62" t="s">
        <v>1265</v>
      </c>
      <c r="R193" s="51" t="s">
        <v>56</v>
      </c>
      <c r="S193" s="51" t="s">
        <v>940</v>
      </c>
      <c r="T193" s="60">
        <v>46296.0</v>
      </c>
      <c r="U193" s="42"/>
      <c r="V193" s="62"/>
      <c r="W193" s="64"/>
      <c r="X193" s="223"/>
      <c r="Y193" s="223"/>
      <c r="Z193" s="223"/>
      <c r="AA193" s="223"/>
    </row>
    <row r="194">
      <c r="A194" s="42">
        <f t="shared" si="1"/>
        <v>193</v>
      </c>
      <c r="B194" s="51" t="s">
        <v>41</v>
      </c>
      <c r="C194" s="53" t="s">
        <v>1267</v>
      </c>
      <c r="D194" s="42" t="s">
        <v>44</v>
      </c>
      <c r="E194" s="42" t="s">
        <v>44</v>
      </c>
      <c r="F194" s="53" t="s">
        <v>923</v>
      </c>
      <c r="G194" s="53" t="s">
        <v>47</v>
      </c>
      <c r="H194" s="53" t="s">
        <v>48</v>
      </c>
      <c r="I194" s="53" t="s">
        <v>485</v>
      </c>
      <c r="J194" s="53" t="s">
        <v>926</v>
      </c>
      <c r="K194" s="53" t="s">
        <v>927</v>
      </c>
      <c r="L194" s="53" t="s">
        <v>52</v>
      </c>
      <c r="M194" s="53" t="s">
        <v>52</v>
      </c>
      <c r="N194" s="62" t="s">
        <v>1269</v>
      </c>
      <c r="O194" s="62" t="s">
        <v>44</v>
      </c>
      <c r="P194" s="62" t="s">
        <v>1255</v>
      </c>
      <c r="Q194" s="62" t="s">
        <v>1272</v>
      </c>
      <c r="R194" s="51" t="s">
        <v>72</v>
      </c>
      <c r="S194" s="51" t="s">
        <v>940</v>
      </c>
      <c r="T194" s="60">
        <v>46296.0</v>
      </c>
      <c r="U194" s="42"/>
      <c r="V194" s="309" t="s">
        <v>1274</v>
      </c>
      <c r="W194" s="64"/>
      <c r="X194" s="223"/>
      <c r="Y194" s="223"/>
      <c r="Z194" s="223"/>
      <c r="AA194" s="223"/>
    </row>
    <row r="195">
      <c r="A195" s="42">
        <f t="shared" si="1"/>
        <v>194</v>
      </c>
      <c r="B195" s="51" t="s">
        <v>41</v>
      </c>
      <c r="C195" s="53" t="s">
        <v>1277</v>
      </c>
      <c r="D195" s="42" t="s">
        <v>44</v>
      </c>
      <c r="E195" s="42" t="s">
        <v>44</v>
      </c>
      <c r="F195" s="53" t="s">
        <v>923</v>
      </c>
      <c r="G195" s="53" t="s">
        <v>47</v>
      </c>
      <c r="H195" s="53" t="s">
        <v>48</v>
      </c>
      <c r="I195" s="53" t="s">
        <v>485</v>
      </c>
      <c r="J195" s="53" t="s">
        <v>926</v>
      </c>
      <c r="K195" s="53" t="s">
        <v>927</v>
      </c>
      <c r="L195" s="53" t="s">
        <v>52</v>
      </c>
      <c r="M195" s="53" t="s">
        <v>52</v>
      </c>
      <c r="N195" s="62" t="s">
        <v>1279</v>
      </c>
      <c r="O195" s="62" t="s">
        <v>44</v>
      </c>
      <c r="P195" s="62" t="s">
        <v>1255</v>
      </c>
      <c r="Q195" s="62" t="s">
        <v>1281</v>
      </c>
      <c r="R195" s="51" t="s">
        <v>72</v>
      </c>
      <c r="S195" s="51" t="s">
        <v>940</v>
      </c>
      <c r="T195" s="60">
        <v>46296.0</v>
      </c>
      <c r="U195" s="42"/>
      <c r="V195" s="309" t="s">
        <v>1274</v>
      </c>
      <c r="W195" s="64"/>
      <c r="X195" s="223"/>
      <c r="Y195" s="223"/>
      <c r="Z195" s="223"/>
      <c r="AA195" s="223"/>
    </row>
    <row r="196">
      <c r="A196" s="42">
        <f t="shared" si="1"/>
        <v>195</v>
      </c>
      <c r="B196" s="51" t="s">
        <v>41</v>
      </c>
      <c r="C196" s="53" t="s">
        <v>1277</v>
      </c>
      <c r="D196" s="42" t="s">
        <v>44</v>
      </c>
      <c r="E196" s="42" t="s">
        <v>44</v>
      </c>
      <c r="F196" s="53" t="s">
        <v>923</v>
      </c>
      <c r="G196" s="53" t="s">
        <v>47</v>
      </c>
      <c r="H196" s="53" t="s">
        <v>48</v>
      </c>
      <c r="I196" s="53" t="s">
        <v>485</v>
      </c>
      <c r="J196" s="53" t="s">
        <v>926</v>
      </c>
      <c r="K196" s="53" t="s">
        <v>927</v>
      </c>
      <c r="L196" s="53" t="s">
        <v>52</v>
      </c>
      <c r="M196" s="53" t="s">
        <v>52</v>
      </c>
      <c r="N196" s="309" t="s">
        <v>1285</v>
      </c>
      <c r="O196" s="62" t="s">
        <v>44</v>
      </c>
      <c r="P196" s="62" t="s">
        <v>1255</v>
      </c>
      <c r="Q196" s="309" t="s">
        <v>1288</v>
      </c>
      <c r="R196" s="51" t="s">
        <v>71</v>
      </c>
      <c r="S196" s="51" t="s">
        <v>940</v>
      </c>
      <c r="T196" s="60">
        <v>46296.0</v>
      </c>
      <c r="U196" s="308" t="s">
        <v>1290</v>
      </c>
      <c r="V196" s="309" t="s">
        <v>1298</v>
      </c>
      <c r="W196" s="64"/>
      <c r="X196" s="223"/>
      <c r="Y196" s="223"/>
      <c r="Z196" s="223"/>
      <c r="AA196" s="223"/>
    </row>
    <row r="197">
      <c r="A197" s="42">
        <f t="shared" si="1"/>
        <v>196</v>
      </c>
      <c r="B197" s="51" t="s">
        <v>41</v>
      </c>
      <c r="C197" s="53" t="s">
        <v>1299</v>
      </c>
      <c r="D197" s="42" t="s">
        <v>44</v>
      </c>
      <c r="E197" s="42" t="s">
        <v>44</v>
      </c>
      <c r="F197" s="53" t="s">
        <v>923</v>
      </c>
      <c r="G197" s="53" t="s">
        <v>47</v>
      </c>
      <c r="H197" s="53" t="s">
        <v>48</v>
      </c>
      <c r="I197" s="53" t="s">
        <v>485</v>
      </c>
      <c r="J197" s="53" t="s">
        <v>926</v>
      </c>
      <c r="K197" s="53" t="s">
        <v>927</v>
      </c>
      <c r="L197" s="53" t="s">
        <v>52</v>
      </c>
      <c r="M197" s="53" t="s">
        <v>52</v>
      </c>
      <c r="N197" s="62" t="s">
        <v>1303</v>
      </c>
      <c r="O197" s="62" t="s">
        <v>44</v>
      </c>
      <c r="P197" s="62" t="s">
        <v>1255</v>
      </c>
      <c r="Q197" s="62" t="s">
        <v>1304</v>
      </c>
      <c r="R197" s="51" t="s">
        <v>56</v>
      </c>
      <c r="S197" s="51" t="s">
        <v>940</v>
      </c>
      <c r="T197" s="60">
        <v>46296.0</v>
      </c>
      <c r="U197" s="53"/>
      <c r="V197" s="62"/>
      <c r="W197" s="64"/>
      <c r="X197" s="223"/>
      <c r="Y197" s="223"/>
      <c r="Z197" s="223"/>
      <c r="AA197" s="223"/>
    </row>
    <row r="198">
      <c r="A198" s="42">
        <f t="shared" si="1"/>
        <v>197</v>
      </c>
      <c r="B198" s="51" t="s">
        <v>41</v>
      </c>
      <c r="C198" s="53" t="s">
        <v>1308</v>
      </c>
      <c r="D198" s="42" t="s">
        <v>44</v>
      </c>
      <c r="E198" s="42" t="s">
        <v>44</v>
      </c>
      <c r="F198" s="53" t="s">
        <v>923</v>
      </c>
      <c r="G198" s="53" t="s">
        <v>47</v>
      </c>
      <c r="H198" s="53" t="s">
        <v>95</v>
      </c>
      <c r="I198" s="53" t="s">
        <v>485</v>
      </c>
      <c r="J198" s="53" t="s">
        <v>926</v>
      </c>
      <c r="K198" s="53" t="s">
        <v>927</v>
      </c>
      <c r="L198" s="53" t="s">
        <v>52</v>
      </c>
      <c r="M198" s="53" t="s">
        <v>52</v>
      </c>
      <c r="N198" s="62" t="s">
        <v>1311</v>
      </c>
      <c r="O198" s="62" t="s">
        <v>44</v>
      </c>
      <c r="P198" s="62" t="s">
        <v>1255</v>
      </c>
      <c r="Q198" s="309" t="s">
        <v>1312</v>
      </c>
      <c r="R198" s="51" t="s">
        <v>72</v>
      </c>
      <c r="S198" s="51" t="s">
        <v>940</v>
      </c>
      <c r="T198" s="60">
        <v>46296.0</v>
      </c>
      <c r="U198" s="42"/>
      <c r="V198" s="309" t="s">
        <v>1274</v>
      </c>
      <c r="W198" s="64"/>
      <c r="X198" s="223"/>
      <c r="Y198" s="223"/>
      <c r="Z198" s="223"/>
      <c r="AA198" s="223"/>
    </row>
    <row r="199">
      <c r="A199" s="42">
        <f t="shared" si="1"/>
        <v>198</v>
      </c>
      <c r="B199" s="51" t="s">
        <v>41</v>
      </c>
      <c r="C199" s="53" t="s">
        <v>1315</v>
      </c>
      <c r="D199" s="42" t="s">
        <v>44</v>
      </c>
      <c r="E199" s="42" t="s">
        <v>44</v>
      </c>
      <c r="F199" s="53" t="s">
        <v>923</v>
      </c>
      <c r="G199" s="53" t="s">
        <v>47</v>
      </c>
      <c r="H199" s="53" t="s">
        <v>48</v>
      </c>
      <c r="I199" s="53" t="s">
        <v>485</v>
      </c>
      <c r="J199" s="53" t="s">
        <v>926</v>
      </c>
      <c r="K199" s="53" t="s">
        <v>927</v>
      </c>
      <c r="L199" s="53" t="s">
        <v>52</v>
      </c>
      <c r="M199" s="53" t="s">
        <v>52</v>
      </c>
      <c r="N199" s="62" t="s">
        <v>931</v>
      </c>
      <c r="O199" s="62" t="s">
        <v>44</v>
      </c>
      <c r="P199" s="62" t="s">
        <v>1318</v>
      </c>
      <c r="Q199" s="62" t="s">
        <v>1319</v>
      </c>
      <c r="R199" s="51" t="s">
        <v>56</v>
      </c>
      <c r="S199" s="51" t="s">
        <v>940</v>
      </c>
      <c r="T199" s="60">
        <v>46296.0</v>
      </c>
      <c r="U199" s="42"/>
      <c r="V199" s="62"/>
      <c r="W199" s="64"/>
      <c r="X199" s="223"/>
      <c r="Y199" s="223"/>
      <c r="Z199" s="223"/>
      <c r="AA199" s="223"/>
    </row>
    <row r="200">
      <c r="A200" s="42">
        <f t="shared" si="1"/>
        <v>199</v>
      </c>
      <c r="B200" s="51" t="s">
        <v>41</v>
      </c>
      <c r="C200" s="53" t="s">
        <v>1323</v>
      </c>
      <c r="D200" s="42" t="s">
        <v>44</v>
      </c>
      <c r="E200" s="42" t="s">
        <v>44</v>
      </c>
      <c r="F200" s="53" t="s">
        <v>923</v>
      </c>
      <c r="G200" s="53" t="s">
        <v>47</v>
      </c>
      <c r="H200" s="53" t="s">
        <v>48</v>
      </c>
      <c r="I200" s="53" t="s">
        <v>485</v>
      </c>
      <c r="J200" s="53" t="s">
        <v>926</v>
      </c>
      <c r="K200" s="53" t="s">
        <v>927</v>
      </c>
      <c r="L200" s="53" t="s">
        <v>52</v>
      </c>
      <c r="M200" s="53" t="s">
        <v>52</v>
      </c>
      <c r="N200" s="62" t="s">
        <v>1137</v>
      </c>
      <c r="O200" s="62" t="s">
        <v>44</v>
      </c>
      <c r="P200" s="62" t="s">
        <v>1326</v>
      </c>
      <c r="Q200" s="62" t="s">
        <v>1327</v>
      </c>
      <c r="R200" s="51" t="s">
        <v>56</v>
      </c>
      <c r="S200" s="51" t="s">
        <v>940</v>
      </c>
      <c r="T200" s="60">
        <v>46296.0</v>
      </c>
      <c r="U200" s="42"/>
      <c r="V200" s="62"/>
      <c r="W200" s="64"/>
      <c r="X200" s="223"/>
      <c r="Y200" s="223"/>
      <c r="Z200" s="223"/>
      <c r="AA200" s="223"/>
    </row>
    <row r="201">
      <c r="A201" s="42">
        <f t="shared" si="1"/>
        <v>200</v>
      </c>
      <c r="B201" s="51" t="s">
        <v>41</v>
      </c>
      <c r="C201" s="53" t="s">
        <v>1330</v>
      </c>
      <c r="D201" s="42" t="s">
        <v>44</v>
      </c>
      <c r="E201" s="42" t="s">
        <v>44</v>
      </c>
      <c r="F201" s="53" t="s">
        <v>923</v>
      </c>
      <c r="G201" s="53" t="s">
        <v>47</v>
      </c>
      <c r="H201" s="53" t="s">
        <v>48</v>
      </c>
      <c r="I201" s="53" t="s">
        <v>485</v>
      </c>
      <c r="J201" s="53" t="s">
        <v>926</v>
      </c>
      <c r="K201" s="53" t="s">
        <v>927</v>
      </c>
      <c r="L201" s="53" t="s">
        <v>52</v>
      </c>
      <c r="M201" s="53" t="s">
        <v>52</v>
      </c>
      <c r="N201" s="62" t="s">
        <v>931</v>
      </c>
      <c r="O201" s="62" t="s">
        <v>44</v>
      </c>
      <c r="P201" s="62" t="s">
        <v>1332</v>
      </c>
      <c r="Q201" s="62" t="s">
        <v>1334</v>
      </c>
      <c r="R201" s="51" t="s">
        <v>56</v>
      </c>
      <c r="S201" s="51" t="s">
        <v>940</v>
      </c>
      <c r="T201" s="60">
        <v>46296.0</v>
      </c>
      <c r="U201" s="42"/>
      <c r="V201" s="62"/>
      <c r="W201" s="64"/>
      <c r="X201" s="223"/>
      <c r="Y201" s="223"/>
      <c r="Z201" s="223"/>
      <c r="AA201" s="223"/>
    </row>
    <row r="202">
      <c r="A202" s="42">
        <f t="shared" si="1"/>
        <v>201</v>
      </c>
      <c r="B202" s="51" t="s">
        <v>41</v>
      </c>
      <c r="C202" s="53" t="s">
        <v>1336</v>
      </c>
      <c r="D202" s="42" t="s">
        <v>44</v>
      </c>
      <c r="E202" s="42" t="s">
        <v>44</v>
      </c>
      <c r="F202" s="53" t="s">
        <v>923</v>
      </c>
      <c r="G202" s="53" t="s">
        <v>47</v>
      </c>
      <c r="H202" s="53" t="s">
        <v>48</v>
      </c>
      <c r="I202" s="53" t="s">
        <v>485</v>
      </c>
      <c r="J202" s="53" t="s">
        <v>926</v>
      </c>
      <c r="K202" s="53" t="s">
        <v>927</v>
      </c>
      <c r="L202" s="53" t="s">
        <v>52</v>
      </c>
      <c r="M202" s="53" t="s">
        <v>52</v>
      </c>
      <c r="N202" s="62" t="s">
        <v>1338</v>
      </c>
      <c r="O202" s="62" t="s">
        <v>44</v>
      </c>
      <c r="P202" s="62" t="s">
        <v>1339</v>
      </c>
      <c r="Q202" s="62" t="s">
        <v>1340</v>
      </c>
      <c r="R202" s="51" t="s">
        <v>56</v>
      </c>
      <c r="S202" s="51" t="s">
        <v>940</v>
      </c>
      <c r="T202" s="60">
        <v>46296.0</v>
      </c>
      <c r="U202" s="42"/>
      <c r="V202" s="62"/>
      <c r="W202" s="64"/>
      <c r="X202" s="223"/>
      <c r="Y202" s="223"/>
      <c r="Z202" s="223"/>
      <c r="AA202" s="223"/>
    </row>
    <row r="203">
      <c r="A203" s="42">
        <f t="shared" si="1"/>
        <v>202</v>
      </c>
      <c r="B203" s="51" t="s">
        <v>41</v>
      </c>
      <c r="C203" s="53" t="s">
        <v>1343</v>
      </c>
      <c r="D203" s="42" t="s">
        <v>44</v>
      </c>
      <c r="E203" s="42" t="s">
        <v>44</v>
      </c>
      <c r="F203" s="53" t="s">
        <v>923</v>
      </c>
      <c r="G203" s="53" t="s">
        <v>47</v>
      </c>
      <c r="H203" s="53" t="s">
        <v>48</v>
      </c>
      <c r="I203" s="53" t="s">
        <v>485</v>
      </c>
      <c r="J203" s="53" t="s">
        <v>926</v>
      </c>
      <c r="K203" s="53" t="s">
        <v>927</v>
      </c>
      <c r="L203" s="53" t="s">
        <v>52</v>
      </c>
      <c r="M203" s="53" t="s">
        <v>52</v>
      </c>
      <c r="N203" s="62" t="s">
        <v>1346</v>
      </c>
      <c r="O203" s="62" t="s">
        <v>44</v>
      </c>
      <c r="P203" s="62" t="s">
        <v>1339</v>
      </c>
      <c r="Q203" s="62" t="s">
        <v>1347</v>
      </c>
      <c r="R203" s="51" t="s">
        <v>56</v>
      </c>
      <c r="S203" s="51" t="s">
        <v>940</v>
      </c>
      <c r="T203" s="60">
        <v>46296.0</v>
      </c>
      <c r="U203" s="53"/>
      <c r="V203" s="62"/>
      <c r="W203" s="64"/>
      <c r="X203" s="223"/>
      <c r="Y203" s="223"/>
      <c r="Z203" s="223"/>
      <c r="AA203" s="223"/>
    </row>
    <row r="204">
      <c r="A204" s="42">
        <f t="shared" si="1"/>
        <v>203</v>
      </c>
      <c r="B204" s="51" t="s">
        <v>41</v>
      </c>
      <c r="C204" s="53" t="s">
        <v>1350</v>
      </c>
      <c r="D204" s="42" t="s">
        <v>44</v>
      </c>
      <c r="E204" s="42" t="s">
        <v>44</v>
      </c>
      <c r="F204" s="53" t="s">
        <v>923</v>
      </c>
      <c r="G204" s="53" t="s">
        <v>47</v>
      </c>
      <c r="H204" s="53" t="s">
        <v>95</v>
      </c>
      <c r="I204" s="53" t="s">
        <v>485</v>
      </c>
      <c r="J204" s="53" t="s">
        <v>926</v>
      </c>
      <c r="K204" s="53" t="s">
        <v>927</v>
      </c>
      <c r="L204" s="53" t="s">
        <v>52</v>
      </c>
      <c r="M204" s="53" t="s">
        <v>52</v>
      </c>
      <c r="N204" s="62" t="s">
        <v>1137</v>
      </c>
      <c r="O204" s="62" t="s">
        <v>44</v>
      </c>
      <c r="P204" s="62" t="s">
        <v>1352</v>
      </c>
      <c r="Q204" s="309" t="s">
        <v>1354</v>
      </c>
      <c r="R204" s="51" t="s">
        <v>56</v>
      </c>
      <c r="S204" s="51" t="s">
        <v>940</v>
      </c>
      <c r="T204" s="60">
        <v>46296.0</v>
      </c>
      <c r="U204" s="42"/>
      <c r="V204" s="62"/>
      <c r="W204" s="64"/>
      <c r="X204" s="223"/>
      <c r="Y204" s="223"/>
      <c r="Z204" s="223"/>
      <c r="AA204" s="223"/>
    </row>
    <row r="205">
      <c r="A205" s="42">
        <f t="shared" si="1"/>
        <v>204</v>
      </c>
      <c r="B205" s="51" t="s">
        <v>41</v>
      </c>
      <c r="C205" s="53" t="s">
        <v>1356</v>
      </c>
      <c r="D205" s="42" t="s">
        <v>44</v>
      </c>
      <c r="E205" s="42" t="s">
        <v>44</v>
      </c>
      <c r="F205" s="53" t="s">
        <v>923</v>
      </c>
      <c r="G205" s="53" t="s">
        <v>47</v>
      </c>
      <c r="H205" s="53" t="s">
        <v>48</v>
      </c>
      <c r="I205" s="53" t="s">
        <v>485</v>
      </c>
      <c r="J205" s="53" t="s">
        <v>926</v>
      </c>
      <c r="K205" s="53" t="s">
        <v>927</v>
      </c>
      <c r="L205" s="53" t="s">
        <v>52</v>
      </c>
      <c r="M205" s="53" t="s">
        <v>52</v>
      </c>
      <c r="N205" s="62" t="s">
        <v>931</v>
      </c>
      <c r="O205" s="62" t="s">
        <v>44</v>
      </c>
      <c r="P205" s="62" t="s">
        <v>1359</v>
      </c>
      <c r="Q205" s="62" t="s">
        <v>1360</v>
      </c>
      <c r="R205" s="51" t="s">
        <v>56</v>
      </c>
      <c r="S205" s="51" t="s">
        <v>940</v>
      </c>
      <c r="T205" s="60">
        <v>46296.0</v>
      </c>
      <c r="U205" s="42"/>
      <c r="V205" s="62"/>
      <c r="W205" s="64"/>
      <c r="X205" s="223"/>
      <c r="Y205" s="223"/>
      <c r="Z205" s="223"/>
      <c r="AA205" s="223"/>
    </row>
    <row r="206">
      <c r="A206" s="42">
        <f t="shared" si="1"/>
        <v>205</v>
      </c>
      <c r="B206" s="51" t="s">
        <v>41</v>
      </c>
      <c r="C206" s="53" t="s">
        <v>1363</v>
      </c>
      <c r="D206" s="42" t="s">
        <v>44</v>
      </c>
      <c r="E206" s="42" t="s">
        <v>44</v>
      </c>
      <c r="F206" s="53" t="s">
        <v>923</v>
      </c>
      <c r="G206" s="53" t="s">
        <v>47</v>
      </c>
      <c r="H206" s="53" t="s">
        <v>48</v>
      </c>
      <c r="I206" s="53" t="s">
        <v>485</v>
      </c>
      <c r="J206" s="53" t="s">
        <v>926</v>
      </c>
      <c r="K206" s="53" t="s">
        <v>927</v>
      </c>
      <c r="L206" s="53" t="s">
        <v>52</v>
      </c>
      <c r="M206" s="53" t="s">
        <v>52</v>
      </c>
      <c r="N206" s="62" t="s">
        <v>1366</v>
      </c>
      <c r="O206" s="62" t="s">
        <v>44</v>
      </c>
      <c r="P206" s="62" t="s">
        <v>1367</v>
      </c>
      <c r="Q206" s="309" t="s">
        <v>1368</v>
      </c>
      <c r="R206" s="51" t="s">
        <v>56</v>
      </c>
      <c r="S206" s="51" t="s">
        <v>940</v>
      </c>
      <c r="T206" s="60">
        <v>46296.0</v>
      </c>
      <c r="U206" s="42"/>
      <c r="V206" s="62"/>
      <c r="W206" s="64"/>
      <c r="X206" s="223"/>
      <c r="Y206" s="223"/>
      <c r="Z206" s="223"/>
      <c r="AA206" s="223"/>
    </row>
    <row r="207">
      <c r="A207" s="42">
        <f t="shared" si="1"/>
        <v>206</v>
      </c>
      <c r="B207" s="51" t="s">
        <v>41</v>
      </c>
      <c r="C207" s="53" t="s">
        <v>1371</v>
      </c>
      <c r="D207" s="42" t="s">
        <v>44</v>
      </c>
      <c r="E207" s="42" t="s">
        <v>44</v>
      </c>
      <c r="F207" s="53" t="s">
        <v>923</v>
      </c>
      <c r="G207" s="53" t="s">
        <v>47</v>
      </c>
      <c r="H207" s="53" t="s">
        <v>95</v>
      </c>
      <c r="I207" s="53" t="s">
        <v>485</v>
      </c>
      <c r="J207" s="53" t="s">
        <v>926</v>
      </c>
      <c r="K207" s="53" t="s">
        <v>927</v>
      </c>
      <c r="L207" s="53" t="s">
        <v>52</v>
      </c>
      <c r="M207" s="53" t="s">
        <v>52</v>
      </c>
      <c r="N207" s="62" t="s">
        <v>1373</v>
      </c>
      <c r="O207" s="62" t="s">
        <v>44</v>
      </c>
      <c r="P207" s="62" t="s">
        <v>1367</v>
      </c>
      <c r="Q207" s="62" t="s">
        <v>1210</v>
      </c>
      <c r="R207" s="51" t="s">
        <v>56</v>
      </c>
      <c r="S207" s="51" t="s">
        <v>940</v>
      </c>
      <c r="T207" s="60">
        <v>46296.0</v>
      </c>
      <c r="U207" s="42"/>
      <c r="V207" s="62"/>
      <c r="W207" s="64"/>
      <c r="X207" s="76"/>
      <c r="Y207" s="76"/>
      <c r="Z207" s="76"/>
      <c r="AA207" s="76"/>
    </row>
    <row r="208">
      <c r="A208" s="42">
        <f t="shared" si="1"/>
        <v>207</v>
      </c>
      <c r="B208" s="51" t="s">
        <v>41</v>
      </c>
      <c r="C208" s="53" t="s">
        <v>1375</v>
      </c>
      <c r="D208" s="42" t="s">
        <v>44</v>
      </c>
      <c r="E208" s="42" t="s">
        <v>44</v>
      </c>
      <c r="F208" s="53" t="s">
        <v>923</v>
      </c>
      <c r="G208" s="53" t="s">
        <v>47</v>
      </c>
      <c r="H208" s="53" t="s">
        <v>48</v>
      </c>
      <c r="I208" s="53" t="s">
        <v>485</v>
      </c>
      <c r="J208" s="53" t="s">
        <v>926</v>
      </c>
      <c r="K208" s="53" t="s">
        <v>927</v>
      </c>
      <c r="L208" s="53" t="s">
        <v>52</v>
      </c>
      <c r="M208" s="53" t="s">
        <v>52</v>
      </c>
      <c r="N208" s="62" t="s">
        <v>931</v>
      </c>
      <c r="O208" s="62" t="s">
        <v>44</v>
      </c>
      <c r="P208" s="62" t="s">
        <v>1378</v>
      </c>
      <c r="Q208" s="62" t="s">
        <v>1379</v>
      </c>
      <c r="R208" s="51" t="s">
        <v>56</v>
      </c>
      <c r="S208" s="51" t="s">
        <v>940</v>
      </c>
      <c r="T208" s="60">
        <v>46296.0</v>
      </c>
      <c r="U208" s="42"/>
      <c r="V208" s="62"/>
      <c r="W208" s="64"/>
      <c r="X208" s="223"/>
      <c r="Y208" s="223"/>
      <c r="Z208" s="223"/>
      <c r="AA208" s="223"/>
    </row>
    <row r="209">
      <c r="A209" s="42">
        <f t="shared" si="1"/>
        <v>208</v>
      </c>
      <c r="B209" s="51" t="s">
        <v>41</v>
      </c>
      <c r="C209" s="53" t="s">
        <v>1380</v>
      </c>
      <c r="D209" s="42" t="s">
        <v>44</v>
      </c>
      <c r="E209" s="42" t="s">
        <v>44</v>
      </c>
      <c r="F209" s="53" t="s">
        <v>923</v>
      </c>
      <c r="G209" s="53" t="s">
        <v>47</v>
      </c>
      <c r="H209" s="53" t="s">
        <v>48</v>
      </c>
      <c r="I209" s="53" t="s">
        <v>485</v>
      </c>
      <c r="J209" s="53" t="s">
        <v>926</v>
      </c>
      <c r="K209" s="53" t="s">
        <v>927</v>
      </c>
      <c r="L209" s="53" t="s">
        <v>52</v>
      </c>
      <c r="M209" s="53" t="s">
        <v>52</v>
      </c>
      <c r="N209" s="62" t="s">
        <v>1137</v>
      </c>
      <c r="O209" s="62" t="s">
        <v>44</v>
      </c>
      <c r="P209" s="62" t="s">
        <v>1381</v>
      </c>
      <c r="Q209" s="309" t="s">
        <v>1382</v>
      </c>
      <c r="R209" s="51" t="s">
        <v>56</v>
      </c>
      <c r="S209" s="51" t="s">
        <v>940</v>
      </c>
      <c r="T209" s="60">
        <v>46296.0</v>
      </c>
      <c r="U209" s="42"/>
      <c r="V209" s="62"/>
      <c r="W209" s="64"/>
      <c r="X209" s="223"/>
      <c r="Y209" s="223"/>
      <c r="Z209" s="223"/>
      <c r="AA209" s="223"/>
    </row>
    <row r="210">
      <c r="A210" s="42">
        <f t="shared" si="1"/>
        <v>209</v>
      </c>
      <c r="B210" s="51" t="s">
        <v>41</v>
      </c>
      <c r="C210" s="53" t="s">
        <v>1386</v>
      </c>
      <c r="D210" s="42" t="s">
        <v>44</v>
      </c>
      <c r="E210" s="42" t="s">
        <v>44</v>
      </c>
      <c r="F210" s="53" t="s">
        <v>923</v>
      </c>
      <c r="G210" s="53" t="s">
        <v>47</v>
      </c>
      <c r="H210" s="53" t="s">
        <v>48</v>
      </c>
      <c r="I210" s="53" t="s">
        <v>485</v>
      </c>
      <c r="J210" s="53" t="s">
        <v>926</v>
      </c>
      <c r="K210" s="53" t="s">
        <v>927</v>
      </c>
      <c r="L210" s="53" t="s">
        <v>52</v>
      </c>
      <c r="M210" s="53" t="s">
        <v>52</v>
      </c>
      <c r="N210" s="62" t="s">
        <v>931</v>
      </c>
      <c r="O210" s="62" t="s">
        <v>44</v>
      </c>
      <c r="P210" s="62" t="s">
        <v>1387</v>
      </c>
      <c r="Q210" s="62" t="s">
        <v>1388</v>
      </c>
      <c r="R210" s="51" t="s">
        <v>56</v>
      </c>
      <c r="S210" s="51" t="s">
        <v>940</v>
      </c>
      <c r="T210" s="60">
        <v>46296.0</v>
      </c>
      <c r="U210" s="42"/>
      <c r="V210" s="62"/>
      <c r="W210" s="64"/>
      <c r="X210" s="223"/>
      <c r="Y210" s="223"/>
      <c r="Z210" s="223"/>
      <c r="AA210" s="223"/>
    </row>
    <row r="211">
      <c r="A211" s="42">
        <f t="shared" si="1"/>
        <v>210</v>
      </c>
      <c r="B211" s="51" t="s">
        <v>41</v>
      </c>
      <c r="C211" s="53" t="s">
        <v>1391</v>
      </c>
      <c r="D211" s="42" t="s">
        <v>44</v>
      </c>
      <c r="E211" s="42" t="s">
        <v>44</v>
      </c>
      <c r="F211" s="53" t="s">
        <v>923</v>
      </c>
      <c r="G211" s="53" t="s">
        <v>47</v>
      </c>
      <c r="H211" s="53" t="s">
        <v>48</v>
      </c>
      <c r="I211" s="53" t="s">
        <v>485</v>
      </c>
      <c r="J211" s="53" t="s">
        <v>926</v>
      </c>
      <c r="K211" s="53" t="s">
        <v>927</v>
      </c>
      <c r="L211" s="53" t="s">
        <v>52</v>
      </c>
      <c r="M211" s="53" t="s">
        <v>52</v>
      </c>
      <c r="N211" s="62" t="s">
        <v>1137</v>
      </c>
      <c r="O211" s="62" t="s">
        <v>44</v>
      </c>
      <c r="P211" s="62" t="s">
        <v>1392</v>
      </c>
      <c r="Q211" s="309" t="s">
        <v>1393</v>
      </c>
      <c r="R211" s="51" t="s">
        <v>56</v>
      </c>
      <c r="S211" s="51" t="s">
        <v>940</v>
      </c>
      <c r="T211" s="60">
        <v>46296.0</v>
      </c>
      <c r="U211" s="42"/>
      <c r="V211" s="62"/>
      <c r="W211" s="64"/>
      <c r="X211" s="223"/>
      <c r="Y211" s="223"/>
      <c r="Z211" s="223"/>
      <c r="AA211" s="223"/>
    </row>
    <row r="212">
      <c r="A212" s="42">
        <f t="shared" si="1"/>
        <v>211</v>
      </c>
      <c r="B212" s="51" t="s">
        <v>41</v>
      </c>
      <c r="C212" s="53" t="s">
        <v>1396</v>
      </c>
      <c r="D212" s="42" t="s">
        <v>44</v>
      </c>
      <c r="E212" s="42" t="s">
        <v>44</v>
      </c>
      <c r="F212" s="53" t="s">
        <v>923</v>
      </c>
      <c r="G212" s="53" t="s">
        <v>111</v>
      </c>
      <c r="H212" s="53" t="s">
        <v>91</v>
      </c>
      <c r="I212" s="53" t="s">
        <v>485</v>
      </c>
      <c r="J212" s="53" t="s">
        <v>926</v>
      </c>
      <c r="K212" s="53" t="s">
        <v>927</v>
      </c>
      <c r="L212" s="53" t="s">
        <v>52</v>
      </c>
      <c r="M212" s="53" t="s">
        <v>52</v>
      </c>
      <c r="N212" s="62" t="s">
        <v>1137</v>
      </c>
      <c r="O212" s="62" t="s">
        <v>44</v>
      </c>
      <c r="P212" s="62" t="s">
        <v>1399</v>
      </c>
      <c r="Q212" s="62" t="s">
        <v>1400</v>
      </c>
      <c r="R212" s="51" t="s">
        <v>56</v>
      </c>
      <c r="S212" s="51" t="s">
        <v>940</v>
      </c>
      <c r="T212" s="60">
        <v>46296.0</v>
      </c>
      <c r="U212" s="42"/>
      <c r="V212" s="62"/>
      <c r="W212" s="64"/>
      <c r="X212" s="223"/>
      <c r="Y212" s="223"/>
      <c r="Z212" s="223"/>
      <c r="AA212" s="223"/>
    </row>
    <row r="213">
      <c r="A213" s="42">
        <f t="shared" si="1"/>
        <v>212</v>
      </c>
      <c r="B213" s="51" t="s">
        <v>41</v>
      </c>
      <c r="C213" s="53" t="s">
        <v>1403</v>
      </c>
      <c r="D213" s="42" t="s">
        <v>44</v>
      </c>
      <c r="E213" s="42" t="s">
        <v>44</v>
      </c>
      <c r="F213" s="53" t="s">
        <v>923</v>
      </c>
      <c r="G213" s="53" t="s">
        <v>111</v>
      </c>
      <c r="H213" s="53" t="s">
        <v>91</v>
      </c>
      <c r="I213" s="53" t="s">
        <v>485</v>
      </c>
      <c r="J213" s="53" t="s">
        <v>926</v>
      </c>
      <c r="K213" s="53" t="s">
        <v>927</v>
      </c>
      <c r="L213" s="53" t="s">
        <v>52</v>
      </c>
      <c r="M213" s="53" t="s">
        <v>52</v>
      </c>
      <c r="N213" s="62" t="s">
        <v>1137</v>
      </c>
      <c r="O213" s="62" t="s">
        <v>44</v>
      </c>
      <c r="P213" s="62" t="s">
        <v>1406</v>
      </c>
      <c r="Q213" s="62" t="s">
        <v>1407</v>
      </c>
      <c r="R213" s="51" t="s">
        <v>56</v>
      </c>
      <c r="S213" s="51" t="s">
        <v>940</v>
      </c>
      <c r="T213" s="60">
        <v>46296.0</v>
      </c>
      <c r="U213" s="42"/>
      <c r="V213" s="62"/>
      <c r="W213" s="64"/>
      <c r="X213" s="223"/>
      <c r="Y213" s="223"/>
      <c r="Z213" s="223"/>
      <c r="AA213" s="223"/>
    </row>
    <row r="214">
      <c r="A214" s="42">
        <f t="shared" si="1"/>
        <v>213</v>
      </c>
      <c r="B214" s="51" t="s">
        <v>41</v>
      </c>
      <c r="C214" s="53" t="s">
        <v>1410</v>
      </c>
      <c r="D214" s="42" t="s">
        <v>44</v>
      </c>
      <c r="E214" s="42" t="s">
        <v>44</v>
      </c>
      <c r="F214" s="53" t="s">
        <v>923</v>
      </c>
      <c r="G214" s="53" t="s">
        <v>47</v>
      </c>
      <c r="H214" s="53" t="s">
        <v>95</v>
      </c>
      <c r="I214" s="53" t="s">
        <v>485</v>
      </c>
      <c r="J214" s="53" t="s">
        <v>1412</v>
      </c>
      <c r="K214" s="53" t="s">
        <v>51</v>
      </c>
      <c r="L214" s="53" t="s">
        <v>52</v>
      </c>
      <c r="M214" s="53" t="s">
        <v>52</v>
      </c>
      <c r="N214" s="62" t="s">
        <v>1414</v>
      </c>
      <c r="O214" s="62" t="s">
        <v>44</v>
      </c>
      <c r="P214" s="62" t="s">
        <v>1415</v>
      </c>
      <c r="Q214" s="309" t="s">
        <v>1416</v>
      </c>
      <c r="R214" s="51" t="s">
        <v>56</v>
      </c>
      <c r="S214" s="51" t="s">
        <v>940</v>
      </c>
      <c r="T214" s="60">
        <v>46296.0</v>
      </c>
      <c r="U214" s="42"/>
      <c r="V214" s="62"/>
      <c r="W214" s="64"/>
      <c r="X214" s="223"/>
      <c r="Y214" s="223"/>
      <c r="Z214" s="223"/>
      <c r="AA214" s="223"/>
    </row>
    <row r="215">
      <c r="A215" s="42">
        <f t="shared" si="1"/>
        <v>214</v>
      </c>
      <c r="B215" s="51" t="s">
        <v>41</v>
      </c>
      <c r="C215" s="53" t="s">
        <v>1419</v>
      </c>
      <c r="D215" s="42" t="s">
        <v>44</v>
      </c>
      <c r="E215" s="42" t="s">
        <v>44</v>
      </c>
      <c r="F215" s="53" t="s">
        <v>923</v>
      </c>
      <c r="G215" s="53" t="s">
        <v>47</v>
      </c>
      <c r="H215" s="53" t="s">
        <v>48</v>
      </c>
      <c r="I215" s="53" t="s">
        <v>485</v>
      </c>
      <c r="J215" s="53" t="s">
        <v>926</v>
      </c>
      <c r="K215" s="53" t="s">
        <v>927</v>
      </c>
      <c r="L215" s="53" t="s">
        <v>52</v>
      </c>
      <c r="M215" s="53" t="s">
        <v>52</v>
      </c>
      <c r="N215" s="62" t="s">
        <v>931</v>
      </c>
      <c r="O215" s="62" t="s">
        <v>44</v>
      </c>
      <c r="P215" s="62" t="s">
        <v>1422</v>
      </c>
      <c r="Q215" s="62" t="s">
        <v>1423</v>
      </c>
      <c r="R215" s="51" t="s">
        <v>56</v>
      </c>
      <c r="S215" s="51" t="s">
        <v>940</v>
      </c>
      <c r="T215" s="60">
        <v>46296.0</v>
      </c>
      <c r="U215" s="53"/>
      <c r="V215" s="62"/>
      <c r="W215" s="140"/>
      <c r="X215" s="223"/>
      <c r="Y215" s="223"/>
      <c r="Z215" s="223"/>
      <c r="AA215" s="223"/>
    </row>
    <row r="216">
      <c r="A216" s="42">
        <f t="shared" si="1"/>
        <v>215</v>
      </c>
      <c r="B216" s="51" t="s">
        <v>41</v>
      </c>
      <c r="C216" s="53" t="s">
        <v>1426</v>
      </c>
      <c r="D216" s="42" t="s">
        <v>44</v>
      </c>
      <c r="E216" s="42" t="s">
        <v>44</v>
      </c>
      <c r="F216" s="53" t="s">
        <v>923</v>
      </c>
      <c r="G216" s="53" t="s">
        <v>47</v>
      </c>
      <c r="H216" s="53" t="s">
        <v>48</v>
      </c>
      <c r="I216" s="53" t="s">
        <v>485</v>
      </c>
      <c r="J216" s="53" t="s">
        <v>926</v>
      </c>
      <c r="K216" s="53" t="s">
        <v>927</v>
      </c>
      <c r="L216" s="53" t="s">
        <v>52</v>
      </c>
      <c r="M216" s="53" t="s">
        <v>52</v>
      </c>
      <c r="N216" s="62" t="s">
        <v>1137</v>
      </c>
      <c r="O216" s="62" t="s">
        <v>44</v>
      </c>
      <c r="P216" s="62" t="s">
        <v>1429</v>
      </c>
      <c r="Q216" s="62" t="s">
        <v>1430</v>
      </c>
      <c r="R216" s="51" t="s">
        <v>56</v>
      </c>
      <c r="S216" s="51" t="s">
        <v>940</v>
      </c>
      <c r="T216" s="60">
        <v>46296.0</v>
      </c>
      <c r="U216" s="53"/>
      <c r="V216" s="62"/>
      <c r="W216" s="140"/>
      <c r="X216" s="223"/>
      <c r="Y216" s="223"/>
      <c r="Z216" s="223"/>
      <c r="AA216" s="223"/>
    </row>
    <row r="217">
      <c r="A217" s="42">
        <f t="shared" si="1"/>
        <v>216</v>
      </c>
      <c r="B217" s="51" t="s">
        <v>41</v>
      </c>
      <c r="C217" s="53" t="s">
        <v>1433</v>
      </c>
      <c r="D217" s="42" t="s">
        <v>44</v>
      </c>
      <c r="E217" s="42" t="s">
        <v>44</v>
      </c>
      <c r="F217" s="53" t="s">
        <v>923</v>
      </c>
      <c r="G217" s="53" t="s">
        <v>47</v>
      </c>
      <c r="H217" s="53" t="s">
        <v>95</v>
      </c>
      <c r="I217" s="53" t="s">
        <v>485</v>
      </c>
      <c r="J217" s="53" t="s">
        <v>926</v>
      </c>
      <c r="K217" s="53" t="s">
        <v>927</v>
      </c>
      <c r="L217" s="53" t="s">
        <v>52</v>
      </c>
      <c r="M217" s="53" t="s">
        <v>52</v>
      </c>
      <c r="N217" s="62" t="s">
        <v>1137</v>
      </c>
      <c r="O217" s="62" t="s">
        <v>44</v>
      </c>
      <c r="P217" s="62" t="s">
        <v>1434</v>
      </c>
      <c r="Q217" s="309" t="s">
        <v>1436</v>
      </c>
      <c r="R217" s="51" t="s">
        <v>56</v>
      </c>
      <c r="S217" s="51" t="s">
        <v>940</v>
      </c>
      <c r="T217" s="60">
        <v>46296.0</v>
      </c>
      <c r="U217" s="53"/>
      <c r="V217" s="62"/>
      <c r="W217" s="140"/>
      <c r="X217" s="223"/>
      <c r="Y217" s="223"/>
      <c r="Z217" s="223"/>
      <c r="AA217" s="223"/>
    </row>
    <row r="218">
      <c r="A218" s="42">
        <f t="shared" si="1"/>
        <v>217</v>
      </c>
      <c r="B218" s="51" t="s">
        <v>41</v>
      </c>
      <c r="C218" s="53" t="s">
        <v>1438</v>
      </c>
      <c r="D218" s="42" t="s">
        <v>44</v>
      </c>
      <c r="E218" s="42" t="s">
        <v>44</v>
      </c>
      <c r="F218" s="53" t="s">
        <v>923</v>
      </c>
      <c r="G218" s="53" t="s">
        <v>47</v>
      </c>
      <c r="H218" s="53" t="s">
        <v>48</v>
      </c>
      <c r="I218" s="53" t="s">
        <v>485</v>
      </c>
      <c r="J218" s="53" t="s">
        <v>926</v>
      </c>
      <c r="K218" s="53" t="s">
        <v>927</v>
      </c>
      <c r="L218" s="53" t="s">
        <v>52</v>
      </c>
      <c r="M218" s="53" t="s">
        <v>52</v>
      </c>
      <c r="N218" s="309" t="s">
        <v>1442</v>
      </c>
      <c r="O218" s="62" t="s">
        <v>44</v>
      </c>
      <c r="P218" s="62" t="s">
        <v>1443</v>
      </c>
      <c r="Q218" s="309" t="s">
        <v>1444</v>
      </c>
      <c r="R218" s="51" t="s">
        <v>56</v>
      </c>
      <c r="S218" s="51" t="s">
        <v>940</v>
      </c>
      <c r="T218" s="60">
        <v>46296.0</v>
      </c>
      <c r="U218" s="42"/>
      <c r="V218" s="62"/>
      <c r="W218" s="64"/>
      <c r="X218" s="223"/>
      <c r="Y218" s="223"/>
      <c r="Z218" s="223"/>
      <c r="AA218" s="223"/>
    </row>
    <row r="219">
      <c r="A219" s="42">
        <f t="shared" si="1"/>
        <v>218</v>
      </c>
      <c r="B219" s="51" t="s">
        <v>41</v>
      </c>
      <c r="C219" s="53" t="s">
        <v>1447</v>
      </c>
      <c r="D219" s="42" t="s">
        <v>44</v>
      </c>
      <c r="E219" s="42" t="s">
        <v>44</v>
      </c>
      <c r="F219" s="53" t="s">
        <v>923</v>
      </c>
      <c r="G219" s="53" t="s">
        <v>47</v>
      </c>
      <c r="H219" s="53" t="s">
        <v>95</v>
      </c>
      <c r="I219" s="53" t="s">
        <v>485</v>
      </c>
      <c r="J219" s="53" t="s">
        <v>926</v>
      </c>
      <c r="K219" s="53" t="s">
        <v>927</v>
      </c>
      <c r="L219" s="53" t="s">
        <v>52</v>
      </c>
      <c r="M219" s="53" t="s">
        <v>52</v>
      </c>
      <c r="N219" s="62" t="s">
        <v>931</v>
      </c>
      <c r="O219" s="62" t="s">
        <v>44</v>
      </c>
      <c r="P219" s="62" t="s">
        <v>1450</v>
      </c>
      <c r="Q219" s="309" t="s">
        <v>1451</v>
      </c>
      <c r="R219" s="51" t="s">
        <v>56</v>
      </c>
      <c r="S219" s="51" t="s">
        <v>940</v>
      </c>
      <c r="T219" s="60">
        <v>46296.0</v>
      </c>
      <c r="U219" s="42"/>
      <c r="V219" s="62"/>
      <c r="W219" s="64"/>
      <c r="X219" s="223"/>
      <c r="Y219" s="223"/>
      <c r="Z219" s="223"/>
      <c r="AA219" s="223"/>
    </row>
    <row r="220">
      <c r="A220" s="42">
        <f t="shared" si="1"/>
        <v>219</v>
      </c>
      <c r="B220" s="51" t="s">
        <v>41</v>
      </c>
      <c r="C220" s="53" t="s">
        <v>1453</v>
      </c>
      <c r="D220" s="42" t="s">
        <v>44</v>
      </c>
      <c r="E220" s="42" t="s">
        <v>44</v>
      </c>
      <c r="F220" s="53" t="s">
        <v>923</v>
      </c>
      <c r="G220" s="53" t="s">
        <v>47</v>
      </c>
      <c r="H220" s="53" t="s">
        <v>48</v>
      </c>
      <c r="I220" s="53" t="s">
        <v>485</v>
      </c>
      <c r="J220" s="53" t="s">
        <v>926</v>
      </c>
      <c r="K220" s="53" t="s">
        <v>927</v>
      </c>
      <c r="L220" s="53" t="s">
        <v>52</v>
      </c>
      <c r="M220" s="53" t="s">
        <v>52</v>
      </c>
      <c r="N220" s="62" t="s">
        <v>931</v>
      </c>
      <c r="O220" s="62" t="s">
        <v>44</v>
      </c>
      <c r="P220" s="62" t="s">
        <v>1455</v>
      </c>
      <c r="Q220" s="62" t="s">
        <v>1456</v>
      </c>
      <c r="R220" s="51" t="s">
        <v>56</v>
      </c>
      <c r="S220" s="51" t="s">
        <v>940</v>
      </c>
      <c r="T220" s="60">
        <v>46296.0</v>
      </c>
      <c r="U220" s="42"/>
      <c r="V220" s="62"/>
      <c r="W220" s="64"/>
      <c r="X220" s="223"/>
      <c r="Y220" s="223"/>
      <c r="Z220" s="223"/>
      <c r="AA220" s="223"/>
    </row>
    <row r="221">
      <c r="A221" s="42">
        <f t="shared" si="1"/>
        <v>220</v>
      </c>
      <c r="B221" s="51" t="s">
        <v>41</v>
      </c>
      <c r="C221" s="53" t="s">
        <v>1459</v>
      </c>
      <c r="D221" s="42" t="s">
        <v>44</v>
      </c>
      <c r="E221" s="42" t="s">
        <v>44</v>
      </c>
      <c r="F221" s="53" t="s">
        <v>923</v>
      </c>
      <c r="G221" s="53" t="s">
        <v>47</v>
      </c>
      <c r="H221" s="53" t="s">
        <v>95</v>
      </c>
      <c r="I221" s="53" t="s">
        <v>485</v>
      </c>
      <c r="J221" s="53" t="s">
        <v>926</v>
      </c>
      <c r="K221" s="53" t="s">
        <v>927</v>
      </c>
      <c r="L221" s="53" t="s">
        <v>52</v>
      </c>
      <c r="M221" s="53" t="s">
        <v>52</v>
      </c>
      <c r="N221" s="62" t="s">
        <v>1137</v>
      </c>
      <c r="O221" s="62" t="s">
        <v>44</v>
      </c>
      <c r="P221" s="62" t="s">
        <v>1462</v>
      </c>
      <c r="Q221" s="309" t="s">
        <v>1463</v>
      </c>
      <c r="R221" s="51" t="s">
        <v>72</v>
      </c>
      <c r="S221" s="51" t="s">
        <v>940</v>
      </c>
      <c r="T221" s="60">
        <v>46296.0</v>
      </c>
      <c r="U221" s="42"/>
      <c r="V221" s="309" t="s">
        <v>1467</v>
      </c>
      <c r="W221" s="64"/>
      <c r="X221" s="223"/>
      <c r="Y221" s="223"/>
      <c r="Z221" s="223"/>
      <c r="AA221" s="223"/>
    </row>
    <row r="222">
      <c r="A222" s="42">
        <f t="shared" si="1"/>
        <v>221</v>
      </c>
      <c r="B222" s="51" t="s">
        <v>41</v>
      </c>
      <c r="C222" s="53" t="s">
        <v>1468</v>
      </c>
      <c r="D222" s="42" t="s">
        <v>44</v>
      </c>
      <c r="E222" s="42" t="s">
        <v>44</v>
      </c>
      <c r="F222" s="53" t="s">
        <v>923</v>
      </c>
      <c r="G222" s="53" t="s">
        <v>197</v>
      </c>
      <c r="H222" s="53" t="s">
        <v>198</v>
      </c>
      <c r="I222" s="53" t="s">
        <v>485</v>
      </c>
      <c r="J222" s="53" t="s">
        <v>926</v>
      </c>
      <c r="K222" s="53" t="s">
        <v>927</v>
      </c>
      <c r="L222" s="53" t="s">
        <v>52</v>
      </c>
      <c r="M222" s="53" t="s">
        <v>52</v>
      </c>
      <c r="N222" s="62" t="s">
        <v>1471</v>
      </c>
      <c r="O222" s="62" t="s">
        <v>44</v>
      </c>
      <c r="P222" s="62" t="s">
        <v>1472</v>
      </c>
      <c r="Q222" s="309" t="s">
        <v>1473</v>
      </c>
      <c r="R222" s="51" t="s">
        <v>56</v>
      </c>
      <c r="S222" s="51" t="s">
        <v>940</v>
      </c>
      <c r="T222" s="60">
        <v>46296.0</v>
      </c>
      <c r="U222" s="53"/>
      <c r="V222" s="62"/>
      <c r="W222" s="64"/>
      <c r="X222" s="223"/>
      <c r="Y222" s="223"/>
      <c r="Z222" s="223"/>
      <c r="AA222" s="223"/>
    </row>
    <row r="223">
      <c r="A223" s="42">
        <f t="shared" si="1"/>
        <v>222</v>
      </c>
      <c r="B223" s="51" t="s">
        <v>41</v>
      </c>
      <c r="C223" s="53" t="s">
        <v>1477</v>
      </c>
      <c r="D223" s="42" t="s">
        <v>44</v>
      </c>
      <c r="E223" s="42" t="s">
        <v>44</v>
      </c>
      <c r="F223" s="53" t="s">
        <v>923</v>
      </c>
      <c r="G223" s="53" t="s">
        <v>47</v>
      </c>
      <c r="H223" s="53" t="s">
        <v>48</v>
      </c>
      <c r="I223" s="53" t="s">
        <v>485</v>
      </c>
      <c r="J223" s="53" t="s">
        <v>926</v>
      </c>
      <c r="K223" s="53" t="s">
        <v>927</v>
      </c>
      <c r="L223" s="53" t="s">
        <v>52</v>
      </c>
      <c r="M223" s="53" t="s">
        <v>52</v>
      </c>
      <c r="N223" s="62" t="s">
        <v>931</v>
      </c>
      <c r="O223" s="62" t="s">
        <v>44</v>
      </c>
      <c r="P223" s="62" t="s">
        <v>1480</v>
      </c>
      <c r="Q223" s="62" t="s">
        <v>1481</v>
      </c>
      <c r="R223" s="51" t="s">
        <v>56</v>
      </c>
      <c r="S223" s="51" t="s">
        <v>940</v>
      </c>
      <c r="T223" s="60">
        <v>46296.0</v>
      </c>
      <c r="U223" s="53"/>
      <c r="V223" s="62"/>
      <c r="W223" s="64"/>
      <c r="X223" s="223"/>
      <c r="Y223" s="223"/>
      <c r="Z223" s="223"/>
      <c r="AA223" s="223"/>
    </row>
    <row r="224">
      <c r="A224" s="42">
        <f t="shared" si="1"/>
        <v>223</v>
      </c>
      <c r="B224" s="51" t="s">
        <v>41</v>
      </c>
      <c r="C224" s="53" t="s">
        <v>1485</v>
      </c>
      <c r="D224" s="42" t="s">
        <v>44</v>
      </c>
      <c r="E224" s="42" t="s">
        <v>44</v>
      </c>
      <c r="F224" s="53" t="s">
        <v>923</v>
      </c>
      <c r="G224" s="53" t="s">
        <v>47</v>
      </c>
      <c r="H224" s="53" t="s">
        <v>95</v>
      </c>
      <c r="I224" s="53" t="s">
        <v>485</v>
      </c>
      <c r="J224" s="53" t="s">
        <v>926</v>
      </c>
      <c r="K224" s="53" t="s">
        <v>927</v>
      </c>
      <c r="L224" s="53" t="s">
        <v>52</v>
      </c>
      <c r="M224" s="53" t="s">
        <v>52</v>
      </c>
      <c r="N224" s="62" t="s">
        <v>931</v>
      </c>
      <c r="O224" s="62" t="s">
        <v>44</v>
      </c>
      <c r="P224" s="62" t="s">
        <v>1489</v>
      </c>
      <c r="Q224" s="309" t="s">
        <v>1490</v>
      </c>
      <c r="R224" s="51" t="s">
        <v>56</v>
      </c>
      <c r="S224" s="51" t="s">
        <v>940</v>
      </c>
      <c r="T224" s="60">
        <v>46296.0</v>
      </c>
      <c r="U224" s="53"/>
      <c r="V224" s="62"/>
      <c r="W224" s="64"/>
      <c r="X224" s="223"/>
      <c r="Y224" s="223"/>
      <c r="Z224" s="223"/>
      <c r="AA224" s="223"/>
    </row>
    <row r="225">
      <c r="A225" s="42">
        <f t="shared" si="1"/>
        <v>224</v>
      </c>
      <c r="B225" s="51" t="s">
        <v>41</v>
      </c>
      <c r="C225" s="53" t="s">
        <v>1494</v>
      </c>
      <c r="D225" s="42" t="s">
        <v>44</v>
      </c>
      <c r="E225" s="42" t="s">
        <v>44</v>
      </c>
      <c r="F225" s="53" t="s">
        <v>923</v>
      </c>
      <c r="G225" s="53" t="s">
        <v>47</v>
      </c>
      <c r="H225" s="53" t="s">
        <v>48</v>
      </c>
      <c r="I225" s="53" t="s">
        <v>485</v>
      </c>
      <c r="J225" s="53" t="s">
        <v>926</v>
      </c>
      <c r="K225" s="53" t="s">
        <v>927</v>
      </c>
      <c r="L225" s="53" t="s">
        <v>52</v>
      </c>
      <c r="M225" s="53" t="s">
        <v>52</v>
      </c>
      <c r="N225" s="62" t="s">
        <v>931</v>
      </c>
      <c r="O225" s="62" t="s">
        <v>44</v>
      </c>
      <c r="P225" s="62" t="s">
        <v>1497</v>
      </c>
      <c r="Q225" s="62" t="s">
        <v>1498</v>
      </c>
      <c r="R225" s="51" t="s">
        <v>56</v>
      </c>
      <c r="S225" s="51" t="s">
        <v>940</v>
      </c>
      <c r="T225" s="60">
        <v>46296.0</v>
      </c>
      <c r="U225" s="42"/>
      <c r="V225" s="62"/>
      <c r="W225" s="64"/>
      <c r="X225" s="223"/>
      <c r="Y225" s="223"/>
      <c r="Z225" s="223"/>
      <c r="AA225" s="223"/>
    </row>
    <row r="226">
      <c r="A226" s="42">
        <f t="shared" si="1"/>
        <v>225</v>
      </c>
      <c r="B226" s="51" t="s">
        <v>41</v>
      </c>
      <c r="C226" s="53" t="s">
        <v>1502</v>
      </c>
      <c r="D226" s="42" t="s">
        <v>44</v>
      </c>
      <c r="E226" s="42" t="s">
        <v>44</v>
      </c>
      <c r="F226" s="53" t="s">
        <v>923</v>
      </c>
      <c r="G226" s="53" t="s">
        <v>47</v>
      </c>
      <c r="H226" s="53" t="s">
        <v>95</v>
      </c>
      <c r="I226" s="53" t="s">
        <v>485</v>
      </c>
      <c r="J226" s="53" t="s">
        <v>926</v>
      </c>
      <c r="K226" s="53" t="s">
        <v>927</v>
      </c>
      <c r="L226" s="53" t="s">
        <v>52</v>
      </c>
      <c r="M226" s="53" t="s">
        <v>52</v>
      </c>
      <c r="N226" s="62" t="s">
        <v>1137</v>
      </c>
      <c r="O226" s="62" t="s">
        <v>44</v>
      </c>
      <c r="P226" s="62" t="s">
        <v>1510</v>
      </c>
      <c r="Q226" s="309" t="s">
        <v>1511</v>
      </c>
      <c r="R226" s="51" t="s">
        <v>56</v>
      </c>
      <c r="S226" s="51" t="s">
        <v>940</v>
      </c>
      <c r="T226" s="60">
        <v>46296.0</v>
      </c>
      <c r="U226" s="42"/>
      <c r="V226" s="62"/>
      <c r="W226" s="64"/>
      <c r="X226" s="223"/>
      <c r="Y226" s="223"/>
      <c r="Z226" s="223"/>
      <c r="AA226" s="223"/>
    </row>
    <row r="227">
      <c r="A227" s="42">
        <f t="shared" si="1"/>
        <v>226</v>
      </c>
      <c r="B227" s="51" t="s">
        <v>41</v>
      </c>
      <c r="C227" s="53" t="s">
        <v>1514</v>
      </c>
      <c r="D227" s="42" t="s">
        <v>44</v>
      </c>
      <c r="E227" s="42" t="s">
        <v>44</v>
      </c>
      <c r="F227" s="53" t="s">
        <v>923</v>
      </c>
      <c r="G227" s="53" t="s">
        <v>197</v>
      </c>
      <c r="H227" s="53" t="s">
        <v>198</v>
      </c>
      <c r="I227" s="53" t="s">
        <v>485</v>
      </c>
      <c r="J227" s="53" t="s">
        <v>926</v>
      </c>
      <c r="K227" s="53" t="s">
        <v>927</v>
      </c>
      <c r="L227" s="53" t="s">
        <v>52</v>
      </c>
      <c r="M227" s="53" t="s">
        <v>52</v>
      </c>
      <c r="N227" s="62" t="s">
        <v>1516</v>
      </c>
      <c r="O227" s="62" t="s">
        <v>44</v>
      </c>
      <c r="P227" s="62" t="s">
        <v>1517</v>
      </c>
      <c r="Q227" s="309" t="s">
        <v>1518</v>
      </c>
      <c r="R227" s="51" t="s">
        <v>56</v>
      </c>
      <c r="S227" s="51" t="s">
        <v>940</v>
      </c>
      <c r="T227" s="60">
        <v>46296.0</v>
      </c>
      <c r="U227" s="42"/>
      <c r="V227" s="62"/>
      <c r="W227" s="64"/>
      <c r="X227" s="76"/>
      <c r="Y227" s="76"/>
      <c r="Z227" s="76"/>
      <c r="AA227" s="76"/>
    </row>
    <row r="228">
      <c r="A228" s="42">
        <f t="shared" si="1"/>
        <v>227</v>
      </c>
      <c r="B228" s="51" t="s">
        <v>41</v>
      </c>
      <c r="C228" s="53" t="s">
        <v>1522</v>
      </c>
      <c r="D228" s="42" t="s">
        <v>44</v>
      </c>
      <c r="E228" s="42" t="s">
        <v>44</v>
      </c>
      <c r="F228" s="53" t="s">
        <v>923</v>
      </c>
      <c r="G228" s="53" t="s">
        <v>47</v>
      </c>
      <c r="H228" s="53" t="s">
        <v>48</v>
      </c>
      <c r="I228" s="53" t="s">
        <v>485</v>
      </c>
      <c r="J228" s="53" t="s">
        <v>926</v>
      </c>
      <c r="K228" s="53" t="s">
        <v>927</v>
      </c>
      <c r="L228" s="53" t="s">
        <v>52</v>
      </c>
      <c r="M228" s="53" t="s">
        <v>52</v>
      </c>
      <c r="N228" s="62" t="s">
        <v>931</v>
      </c>
      <c r="O228" s="62" t="s">
        <v>44</v>
      </c>
      <c r="P228" s="62" t="s">
        <v>1525</v>
      </c>
      <c r="Q228" s="62" t="s">
        <v>1527</v>
      </c>
      <c r="R228" s="51" t="s">
        <v>56</v>
      </c>
      <c r="S228" s="51" t="s">
        <v>940</v>
      </c>
      <c r="T228" s="60">
        <v>46297.0</v>
      </c>
      <c r="U228" s="42"/>
      <c r="V228" s="62"/>
      <c r="W228" s="64"/>
      <c r="X228" s="76"/>
      <c r="Y228" s="76"/>
      <c r="Z228" s="76"/>
      <c r="AA228" s="76"/>
    </row>
    <row r="229">
      <c r="A229" s="42">
        <f t="shared" si="1"/>
        <v>228</v>
      </c>
      <c r="B229" s="51" t="s">
        <v>41</v>
      </c>
      <c r="C229" s="53" t="s">
        <v>1530</v>
      </c>
      <c r="D229" s="42" t="s">
        <v>44</v>
      </c>
      <c r="E229" s="42" t="s">
        <v>44</v>
      </c>
      <c r="F229" s="53" t="s">
        <v>923</v>
      </c>
      <c r="G229" s="53" t="s">
        <v>47</v>
      </c>
      <c r="H229" s="53" t="s">
        <v>95</v>
      </c>
      <c r="I229" s="53" t="s">
        <v>485</v>
      </c>
      <c r="J229" s="53" t="s">
        <v>926</v>
      </c>
      <c r="K229" s="53" t="s">
        <v>927</v>
      </c>
      <c r="L229" s="53" t="s">
        <v>52</v>
      </c>
      <c r="M229" s="53" t="s">
        <v>52</v>
      </c>
      <c r="N229" s="62" t="s">
        <v>931</v>
      </c>
      <c r="O229" s="62" t="s">
        <v>44</v>
      </c>
      <c r="P229" s="62" t="s">
        <v>1533</v>
      </c>
      <c r="Q229" s="309" t="s">
        <v>1535</v>
      </c>
      <c r="R229" s="51" t="s">
        <v>56</v>
      </c>
      <c r="S229" s="51" t="s">
        <v>940</v>
      </c>
      <c r="T229" s="60">
        <v>46297.0</v>
      </c>
      <c r="U229" s="42"/>
      <c r="V229" s="62"/>
      <c r="W229" s="64"/>
      <c r="X229" s="76"/>
      <c r="Y229" s="76"/>
      <c r="Z229" s="76"/>
      <c r="AA229" s="76"/>
    </row>
    <row r="230">
      <c r="A230" s="42">
        <f t="shared" si="1"/>
        <v>229</v>
      </c>
      <c r="B230" s="51" t="s">
        <v>41</v>
      </c>
      <c r="C230" s="53" t="s">
        <v>1539</v>
      </c>
      <c r="D230" s="42" t="s">
        <v>44</v>
      </c>
      <c r="E230" s="42" t="s">
        <v>44</v>
      </c>
      <c r="F230" s="53" t="s">
        <v>923</v>
      </c>
      <c r="G230" s="53" t="s">
        <v>111</v>
      </c>
      <c r="H230" s="53" t="s">
        <v>91</v>
      </c>
      <c r="I230" s="53" t="s">
        <v>485</v>
      </c>
      <c r="J230" s="53" t="s">
        <v>926</v>
      </c>
      <c r="K230" s="53" t="s">
        <v>927</v>
      </c>
      <c r="L230" s="53" t="s">
        <v>52</v>
      </c>
      <c r="M230" s="53" t="s">
        <v>52</v>
      </c>
      <c r="N230" s="62" t="s">
        <v>931</v>
      </c>
      <c r="O230" s="62" t="s">
        <v>44</v>
      </c>
      <c r="P230" s="62" t="s">
        <v>1545</v>
      </c>
      <c r="Q230" s="62" t="s">
        <v>1547</v>
      </c>
      <c r="R230" s="51" t="s">
        <v>56</v>
      </c>
      <c r="S230" s="51" t="s">
        <v>940</v>
      </c>
      <c r="T230" s="60">
        <v>46297.0</v>
      </c>
      <c r="U230" s="42"/>
      <c r="V230" s="62"/>
      <c r="W230" s="64"/>
      <c r="X230" s="76"/>
      <c r="Y230" s="76"/>
      <c r="Z230" s="76"/>
      <c r="AA230" s="76"/>
    </row>
    <row r="231">
      <c r="A231" s="42">
        <f t="shared" si="1"/>
        <v>230</v>
      </c>
      <c r="B231" s="51" t="s">
        <v>41</v>
      </c>
      <c r="C231" s="53" t="s">
        <v>1550</v>
      </c>
      <c r="D231" s="42" t="s">
        <v>44</v>
      </c>
      <c r="E231" s="42" t="s">
        <v>44</v>
      </c>
      <c r="F231" s="53" t="s">
        <v>923</v>
      </c>
      <c r="G231" s="53" t="s">
        <v>47</v>
      </c>
      <c r="H231" s="53" t="s">
        <v>48</v>
      </c>
      <c r="I231" s="53" t="s">
        <v>485</v>
      </c>
      <c r="J231" s="53" t="s">
        <v>926</v>
      </c>
      <c r="K231" s="53" t="s">
        <v>927</v>
      </c>
      <c r="L231" s="53" t="s">
        <v>52</v>
      </c>
      <c r="M231" s="53" t="s">
        <v>52</v>
      </c>
      <c r="N231" s="62" t="s">
        <v>1137</v>
      </c>
      <c r="O231" s="62" t="s">
        <v>44</v>
      </c>
      <c r="P231" s="62" t="s">
        <v>1554</v>
      </c>
      <c r="Q231" s="309" t="s">
        <v>1557</v>
      </c>
      <c r="R231" s="51" t="s">
        <v>56</v>
      </c>
      <c r="S231" s="51" t="s">
        <v>940</v>
      </c>
      <c r="T231" s="60">
        <v>46297.0</v>
      </c>
      <c r="U231" s="42"/>
      <c r="V231" s="62"/>
      <c r="W231" s="64"/>
      <c r="X231" s="76"/>
      <c r="Y231" s="76"/>
      <c r="Z231" s="76"/>
      <c r="AA231" s="76"/>
    </row>
    <row r="232">
      <c r="A232" s="42">
        <f t="shared" si="1"/>
        <v>231</v>
      </c>
      <c r="B232" s="51" t="s">
        <v>41</v>
      </c>
      <c r="C232" s="53" t="s">
        <v>1562</v>
      </c>
      <c r="D232" s="42" t="s">
        <v>44</v>
      </c>
      <c r="E232" s="42" t="s">
        <v>44</v>
      </c>
      <c r="F232" s="53" t="s">
        <v>923</v>
      </c>
      <c r="G232" s="53" t="s">
        <v>47</v>
      </c>
      <c r="H232" s="53" t="s">
        <v>48</v>
      </c>
      <c r="I232" s="53" t="s">
        <v>485</v>
      </c>
      <c r="J232" s="53" t="s">
        <v>926</v>
      </c>
      <c r="K232" s="53" t="s">
        <v>927</v>
      </c>
      <c r="L232" s="53" t="s">
        <v>52</v>
      </c>
      <c r="M232" s="53" t="s">
        <v>52</v>
      </c>
      <c r="N232" s="62" t="s">
        <v>1137</v>
      </c>
      <c r="O232" s="62" t="s">
        <v>44</v>
      </c>
      <c r="P232" s="62" t="s">
        <v>1565</v>
      </c>
      <c r="Q232" s="309" t="s">
        <v>1566</v>
      </c>
      <c r="R232" s="51" t="s">
        <v>56</v>
      </c>
      <c r="S232" s="51" t="s">
        <v>940</v>
      </c>
      <c r="T232" s="60">
        <v>46297.0</v>
      </c>
      <c r="U232" s="42"/>
      <c r="V232" s="62"/>
      <c r="W232" s="64"/>
      <c r="X232" s="76"/>
      <c r="Y232" s="76"/>
      <c r="Z232" s="76"/>
      <c r="AA232" s="76"/>
    </row>
    <row r="233">
      <c r="A233" s="42">
        <f t="shared" si="1"/>
        <v>232</v>
      </c>
      <c r="B233" s="51" t="s">
        <v>41</v>
      </c>
      <c r="C233" s="53" t="s">
        <v>1569</v>
      </c>
      <c r="D233" s="42" t="s">
        <v>44</v>
      </c>
      <c r="E233" s="42" t="s">
        <v>44</v>
      </c>
      <c r="F233" s="53" t="s">
        <v>923</v>
      </c>
      <c r="G233" s="53" t="s">
        <v>47</v>
      </c>
      <c r="H233" s="53" t="s">
        <v>95</v>
      </c>
      <c r="I233" s="53" t="s">
        <v>485</v>
      </c>
      <c r="J233" s="53" t="s">
        <v>926</v>
      </c>
      <c r="K233" s="53" t="s">
        <v>927</v>
      </c>
      <c r="L233" s="53" t="s">
        <v>52</v>
      </c>
      <c r="M233" s="53" t="s">
        <v>52</v>
      </c>
      <c r="N233" s="62" t="s">
        <v>1573</v>
      </c>
      <c r="O233" s="62" t="s">
        <v>44</v>
      </c>
      <c r="P233" s="62" t="s">
        <v>1574</v>
      </c>
      <c r="Q233" s="309" t="s">
        <v>1575</v>
      </c>
      <c r="R233" s="51" t="s">
        <v>56</v>
      </c>
      <c r="S233" s="51" t="s">
        <v>940</v>
      </c>
      <c r="T233" s="60">
        <v>46297.0</v>
      </c>
      <c r="U233" s="42"/>
      <c r="V233" s="62"/>
      <c r="W233" s="64"/>
      <c r="X233" s="76"/>
      <c r="Y233" s="76"/>
      <c r="Z233" s="76"/>
      <c r="AA233" s="76"/>
    </row>
    <row r="234">
      <c r="A234" s="42">
        <f t="shared" si="1"/>
        <v>233</v>
      </c>
      <c r="B234" s="51" t="s">
        <v>41</v>
      </c>
      <c r="C234" s="53" t="s">
        <v>1580</v>
      </c>
      <c r="D234" s="42" t="s">
        <v>44</v>
      </c>
      <c r="E234" s="42" t="s">
        <v>44</v>
      </c>
      <c r="F234" s="53" t="s">
        <v>923</v>
      </c>
      <c r="G234" s="53" t="s">
        <v>85</v>
      </c>
      <c r="H234" s="53" t="s">
        <v>86</v>
      </c>
      <c r="I234" s="53" t="s">
        <v>485</v>
      </c>
      <c r="J234" s="53" t="s">
        <v>926</v>
      </c>
      <c r="K234" s="53" t="s">
        <v>927</v>
      </c>
      <c r="L234" s="53" t="s">
        <v>52</v>
      </c>
      <c r="M234" s="53" t="s">
        <v>52</v>
      </c>
      <c r="N234" s="62" t="s">
        <v>1582</v>
      </c>
      <c r="O234" s="62" t="s">
        <v>44</v>
      </c>
      <c r="P234" s="62" t="s">
        <v>1583</v>
      </c>
      <c r="Q234" s="309" t="s">
        <v>1584</v>
      </c>
      <c r="R234" s="51" t="s">
        <v>56</v>
      </c>
      <c r="S234" s="51" t="s">
        <v>940</v>
      </c>
      <c r="T234" s="60">
        <v>46297.0</v>
      </c>
      <c r="U234" s="42"/>
      <c r="V234" s="62"/>
      <c r="W234" s="64"/>
      <c r="X234" s="76"/>
      <c r="Y234" s="76"/>
      <c r="Z234" s="76"/>
      <c r="AA234" s="76"/>
    </row>
    <row r="235">
      <c r="A235" s="42">
        <f t="shared" si="1"/>
        <v>234</v>
      </c>
      <c r="B235" s="51" t="s">
        <v>41</v>
      </c>
      <c r="C235" s="53" t="s">
        <v>1588</v>
      </c>
      <c r="D235" s="42" t="s">
        <v>44</v>
      </c>
      <c r="E235" s="42" t="s">
        <v>44</v>
      </c>
      <c r="F235" s="53" t="s">
        <v>923</v>
      </c>
      <c r="G235" s="53" t="s">
        <v>47</v>
      </c>
      <c r="H235" s="53" t="s">
        <v>48</v>
      </c>
      <c r="I235" s="53" t="s">
        <v>485</v>
      </c>
      <c r="J235" s="53" t="s">
        <v>926</v>
      </c>
      <c r="K235" s="53" t="s">
        <v>927</v>
      </c>
      <c r="L235" s="53" t="s">
        <v>52</v>
      </c>
      <c r="M235" s="53" t="s">
        <v>52</v>
      </c>
      <c r="N235" s="62" t="s">
        <v>1137</v>
      </c>
      <c r="O235" s="62" t="s">
        <v>44</v>
      </c>
      <c r="P235" s="62" t="s">
        <v>1592</v>
      </c>
      <c r="Q235" s="309" t="s">
        <v>1593</v>
      </c>
      <c r="R235" s="51" t="s">
        <v>56</v>
      </c>
      <c r="S235" s="51" t="s">
        <v>940</v>
      </c>
      <c r="T235" s="60">
        <v>46297.0</v>
      </c>
      <c r="U235" s="42"/>
      <c r="V235" s="62"/>
      <c r="W235" s="64"/>
      <c r="X235" s="76"/>
      <c r="Y235" s="76"/>
      <c r="Z235" s="76"/>
      <c r="AA235" s="76"/>
    </row>
    <row r="236">
      <c r="A236" s="42">
        <f t="shared" si="1"/>
        <v>235</v>
      </c>
      <c r="B236" s="51" t="s">
        <v>41</v>
      </c>
      <c r="C236" s="53" t="s">
        <v>1597</v>
      </c>
      <c r="D236" s="42" t="s">
        <v>44</v>
      </c>
      <c r="E236" s="42" t="s">
        <v>44</v>
      </c>
      <c r="F236" s="53" t="s">
        <v>923</v>
      </c>
      <c r="G236" s="53" t="s">
        <v>47</v>
      </c>
      <c r="H236" s="53" t="s">
        <v>95</v>
      </c>
      <c r="I236" s="53" t="s">
        <v>485</v>
      </c>
      <c r="J236" s="53" t="s">
        <v>926</v>
      </c>
      <c r="K236" s="53" t="s">
        <v>927</v>
      </c>
      <c r="L236" s="53" t="s">
        <v>52</v>
      </c>
      <c r="M236" s="53" t="s">
        <v>52</v>
      </c>
      <c r="N236" s="62" t="s">
        <v>1137</v>
      </c>
      <c r="O236" s="62" t="s">
        <v>44</v>
      </c>
      <c r="P236" s="62" t="s">
        <v>1601</v>
      </c>
      <c r="Q236" s="309" t="s">
        <v>1602</v>
      </c>
      <c r="R236" s="51" t="s">
        <v>56</v>
      </c>
      <c r="S236" s="51" t="s">
        <v>940</v>
      </c>
      <c r="T236" s="60">
        <v>46297.0</v>
      </c>
      <c r="U236" s="42"/>
      <c r="V236" s="62"/>
      <c r="W236" s="64"/>
      <c r="X236" s="76"/>
      <c r="Y236" s="76"/>
      <c r="Z236" s="76"/>
      <c r="AA236" s="76"/>
    </row>
    <row r="237">
      <c r="A237" s="42">
        <f t="shared" si="1"/>
        <v>236</v>
      </c>
      <c r="B237" s="51" t="s">
        <v>41</v>
      </c>
      <c r="C237" s="53" t="s">
        <v>1604</v>
      </c>
      <c r="D237" s="42" t="s">
        <v>44</v>
      </c>
      <c r="E237" s="42" t="s">
        <v>44</v>
      </c>
      <c r="F237" s="53" t="s">
        <v>923</v>
      </c>
      <c r="G237" s="53" t="s">
        <v>47</v>
      </c>
      <c r="H237" s="53" t="s">
        <v>95</v>
      </c>
      <c r="I237" s="53" t="s">
        <v>485</v>
      </c>
      <c r="J237" s="53" t="s">
        <v>926</v>
      </c>
      <c r="K237" s="53" t="s">
        <v>927</v>
      </c>
      <c r="L237" s="53" t="s">
        <v>52</v>
      </c>
      <c r="M237" s="53" t="s">
        <v>52</v>
      </c>
      <c r="N237" s="62" t="s">
        <v>1606</v>
      </c>
      <c r="O237" s="62" t="s">
        <v>44</v>
      </c>
      <c r="P237" s="62" t="s">
        <v>1608</v>
      </c>
      <c r="Q237" s="309" t="s">
        <v>1609</v>
      </c>
      <c r="R237" s="51" t="s">
        <v>56</v>
      </c>
      <c r="S237" s="51" t="s">
        <v>940</v>
      </c>
      <c r="T237" s="60">
        <v>46297.0</v>
      </c>
      <c r="U237" s="42"/>
      <c r="V237" s="62"/>
      <c r="W237" s="64"/>
      <c r="X237" s="76"/>
      <c r="Y237" s="76"/>
      <c r="Z237" s="76"/>
      <c r="AA237" s="76"/>
    </row>
    <row r="238">
      <c r="A238" s="42">
        <f t="shared" si="1"/>
        <v>237</v>
      </c>
      <c r="B238" s="51" t="s">
        <v>41</v>
      </c>
      <c r="C238" s="53" t="s">
        <v>1610</v>
      </c>
      <c r="D238" s="42" t="s">
        <v>44</v>
      </c>
      <c r="E238" s="42" t="s">
        <v>44</v>
      </c>
      <c r="F238" s="53" t="s">
        <v>1612</v>
      </c>
      <c r="G238" s="53" t="s">
        <v>47</v>
      </c>
      <c r="H238" s="53" t="s">
        <v>48</v>
      </c>
      <c r="I238" s="53" t="s">
        <v>485</v>
      </c>
      <c r="J238" s="53" t="s">
        <v>1614</v>
      </c>
      <c r="K238" s="53" t="s">
        <v>1615</v>
      </c>
      <c r="L238" s="53" t="s">
        <v>52</v>
      </c>
      <c r="M238" s="53" t="s">
        <v>52</v>
      </c>
      <c r="N238" s="62" t="s">
        <v>1616</v>
      </c>
      <c r="O238" s="62" t="s">
        <v>44</v>
      </c>
      <c r="P238" s="62" t="s">
        <v>934</v>
      </c>
      <c r="Q238" s="62" t="s">
        <v>1617</v>
      </c>
      <c r="R238" s="51" t="s">
        <v>56</v>
      </c>
      <c r="S238" s="51" t="s">
        <v>1618</v>
      </c>
      <c r="T238" s="60">
        <v>46297.0</v>
      </c>
      <c r="U238" s="311" t="s">
        <v>1619</v>
      </c>
      <c r="V238" s="312" t="s">
        <v>1632</v>
      </c>
      <c r="W238" s="64"/>
      <c r="X238" s="76"/>
      <c r="Y238" s="76"/>
      <c r="Z238" s="76"/>
      <c r="AA238" s="76"/>
    </row>
    <row r="239">
      <c r="A239" s="42">
        <f t="shared" si="1"/>
        <v>238</v>
      </c>
      <c r="B239" s="51" t="s">
        <v>41</v>
      </c>
      <c r="C239" s="53" t="s">
        <v>1635</v>
      </c>
      <c r="D239" s="42" t="s">
        <v>44</v>
      </c>
      <c r="E239" s="42" t="s">
        <v>44</v>
      </c>
      <c r="F239" s="53" t="s">
        <v>1612</v>
      </c>
      <c r="G239" s="53" t="s">
        <v>47</v>
      </c>
      <c r="H239" s="53" t="s">
        <v>48</v>
      </c>
      <c r="I239" s="53" t="s">
        <v>485</v>
      </c>
      <c r="J239" s="53" t="s">
        <v>1614</v>
      </c>
      <c r="K239" s="53" t="s">
        <v>1615</v>
      </c>
      <c r="L239" s="53" t="s">
        <v>52</v>
      </c>
      <c r="M239" s="53" t="s">
        <v>52</v>
      </c>
      <c r="N239" s="62" t="s">
        <v>1616</v>
      </c>
      <c r="O239" s="62" t="s">
        <v>44</v>
      </c>
      <c r="P239" s="62" t="s">
        <v>1637</v>
      </c>
      <c r="Q239" s="62" t="s">
        <v>1638</v>
      </c>
      <c r="R239" s="51" t="s">
        <v>56</v>
      </c>
      <c r="S239" s="51" t="s">
        <v>1618</v>
      </c>
      <c r="T239" s="60">
        <v>46296.0</v>
      </c>
      <c r="U239" s="42"/>
      <c r="V239" s="62"/>
      <c r="W239" s="64"/>
      <c r="X239" s="76"/>
      <c r="Y239" s="76"/>
      <c r="Z239" s="76"/>
      <c r="AA239" s="76"/>
    </row>
    <row r="240">
      <c r="A240" s="42">
        <f t="shared" si="1"/>
        <v>239</v>
      </c>
      <c r="B240" s="51" t="s">
        <v>41</v>
      </c>
      <c r="C240" s="53" t="s">
        <v>1640</v>
      </c>
      <c r="D240" s="42" t="s">
        <v>44</v>
      </c>
      <c r="E240" s="42" t="s">
        <v>44</v>
      </c>
      <c r="F240" s="53" t="s">
        <v>1612</v>
      </c>
      <c r="G240" s="53" t="s">
        <v>47</v>
      </c>
      <c r="H240" s="53" t="s">
        <v>48</v>
      </c>
      <c r="I240" s="53" t="s">
        <v>485</v>
      </c>
      <c r="J240" s="53" t="s">
        <v>1614</v>
      </c>
      <c r="K240" s="53" t="s">
        <v>1615</v>
      </c>
      <c r="L240" s="53" t="s">
        <v>52</v>
      </c>
      <c r="M240" s="53" t="s">
        <v>52</v>
      </c>
      <c r="N240" s="62" t="s">
        <v>1616</v>
      </c>
      <c r="O240" s="62" t="s">
        <v>44</v>
      </c>
      <c r="P240" s="62" t="s">
        <v>996</v>
      </c>
      <c r="Q240" s="62" t="s">
        <v>997</v>
      </c>
      <c r="R240" s="51" t="s">
        <v>56</v>
      </c>
      <c r="S240" s="51" t="s">
        <v>1618</v>
      </c>
      <c r="T240" s="60">
        <v>46296.0</v>
      </c>
      <c r="U240" s="42"/>
      <c r="V240" s="62"/>
      <c r="W240" s="64"/>
      <c r="X240" s="76"/>
      <c r="Y240" s="76"/>
      <c r="Z240" s="76"/>
      <c r="AA240" s="76"/>
    </row>
    <row r="241">
      <c r="A241" s="42">
        <f t="shared" si="1"/>
        <v>240</v>
      </c>
      <c r="B241" s="51" t="s">
        <v>41</v>
      </c>
      <c r="C241" s="53" t="s">
        <v>1642</v>
      </c>
      <c r="D241" s="42" t="s">
        <v>44</v>
      </c>
      <c r="E241" s="42" t="s">
        <v>44</v>
      </c>
      <c r="F241" s="53" t="s">
        <v>1612</v>
      </c>
      <c r="G241" s="53" t="s">
        <v>47</v>
      </c>
      <c r="H241" s="53" t="s">
        <v>48</v>
      </c>
      <c r="I241" s="53" t="s">
        <v>485</v>
      </c>
      <c r="J241" s="53" t="s">
        <v>1614</v>
      </c>
      <c r="K241" s="53" t="s">
        <v>1615</v>
      </c>
      <c r="L241" s="53" t="s">
        <v>52</v>
      </c>
      <c r="M241" s="53" t="s">
        <v>52</v>
      </c>
      <c r="N241" s="62" t="s">
        <v>1616</v>
      </c>
      <c r="O241" s="62" t="s">
        <v>44</v>
      </c>
      <c r="P241" s="62" t="s">
        <v>1002</v>
      </c>
      <c r="Q241" s="309" t="s">
        <v>1003</v>
      </c>
      <c r="R241" s="51" t="s">
        <v>56</v>
      </c>
      <c r="S241" s="51" t="s">
        <v>1618</v>
      </c>
      <c r="T241" s="60">
        <v>46296.0</v>
      </c>
      <c r="U241" s="42"/>
      <c r="V241" s="62"/>
      <c r="W241" s="64"/>
      <c r="X241" s="76"/>
      <c r="Y241" s="76"/>
      <c r="Z241" s="76"/>
      <c r="AA241" s="76"/>
    </row>
    <row r="242">
      <c r="A242" s="42">
        <f t="shared" si="1"/>
        <v>241</v>
      </c>
      <c r="B242" s="51" t="s">
        <v>41</v>
      </c>
      <c r="C242" s="53" t="s">
        <v>1645</v>
      </c>
      <c r="D242" s="42" t="s">
        <v>44</v>
      </c>
      <c r="E242" s="42" t="s">
        <v>44</v>
      </c>
      <c r="F242" s="53" t="s">
        <v>1612</v>
      </c>
      <c r="G242" s="53" t="s">
        <v>47</v>
      </c>
      <c r="H242" s="53" t="s">
        <v>48</v>
      </c>
      <c r="I242" s="53" t="s">
        <v>485</v>
      </c>
      <c r="J242" s="53" t="s">
        <v>1614</v>
      </c>
      <c r="K242" s="53" t="s">
        <v>1615</v>
      </c>
      <c r="L242" s="53" t="s">
        <v>52</v>
      </c>
      <c r="M242" s="53" t="s">
        <v>52</v>
      </c>
      <c r="N242" s="62" t="s">
        <v>1616</v>
      </c>
      <c r="O242" s="62" t="s">
        <v>44</v>
      </c>
      <c r="P242" s="62" t="s">
        <v>1647</v>
      </c>
      <c r="Q242" s="309" t="s">
        <v>1648</v>
      </c>
      <c r="R242" s="51" t="s">
        <v>56</v>
      </c>
      <c r="S242" s="51" t="s">
        <v>1618</v>
      </c>
      <c r="T242" s="60">
        <v>46296.0</v>
      </c>
      <c r="U242" s="42"/>
      <c r="V242" s="62"/>
      <c r="W242" s="64"/>
      <c r="X242" s="76"/>
      <c r="Y242" s="76"/>
      <c r="Z242" s="76"/>
      <c r="AA242" s="76"/>
    </row>
    <row r="243">
      <c r="A243" s="42">
        <f t="shared" si="1"/>
        <v>242</v>
      </c>
      <c r="B243" s="51" t="s">
        <v>41</v>
      </c>
      <c r="C243" s="53" t="s">
        <v>1652</v>
      </c>
      <c r="D243" s="42" t="s">
        <v>44</v>
      </c>
      <c r="E243" s="42" t="s">
        <v>44</v>
      </c>
      <c r="F243" s="53" t="s">
        <v>1612</v>
      </c>
      <c r="G243" s="53" t="s">
        <v>47</v>
      </c>
      <c r="H243" s="53" t="s">
        <v>48</v>
      </c>
      <c r="I243" s="53" t="s">
        <v>485</v>
      </c>
      <c r="J243" s="53" t="s">
        <v>1614</v>
      </c>
      <c r="K243" s="53" t="s">
        <v>1615</v>
      </c>
      <c r="L243" s="53" t="s">
        <v>52</v>
      </c>
      <c r="M243" s="53" t="s">
        <v>52</v>
      </c>
      <c r="N243" s="62" t="s">
        <v>1616</v>
      </c>
      <c r="O243" s="62" t="s">
        <v>44</v>
      </c>
      <c r="P243" s="62" t="s">
        <v>1654</v>
      </c>
      <c r="Q243" s="309" t="s">
        <v>1655</v>
      </c>
      <c r="R243" s="51" t="s">
        <v>56</v>
      </c>
      <c r="S243" s="51" t="s">
        <v>1618</v>
      </c>
      <c r="T243" s="60">
        <v>46296.0</v>
      </c>
      <c r="U243" s="53"/>
      <c r="V243" s="62"/>
      <c r="W243" s="64"/>
      <c r="X243" s="76"/>
      <c r="Y243" s="76"/>
      <c r="Z243" s="76"/>
      <c r="AA243" s="76"/>
    </row>
    <row r="244">
      <c r="A244" s="42">
        <f t="shared" si="1"/>
        <v>243</v>
      </c>
      <c r="B244" s="51" t="s">
        <v>41</v>
      </c>
      <c r="C244" s="53" t="s">
        <v>1657</v>
      </c>
      <c r="D244" s="42" t="s">
        <v>44</v>
      </c>
      <c r="E244" s="42" t="s">
        <v>44</v>
      </c>
      <c r="F244" s="53" t="s">
        <v>1612</v>
      </c>
      <c r="G244" s="53" t="s">
        <v>197</v>
      </c>
      <c r="H244" s="53" t="s">
        <v>112</v>
      </c>
      <c r="I244" s="53" t="s">
        <v>485</v>
      </c>
      <c r="J244" s="53" t="s">
        <v>1614</v>
      </c>
      <c r="K244" s="53" t="s">
        <v>1615</v>
      </c>
      <c r="L244" s="53" t="s">
        <v>52</v>
      </c>
      <c r="M244" s="53" t="s">
        <v>52</v>
      </c>
      <c r="N244" s="62" t="s">
        <v>1660</v>
      </c>
      <c r="O244" s="62" t="s">
        <v>44</v>
      </c>
      <c r="P244" s="62" t="s">
        <v>1661</v>
      </c>
      <c r="Q244" s="62" t="s">
        <v>1662</v>
      </c>
      <c r="R244" s="51" t="s">
        <v>56</v>
      </c>
      <c r="S244" s="51" t="s">
        <v>1618</v>
      </c>
      <c r="T244" s="60">
        <v>46296.0</v>
      </c>
      <c r="U244" s="42"/>
      <c r="V244" s="62"/>
      <c r="W244" s="64"/>
      <c r="X244" s="76"/>
      <c r="Y244" s="76"/>
      <c r="Z244" s="76"/>
      <c r="AA244" s="76"/>
    </row>
    <row r="245">
      <c r="A245" s="42">
        <f t="shared" si="1"/>
        <v>244</v>
      </c>
      <c r="B245" s="51" t="s">
        <v>41</v>
      </c>
      <c r="C245" s="53" t="s">
        <v>1664</v>
      </c>
      <c r="D245" s="42" t="s">
        <v>44</v>
      </c>
      <c r="E245" s="42" t="s">
        <v>44</v>
      </c>
      <c r="F245" s="53" t="s">
        <v>1612</v>
      </c>
      <c r="G245" s="53" t="s">
        <v>111</v>
      </c>
      <c r="H245" s="53" t="s">
        <v>91</v>
      </c>
      <c r="I245" s="53" t="s">
        <v>485</v>
      </c>
      <c r="J245" s="53" t="s">
        <v>1614</v>
      </c>
      <c r="K245" s="53" t="s">
        <v>1615</v>
      </c>
      <c r="L245" s="53" t="s">
        <v>52</v>
      </c>
      <c r="M245" s="53" t="s">
        <v>52</v>
      </c>
      <c r="N245" s="62" t="s">
        <v>1667</v>
      </c>
      <c r="O245" s="62" t="s">
        <v>44</v>
      </c>
      <c r="P245" s="62" t="s">
        <v>1668</v>
      </c>
      <c r="Q245" s="62" t="s">
        <v>1547</v>
      </c>
      <c r="R245" s="51" t="s">
        <v>56</v>
      </c>
      <c r="S245" s="51" t="s">
        <v>1618</v>
      </c>
      <c r="T245" s="60">
        <v>46296.0</v>
      </c>
      <c r="U245" s="42"/>
      <c r="V245" s="62"/>
      <c r="W245" s="64"/>
      <c r="X245" s="76"/>
      <c r="Y245" s="76"/>
      <c r="Z245" s="76"/>
      <c r="AA245" s="76"/>
    </row>
    <row r="246">
      <c r="A246" s="42">
        <f t="shared" si="1"/>
        <v>245</v>
      </c>
      <c r="B246" s="51" t="s">
        <v>41</v>
      </c>
      <c r="C246" s="53" t="s">
        <v>1675</v>
      </c>
      <c r="D246" s="42" t="s">
        <v>44</v>
      </c>
      <c r="E246" s="42" t="s">
        <v>44</v>
      </c>
      <c r="F246" s="53" t="s">
        <v>1612</v>
      </c>
      <c r="G246" s="53" t="s">
        <v>111</v>
      </c>
      <c r="H246" s="53" t="s">
        <v>91</v>
      </c>
      <c r="I246" s="53" t="s">
        <v>485</v>
      </c>
      <c r="J246" s="53" t="s">
        <v>1614</v>
      </c>
      <c r="K246" s="53" t="s">
        <v>1615</v>
      </c>
      <c r="L246" s="53" t="s">
        <v>52</v>
      </c>
      <c r="M246" s="53" t="s">
        <v>52</v>
      </c>
      <c r="N246" s="62" t="s">
        <v>1676</v>
      </c>
      <c r="O246" s="62" t="s">
        <v>44</v>
      </c>
      <c r="P246" s="62" t="s">
        <v>1678</v>
      </c>
      <c r="Q246" s="62" t="s">
        <v>1547</v>
      </c>
      <c r="R246" s="51" t="s">
        <v>56</v>
      </c>
      <c r="S246" s="51" t="s">
        <v>1618</v>
      </c>
      <c r="T246" s="60">
        <v>46296.0</v>
      </c>
      <c r="U246" s="42"/>
      <c r="V246" s="62"/>
      <c r="W246" s="64"/>
      <c r="X246" s="76"/>
      <c r="Y246" s="76"/>
      <c r="Z246" s="76"/>
      <c r="AA246" s="76"/>
    </row>
    <row r="247">
      <c r="A247" s="42">
        <f t="shared" si="1"/>
        <v>246</v>
      </c>
      <c r="B247" s="51" t="s">
        <v>41</v>
      </c>
      <c r="C247" s="53" t="s">
        <v>1682</v>
      </c>
      <c r="D247" s="42" t="s">
        <v>44</v>
      </c>
      <c r="E247" s="42" t="s">
        <v>44</v>
      </c>
      <c r="F247" s="53" t="s">
        <v>1612</v>
      </c>
      <c r="G247" s="53" t="s">
        <v>47</v>
      </c>
      <c r="H247" s="53" t="s">
        <v>48</v>
      </c>
      <c r="I247" s="53" t="s">
        <v>485</v>
      </c>
      <c r="J247" s="53" t="s">
        <v>1614</v>
      </c>
      <c r="K247" s="53" t="s">
        <v>1615</v>
      </c>
      <c r="L247" s="53" t="s">
        <v>52</v>
      </c>
      <c r="M247" s="53" t="s">
        <v>52</v>
      </c>
      <c r="N247" s="62" t="s">
        <v>1616</v>
      </c>
      <c r="O247" s="62" t="s">
        <v>44</v>
      </c>
      <c r="P247" s="62" t="s">
        <v>1685</v>
      </c>
      <c r="Q247" s="62" t="s">
        <v>1686</v>
      </c>
      <c r="R247" s="51" t="s">
        <v>56</v>
      </c>
      <c r="S247" s="51" t="s">
        <v>1618</v>
      </c>
      <c r="T247" s="60">
        <v>46296.0</v>
      </c>
      <c r="U247" s="53"/>
      <c r="V247" s="62"/>
      <c r="W247" s="64"/>
      <c r="X247" s="76"/>
      <c r="Y247" s="76"/>
      <c r="Z247" s="76"/>
      <c r="AA247" s="76"/>
    </row>
    <row r="248">
      <c r="A248" s="42">
        <f t="shared" si="1"/>
        <v>247</v>
      </c>
      <c r="B248" s="51" t="s">
        <v>41</v>
      </c>
      <c r="C248" s="53" t="s">
        <v>1691</v>
      </c>
      <c r="D248" s="42" t="s">
        <v>44</v>
      </c>
      <c r="E248" s="42" t="s">
        <v>44</v>
      </c>
      <c r="F248" s="53" t="s">
        <v>1612</v>
      </c>
      <c r="G248" s="53" t="s">
        <v>47</v>
      </c>
      <c r="H248" s="53" t="s">
        <v>95</v>
      </c>
      <c r="I248" s="53" t="s">
        <v>485</v>
      </c>
      <c r="J248" s="53" t="s">
        <v>1614</v>
      </c>
      <c r="K248" s="53" t="s">
        <v>1615</v>
      </c>
      <c r="L248" s="53" t="s">
        <v>52</v>
      </c>
      <c r="M248" s="53" t="s">
        <v>52</v>
      </c>
      <c r="N248" s="62" t="s">
        <v>1692</v>
      </c>
      <c r="O248" s="62" t="s">
        <v>44</v>
      </c>
      <c r="P248" s="62" t="s">
        <v>1693</v>
      </c>
      <c r="Q248" s="309" t="s">
        <v>1694</v>
      </c>
      <c r="R248" s="51" t="s">
        <v>56</v>
      </c>
      <c r="S248" s="51" t="s">
        <v>1618</v>
      </c>
      <c r="T248" s="60">
        <v>46296.0</v>
      </c>
      <c r="U248" s="53"/>
      <c r="V248" s="62"/>
      <c r="W248" s="64"/>
      <c r="X248" s="76"/>
      <c r="Y248" s="76"/>
      <c r="Z248" s="76"/>
      <c r="AA248" s="76"/>
    </row>
    <row r="249">
      <c r="A249" s="42">
        <f t="shared" si="1"/>
        <v>248</v>
      </c>
      <c r="B249" s="51" t="s">
        <v>41</v>
      </c>
      <c r="C249" s="53" t="s">
        <v>1696</v>
      </c>
      <c r="D249" s="42" t="s">
        <v>44</v>
      </c>
      <c r="E249" s="42" t="s">
        <v>44</v>
      </c>
      <c r="F249" s="53" t="s">
        <v>1612</v>
      </c>
      <c r="G249" s="53" t="s">
        <v>47</v>
      </c>
      <c r="H249" s="53" t="s">
        <v>48</v>
      </c>
      <c r="I249" s="53" t="s">
        <v>485</v>
      </c>
      <c r="J249" s="53" t="s">
        <v>1614</v>
      </c>
      <c r="K249" s="53" t="s">
        <v>1615</v>
      </c>
      <c r="L249" s="53" t="s">
        <v>52</v>
      </c>
      <c r="M249" s="53" t="s">
        <v>52</v>
      </c>
      <c r="N249" s="62" t="s">
        <v>1697</v>
      </c>
      <c r="O249" s="62" t="s">
        <v>44</v>
      </c>
      <c r="P249" s="62" t="s">
        <v>1699</v>
      </c>
      <c r="Q249" s="62" t="s">
        <v>1700</v>
      </c>
      <c r="R249" s="51" t="s">
        <v>56</v>
      </c>
      <c r="S249" s="51" t="s">
        <v>1618</v>
      </c>
      <c r="T249" s="60">
        <v>46296.0</v>
      </c>
      <c r="U249" s="53"/>
      <c r="V249" s="62"/>
      <c r="W249" s="64"/>
      <c r="X249" s="76"/>
      <c r="Y249" s="76"/>
      <c r="Z249" s="76"/>
      <c r="AA249" s="76"/>
    </row>
    <row r="250">
      <c r="A250" s="42">
        <f t="shared" si="1"/>
        <v>249</v>
      </c>
      <c r="B250" s="51" t="s">
        <v>41</v>
      </c>
      <c r="C250" s="53" t="s">
        <v>1702</v>
      </c>
      <c r="D250" s="42" t="s">
        <v>44</v>
      </c>
      <c r="E250" s="42" t="s">
        <v>44</v>
      </c>
      <c r="F250" s="53" t="s">
        <v>1612</v>
      </c>
      <c r="G250" s="53" t="s">
        <v>47</v>
      </c>
      <c r="H250" s="53" t="s">
        <v>95</v>
      </c>
      <c r="I250" s="53" t="s">
        <v>485</v>
      </c>
      <c r="J250" s="53" t="s">
        <v>1614</v>
      </c>
      <c r="K250" s="53" t="s">
        <v>1615</v>
      </c>
      <c r="L250" s="53" t="s">
        <v>52</v>
      </c>
      <c r="M250" s="53" t="s">
        <v>52</v>
      </c>
      <c r="N250" s="62" t="s">
        <v>1697</v>
      </c>
      <c r="O250" s="62" t="s">
        <v>44</v>
      </c>
      <c r="P250" s="62" t="s">
        <v>1705</v>
      </c>
      <c r="Q250" s="62" t="s">
        <v>1706</v>
      </c>
      <c r="R250" s="51" t="s">
        <v>56</v>
      </c>
      <c r="S250" s="51" t="s">
        <v>1618</v>
      </c>
      <c r="T250" s="60">
        <v>46296.0</v>
      </c>
      <c r="U250" s="53"/>
      <c r="V250" s="62"/>
      <c r="W250" s="64"/>
      <c r="X250" s="76"/>
      <c r="Y250" s="76"/>
      <c r="Z250" s="76"/>
      <c r="AA250" s="76"/>
    </row>
    <row r="251">
      <c r="A251" s="42">
        <f t="shared" si="1"/>
        <v>250</v>
      </c>
      <c r="B251" s="51" t="s">
        <v>41</v>
      </c>
      <c r="C251" s="53" t="s">
        <v>1709</v>
      </c>
      <c r="D251" s="42" t="s">
        <v>44</v>
      </c>
      <c r="E251" s="42" t="s">
        <v>44</v>
      </c>
      <c r="F251" s="53" t="s">
        <v>1612</v>
      </c>
      <c r="G251" s="53" t="s">
        <v>47</v>
      </c>
      <c r="H251" s="53" t="s">
        <v>95</v>
      </c>
      <c r="I251" s="53" t="s">
        <v>485</v>
      </c>
      <c r="J251" s="53" t="s">
        <v>1614</v>
      </c>
      <c r="K251" s="53" t="s">
        <v>1615</v>
      </c>
      <c r="L251" s="53" t="s">
        <v>52</v>
      </c>
      <c r="M251" s="53" t="s">
        <v>52</v>
      </c>
      <c r="N251" s="62" t="s">
        <v>1711</v>
      </c>
      <c r="O251" s="62" t="s">
        <v>44</v>
      </c>
      <c r="P251" s="62" t="s">
        <v>1712</v>
      </c>
      <c r="Q251" s="309" t="s">
        <v>1713</v>
      </c>
      <c r="R251" s="51" t="s">
        <v>56</v>
      </c>
      <c r="S251" s="51" t="s">
        <v>1618</v>
      </c>
      <c r="T251" s="60">
        <v>46296.0</v>
      </c>
      <c r="U251" s="42"/>
      <c r="V251" s="62"/>
      <c r="W251" s="64"/>
      <c r="X251" s="76"/>
      <c r="Y251" s="76"/>
      <c r="Z251" s="76"/>
      <c r="AA251" s="76"/>
    </row>
    <row r="252">
      <c r="A252" s="42">
        <f t="shared" si="1"/>
        <v>251</v>
      </c>
      <c r="B252" s="51" t="s">
        <v>41</v>
      </c>
      <c r="C252" s="53" t="s">
        <v>1716</v>
      </c>
      <c r="D252" s="42" t="s">
        <v>44</v>
      </c>
      <c r="E252" s="42" t="s">
        <v>44</v>
      </c>
      <c r="F252" s="53" t="s">
        <v>1612</v>
      </c>
      <c r="G252" s="53" t="s">
        <v>47</v>
      </c>
      <c r="H252" s="53" t="s">
        <v>95</v>
      </c>
      <c r="I252" s="53" t="s">
        <v>485</v>
      </c>
      <c r="J252" s="53" t="s">
        <v>1614</v>
      </c>
      <c r="K252" s="53" t="s">
        <v>1615</v>
      </c>
      <c r="L252" s="53" t="s">
        <v>52</v>
      </c>
      <c r="M252" s="53" t="s">
        <v>52</v>
      </c>
      <c r="N252" s="62" t="s">
        <v>1718</v>
      </c>
      <c r="O252" s="62" t="s">
        <v>44</v>
      </c>
      <c r="P252" s="62" t="s">
        <v>1720</v>
      </c>
      <c r="Q252" s="62" t="s">
        <v>1721</v>
      </c>
      <c r="R252" s="51" t="s">
        <v>56</v>
      </c>
      <c r="S252" s="51" t="s">
        <v>1618</v>
      </c>
      <c r="T252" s="60">
        <v>46296.0</v>
      </c>
      <c r="U252" s="42"/>
      <c r="V252" s="62"/>
      <c r="W252" s="64"/>
      <c r="X252" s="76"/>
      <c r="Y252" s="76"/>
      <c r="Z252" s="76"/>
      <c r="AA252" s="76"/>
    </row>
    <row r="253">
      <c r="A253" s="42">
        <f t="shared" si="1"/>
        <v>252</v>
      </c>
      <c r="B253" s="51" t="s">
        <v>41</v>
      </c>
      <c r="C253" s="53" t="s">
        <v>1722</v>
      </c>
      <c r="D253" s="42" t="s">
        <v>44</v>
      </c>
      <c r="E253" s="42" t="s">
        <v>44</v>
      </c>
      <c r="F253" s="53" t="s">
        <v>1612</v>
      </c>
      <c r="G253" s="53" t="s">
        <v>47</v>
      </c>
      <c r="H253" s="53" t="s">
        <v>95</v>
      </c>
      <c r="I253" s="53" t="s">
        <v>485</v>
      </c>
      <c r="J253" s="53" t="s">
        <v>1614</v>
      </c>
      <c r="K253" s="53" t="s">
        <v>1615</v>
      </c>
      <c r="L253" s="53" t="s">
        <v>52</v>
      </c>
      <c r="M253" s="53" t="s">
        <v>52</v>
      </c>
      <c r="N253" s="62" t="s">
        <v>1718</v>
      </c>
      <c r="O253" s="62" t="s">
        <v>44</v>
      </c>
      <c r="P253" s="62" t="s">
        <v>1725</v>
      </c>
      <c r="Q253" s="62" t="s">
        <v>1726</v>
      </c>
      <c r="R253" s="51" t="s">
        <v>56</v>
      </c>
      <c r="S253" s="51" t="s">
        <v>1618</v>
      </c>
      <c r="T253" s="60">
        <v>46296.0</v>
      </c>
      <c r="U253" s="42"/>
      <c r="V253" s="62"/>
      <c r="W253" s="64"/>
      <c r="X253" s="61"/>
      <c r="Y253" s="61"/>
      <c r="Z253" s="61"/>
      <c r="AA253" s="61"/>
    </row>
    <row r="254">
      <c r="A254" s="42">
        <f t="shared" si="1"/>
        <v>253</v>
      </c>
      <c r="B254" s="51" t="s">
        <v>41</v>
      </c>
      <c r="C254" s="53" t="s">
        <v>1728</v>
      </c>
      <c r="D254" s="42" t="s">
        <v>44</v>
      </c>
      <c r="E254" s="42" t="s">
        <v>44</v>
      </c>
      <c r="F254" s="53" t="s">
        <v>1612</v>
      </c>
      <c r="G254" s="53" t="s">
        <v>47</v>
      </c>
      <c r="H254" s="53" t="s">
        <v>95</v>
      </c>
      <c r="I254" s="53" t="s">
        <v>485</v>
      </c>
      <c r="J254" s="53" t="s">
        <v>1614</v>
      </c>
      <c r="K254" s="53" t="s">
        <v>1615</v>
      </c>
      <c r="L254" s="53" t="s">
        <v>52</v>
      </c>
      <c r="M254" s="53" t="s">
        <v>52</v>
      </c>
      <c r="N254" s="62" t="s">
        <v>1718</v>
      </c>
      <c r="O254" s="62" t="s">
        <v>44</v>
      </c>
      <c r="P254" s="309" t="s">
        <v>1730</v>
      </c>
      <c r="Q254" s="309" t="s">
        <v>1731</v>
      </c>
      <c r="R254" s="51" t="s">
        <v>56</v>
      </c>
      <c r="S254" s="51" t="s">
        <v>1618</v>
      </c>
      <c r="T254" s="60">
        <v>46296.0</v>
      </c>
      <c r="U254" s="53"/>
      <c r="V254" s="62"/>
      <c r="W254" s="64"/>
      <c r="X254" s="61"/>
      <c r="Y254" s="61"/>
      <c r="Z254" s="61"/>
      <c r="AA254" s="61"/>
    </row>
    <row r="255">
      <c r="A255" s="51">
        <v>260.0</v>
      </c>
      <c r="B255" s="51" t="s">
        <v>41</v>
      </c>
      <c r="C255" s="53"/>
      <c r="D255" s="42"/>
      <c r="E255" s="42"/>
      <c r="F255" s="53" t="s">
        <v>1612</v>
      </c>
      <c r="G255" s="53" t="s">
        <v>47</v>
      </c>
      <c r="H255" s="53" t="s">
        <v>95</v>
      </c>
      <c r="I255" s="53" t="s">
        <v>485</v>
      </c>
      <c r="J255" s="53" t="s">
        <v>1614</v>
      </c>
      <c r="K255" s="53" t="s">
        <v>1615</v>
      </c>
      <c r="L255" s="53" t="s">
        <v>52</v>
      </c>
      <c r="M255" s="53" t="s">
        <v>52</v>
      </c>
      <c r="N255" s="62" t="s">
        <v>1718</v>
      </c>
      <c r="O255" s="62" t="s">
        <v>44</v>
      </c>
      <c r="P255" s="309" t="s">
        <v>1734</v>
      </c>
      <c r="Q255" s="309" t="s">
        <v>1735</v>
      </c>
      <c r="R255" s="51" t="s">
        <v>56</v>
      </c>
      <c r="S255" s="51" t="s">
        <v>1618</v>
      </c>
      <c r="T255" s="60">
        <v>46296.0</v>
      </c>
      <c r="U255" s="53"/>
      <c r="V255" s="62"/>
      <c r="W255" s="64"/>
      <c r="X255" s="61"/>
      <c r="Y255" s="61"/>
      <c r="Z255" s="61"/>
      <c r="AA255" s="61"/>
    </row>
    <row r="256">
      <c r="A256" s="42">
        <f t="shared" ref="A256:A311" si="2">ROW()-1</f>
        <v>255</v>
      </c>
      <c r="B256" s="51" t="s">
        <v>41</v>
      </c>
      <c r="C256" s="53" t="s">
        <v>1742</v>
      </c>
      <c r="D256" s="42" t="s">
        <v>44</v>
      </c>
      <c r="E256" s="42" t="s">
        <v>44</v>
      </c>
      <c r="F256" s="53" t="s">
        <v>1612</v>
      </c>
      <c r="G256" s="53" t="s">
        <v>47</v>
      </c>
      <c r="H256" s="53" t="s">
        <v>48</v>
      </c>
      <c r="I256" s="53" t="s">
        <v>485</v>
      </c>
      <c r="J256" s="53" t="s">
        <v>1614</v>
      </c>
      <c r="K256" s="53" t="s">
        <v>1615</v>
      </c>
      <c r="L256" s="53" t="s">
        <v>52</v>
      </c>
      <c r="M256" s="53" t="s">
        <v>52</v>
      </c>
      <c r="N256" s="62" t="s">
        <v>1747</v>
      </c>
      <c r="O256" s="62" t="s">
        <v>44</v>
      </c>
      <c r="P256" s="62" t="s">
        <v>1748</v>
      </c>
      <c r="Q256" s="62" t="s">
        <v>1749</v>
      </c>
      <c r="R256" s="51" t="s">
        <v>56</v>
      </c>
      <c r="S256" s="51" t="s">
        <v>1618</v>
      </c>
      <c r="T256" s="60">
        <v>46296.0</v>
      </c>
      <c r="U256" s="42"/>
      <c r="V256" s="62"/>
      <c r="W256" s="64"/>
      <c r="X256" s="76"/>
      <c r="Y256" s="76"/>
      <c r="Z256" s="76"/>
      <c r="AA256" s="76"/>
    </row>
    <row r="257">
      <c r="A257" s="42">
        <f t="shared" si="2"/>
        <v>256</v>
      </c>
      <c r="B257" s="51" t="s">
        <v>41</v>
      </c>
      <c r="C257" s="53" t="s">
        <v>1752</v>
      </c>
      <c r="D257" s="42" t="s">
        <v>44</v>
      </c>
      <c r="E257" s="42" t="s">
        <v>44</v>
      </c>
      <c r="F257" s="53" t="s">
        <v>1612</v>
      </c>
      <c r="G257" s="53" t="s">
        <v>47</v>
      </c>
      <c r="H257" s="53" t="s">
        <v>48</v>
      </c>
      <c r="I257" s="53" t="s">
        <v>485</v>
      </c>
      <c r="J257" s="53" t="s">
        <v>1614</v>
      </c>
      <c r="K257" s="53" t="s">
        <v>1615</v>
      </c>
      <c r="L257" s="53" t="s">
        <v>52</v>
      </c>
      <c r="M257" s="53" t="s">
        <v>52</v>
      </c>
      <c r="N257" s="62" t="s">
        <v>1747</v>
      </c>
      <c r="O257" s="62" t="s">
        <v>44</v>
      </c>
      <c r="P257" s="62" t="s">
        <v>1754</v>
      </c>
      <c r="Q257" s="309" t="s">
        <v>1756</v>
      </c>
      <c r="R257" s="51" t="s">
        <v>56</v>
      </c>
      <c r="S257" s="51" t="s">
        <v>1618</v>
      </c>
      <c r="T257" s="60">
        <v>46296.0</v>
      </c>
      <c r="U257" s="42"/>
      <c r="V257" s="62"/>
      <c r="W257" s="64"/>
      <c r="X257" s="76"/>
      <c r="Y257" s="76"/>
      <c r="Z257" s="76"/>
      <c r="AA257" s="76"/>
    </row>
    <row r="258">
      <c r="A258" s="42">
        <f t="shared" si="2"/>
        <v>257</v>
      </c>
      <c r="B258" s="51" t="s">
        <v>41</v>
      </c>
      <c r="C258" s="53" t="s">
        <v>1758</v>
      </c>
      <c r="D258" s="42" t="s">
        <v>44</v>
      </c>
      <c r="E258" s="42" t="s">
        <v>44</v>
      </c>
      <c r="F258" s="53" t="s">
        <v>1612</v>
      </c>
      <c r="G258" s="53" t="s">
        <v>111</v>
      </c>
      <c r="H258" s="53" t="s">
        <v>91</v>
      </c>
      <c r="I258" s="53" t="s">
        <v>485</v>
      </c>
      <c r="J258" s="53" t="s">
        <v>1614</v>
      </c>
      <c r="K258" s="53" t="s">
        <v>1615</v>
      </c>
      <c r="L258" s="53" t="s">
        <v>52</v>
      </c>
      <c r="M258" s="53" t="s">
        <v>52</v>
      </c>
      <c r="N258" s="62" t="s">
        <v>1747</v>
      </c>
      <c r="O258" s="62" t="s">
        <v>44</v>
      </c>
      <c r="P258" s="62" t="s">
        <v>1760</v>
      </c>
      <c r="Q258" s="62" t="s">
        <v>1762</v>
      </c>
      <c r="R258" s="51" t="s">
        <v>56</v>
      </c>
      <c r="S258" s="51" t="s">
        <v>1618</v>
      </c>
      <c r="T258" s="60">
        <v>46296.0</v>
      </c>
      <c r="U258" s="42"/>
      <c r="V258" s="62"/>
      <c r="W258" s="64"/>
      <c r="X258" s="76"/>
      <c r="Y258" s="76"/>
      <c r="Z258" s="76"/>
      <c r="AA258" s="76"/>
    </row>
    <row r="259">
      <c r="A259" s="42">
        <f t="shared" si="2"/>
        <v>258</v>
      </c>
      <c r="B259" s="51" t="s">
        <v>41</v>
      </c>
      <c r="C259" s="53" t="s">
        <v>1765</v>
      </c>
      <c r="D259" s="42" t="s">
        <v>44</v>
      </c>
      <c r="E259" s="42" t="s">
        <v>44</v>
      </c>
      <c r="F259" s="53" t="s">
        <v>1612</v>
      </c>
      <c r="G259" s="53" t="s">
        <v>85</v>
      </c>
      <c r="H259" s="53" t="s">
        <v>86</v>
      </c>
      <c r="I259" s="53" t="s">
        <v>485</v>
      </c>
      <c r="J259" s="53" t="s">
        <v>1614</v>
      </c>
      <c r="K259" s="53" t="s">
        <v>1615</v>
      </c>
      <c r="L259" s="53" t="s">
        <v>52</v>
      </c>
      <c r="M259" s="53" t="s">
        <v>52</v>
      </c>
      <c r="N259" s="62" t="s">
        <v>1747</v>
      </c>
      <c r="O259" s="62" t="s">
        <v>44</v>
      </c>
      <c r="P259" s="62" t="s">
        <v>1767</v>
      </c>
      <c r="Q259" s="309" t="s">
        <v>1768</v>
      </c>
      <c r="R259" s="51" t="s">
        <v>56</v>
      </c>
      <c r="S259" s="51" t="s">
        <v>1618</v>
      </c>
      <c r="T259" s="60">
        <v>46296.0</v>
      </c>
      <c r="U259" s="42"/>
      <c r="V259" s="62"/>
      <c r="W259" s="64"/>
      <c r="X259" s="76"/>
      <c r="Y259" s="76"/>
      <c r="Z259" s="76"/>
      <c r="AA259" s="76"/>
    </row>
    <row r="260">
      <c r="A260" s="42">
        <f t="shared" si="2"/>
        <v>259</v>
      </c>
      <c r="B260" s="51" t="s">
        <v>41</v>
      </c>
      <c r="C260" s="53" t="s">
        <v>1773</v>
      </c>
      <c r="D260" s="42" t="s">
        <v>44</v>
      </c>
      <c r="E260" s="42" t="s">
        <v>44</v>
      </c>
      <c r="F260" s="53" t="s">
        <v>1612</v>
      </c>
      <c r="G260" s="53" t="s">
        <v>47</v>
      </c>
      <c r="H260" s="53" t="s">
        <v>48</v>
      </c>
      <c r="I260" s="53" t="s">
        <v>485</v>
      </c>
      <c r="J260" s="53" t="s">
        <v>1614</v>
      </c>
      <c r="K260" s="53" t="s">
        <v>1615</v>
      </c>
      <c r="L260" s="53" t="s">
        <v>52</v>
      </c>
      <c r="M260" s="53" t="s">
        <v>52</v>
      </c>
      <c r="N260" s="62" t="s">
        <v>1616</v>
      </c>
      <c r="O260" s="62" t="s">
        <v>44</v>
      </c>
      <c r="P260" s="62" t="s">
        <v>1776</v>
      </c>
      <c r="Q260" s="62" t="s">
        <v>1777</v>
      </c>
      <c r="R260" s="51" t="s">
        <v>56</v>
      </c>
      <c r="S260" s="51" t="s">
        <v>1618</v>
      </c>
      <c r="T260" s="60">
        <v>46296.0</v>
      </c>
      <c r="U260" s="42"/>
      <c r="V260" s="62"/>
      <c r="W260" s="64"/>
      <c r="X260" s="76"/>
      <c r="Y260" s="76"/>
      <c r="Z260" s="76"/>
      <c r="AA260" s="76"/>
    </row>
    <row r="261">
      <c r="A261" s="42">
        <f t="shared" si="2"/>
        <v>260</v>
      </c>
      <c r="B261" s="51" t="s">
        <v>41</v>
      </c>
      <c r="C261" s="53" t="s">
        <v>1782</v>
      </c>
      <c r="D261" s="42" t="s">
        <v>44</v>
      </c>
      <c r="E261" s="42" t="s">
        <v>44</v>
      </c>
      <c r="F261" s="53" t="s">
        <v>1612</v>
      </c>
      <c r="G261" s="53" t="s">
        <v>47</v>
      </c>
      <c r="H261" s="53" t="s">
        <v>48</v>
      </c>
      <c r="I261" s="53" t="s">
        <v>485</v>
      </c>
      <c r="J261" s="53" t="s">
        <v>1614</v>
      </c>
      <c r="K261" s="53" t="s">
        <v>1615</v>
      </c>
      <c r="L261" s="53" t="s">
        <v>52</v>
      </c>
      <c r="M261" s="53" t="s">
        <v>52</v>
      </c>
      <c r="N261" s="62" t="s">
        <v>1616</v>
      </c>
      <c r="O261" s="62" t="s">
        <v>44</v>
      </c>
      <c r="P261" s="62" t="s">
        <v>1784</v>
      </c>
      <c r="Q261" s="62" t="s">
        <v>1786</v>
      </c>
      <c r="R261" s="51" t="s">
        <v>56</v>
      </c>
      <c r="S261" s="51" t="s">
        <v>1618</v>
      </c>
      <c r="T261" s="60">
        <v>46296.0</v>
      </c>
      <c r="U261" s="42"/>
      <c r="V261" s="62"/>
      <c r="W261" s="64"/>
      <c r="X261" s="61"/>
      <c r="Y261" s="61"/>
      <c r="Z261" s="61"/>
      <c r="AA261" s="61"/>
    </row>
    <row r="262">
      <c r="A262" s="42">
        <f t="shared" si="2"/>
        <v>261</v>
      </c>
      <c r="B262" s="51" t="s">
        <v>41</v>
      </c>
      <c r="C262" s="53" t="s">
        <v>1789</v>
      </c>
      <c r="D262" s="42" t="s">
        <v>44</v>
      </c>
      <c r="E262" s="42" t="s">
        <v>44</v>
      </c>
      <c r="F262" s="53" t="s">
        <v>1612</v>
      </c>
      <c r="G262" s="53" t="s">
        <v>47</v>
      </c>
      <c r="H262" s="53" t="s">
        <v>95</v>
      </c>
      <c r="I262" s="53" t="s">
        <v>485</v>
      </c>
      <c r="J262" s="53" t="s">
        <v>1614</v>
      </c>
      <c r="K262" s="53" t="s">
        <v>1615</v>
      </c>
      <c r="L262" s="53" t="s">
        <v>52</v>
      </c>
      <c r="M262" s="53" t="s">
        <v>52</v>
      </c>
      <c r="N262" s="62" t="s">
        <v>1792</v>
      </c>
      <c r="O262" s="62" t="s">
        <v>44</v>
      </c>
      <c r="P262" s="62" t="s">
        <v>1793</v>
      </c>
      <c r="Q262" s="309" t="s">
        <v>1795</v>
      </c>
      <c r="R262" s="51" t="s">
        <v>56</v>
      </c>
      <c r="S262" s="51" t="s">
        <v>1618</v>
      </c>
      <c r="T262" s="60">
        <v>46296.0</v>
      </c>
      <c r="U262" s="42"/>
      <c r="V262" s="62"/>
      <c r="W262" s="64"/>
      <c r="X262" s="76"/>
      <c r="Y262" s="76"/>
      <c r="Z262" s="76"/>
      <c r="AA262" s="76"/>
    </row>
    <row r="263">
      <c r="A263" s="42">
        <f t="shared" si="2"/>
        <v>262</v>
      </c>
      <c r="B263" s="51" t="s">
        <v>41</v>
      </c>
      <c r="C263" s="53" t="s">
        <v>1799</v>
      </c>
      <c r="D263" s="42" t="s">
        <v>44</v>
      </c>
      <c r="E263" s="42" t="s">
        <v>44</v>
      </c>
      <c r="F263" s="53" t="s">
        <v>1612</v>
      </c>
      <c r="G263" s="53" t="s">
        <v>197</v>
      </c>
      <c r="H263" s="53" t="s">
        <v>198</v>
      </c>
      <c r="I263" s="53" t="s">
        <v>485</v>
      </c>
      <c r="J263" s="53" t="s">
        <v>1614</v>
      </c>
      <c r="K263" s="53" t="s">
        <v>1615</v>
      </c>
      <c r="L263" s="53" t="s">
        <v>52</v>
      </c>
      <c r="M263" s="53" t="s">
        <v>52</v>
      </c>
      <c r="N263" s="62" t="s">
        <v>1616</v>
      </c>
      <c r="O263" s="62" t="s">
        <v>44</v>
      </c>
      <c r="P263" s="62" t="s">
        <v>1801</v>
      </c>
      <c r="Q263" s="309" t="s">
        <v>1803</v>
      </c>
      <c r="R263" s="51" t="s">
        <v>56</v>
      </c>
      <c r="S263" s="51" t="s">
        <v>1618</v>
      </c>
      <c r="T263" s="60">
        <v>46296.0</v>
      </c>
      <c r="U263" s="53"/>
      <c r="V263" s="62"/>
      <c r="W263" s="64"/>
      <c r="X263" s="76"/>
      <c r="Y263" s="76"/>
      <c r="Z263" s="76"/>
      <c r="AA263" s="76"/>
    </row>
    <row r="264">
      <c r="A264" s="42">
        <f t="shared" si="2"/>
        <v>263</v>
      </c>
      <c r="B264" s="51" t="s">
        <v>41</v>
      </c>
      <c r="C264" s="53" t="s">
        <v>1806</v>
      </c>
      <c r="D264" s="42" t="s">
        <v>44</v>
      </c>
      <c r="E264" s="42" t="s">
        <v>44</v>
      </c>
      <c r="F264" s="53" t="s">
        <v>1612</v>
      </c>
      <c r="G264" s="53" t="s">
        <v>197</v>
      </c>
      <c r="H264" s="53" t="s">
        <v>112</v>
      </c>
      <c r="I264" s="53" t="s">
        <v>485</v>
      </c>
      <c r="J264" s="53" t="s">
        <v>1614</v>
      </c>
      <c r="K264" s="53" t="s">
        <v>1615</v>
      </c>
      <c r="L264" s="53" t="s">
        <v>52</v>
      </c>
      <c r="M264" s="53" t="s">
        <v>52</v>
      </c>
      <c r="N264" s="62" t="s">
        <v>1616</v>
      </c>
      <c r="O264" s="62" t="s">
        <v>44</v>
      </c>
      <c r="P264" s="62" t="s">
        <v>1809</v>
      </c>
      <c r="Q264" s="309" t="s">
        <v>1810</v>
      </c>
      <c r="R264" s="51" t="s">
        <v>56</v>
      </c>
      <c r="S264" s="51" t="s">
        <v>1618</v>
      </c>
      <c r="T264" s="60">
        <v>46296.0</v>
      </c>
      <c r="U264" s="42"/>
      <c r="V264" s="62"/>
      <c r="W264" s="64"/>
      <c r="X264" s="76"/>
      <c r="Y264" s="76"/>
      <c r="Z264" s="76"/>
      <c r="AA264" s="76"/>
    </row>
    <row r="265">
      <c r="A265" s="42">
        <f t="shared" si="2"/>
        <v>264</v>
      </c>
      <c r="B265" s="51" t="s">
        <v>41</v>
      </c>
      <c r="C265" s="53" t="s">
        <v>1814</v>
      </c>
      <c r="D265" s="42" t="s">
        <v>44</v>
      </c>
      <c r="E265" s="42" t="s">
        <v>44</v>
      </c>
      <c r="F265" s="53" t="s">
        <v>1612</v>
      </c>
      <c r="G265" s="53" t="s">
        <v>197</v>
      </c>
      <c r="H265" s="53" t="s">
        <v>198</v>
      </c>
      <c r="I265" s="53" t="s">
        <v>485</v>
      </c>
      <c r="J265" s="53" t="s">
        <v>1614</v>
      </c>
      <c r="K265" s="53" t="s">
        <v>1615</v>
      </c>
      <c r="L265" s="53" t="s">
        <v>52</v>
      </c>
      <c r="M265" s="53" t="s">
        <v>52</v>
      </c>
      <c r="N265" s="62" t="s">
        <v>1616</v>
      </c>
      <c r="O265" s="62" t="s">
        <v>44</v>
      </c>
      <c r="P265" s="62" t="s">
        <v>1819</v>
      </c>
      <c r="Q265" s="309" t="s">
        <v>1820</v>
      </c>
      <c r="R265" s="51" t="s">
        <v>56</v>
      </c>
      <c r="S265" s="51" t="s">
        <v>1618</v>
      </c>
      <c r="T265" s="60">
        <v>46296.0</v>
      </c>
      <c r="U265" s="53"/>
      <c r="V265" s="62"/>
      <c r="W265" s="64"/>
      <c r="X265" s="76"/>
      <c r="Y265" s="76"/>
      <c r="Z265" s="76"/>
      <c r="AA265" s="76"/>
    </row>
    <row r="266">
      <c r="A266" s="42">
        <f t="shared" si="2"/>
        <v>265</v>
      </c>
      <c r="B266" s="51" t="s">
        <v>41</v>
      </c>
      <c r="C266" s="53" t="s">
        <v>1823</v>
      </c>
      <c r="D266" s="42" t="s">
        <v>44</v>
      </c>
      <c r="E266" s="42" t="s">
        <v>44</v>
      </c>
      <c r="F266" s="53" t="s">
        <v>1612</v>
      </c>
      <c r="G266" s="53" t="s">
        <v>47</v>
      </c>
      <c r="H266" s="53" t="s">
        <v>95</v>
      </c>
      <c r="I266" s="53" t="s">
        <v>485</v>
      </c>
      <c r="J266" s="53" t="s">
        <v>1614</v>
      </c>
      <c r="K266" s="53" t="s">
        <v>1615</v>
      </c>
      <c r="L266" s="53" t="s">
        <v>52</v>
      </c>
      <c r="M266" s="53" t="s">
        <v>52</v>
      </c>
      <c r="N266" s="62" t="s">
        <v>1616</v>
      </c>
      <c r="O266" s="62" t="s">
        <v>44</v>
      </c>
      <c r="P266" s="62" t="s">
        <v>1825</v>
      </c>
      <c r="Q266" s="309" t="s">
        <v>1827</v>
      </c>
      <c r="R266" s="51" t="s">
        <v>56</v>
      </c>
      <c r="S266" s="51" t="s">
        <v>1618</v>
      </c>
      <c r="T266" s="60">
        <v>46296.0</v>
      </c>
      <c r="U266" s="42"/>
      <c r="V266" s="62"/>
      <c r="W266" s="64"/>
      <c r="X266" s="76"/>
      <c r="Y266" s="76"/>
      <c r="Z266" s="76"/>
      <c r="AA266" s="76"/>
    </row>
    <row r="267">
      <c r="A267" s="42">
        <f t="shared" si="2"/>
        <v>266</v>
      </c>
      <c r="B267" s="51" t="s">
        <v>41</v>
      </c>
      <c r="C267" s="53" t="s">
        <v>1831</v>
      </c>
      <c r="D267" s="42" t="s">
        <v>44</v>
      </c>
      <c r="E267" s="42" t="s">
        <v>44</v>
      </c>
      <c r="F267" s="53" t="s">
        <v>1612</v>
      </c>
      <c r="G267" s="53" t="s">
        <v>47</v>
      </c>
      <c r="H267" s="53" t="s">
        <v>95</v>
      </c>
      <c r="I267" s="53" t="s">
        <v>485</v>
      </c>
      <c r="J267" s="53" t="s">
        <v>1614</v>
      </c>
      <c r="K267" s="53" t="s">
        <v>1615</v>
      </c>
      <c r="L267" s="53" t="s">
        <v>52</v>
      </c>
      <c r="M267" s="53" t="s">
        <v>52</v>
      </c>
      <c r="N267" s="62" t="s">
        <v>1616</v>
      </c>
      <c r="O267" s="62" t="s">
        <v>44</v>
      </c>
      <c r="P267" s="62" t="s">
        <v>1834</v>
      </c>
      <c r="Q267" s="309" t="s">
        <v>1836</v>
      </c>
      <c r="R267" s="51" t="s">
        <v>56</v>
      </c>
      <c r="S267" s="51" t="s">
        <v>1618</v>
      </c>
      <c r="T267" s="60">
        <v>46296.0</v>
      </c>
      <c r="U267" s="42"/>
      <c r="V267" s="62"/>
      <c r="W267" s="64"/>
      <c r="X267" s="76"/>
      <c r="Y267" s="76"/>
      <c r="Z267" s="76"/>
      <c r="AA267" s="76"/>
    </row>
    <row r="268">
      <c r="A268" s="42">
        <f t="shared" si="2"/>
        <v>267</v>
      </c>
      <c r="B268" s="51" t="s">
        <v>41</v>
      </c>
      <c r="C268" s="53" t="s">
        <v>1840</v>
      </c>
      <c r="D268" s="42" t="s">
        <v>44</v>
      </c>
      <c r="E268" s="42" t="s">
        <v>44</v>
      </c>
      <c r="F268" s="53" t="s">
        <v>1612</v>
      </c>
      <c r="G268" s="53" t="s">
        <v>47</v>
      </c>
      <c r="H268" s="53" t="s">
        <v>48</v>
      </c>
      <c r="I268" s="53" t="s">
        <v>485</v>
      </c>
      <c r="J268" s="53" t="s">
        <v>1614</v>
      </c>
      <c r="K268" s="53" t="s">
        <v>1615</v>
      </c>
      <c r="L268" s="53" t="s">
        <v>52</v>
      </c>
      <c r="M268" s="53" t="s">
        <v>52</v>
      </c>
      <c r="N268" s="62" t="s">
        <v>1616</v>
      </c>
      <c r="O268" s="62" t="s">
        <v>44</v>
      </c>
      <c r="P268" s="62" t="s">
        <v>1844</v>
      </c>
      <c r="Q268" s="62" t="s">
        <v>1845</v>
      </c>
      <c r="R268" s="51" t="s">
        <v>56</v>
      </c>
      <c r="S268" s="51" t="s">
        <v>1618</v>
      </c>
      <c r="T268" s="60">
        <v>46296.0</v>
      </c>
      <c r="U268" s="42"/>
      <c r="V268" s="62"/>
      <c r="W268" s="64"/>
      <c r="X268" s="76"/>
      <c r="Y268" s="76"/>
      <c r="Z268" s="76"/>
      <c r="AA268" s="76"/>
    </row>
    <row r="269">
      <c r="A269" s="42">
        <f t="shared" si="2"/>
        <v>268</v>
      </c>
      <c r="B269" s="51" t="s">
        <v>41</v>
      </c>
      <c r="C269" s="53" t="s">
        <v>1849</v>
      </c>
      <c r="D269" s="42" t="s">
        <v>44</v>
      </c>
      <c r="E269" s="42" t="s">
        <v>44</v>
      </c>
      <c r="F269" s="53" t="s">
        <v>1612</v>
      </c>
      <c r="G269" s="53" t="s">
        <v>47</v>
      </c>
      <c r="H269" s="53" t="s">
        <v>48</v>
      </c>
      <c r="I269" s="53" t="s">
        <v>485</v>
      </c>
      <c r="J269" s="53" t="s">
        <v>1614</v>
      </c>
      <c r="K269" s="53" t="s">
        <v>1615</v>
      </c>
      <c r="L269" s="53" t="s">
        <v>52</v>
      </c>
      <c r="M269" s="53" t="s">
        <v>52</v>
      </c>
      <c r="N269" s="62" t="s">
        <v>1616</v>
      </c>
      <c r="O269" s="62" t="s">
        <v>44</v>
      </c>
      <c r="P269" s="62" t="s">
        <v>1853</v>
      </c>
      <c r="Q269" s="309" t="s">
        <v>1855</v>
      </c>
      <c r="R269" s="51" t="s">
        <v>56</v>
      </c>
      <c r="S269" s="51" t="s">
        <v>1618</v>
      </c>
      <c r="T269" s="60">
        <v>46297.0</v>
      </c>
      <c r="U269" s="313" t="s">
        <v>1859</v>
      </c>
      <c r="V269" s="314" t="s">
        <v>1869</v>
      </c>
      <c r="W269" s="64"/>
      <c r="X269" s="76"/>
      <c r="Y269" s="76"/>
      <c r="Z269" s="76"/>
      <c r="AA269" s="76"/>
    </row>
    <row r="270">
      <c r="A270" s="42">
        <f t="shared" si="2"/>
        <v>269</v>
      </c>
      <c r="B270" s="51" t="s">
        <v>41</v>
      </c>
      <c r="C270" s="53" t="s">
        <v>1876</v>
      </c>
      <c r="D270" s="42" t="s">
        <v>44</v>
      </c>
      <c r="E270" s="42" t="s">
        <v>44</v>
      </c>
      <c r="F270" s="53" t="s">
        <v>1612</v>
      </c>
      <c r="G270" s="53" t="s">
        <v>47</v>
      </c>
      <c r="H270" s="53" t="s">
        <v>48</v>
      </c>
      <c r="I270" s="53" t="s">
        <v>485</v>
      </c>
      <c r="J270" s="53" t="s">
        <v>1614</v>
      </c>
      <c r="K270" s="53" t="s">
        <v>1615</v>
      </c>
      <c r="L270" s="53" t="s">
        <v>52</v>
      </c>
      <c r="M270" s="53" t="s">
        <v>52</v>
      </c>
      <c r="N270" s="62" t="s">
        <v>1616</v>
      </c>
      <c r="O270" s="62" t="s">
        <v>44</v>
      </c>
      <c r="P270" s="62" t="s">
        <v>1878</v>
      </c>
      <c r="Q270" s="62" t="s">
        <v>1880</v>
      </c>
      <c r="R270" s="51" t="s">
        <v>56</v>
      </c>
      <c r="S270" s="51" t="s">
        <v>1618</v>
      </c>
      <c r="T270" s="60">
        <v>46296.0</v>
      </c>
      <c r="U270" s="42"/>
      <c r="V270" s="62"/>
      <c r="W270" s="64"/>
      <c r="X270" s="76"/>
      <c r="Y270" s="76"/>
      <c r="Z270" s="76"/>
      <c r="AA270" s="76"/>
    </row>
    <row r="271">
      <c r="A271" s="42">
        <f t="shared" si="2"/>
        <v>270</v>
      </c>
      <c r="B271" s="51" t="s">
        <v>41</v>
      </c>
      <c r="C271" s="53" t="s">
        <v>1884</v>
      </c>
      <c r="D271" s="42" t="s">
        <v>44</v>
      </c>
      <c r="E271" s="42" t="s">
        <v>44</v>
      </c>
      <c r="F271" s="53" t="s">
        <v>1612</v>
      </c>
      <c r="G271" s="53" t="s">
        <v>197</v>
      </c>
      <c r="H271" s="53" t="s">
        <v>112</v>
      </c>
      <c r="I271" s="53" t="s">
        <v>485</v>
      </c>
      <c r="J271" s="53" t="s">
        <v>1614</v>
      </c>
      <c r="K271" s="53" t="s">
        <v>1615</v>
      </c>
      <c r="L271" s="53" t="s">
        <v>52</v>
      </c>
      <c r="M271" s="53" t="s">
        <v>52</v>
      </c>
      <c r="N271" s="62" t="s">
        <v>1886</v>
      </c>
      <c r="O271" s="62" t="s">
        <v>44</v>
      </c>
      <c r="P271" s="62" t="s">
        <v>1887</v>
      </c>
      <c r="Q271" s="62" t="s">
        <v>1888</v>
      </c>
      <c r="R271" s="51" t="s">
        <v>56</v>
      </c>
      <c r="S271" s="51" t="s">
        <v>1618</v>
      </c>
      <c r="T271" s="60">
        <v>46296.0</v>
      </c>
      <c r="U271" s="53"/>
      <c r="V271" s="62"/>
      <c r="W271" s="64"/>
      <c r="X271" s="76"/>
      <c r="Y271" s="76"/>
      <c r="Z271" s="76"/>
      <c r="AA271" s="76"/>
    </row>
    <row r="272">
      <c r="A272" s="42">
        <f t="shared" si="2"/>
        <v>271</v>
      </c>
      <c r="B272" s="51" t="s">
        <v>41</v>
      </c>
      <c r="C272" s="53" t="s">
        <v>1892</v>
      </c>
      <c r="D272" s="42" t="s">
        <v>44</v>
      </c>
      <c r="E272" s="42" t="s">
        <v>44</v>
      </c>
      <c r="F272" s="53" t="s">
        <v>1612</v>
      </c>
      <c r="G272" s="53" t="s">
        <v>47</v>
      </c>
      <c r="H272" s="53" t="s">
        <v>95</v>
      </c>
      <c r="I272" s="53" t="s">
        <v>485</v>
      </c>
      <c r="J272" s="53" t="s">
        <v>1614</v>
      </c>
      <c r="K272" s="53" t="s">
        <v>1615</v>
      </c>
      <c r="L272" s="53" t="s">
        <v>52</v>
      </c>
      <c r="M272" s="53" t="s">
        <v>52</v>
      </c>
      <c r="N272" s="62" t="s">
        <v>1895</v>
      </c>
      <c r="O272" s="62" t="s">
        <v>44</v>
      </c>
      <c r="P272" s="62" t="s">
        <v>1887</v>
      </c>
      <c r="Q272" s="62" t="s">
        <v>1896</v>
      </c>
      <c r="R272" s="51" t="s">
        <v>56</v>
      </c>
      <c r="S272" s="51" t="s">
        <v>1618</v>
      </c>
      <c r="T272" s="60">
        <v>46296.0</v>
      </c>
      <c r="U272" s="53"/>
      <c r="V272" s="62"/>
      <c r="W272" s="64"/>
      <c r="X272" s="76"/>
      <c r="Y272" s="76"/>
      <c r="Z272" s="76"/>
      <c r="AA272" s="76"/>
    </row>
    <row r="273">
      <c r="A273" s="42">
        <f t="shared" si="2"/>
        <v>272</v>
      </c>
      <c r="B273" s="51" t="s">
        <v>41</v>
      </c>
      <c r="C273" s="53" t="s">
        <v>1900</v>
      </c>
      <c r="D273" s="42" t="s">
        <v>44</v>
      </c>
      <c r="E273" s="42" t="s">
        <v>44</v>
      </c>
      <c r="F273" s="53" t="s">
        <v>1612</v>
      </c>
      <c r="G273" s="53" t="s">
        <v>47</v>
      </c>
      <c r="H273" s="53" t="s">
        <v>48</v>
      </c>
      <c r="I273" s="53" t="s">
        <v>485</v>
      </c>
      <c r="J273" s="53" t="s">
        <v>1614</v>
      </c>
      <c r="K273" s="53" t="s">
        <v>1615</v>
      </c>
      <c r="L273" s="53" t="s">
        <v>52</v>
      </c>
      <c r="M273" s="53" t="s">
        <v>52</v>
      </c>
      <c r="N273" s="62" t="s">
        <v>1616</v>
      </c>
      <c r="O273" s="62" t="s">
        <v>44</v>
      </c>
      <c r="P273" s="62" t="s">
        <v>1905</v>
      </c>
      <c r="Q273" s="62" t="s">
        <v>1906</v>
      </c>
      <c r="R273" s="51" t="s">
        <v>56</v>
      </c>
      <c r="S273" s="51" t="s">
        <v>1618</v>
      </c>
      <c r="T273" s="60">
        <v>46296.0</v>
      </c>
      <c r="U273" s="42"/>
      <c r="V273" s="62"/>
      <c r="W273" s="64"/>
      <c r="X273" s="76"/>
      <c r="Y273" s="76"/>
      <c r="Z273" s="76"/>
      <c r="AA273" s="76"/>
    </row>
    <row r="274">
      <c r="A274" s="42">
        <f t="shared" si="2"/>
        <v>273</v>
      </c>
      <c r="B274" s="51" t="s">
        <v>41</v>
      </c>
      <c r="C274" s="53" t="s">
        <v>1911</v>
      </c>
      <c r="D274" s="42" t="s">
        <v>44</v>
      </c>
      <c r="E274" s="42" t="s">
        <v>44</v>
      </c>
      <c r="F274" s="53" t="s">
        <v>1612</v>
      </c>
      <c r="G274" s="53" t="s">
        <v>47</v>
      </c>
      <c r="H274" s="53" t="s">
        <v>48</v>
      </c>
      <c r="I274" s="53" t="s">
        <v>485</v>
      </c>
      <c r="J274" s="53" t="s">
        <v>1614</v>
      </c>
      <c r="K274" s="53" t="s">
        <v>1615</v>
      </c>
      <c r="L274" s="53" t="s">
        <v>52</v>
      </c>
      <c r="M274" s="53" t="s">
        <v>52</v>
      </c>
      <c r="N274" s="62" t="s">
        <v>1616</v>
      </c>
      <c r="O274" s="62" t="s">
        <v>44</v>
      </c>
      <c r="P274" s="62" t="s">
        <v>1915</v>
      </c>
      <c r="Q274" s="62" t="s">
        <v>1916</v>
      </c>
      <c r="R274" s="51" t="s">
        <v>56</v>
      </c>
      <c r="S274" s="51" t="s">
        <v>1618</v>
      </c>
      <c r="T274" s="60">
        <v>46296.0</v>
      </c>
      <c r="U274" s="42"/>
      <c r="V274" s="62"/>
      <c r="W274" s="64"/>
      <c r="X274" s="76"/>
      <c r="Y274" s="76"/>
      <c r="Z274" s="76"/>
      <c r="AA274" s="76"/>
    </row>
    <row r="275">
      <c r="A275" s="42">
        <f t="shared" si="2"/>
        <v>274</v>
      </c>
      <c r="B275" s="51" t="s">
        <v>41</v>
      </c>
      <c r="C275" s="53" t="s">
        <v>1921</v>
      </c>
      <c r="D275" s="42" t="s">
        <v>44</v>
      </c>
      <c r="E275" s="42" t="s">
        <v>44</v>
      </c>
      <c r="F275" s="53" t="s">
        <v>1612</v>
      </c>
      <c r="G275" s="53" t="s">
        <v>47</v>
      </c>
      <c r="H275" s="53" t="s">
        <v>95</v>
      </c>
      <c r="I275" s="53" t="s">
        <v>485</v>
      </c>
      <c r="J275" s="53" t="s">
        <v>1614</v>
      </c>
      <c r="K275" s="53" t="s">
        <v>1615</v>
      </c>
      <c r="L275" s="53" t="s">
        <v>52</v>
      </c>
      <c r="M275" s="53" t="s">
        <v>52</v>
      </c>
      <c r="N275" s="62" t="s">
        <v>1926</v>
      </c>
      <c r="O275" s="62" t="s">
        <v>44</v>
      </c>
      <c r="P275" s="62" t="s">
        <v>1927</v>
      </c>
      <c r="Q275" s="62" t="s">
        <v>1928</v>
      </c>
      <c r="R275" s="51" t="s">
        <v>56</v>
      </c>
      <c r="S275" s="51" t="s">
        <v>1618</v>
      </c>
      <c r="T275" s="60">
        <v>46296.0</v>
      </c>
      <c r="U275" s="42"/>
      <c r="V275" s="62"/>
      <c r="W275" s="64"/>
      <c r="X275" s="76"/>
      <c r="Y275" s="76"/>
      <c r="Z275" s="76"/>
      <c r="AA275" s="76"/>
    </row>
    <row r="276">
      <c r="A276" s="42">
        <f t="shared" si="2"/>
        <v>275</v>
      </c>
      <c r="B276" s="51" t="s">
        <v>41</v>
      </c>
      <c r="C276" s="53" t="s">
        <v>1931</v>
      </c>
      <c r="D276" s="42" t="s">
        <v>44</v>
      </c>
      <c r="E276" s="42" t="s">
        <v>44</v>
      </c>
      <c r="F276" s="53" t="s">
        <v>1612</v>
      </c>
      <c r="G276" s="53" t="s">
        <v>47</v>
      </c>
      <c r="H276" s="53" t="s">
        <v>91</v>
      </c>
      <c r="I276" s="53" t="s">
        <v>485</v>
      </c>
      <c r="J276" s="53" t="s">
        <v>1614</v>
      </c>
      <c r="K276" s="53" t="s">
        <v>1615</v>
      </c>
      <c r="L276" s="53" t="s">
        <v>52</v>
      </c>
      <c r="M276" s="53" t="s">
        <v>52</v>
      </c>
      <c r="N276" s="62" t="s">
        <v>1934</v>
      </c>
      <c r="O276" s="62" t="s">
        <v>44</v>
      </c>
      <c r="P276" s="62" t="s">
        <v>1935</v>
      </c>
      <c r="Q276" s="62" t="s">
        <v>1937</v>
      </c>
      <c r="R276" s="51" t="s">
        <v>56</v>
      </c>
      <c r="S276" s="51" t="s">
        <v>1618</v>
      </c>
      <c r="T276" s="60">
        <v>46296.0</v>
      </c>
      <c r="U276" s="42"/>
      <c r="V276" s="62"/>
      <c r="W276" s="64"/>
      <c r="X276" s="76"/>
      <c r="Y276" s="76"/>
      <c r="Z276" s="76"/>
      <c r="AA276" s="76"/>
    </row>
    <row r="277">
      <c r="A277" s="42">
        <f t="shared" si="2"/>
        <v>276</v>
      </c>
      <c r="B277" s="51" t="s">
        <v>41</v>
      </c>
      <c r="C277" s="53" t="s">
        <v>1940</v>
      </c>
      <c r="D277" s="42" t="s">
        <v>44</v>
      </c>
      <c r="E277" s="42" t="s">
        <v>44</v>
      </c>
      <c r="F277" s="53" t="s">
        <v>1612</v>
      </c>
      <c r="G277" s="53" t="s">
        <v>47</v>
      </c>
      <c r="H277" s="53" t="s">
        <v>48</v>
      </c>
      <c r="I277" s="53" t="s">
        <v>485</v>
      </c>
      <c r="J277" s="53" t="s">
        <v>1614</v>
      </c>
      <c r="K277" s="53" t="s">
        <v>1615</v>
      </c>
      <c r="L277" s="53" t="s">
        <v>52</v>
      </c>
      <c r="M277" s="53" t="s">
        <v>52</v>
      </c>
      <c r="N277" s="62" t="s">
        <v>1943</v>
      </c>
      <c r="O277" s="62" t="s">
        <v>44</v>
      </c>
      <c r="P277" s="62" t="s">
        <v>1946</v>
      </c>
      <c r="Q277" s="62" t="s">
        <v>1947</v>
      </c>
      <c r="R277" s="51" t="s">
        <v>56</v>
      </c>
      <c r="S277" s="51" t="s">
        <v>1618</v>
      </c>
      <c r="T277" s="60">
        <v>46296.0</v>
      </c>
      <c r="U277" s="42"/>
      <c r="V277" s="62"/>
      <c r="W277" s="64"/>
      <c r="X277" s="76"/>
      <c r="Y277" s="76"/>
      <c r="Z277" s="76"/>
      <c r="AA277" s="76"/>
    </row>
    <row r="278">
      <c r="A278" s="42">
        <f t="shared" si="2"/>
        <v>277</v>
      </c>
      <c r="B278" s="51" t="s">
        <v>41</v>
      </c>
      <c r="C278" s="53" t="s">
        <v>1949</v>
      </c>
      <c r="D278" s="42" t="s">
        <v>44</v>
      </c>
      <c r="E278" s="42" t="s">
        <v>44</v>
      </c>
      <c r="F278" s="53" t="s">
        <v>1612</v>
      </c>
      <c r="G278" s="53" t="s">
        <v>47</v>
      </c>
      <c r="H278" s="53" t="s">
        <v>91</v>
      </c>
      <c r="I278" s="53" t="s">
        <v>485</v>
      </c>
      <c r="J278" s="53" t="s">
        <v>1614</v>
      </c>
      <c r="K278" s="53" t="s">
        <v>1615</v>
      </c>
      <c r="L278" s="53" t="s">
        <v>52</v>
      </c>
      <c r="M278" s="53" t="s">
        <v>52</v>
      </c>
      <c r="N278" s="62" t="s">
        <v>1934</v>
      </c>
      <c r="O278" s="62" t="s">
        <v>44</v>
      </c>
      <c r="P278" s="62" t="s">
        <v>1953</v>
      </c>
      <c r="Q278" s="309" t="s">
        <v>1954</v>
      </c>
      <c r="R278" s="51" t="s">
        <v>56</v>
      </c>
      <c r="S278" s="51" t="s">
        <v>1618</v>
      </c>
      <c r="T278" s="60">
        <v>46296.0</v>
      </c>
      <c r="U278" s="42"/>
      <c r="V278" s="62"/>
      <c r="W278" s="64"/>
      <c r="X278" s="76"/>
      <c r="Y278" s="76"/>
      <c r="Z278" s="76"/>
      <c r="AA278" s="76"/>
    </row>
    <row r="279">
      <c r="A279" s="42">
        <f t="shared" si="2"/>
        <v>278</v>
      </c>
      <c r="B279" s="51" t="s">
        <v>41</v>
      </c>
      <c r="C279" s="53" t="s">
        <v>1957</v>
      </c>
      <c r="D279" s="42" t="s">
        <v>44</v>
      </c>
      <c r="E279" s="42" t="s">
        <v>44</v>
      </c>
      <c r="F279" s="53" t="s">
        <v>1612</v>
      </c>
      <c r="G279" s="53" t="s">
        <v>47</v>
      </c>
      <c r="H279" s="53" t="s">
        <v>48</v>
      </c>
      <c r="I279" s="53" t="s">
        <v>485</v>
      </c>
      <c r="J279" s="53" t="s">
        <v>1614</v>
      </c>
      <c r="K279" s="53" t="s">
        <v>1615</v>
      </c>
      <c r="L279" s="53" t="s">
        <v>52</v>
      </c>
      <c r="M279" s="53" t="s">
        <v>52</v>
      </c>
      <c r="N279" s="62" t="s">
        <v>1960</v>
      </c>
      <c r="O279" s="62" t="s">
        <v>44</v>
      </c>
      <c r="P279" s="62" t="s">
        <v>1961</v>
      </c>
      <c r="Q279" s="62" t="s">
        <v>1962</v>
      </c>
      <c r="R279" s="51" t="s">
        <v>56</v>
      </c>
      <c r="S279" s="51" t="s">
        <v>1618</v>
      </c>
      <c r="T279" s="60">
        <v>46296.0</v>
      </c>
      <c r="U279" s="42"/>
      <c r="V279" s="62"/>
      <c r="W279" s="64"/>
      <c r="X279" s="76"/>
      <c r="Y279" s="76"/>
      <c r="Z279" s="76"/>
      <c r="AA279" s="76"/>
    </row>
    <row r="280">
      <c r="A280" s="42">
        <f t="shared" si="2"/>
        <v>279</v>
      </c>
      <c r="B280" s="51" t="s">
        <v>41</v>
      </c>
      <c r="C280" s="53" t="s">
        <v>1965</v>
      </c>
      <c r="D280" s="42" t="s">
        <v>44</v>
      </c>
      <c r="E280" s="42" t="s">
        <v>44</v>
      </c>
      <c r="F280" s="53" t="s">
        <v>1612</v>
      </c>
      <c r="G280" s="53" t="s">
        <v>47</v>
      </c>
      <c r="H280" s="53" t="s">
        <v>95</v>
      </c>
      <c r="I280" s="53" t="s">
        <v>485</v>
      </c>
      <c r="J280" s="53" t="s">
        <v>1614</v>
      </c>
      <c r="K280" s="53" t="s">
        <v>1615</v>
      </c>
      <c r="L280" s="53" t="s">
        <v>52</v>
      </c>
      <c r="M280" s="53" t="s">
        <v>52</v>
      </c>
      <c r="N280" s="62" t="s">
        <v>1968</v>
      </c>
      <c r="O280" s="62" t="s">
        <v>44</v>
      </c>
      <c r="P280" s="62" t="s">
        <v>1969</v>
      </c>
      <c r="Q280" s="62" t="s">
        <v>1970</v>
      </c>
      <c r="R280" s="51" t="s">
        <v>56</v>
      </c>
      <c r="S280" s="51" t="s">
        <v>1618</v>
      </c>
      <c r="T280" s="60">
        <v>46296.0</v>
      </c>
      <c r="U280" s="42"/>
      <c r="V280" s="62"/>
      <c r="W280" s="64"/>
      <c r="X280" s="76"/>
      <c r="Y280" s="76"/>
      <c r="Z280" s="76"/>
      <c r="AA280" s="76"/>
    </row>
    <row r="281">
      <c r="A281" s="42">
        <f t="shared" si="2"/>
        <v>280</v>
      </c>
      <c r="B281" s="51" t="s">
        <v>41</v>
      </c>
      <c r="C281" s="53" t="s">
        <v>1975</v>
      </c>
      <c r="D281" s="42" t="s">
        <v>44</v>
      </c>
      <c r="E281" s="42" t="s">
        <v>44</v>
      </c>
      <c r="F281" s="53" t="s">
        <v>1612</v>
      </c>
      <c r="G281" s="53" t="s">
        <v>47</v>
      </c>
      <c r="H281" s="53" t="s">
        <v>95</v>
      </c>
      <c r="I281" s="53" t="s">
        <v>485</v>
      </c>
      <c r="J281" s="53" t="s">
        <v>1614</v>
      </c>
      <c r="K281" s="53" t="s">
        <v>1615</v>
      </c>
      <c r="L281" s="53" t="s">
        <v>52</v>
      </c>
      <c r="M281" s="53" t="s">
        <v>52</v>
      </c>
      <c r="N281" s="62" t="s">
        <v>1976</v>
      </c>
      <c r="O281" s="62" t="s">
        <v>44</v>
      </c>
      <c r="P281" s="62" t="s">
        <v>1977</v>
      </c>
      <c r="Q281" s="62" t="s">
        <v>1978</v>
      </c>
      <c r="R281" s="51" t="s">
        <v>56</v>
      </c>
      <c r="S281" s="51" t="s">
        <v>1618</v>
      </c>
      <c r="T281" s="60">
        <v>46296.0</v>
      </c>
      <c r="U281" s="42"/>
      <c r="V281" s="62"/>
      <c r="W281" s="64"/>
      <c r="X281" s="76"/>
      <c r="Y281" s="76"/>
      <c r="Z281" s="76"/>
      <c r="AA281" s="76"/>
    </row>
    <row r="282">
      <c r="A282" s="42">
        <f t="shared" si="2"/>
        <v>281</v>
      </c>
      <c r="B282" s="51" t="s">
        <v>41</v>
      </c>
      <c r="C282" s="53" t="s">
        <v>1981</v>
      </c>
      <c r="D282" s="42" t="s">
        <v>44</v>
      </c>
      <c r="E282" s="42" t="s">
        <v>44</v>
      </c>
      <c r="F282" s="53" t="s">
        <v>1612</v>
      </c>
      <c r="G282" s="53" t="s">
        <v>47</v>
      </c>
      <c r="H282" s="53" t="s">
        <v>48</v>
      </c>
      <c r="I282" s="53" t="s">
        <v>485</v>
      </c>
      <c r="J282" s="53" t="s">
        <v>1614</v>
      </c>
      <c r="K282" s="53" t="s">
        <v>1615</v>
      </c>
      <c r="L282" s="53" t="s">
        <v>52</v>
      </c>
      <c r="M282" s="53" t="s">
        <v>52</v>
      </c>
      <c r="N282" s="62" t="s">
        <v>1960</v>
      </c>
      <c r="O282" s="62" t="s">
        <v>44</v>
      </c>
      <c r="P282" s="62" t="s">
        <v>1983</v>
      </c>
      <c r="Q282" s="62" t="s">
        <v>1985</v>
      </c>
      <c r="R282" s="51" t="s">
        <v>56</v>
      </c>
      <c r="S282" s="51" t="s">
        <v>1618</v>
      </c>
      <c r="T282" s="60">
        <v>46296.0</v>
      </c>
      <c r="U282" s="42"/>
      <c r="V282" s="62"/>
      <c r="W282" s="64"/>
      <c r="X282" s="76"/>
      <c r="Y282" s="76"/>
      <c r="Z282" s="76"/>
      <c r="AA282" s="76"/>
    </row>
    <row r="283">
      <c r="A283" s="42">
        <f t="shared" si="2"/>
        <v>282</v>
      </c>
      <c r="B283" s="51" t="s">
        <v>41</v>
      </c>
      <c r="C283" s="53" t="s">
        <v>1986</v>
      </c>
      <c r="D283" s="42" t="s">
        <v>44</v>
      </c>
      <c r="E283" s="42" t="s">
        <v>44</v>
      </c>
      <c r="F283" s="53" t="s">
        <v>1612</v>
      </c>
      <c r="G283" s="53" t="s">
        <v>47</v>
      </c>
      <c r="H283" s="53" t="s">
        <v>48</v>
      </c>
      <c r="I283" s="53" t="s">
        <v>485</v>
      </c>
      <c r="J283" s="53" t="s">
        <v>1614</v>
      </c>
      <c r="K283" s="53" t="s">
        <v>1615</v>
      </c>
      <c r="L283" s="53" t="s">
        <v>52</v>
      </c>
      <c r="M283" s="53" t="s">
        <v>52</v>
      </c>
      <c r="N283" s="62" t="s">
        <v>1990</v>
      </c>
      <c r="O283" s="62" t="s">
        <v>44</v>
      </c>
      <c r="P283" s="62" t="s">
        <v>1992</v>
      </c>
      <c r="Q283" s="62" t="s">
        <v>1993</v>
      </c>
      <c r="R283" s="51" t="s">
        <v>56</v>
      </c>
      <c r="S283" s="51" t="s">
        <v>1618</v>
      </c>
      <c r="T283" s="60">
        <v>46296.0</v>
      </c>
      <c r="U283" s="42"/>
      <c r="V283" s="62"/>
      <c r="W283" s="64"/>
      <c r="X283" s="76"/>
      <c r="Y283" s="76"/>
      <c r="Z283" s="76"/>
      <c r="AA283" s="76"/>
    </row>
    <row r="284">
      <c r="A284" s="42">
        <f t="shared" si="2"/>
        <v>283</v>
      </c>
      <c r="B284" s="51" t="s">
        <v>41</v>
      </c>
      <c r="C284" s="53" t="s">
        <v>1997</v>
      </c>
      <c r="D284" s="42" t="s">
        <v>44</v>
      </c>
      <c r="E284" s="42" t="s">
        <v>44</v>
      </c>
      <c r="F284" s="53" t="s">
        <v>1612</v>
      </c>
      <c r="G284" s="53" t="s">
        <v>47</v>
      </c>
      <c r="H284" s="53" t="s">
        <v>95</v>
      </c>
      <c r="I284" s="53" t="s">
        <v>485</v>
      </c>
      <c r="J284" s="53" t="s">
        <v>1614</v>
      </c>
      <c r="K284" s="53" t="s">
        <v>1615</v>
      </c>
      <c r="L284" s="53" t="s">
        <v>52</v>
      </c>
      <c r="M284" s="53" t="s">
        <v>52</v>
      </c>
      <c r="N284" s="62" t="s">
        <v>1999</v>
      </c>
      <c r="O284" s="62" t="s">
        <v>44</v>
      </c>
      <c r="P284" s="62" t="s">
        <v>2000</v>
      </c>
      <c r="Q284" s="62" t="s">
        <v>2001</v>
      </c>
      <c r="R284" s="51"/>
      <c r="S284" s="53"/>
      <c r="T284" s="82"/>
      <c r="U284" s="42"/>
      <c r="V284" s="62"/>
      <c r="W284" s="64"/>
      <c r="X284" s="76"/>
      <c r="Y284" s="76"/>
      <c r="Z284" s="76"/>
      <c r="AA284" s="76"/>
    </row>
    <row r="285">
      <c r="A285" s="42">
        <f t="shared" si="2"/>
        <v>284</v>
      </c>
      <c r="B285" s="51" t="s">
        <v>41</v>
      </c>
      <c r="C285" s="53" t="s">
        <v>2004</v>
      </c>
      <c r="D285" s="42" t="s">
        <v>44</v>
      </c>
      <c r="E285" s="42" t="s">
        <v>44</v>
      </c>
      <c r="F285" s="53" t="s">
        <v>1612</v>
      </c>
      <c r="G285" s="53" t="s">
        <v>47</v>
      </c>
      <c r="H285" s="53" t="s">
        <v>95</v>
      </c>
      <c r="I285" s="53" t="s">
        <v>485</v>
      </c>
      <c r="J285" s="53" t="s">
        <v>1614</v>
      </c>
      <c r="K285" s="53" t="s">
        <v>1615</v>
      </c>
      <c r="L285" s="53" t="s">
        <v>52</v>
      </c>
      <c r="M285" s="53" t="s">
        <v>52</v>
      </c>
      <c r="N285" s="62" t="s">
        <v>2006</v>
      </c>
      <c r="O285" s="62" t="s">
        <v>44</v>
      </c>
      <c r="P285" s="62" t="s">
        <v>2008</v>
      </c>
      <c r="Q285" s="62" t="s">
        <v>2009</v>
      </c>
      <c r="R285" s="53"/>
      <c r="S285" s="53"/>
      <c r="T285" s="82"/>
      <c r="U285" s="42"/>
      <c r="V285" s="62"/>
      <c r="W285" s="64"/>
      <c r="X285" s="76"/>
      <c r="Y285" s="76"/>
      <c r="Z285" s="76"/>
      <c r="AA285" s="76"/>
    </row>
    <row r="286">
      <c r="A286" s="42">
        <f t="shared" si="2"/>
        <v>285</v>
      </c>
      <c r="B286" s="51" t="s">
        <v>41</v>
      </c>
      <c r="C286" s="53" t="s">
        <v>2010</v>
      </c>
      <c r="D286" s="42" t="s">
        <v>44</v>
      </c>
      <c r="E286" s="42" t="s">
        <v>44</v>
      </c>
      <c r="F286" s="53" t="s">
        <v>1612</v>
      </c>
      <c r="G286" s="53" t="s">
        <v>47</v>
      </c>
      <c r="H286" s="53" t="s">
        <v>95</v>
      </c>
      <c r="I286" s="53" t="s">
        <v>485</v>
      </c>
      <c r="J286" s="53" t="s">
        <v>1614</v>
      </c>
      <c r="K286" s="53" t="s">
        <v>1615</v>
      </c>
      <c r="L286" s="53" t="s">
        <v>52</v>
      </c>
      <c r="M286" s="53" t="s">
        <v>52</v>
      </c>
      <c r="N286" s="62" t="s">
        <v>2013</v>
      </c>
      <c r="O286" s="62" t="s">
        <v>44</v>
      </c>
      <c r="P286" s="62" t="s">
        <v>2014</v>
      </c>
      <c r="Q286" s="62" t="s">
        <v>2015</v>
      </c>
      <c r="R286" s="53"/>
      <c r="S286" s="53"/>
      <c r="T286" s="82"/>
      <c r="U286" s="42"/>
      <c r="V286" s="62"/>
      <c r="W286" s="64"/>
      <c r="X286" s="76"/>
      <c r="Y286" s="76"/>
      <c r="Z286" s="76"/>
      <c r="AA286" s="76"/>
    </row>
    <row r="287">
      <c r="A287" s="42">
        <f t="shared" si="2"/>
        <v>286</v>
      </c>
      <c r="B287" s="51" t="s">
        <v>41</v>
      </c>
      <c r="C287" s="53" t="s">
        <v>2016</v>
      </c>
      <c r="D287" s="42" t="s">
        <v>44</v>
      </c>
      <c r="E287" s="42" t="s">
        <v>44</v>
      </c>
      <c r="F287" s="53" t="s">
        <v>1612</v>
      </c>
      <c r="G287" s="53" t="s">
        <v>47</v>
      </c>
      <c r="H287" s="53" t="s">
        <v>95</v>
      </c>
      <c r="I287" s="53" t="s">
        <v>485</v>
      </c>
      <c r="J287" s="53" t="s">
        <v>1614</v>
      </c>
      <c r="K287" s="53" t="s">
        <v>1615</v>
      </c>
      <c r="L287" s="53" t="s">
        <v>52</v>
      </c>
      <c r="M287" s="53" t="s">
        <v>52</v>
      </c>
      <c r="N287" s="62" t="s">
        <v>2019</v>
      </c>
      <c r="O287" s="62" t="s">
        <v>44</v>
      </c>
      <c r="P287" s="62" t="s">
        <v>2020</v>
      </c>
      <c r="Q287" s="62" t="s">
        <v>2021</v>
      </c>
      <c r="R287" s="53"/>
      <c r="S287" s="53"/>
      <c r="T287" s="82"/>
      <c r="U287" s="42"/>
      <c r="V287" s="62"/>
      <c r="W287" s="64"/>
      <c r="X287" s="76"/>
      <c r="Y287" s="76"/>
      <c r="Z287" s="76"/>
      <c r="AA287" s="76"/>
    </row>
    <row r="288">
      <c r="A288" s="42">
        <f t="shared" si="2"/>
        <v>287</v>
      </c>
      <c r="B288" s="51" t="s">
        <v>41</v>
      </c>
      <c r="C288" s="53" t="s">
        <v>2023</v>
      </c>
      <c r="D288" s="42" t="s">
        <v>44</v>
      </c>
      <c r="E288" s="42" t="s">
        <v>44</v>
      </c>
      <c r="F288" s="53" t="s">
        <v>1612</v>
      </c>
      <c r="G288" s="53" t="s">
        <v>197</v>
      </c>
      <c r="H288" s="53" t="s">
        <v>91</v>
      </c>
      <c r="I288" s="53" t="s">
        <v>485</v>
      </c>
      <c r="J288" s="53" t="s">
        <v>1614</v>
      </c>
      <c r="K288" s="53" t="s">
        <v>1615</v>
      </c>
      <c r="L288" s="53" t="s">
        <v>52</v>
      </c>
      <c r="M288" s="53" t="s">
        <v>52</v>
      </c>
      <c r="N288" s="62" t="s">
        <v>2026</v>
      </c>
      <c r="O288" s="62" t="s">
        <v>44</v>
      </c>
      <c r="P288" s="62" t="s">
        <v>2027</v>
      </c>
      <c r="Q288" s="62" t="s">
        <v>2028</v>
      </c>
      <c r="R288" s="51" t="s">
        <v>56</v>
      </c>
      <c r="S288" s="51" t="s">
        <v>1618</v>
      </c>
      <c r="T288" s="60">
        <v>46296.0</v>
      </c>
      <c r="U288" s="42"/>
      <c r="V288" s="62"/>
      <c r="W288" s="64"/>
      <c r="X288" s="76"/>
      <c r="Y288" s="76"/>
      <c r="Z288" s="76"/>
      <c r="AA288" s="76"/>
    </row>
    <row r="289">
      <c r="A289" s="42">
        <f t="shared" si="2"/>
        <v>288</v>
      </c>
      <c r="B289" s="51" t="s">
        <v>41</v>
      </c>
      <c r="C289" s="53" t="s">
        <v>2029</v>
      </c>
      <c r="D289" s="42" t="s">
        <v>44</v>
      </c>
      <c r="E289" s="42" t="s">
        <v>44</v>
      </c>
      <c r="F289" s="53" t="s">
        <v>1612</v>
      </c>
      <c r="G289" s="53" t="s">
        <v>47</v>
      </c>
      <c r="H289" s="53" t="s">
        <v>95</v>
      </c>
      <c r="I289" s="53" t="s">
        <v>485</v>
      </c>
      <c r="J289" s="53" t="s">
        <v>1614</v>
      </c>
      <c r="K289" s="53" t="s">
        <v>1615</v>
      </c>
      <c r="L289" s="53" t="s">
        <v>52</v>
      </c>
      <c r="M289" s="53" t="s">
        <v>52</v>
      </c>
      <c r="N289" s="62" t="s">
        <v>2032</v>
      </c>
      <c r="O289" s="62" t="s">
        <v>44</v>
      </c>
      <c r="P289" s="62" t="s">
        <v>2027</v>
      </c>
      <c r="Q289" s="62" t="s">
        <v>2033</v>
      </c>
      <c r="R289" s="51" t="s">
        <v>56</v>
      </c>
      <c r="S289" s="51" t="s">
        <v>1618</v>
      </c>
      <c r="T289" s="60">
        <v>46296.0</v>
      </c>
      <c r="U289" s="53"/>
      <c r="V289" s="62"/>
      <c r="W289" s="64"/>
      <c r="X289" s="76"/>
      <c r="Y289" s="76"/>
      <c r="Z289" s="76"/>
      <c r="AA289" s="76"/>
    </row>
    <row r="290">
      <c r="A290" s="42">
        <f t="shared" si="2"/>
        <v>289</v>
      </c>
      <c r="B290" s="51" t="s">
        <v>41</v>
      </c>
      <c r="C290" s="53" t="s">
        <v>2034</v>
      </c>
      <c r="D290" s="42" t="s">
        <v>44</v>
      </c>
      <c r="E290" s="42" t="s">
        <v>44</v>
      </c>
      <c r="F290" s="53" t="s">
        <v>1612</v>
      </c>
      <c r="G290" s="53" t="s">
        <v>47</v>
      </c>
      <c r="H290" s="53" t="s">
        <v>48</v>
      </c>
      <c r="I290" s="53" t="s">
        <v>485</v>
      </c>
      <c r="J290" s="53" t="s">
        <v>2036</v>
      </c>
      <c r="K290" s="53" t="s">
        <v>51</v>
      </c>
      <c r="L290" s="53" t="s">
        <v>52</v>
      </c>
      <c r="M290" s="53" t="s">
        <v>52</v>
      </c>
      <c r="N290" s="62" t="s">
        <v>2038</v>
      </c>
      <c r="O290" s="62" t="s">
        <v>44</v>
      </c>
      <c r="P290" s="62" t="s">
        <v>2040</v>
      </c>
      <c r="Q290" s="62" t="s">
        <v>2041</v>
      </c>
      <c r="R290" s="51" t="s">
        <v>56</v>
      </c>
      <c r="S290" s="51" t="s">
        <v>1618</v>
      </c>
      <c r="T290" s="60">
        <v>46296.0</v>
      </c>
      <c r="U290" s="42"/>
      <c r="V290" s="62"/>
      <c r="W290" s="64"/>
      <c r="X290" s="76"/>
      <c r="Y290" s="76"/>
      <c r="Z290" s="76"/>
      <c r="AA290" s="76"/>
    </row>
    <row r="291">
      <c r="A291" s="42">
        <f t="shared" si="2"/>
        <v>290</v>
      </c>
      <c r="B291" s="51" t="s">
        <v>41</v>
      </c>
      <c r="C291" s="53" t="s">
        <v>2043</v>
      </c>
      <c r="D291" s="42" t="s">
        <v>44</v>
      </c>
      <c r="E291" s="42" t="s">
        <v>44</v>
      </c>
      <c r="F291" s="53" t="s">
        <v>1612</v>
      </c>
      <c r="G291" s="53" t="s">
        <v>47</v>
      </c>
      <c r="H291" s="53" t="s">
        <v>95</v>
      </c>
      <c r="I291" s="53" t="s">
        <v>485</v>
      </c>
      <c r="J291" s="53" t="s">
        <v>2036</v>
      </c>
      <c r="K291" s="53" t="s">
        <v>51</v>
      </c>
      <c r="L291" s="53" t="s">
        <v>52</v>
      </c>
      <c r="M291" s="53" t="s">
        <v>52</v>
      </c>
      <c r="N291" s="62" t="s">
        <v>2038</v>
      </c>
      <c r="O291" s="62" t="s">
        <v>44</v>
      </c>
      <c r="P291" s="62" t="s">
        <v>2045</v>
      </c>
      <c r="Q291" s="62" t="s">
        <v>2046</v>
      </c>
      <c r="R291" s="51" t="s">
        <v>56</v>
      </c>
      <c r="S291" s="51" t="s">
        <v>1618</v>
      </c>
      <c r="T291" s="60">
        <v>46296.0</v>
      </c>
      <c r="U291" s="53"/>
      <c r="V291" s="62"/>
      <c r="W291" s="64"/>
      <c r="X291" s="76"/>
      <c r="Y291" s="76"/>
      <c r="Z291" s="76"/>
      <c r="AA291" s="76"/>
    </row>
    <row r="292">
      <c r="A292" s="42">
        <f t="shared" si="2"/>
        <v>291</v>
      </c>
      <c r="B292" s="51" t="s">
        <v>41</v>
      </c>
      <c r="C292" s="53" t="s">
        <v>2048</v>
      </c>
      <c r="D292" s="42" t="s">
        <v>44</v>
      </c>
      <c r="E292" s="42" t="s">
        <v>44</v>
      </c>
      <c r="F292" s="53" t="s">
        <v>1612</v>
      </c>
      <c r="G292" s="53" t="s">
        <v>85</v>
      </c>
      <c r="H292" s="53" t="s">
        <v>86</v>
      </c>
      <c r="I292" s="53" t="s">
        <v>485</v>
      </c>
      <c r="J292" s="53" t="s">
        <v>2036</v>
      </c>
      <c r="K292" s="53" t="s">
        <v>51</v>
      </c>
      <c r="L292" s="53" t="s">
        <v>52</v>
      </c>
      <c r="M292" s="53" t="s">
        <v>52</v>
      </c>
      <c r="N292" s="62" t="s">
        <v>2038</v>
      </c>
      <c r="O292" s="62" t="s">
        <v>44</v>
      </c>
      <c r="P292" s="62" t="s">
        <v>2051</v>
      </c>
      <c r="Q292" s="309" t="s">
        <v>2053</v>
      </c>
      <c r="R292" s="51" t="s">
        <v>56</v>
      </c>
      <c r="S292" s="51" t="s">
        <v>1618</v>
      </c>
      <c r="T292" s="60">
        <v>46296.0</v>
      </c>
      <c r="U292" s="53"/>
      <c r="V292" s="62"/>
      <c r="W292" s="64"/>
      <c r="X292" s="76"/>
      <c r="Y292" s="76"/>
      <c r="Z292" s="76"/>
      <c r="AA292" s="76"/>
    </row>
    <row r="293">
      <c r="A293" s="42">
        <f t="shared" si="2"/>
        <v>292</v>
      </c>
      <c r="B293" s="51" t="s">
        <v>41</v>
      </c>
      <c r="C293" s="53" t="s">
        <v>2054</v>
      </c>
      <c r="D293" s="42" t="s">
        <v>44</v>
      </c>
      <c r="E293" s="42" t="s">
        <v>44</v>
      </c>
      <c r="F293" s="53" t="s">
        <v>1612</v>
      </c>
      <c r="G293" s="53" t="s">
        <v>47</v>
      </c>
      <c r="H293" s="53" t="s">
        <v>48</v>
      </c>
      <c r="I293" s="53" t="s">
        <v>485</v>
      </c>
      <c r="J293" s="53" t="s">
        <v>1614</v>
      </c>
      <c r="K293" s="53" t="s">
        <v>1615</v>
      </c>
      <c r="L293" s="53" t="s">
        <v>52</v>
      </c>
      <c r="M293" s="53" t="s">
        <v>52</v>
      </c>
      <c r="N293" s="62" t="s">
        <v>1616</v>
      </c>
      <c r="O293" s="62" t="s">
        <v>44</v>
      </c>
      <c r="P293" s="62" t="s">
        <v>2058</v>
      </c>
      <c r="Q293" s="62" t="s">
        <v>2060</v>
      </c>
      <c r="R293" s="51" t="s">
        <v>56</v>
      </c>
      <c r="S293" s="51" t="s">
        <v>1618</v>
      </c>
      <c r="T293" s="60">
        <v>46296.0</v>
      </c>
      <c r="U293" s="42"/>
      <c r="V293" s="62"/>
      <c r="W293" s="64"/>
      <c r="X293" s="76"/>
      <c r="Y293" s="76"/>
      <c r="Z293" s="76"/>
      <c r="AA293" s="76"/>
    </row>
    <row r="294">
      <c r="A294" s="42">
        <f t="shared" si="2"/>
        <v>293</v>
      </c>
      <c r="B294" s="51" t="s">
        <v>41</v>
      </c>
      <c r="C294" s="53" t="s">
        <v>2061</v>
      </c>
      <c r="D294" s="42" t="s">
        <v>44</v>
      </c>
      <c r="E294" s="42" t="s">
        <v>44</v>
      </c>
      <c r="F294" s="53" t="s">
        <v>1612</v>
      </c>
      <c r="G294" s="53" t="s">
        <v>47</v>
      </c>
      <c r="H294" s="53" t="s">
        <v>48</v>
      </c>
      <c r="I294" s="53" t="s">
        <v>485</v>
      </c>
      <c r="J294" s="53" t="s">
        <v>1614</v>
      </c>
      <c r="K294" s="53" t="s">
        <v>1615</v>
      </c>
      <c r="L294" s="53" t="s">
        <v>52</v>
      </c>
      <c r="M294" s="53" t="s">
        <v>52</v>
      </c>
      <c r="N294" s="62" t="s">
        <v>1616</v>
      </c>
      <c r="O294" s="62" t="s">
        <v>44</v>
      </c>
      <c r="P294" s="62" t="s">
        <v>2065</v>
      </c>
      <c r="Q294" s="62" t="s">
        <v>2067</v>
      </c>
      <c r="R294" s="51" t="s">
        <v>56</v>
      </c>
      <c r="S294" s="51" t="s">
        <v>1618</v>
      </c>
      <c r="T294" s="60">
        <v>46296.0</v>
      </c>
      <c r="U294" s="42"/>
      <c r="V294" s="62"/>
      <c r="W294" s="64"/>
      <c r="X294" s="76"/>
      <c r="Y294" s="76"/>
      <c r="Z294" s="76"/>
      <c r="AA294" s="76"/>
    </row>
    <row r="295">
      <c r="A295" s="42">
        <f t="shared" si="2"/>
        <v>294</v>
      </c>
      <c r="B295" s="51" t="s">
        <v>41</v>
      </c>
      <c r="C295" s="53" t="s">
        <v>2068</v>
      </c>
      <c r="D295" s="42" t="s">
        <v>44</v>
      </c>
      <c r="E295" s="42" t="s">
        <v>44</v>
      </c>
      <c r="F295" s="53" t="s">
        <v>1612</v>
      </c>
      <c r="G295" s="53" t="s">
        <v>47</v>
      </c>
      <c r="H295" s="53" t="s">
        <v>48</v>
      </c>
      <c r="I295" s="53" t="s">
        <v>485</v>
      </c>
      <c r="J295" s="53" t="s">
        <v>1614</v>
      </c>
      <c r="K295" s="53" t="s">
        <v>1615</v>
      </c>
      <c r="L295" s="53" t="s">
        <v>52</v>
      </c>
      <c r="M295" s="53" t="s">
        <v>52</v>
      </c>
      <c r="N295" s="62" t="s">
        <v>1692</v>
      </c>
      <c r="O295" s="62" t="s">
        <v>44</v>
      </c>
      <c r="P295" s="62" t="s">
        <v>2072</v>
      </c>
      <c r="Q295" s="62" t="s">
        <v>2073</v>
      </c>
      <c r="R295" s="51" t="s">
        <v>56</v>
      </c>
      <c r="S295" s="51" t="s">
        <v>1618</v>
      </c>
      <c r="T295" s="60">
        <v>46296.0</v>
      </c>
      <c r="U295" s="42"/>
      <c r="V295" s="62"/>
      <c r="W295" s="64"/>
      <c r="X295" s="76"/>
      <c r="Y295" s="76"/>
      <c r="Z295" s="76"/>
      <c r="AA295" s="76"/>
    </row>
    <row r="296">
      <c r="A296" s="42">
        <f t="shared" si="2"/>
        <v>295</v>
      </c>
      <c r="B296" s="51" t="s">
        <v>41</v>
      </c>
      <c r="C296" s="53" t="s">
        <v>2074</v>
      </c>
      <c r="D296" s="42" t="s">
        <v>44</v>
      </c>
      <c r="E296" s="42" t="s">
        <v>44</v>
      </c>
      <c r="F296" s="53" t="s">
        <v>1612</v>
      </c>
      <c r="G296" s="53" t="s">
        <v>47</v>
      </c>
      <c r="H296" s="53" t="s">
        <v>95</v>
      </c>
      <c r="I296" s="53" t="s">
        <v>485</v>
      </c>
      <c r="J296" s="53" t="s">
        <v>1614</v>
      </c>
      <c r="K296" s="53" t="s">
        <v>1615</v>
      </c>
      <c r="L296" s="53" t="s">
        <v>52</v>
      </c>
      <c r="M296" s="53" t="s">
        <v>52</v>
      </c>
      <c r="N296" s="62" t="s">
        <v>1697</v>
      </c>
      <c r="O296" s="62" t="s">
        <v>44</v>
      </c>
      <c r="P296" s="62" t="s">
        <v>2072</v>
      </c>
      <c r="Q296" s="62" t="s">
        <v>2079</v>
      </c>
      <c r="R296" s="51" t="s">
        <v>56</v>
      </c>
      <c r="S296" s="51" t="s">
        <v>1618</v>
      </c>
      <c r="T296" s="60">
        <v>46296.0</v>
      </c>
      <c r="U296" s="42"/>
      <c r="V296" s="62"/>
      <c r="W296" s="64"/>
      <c r="X296" s="76"/>
      <c r="Y296" s="76"/>
      <c r="Z296" s="76"/>
      <c r="AA296" s="76"/>
    </row>
    <row r="297">
      <c r="A297" s="42">
        <f t="shared" si="2"/>
        <v>296</v>
      </c>
      <c r="B297" s="51" t="s">
        <v>41</v>
      </c>
      <c r="C297" s="53" t="s">
        <v>2080</v>
      </c>
      <c r="D297" s="42" t="s">
        <v>44</v>
      </c>
      <c r="E297" s="42" t="s">
        <v>44</v>
      </c>
      <c r="F297" s="53" t="s">
        <v>1612</v>
      </c>
      <c r="G297" s="53" t="s">
        <v>47</v>
      </c>
      <c r="H297" s="53" t="s">
        <v>48</v>
      </c>
      <c r="I297" s="53" t="s">
        <v>485</v>
      </c>
      <c r="J297" s="53" t="s">
        <v>1614</v>
      </c>
      <c r="K297" s="53" t="s">
        <v>1615</v>
      </c>
      <c r="L297" s="53" t="s">
        <v>52</v>
      </c>
      <c r="M297" s="53" t="s">
        <v>52</v>
      </c>
      <c r="N297" s="62" t="s">
        <v>2083</v>
      </c>
      <c r="O297" s="62" t="s">
        <v>44</v>
      </c>
      <c r="P297" s="62" t="s">
        <v>2084</v>
      </c>
      <c r="Q297" s="62" t="s">
        <v>2085</v>
      </c>
      <c r="R297" s="53"/>
      <c r="S297" s="53"/>
      <c r="T297" s="82"/>
      <c r="U297" s="42"/>
      <c r="V297" s="62"/>
      <c r="W297" s="64"/>
      <c r="X297" s="76"/>
      <c r="Y297" s="76"/>
      <c r="Z297" s="76"/>
      <c r="AA297" s="76"/>
    </row>
    <row r="298">
      <c r="A298" s="42">
        <f t="shared" si="2"/>
        <v>297</v>
      </c>
      <c r="B298" s="51" t="s">
        <v>41</v>
      </c>
      <c r="C298" s="53" t="s">
        <v>2087</v>
      </c>
      <c r="D298" s="42" t="s">
        <v>44</v>
      </c>
      <c r="E298" s="42" t="s">
        <v>44</v>
      </c>
      <c r="F298" s="53" t="s">
        <v>1612</v>
      </c>
      <c r="G298" s="53" t="s">
        <v>47</v>
      </c>
      <c r="H298" s="53" t="s">
        <v>95</v>
      </c>
      <c r="I298" s="53" t="s">
        <v>485</v>
      </c>
      <c r="J298" s="53" t="s">
        <v>1614</v>
      </c>
      <c r="K298" s="53" t="s">
        <v>1615</v>
      </c>
      <c r="L298" s="53" t="s">
        <v>52</v>
      </c>
      <c r="M298" s="53" t="s">
        <v>52</v>
      </c>
      <c r="N298" s="62" t="s">
        <v>2089</v>
      </c>
      <c r="O298" s="62" t="s">
        <v>44</v>
      </c>
      <c r="P298" s="62" t="s">
        <v>2092</v>
      </c>
      <c r="Q298" s="62" t="s">
        <v>2093</v>
      </c>
      <c r="R298" s="53"/>
      <c r="S298" s="53"/>
      <c r="T298" s="82"/>
      <c r="U298" s="42"/>
      <c r="V298" s="62"/>
      <c r="W298" s="64"/>
      <c r="X298" s="76"/>
      <c r="Y298" s="76"/>
      <c r="Z298" s="76"/>
      <c r="AA298" s="76"/>
    </row>
    <row r="299">
      <c r="A299" s="42">
        <f t="shared" si="2"/>
        <v>298</v>
      </c>
      <c r="B299" s="51" t="s">
        <v>41</v>
      </c>
      <c r="C299" s="53" t="s">
        <v>2095</v>
      </c>
      <c r="D299" s="42" t="s">
        <v>44</v>
      </c>
      <c r="E299" s="42" t="s">
        <v>44</v>
      </c>
      <c r="F299" s="53" t="s">
        <v>1612</v>
      </c>
      <c r="G299" s="53" t="s">
        <v>47</v>
      </c>
      <c r="H299" s="53" t="s">
        <v>95</v>
      </c>
      <c r="I299" s="53" t="s">
        <v>485</v>
      </c>
      <c r="J299" s="53" t="s">
        <v>1614</v>
      </c>
      <c r="K299" s="53" t="s">
        <v>1615</v>
      </c>
      <c r="L299" s="53" t="s">
        <v>52</v>
      </c>
      <c r="M299" s="53" t="s">
        <v>52</v>
      </c>
      <c r="N299" s="62" t="s">
        <v>2097</v>
      </c>
      <c r="O299" s="62" t="s">
        <v>44</v>
      </c>
      <c r="P299" s="62" t="s">
        <v>2099</v>
      </c>
      <c r="Q299" s="62" t="s">
        <v>2100</v>
      </c>
      <c r="R299" s="53"/>
      <c r="S299" s="53"/>
      <c r="T299" s="82"/>
      <c r="U299" s="42"/>
      <c r="V299" s="62"/>
      <c r="W299" s="64"/>
      <c r="X299" s="76"/>
      <c r="Y299" s="76"/>
      <c r="Z299" s="76"/>
      <c r="AA299" s="76"/>
    </row>
    <row r="300">
      <c r="A300" s="42">
        <f t="shared" si="2"/>
        <v>299</v>
      </c>
      <c r="B300" s="51" t="s">
        <v>41</v>
      </c>
      <c r="C300" s="53" t="s">
        <v>2101</v>
      </c>
      <c r="D300" s="42" t="s">
        <v>44</v>
      </c>
      <c r="E300" s="42" t="s">
        <v>44</v>
      </c>
      <c r="F300" s="53" t="s">
        <v>1612</v>
      </c>
      <c r="G300" s="53" t="s">
        <v>47</v>
      </c>
      <c r="H300" s="53" t="s">
        <v>48</v>
      </c>
      <c r="I300" s="53" t="s">
        <v>485</v>
      </c>
      <c r="J300" s="53" t="s">
        <v>1614</v>
      </c>
      <c r="K300" s="53" t="s">
        <v>1615</v>
      </c>
      <c r="L300" s="53" t="s">
        <v>52</v>
      </c>
      <c r="M300" s="53" t="s">
        <v>52</v>
      </c>
      <c r="N300" s="62" t="s">
        <v>2105</v>
      </c>
      <c r="O300" s="62" t="s">
        <v>44</v>
      </c>
      <c r="P300" s="62" t="s">
        <v>2106</v>
      </c>
      <c r="Q300" s="62" t="s">
        <v>2107</v>
      </c>
      <c r="R300" s="53"/>
      <c r="S300" s="53"/>
      <c r="T300" s="82"/>
      <c r="U300" s="42"/>
      <c r="V300" s="62"/>
      <c r="W300" s="64"/>
      <c r="X300" s="76"/>
      <c r="Y300" s="76"/>
      <c r="Z300" s="76"/>
      <c r="AA300" s="76"/>
    </row>
    <row r="301">
      <c r="A301" s="42">
        <f t="shared" si="2"/>
        <v>300</v>
      </c>
      <c r="B301" s="51" t="s">
        <v>41</v>
      </c>
      <c r="C301" s="53" t="s">
        <v>2110</v>
      </c>
      <c r="D301" s="42" t="s">
        <v>44</v>
      </c>
      <c r="E301" s="42" t="s">
        <v>44</v>
      </c>
      <c r="F301" s="53" t="s">
        <v>1612</v>
      </c>
      <c r="G301" s="53" t="s">
        <v>47</v>
      </c>
      <c r="H301" s="53" t="s">
        <v>48</v>
      </c>
      <c r="I301" s="53" t="s">
        <v>485</v>
      </c>
      <c r="J301" s="53" t="s">
        <v>1614</v>
      </c>
      <c r="K301" s="53" t="s">
        <v>1615</v>
      </c>
      <c r="L301" s="53" t="s">
        <v>52</v>
      </c>
      <c r="M301" s="53" t="s">
        <v>52</v>
      </c>
      <c r="N301" s="62" t="s">
        <v>2111</v>
      </c>
      <c r="O301" s="62" t="s">
        <v>44</v>
      </c>
      <c r="P301" s="62" t="s">
        <v>2112</v>
      </c>
      <c r="Q301" s="62" t="s">
        <v>2113</v>
      </c>
      <c r="R301" s="53"/>
      <c r="S301" s="53"/>
      <c r="T301" s="82"/>
      <c r="U301" s="42"/>
      <c r="V301" s="62"/>
      <c r="W301" s="64"/>
      <c r="X301" s="76"/>
      <c r="Y301" s="76"/>
      <c r="Z301" s="76"/>
      <c r="AA301" s="76"/>
    </row>
    <row r="302">
      <c r="A302" s="42">
        <f t="shared" si="2"/>
        <v>301</v>
      </c>
      <c r="B302" s="51" t="s">
        <v>41</v>
      </c>
      <c r="C302" s="53" t="s">
        <v>2116</v>
      </c>
      <c r="D302" s="42" t="s">
        <v>44</v>
      </c>
      <c r="E302" s="42" t="s">
        <v>44</v>
      </c>
      <c r="F302" s="53" t="s">
        <v>1612</v>
      </c>
      <c r="G302" s="53" t="s">
        <v>47</v>
      </c>
      <c r="H302" s="53" t="s">
        <v>48</v>
      </c>
      <c r="I302" s="53" t="s">
        <v>485</v>
      </c>
      <c r="J302" s="53" t="s">
        <v>1614</v>
      </c>
      <c r="K302" s="53" t="s">
        <v>1615</v>
      </c>
      <c r="L302" s="53" t="s">
        <v>52</v>
      </c>
      <c r="M302" s="53" t="s">
        <v>52</v>
      </c>
      <c r="N302" s="62" t="s">
        <v>2117</v>
      </c>
      <c r="O302" s="62" t="s">
        <v>44</v>
      </c>
      <c r="P302" s="62" t="s">
        <v>2119</v>
      </c>
      <c r="Q302" s="62" t="s">
        <v>2120</v>
      </c>
      <c r="R302" s="51" t="s">
        <v>71</v>
      </c>
      <c r="S302" s="51" t="s">
        <v>1618</v>
      </c>
      <c r="T302" s="60">
        <v>46296.0</v>
      </c>
      <c r="U302" s="308" t="s">
        <v>2123</v>
      </c>
      <c r="V302" s="309" t="s">
        <v>2131</v>
      </c>
      <c r="W302" s="64"/>
      <c r="X302" s="76"/>
      <c r="Y302" s="76"/>
      <c r="Z302" s="76"/>
      <c r="AA302" s="76"/>
    </row>
    <row r="303">
      <c r="A303" s="42">
        <f t="shared" si="2"/>
        <v>302</v>
      </c>
      <c r="B303" s="51" t="s">
        <v>41</v>
      </c>
      <c r="C303" s="53" t="s">
        <v>2134</v>
      </c>
      <c r="D303" s="42" t="s">
        <v>44</v>
      </c>
      <c r="E303" s="42" t="s">
        <v>44</v>
      </c>
      <c r="F303" s="53" t="s">
        <v>1612</v>
      </c>
      <c r="G303" s="53" t="s">
        <v>47</v>
      </c>
      <c r="H303" s="53" t="s">
        <v>48</v>
      </c>
      <c r="I303" s="53" t="s">
        <v>485</v>
      </c>
      <c r="J303" s="53" t="s">
        <v>1614</v>
      </c>
      <c r="K303" s="53" t="s">
        <v>1615</v>
      </c>
      <c r="L303" s="53" t="s">
        <v>52</v>
      </c>
      <c r="M303" s="53" t="s">
        <v>52</v>
      </c>
      <c r="N303" s="62" t="s">
        <v>2135</v>
      </c>
      <c r="O303" s="62" t="s">
        <v>44</v>
      </c>
      <c r="P303" s="62" t="s">
        <v>2137</v>
      </c>
      <c r="Q303" s="62" t="s">
        <v>2138</v>
      </c>
      <c r="R303" s="51" t="s">
        <v>72</v>
      </c>
      <c r="S303" s="51" t="s">
        <v>1618</v>
      </c>
      <c r="T303" s="60">
        <v>46296.0</v>
      </c>
      <c r="U303" s="42"/>
      <c r="V303" s="309" t="s">
        <v>1274</v>
      </c>
      <c r="W303" s="64"/>
      <c r="X303" s="76"/>
      <c r="Y303" s="76"/>
      <c r="Z303" s="76"/>
      <c r="AA303" s="76"/>
    </row>
    <row r="304">
      <c r="A304" s="42">
        <f t="shared" si="2"/>
        <v>303</v>
      </c>
      <c r="B304" s="51" t="s">
        <v>41</v>
      </c>
      <c r="C304" s="53" t="s">
        <v>2140</v>
      </c>
      <c r="D304" s="42" t="s">
        <v>44</v>
      </c>
      <c r="E304" s="42" t="s">
        <v>44</v>
      </c>
      <c r="F304" s="53" t="s">
        <v>1612</v>
      </c>
      <c r="G304" s="53" t="s">
        <v>47</v>
      </c>
      <c r="H304" s="53" t="s">
        <v>95</v>
      </c>
      <c r="I304" s="53" t="s">
        <v>485</v>
      </c>
      <c r="J304" s="53" t="s">
        <v>1614</v>
      </c>
      <c r="K304" s="53" t="s">
        <v>1615</v>
      </c>
      <c r="L304" s="53" t="s">
        <v>52</v>
      </c>
      <c r="M304" s="53" t="s">
        <v>52</v>
      </c>
      <c r="N304" s="62" t="s">
        <v>2142</v>
      </c>
      <c r="O304" s="62" t="s">
        <v>44</v>
      </c>
      <c r="P304" s="62" t="s">
        <v>2143</v>
      </c>
      <c r="Q304" s="62" t="s">
        <v>2145</v>
      </c>
      <c r="R304" s="51" t="s">
        <v>72</v>
      </c>
      <c r="S304" s="51" t="s">
        <v>1618</v>
      </c>
      <c r="T304" s="60">
        <v>46296.0</v>
      </c>
      <c r="U304" s="42"/>
      <c r="V304" s="309" t="s">
        <v>1274</v>
      </c>
      <c r="W304" s="64"/>
      <c r="X304" s="76"/>
      <c r="Y304" s="76"/>
      <c r="Z304" s="76"/>
      <c r="AA304" s="76"/>
    </row>
    <row r="305">
      <c r="A305" s="42">
        <f t="shared" si="2"/>
        <v>304</v>
      </c>
      <c r="B305" s="51" t="s">
        <v>41</v>
      </c>
      <c r="C305" s="53" t="s">
        <v>2146</v>
      </c>
      <c r="D305" s="42" t="s">
        <v>44</v>
      </c>
      <c r="E305" s="42" t="s">
        <v>44</v>
      </c>
      <c r="F305" s="53" t="s">
        <v>1612</v>
      </c>
      <c r="G305" s="53" t="s">
        <v>47</v>
      </c>
      <c r="H305" s="53" t="s">
        <v>48</v>
      </c>
      <c r="I305" s="53" t="s">
        <v>485</v>
      </c>
      <c r="J305" s="53" t="s">
        <v>1614</v>
      </c>
      <c r="K305" s="53" t="s">
        <v>1615</v>
      </c>
      <c r="L305" s="53" t="s">
        <v>52</v>
      </c>
      <c r="M305" s="53" t="s">
        <v>52</v>
      </c>
      <c r="N305" s="62" t="s">
        <v>1616</v>
      </c>
      <c r="O305" s="62" t="s">
        <v>44</v>
      </c>
      <c r="P305" s="62" t="s">
        <v>2149</v>
      </c>
      <c r="Q305" s="62" t="s">
        <v>2150</v>
      </c>
      <c r="R305" s="51" t="s">
        <v>56</v>
      </c>
      <c r="S305" s="51" t="s">
        <v>1618</v>
      </c>
      <c r="T305" s="60">
        <v>46296.0</v>
      </c>
      <c r="U305" s="42"/>
      <c r="V305" s="62"/>
      <c r="W305" s="64"/>
      <c r="X305" s="76"/>
      <c r="Y305" s="76"/>
      <c r="Z305" s="76"/>
      <c r="AA305" s="76"/>
    </row>
    <row r="306">
      <c r="A306" s="42">
        <f t="shared" si="2"/>
        <v>305</v>
      </c>
      <c r="B306" s="51" t="s">
        <v>41</v>
      </c>
      <c r="C306" s="53" t="s">
        <v>2152</v>
      </c>
      <c r="D306" s="42" t="s">
        <v>44</v>
      </c>
      <c r="E306" s="42" t="s">
        <v>44</v>
      </c>
      <c r="F306" s="53" t="s">
        <v>1612</v>
      </c>
      <c r="G306" s="53" t="s">
        <v>47</v>
      </c>
      <c r="H306" s="53" t="s">
        <v>48</v>
      </c>
      <c r="I306" s="53" t="s">
        <v>485</v>
      </c>
      <c r="J306" s="53" t="s">
        <v>1614</v>
      </c>
      <c r="K306" s="53" t="s">
        <v>1615</v>
      </c>
      <c r="L306" s="53" t="s">
        <v>52</v>
      </c>
      <c r="M306" s="53" t="s">
        <v>52</v>
      </c>
      <c r="N306" s="62" t="s">
        <v>1616</v>
      </c>
      <c r="O306" s="62" t="s">
        <v>44</v>
      </c>
      <c r="P306" s="62" t="s">
        <v>2155</v>
      </c>
      <c r="Q306" s="309" t="s">
        <v>2156</v>
      </c>
      <c r="R306" s="51" t="s">
        <v>56</v>
      </c>
      <c r="S306" s="51" t="s">
        <v>1618</v>
      </c>
      <c r="T306" s="60">
        <v>46296.0</v>
      </c>
      <c r="U306" s="42"/>
      <c r="V306" s="62"/>
      <c r="W306" s="64"/>
      <c r="X306" s="76"/>
      <c r="Y306" s="76"/>
      <c r="Z306" s="76"/>
      <c r="AA306" s="76"/>
    </row>
    <row r="307">
      <c r="A307" s="42">
        <f t="shared" si="2"/>
        <v>306</v>
      </c>
      <c r="B307" s="51" t="s">
        <v>41</v>
      </c>
      <c r="C307" s="53" t="s">
        <v>2158</v>
      </c>
      <c r="D307" s="42" t="s">
        <v>44</v>
      </c>
      <c r="E307" s="42" t="s">
        <v>44</v>
      </c>
      <c r="F307" s="53" t="s">
        <v>1612</v>
      </c>
      <c r="G307" s="53" t="s">
        <v>47</v>
      </c>
      <c r="H307" s="53" t="s">
        <v>48</v>
      </c>
      <c r="I307" s="53" t="s">
        <v>485</v>
      </c>
      <c r="J307" s="53" t="s">
        <v>1614</v>
      </c>
      <c r="K307" s="53" t="s">
        <v>1615</v>
      </c>
      <c r="L307" s="53" t="s">
        <v>52</v>
      </c>
      <c r="M307" s="53" t="s">
        <v>52</v>
      </c>
      <c r="N307" s="62" t="s">
        <v>2160</v>
      </c>
      <c r="O307" s="62" t="s">
        <v>44</v>
      </c>
      <c r="P307" s="309" t="s">
        <v>2161</v>
      </c>
      <c r="Q307" s="309" t="s">
        <v>2162</v>
      </c>
      <c r="R307" s="51" t="s">
        <v>56</v>
      </c>
      <c r="S307" s="51" t="s">
        <v>1618</v>
      </c>
      <c r="T307" s="60">
        <v>46296.0</v>
      </c>
      <c r="U307" s="42"/>
      <c r="V307" s="62"/>
      <c r="W307" s="64"/>
      <c r="X307" s="76"/>
      <c r="Y307" s="76"/>
      <c r="Z307" s="76"/>
      <c r="AA307" s="76"/>
    </row>
    <row r="308">
      <c r="A308" s="42">
        <f t="shared" si="2"/>
        <v>307</v>
      </c>
      <c r="B308" s="51" t="s">
        <v>41</v>
      </c>
      <c r="C308" s="53" t="s">
        <v>2165</v>
      </c>
      <c r="D308" s="42" t="s">
        <v>44</v>
      </c>
      <c r="E308" s="42" t="s">
        <v>44</v>
      </c>
      <c r="F308" s="53" t="s">
        <v>1612</v>
      </c>
      <c r="G308" s="53" t="s">
        <v>47</v>
      </c>
      <c r="H308" s="53" t="s">
        <v>95</v>
      </c>
      <c r="I308" s="53" t="s">
        <v>485</v>
      </c>
      <c r="J308" s="53" t="s">
        <v>1614</v>
      </c>
      <c r="K308" s="53" t="s">
        <v>1615</v>
      </c>
      <c r="L308" s="53" t="s">
        <v>52</v>
      </c>
      <c r="M308" s="53" t="s">
        <v>52</v>
      </c>
      <c r="N308" s="62" t="s">
        <v>2166</v>
      </c>
      <c r="O308" s="62" t="s">
        <v>44</v>
      </c>
      <c r="P308" s="309" t="s">
        <v>2167</v>
      </c>
      <c r="Q308" s="309" t="s">
        <v>2168</v>
      </c>
      <c r="R308" s="51" t="s">
        <v>56</v>
      </c>
      <c r="S308" s="51" t="s">
        <v>1618</v>
      </c>
      <c r="T308" s="60">
        <v>46296.0</v>
      </c>
      <c r="U308" s="42"/>
      <c r="V308" s="62"/>
      <c r="W308" s="64"/>
      <c r="X308" s="76"/>
      <c r="Y308" s="76"/>
      <c r="Z308" s="76"/>
      <c r="AA308" s="76"/>
    </row>
    <row r="309">
      <c r="A309" s="42">
        <f t="shared" si="2"/>
        <v>308</v>
      </c>
      <c r="B309" s="51" t="s">
        <v>41</v>
      </c>
      <c r="C309" s="53" t="s">
        <v>2171</v>
      </c>
      <c r="D309" s="42" t="s">
        <v>44</v>
      </c>
      <c r="E309" s="42" t="s">
        <v>44</v>
      </c>
      <c r="F309" s="53" t="s">
        <v>1612</v>
      </c>
      <c r="G309" s="53" t="s">
        <v>47</v>
      </c>
      <c r="H309" s="53" t="s">
        <v>95</v>
      </c>
      <c r="I309" s="53" t="s">
        <v>485</v>
      </c>
      <c r="J309" s="53" t="s">
        <v>1614</v>
      </c>
      <c r="K309" s="53" t="s">
        <v>1615</v>
      </c>
      <c r="L309" s="53" t="s">
        <v>52</v>
      </c>
      <c r="M309" s="53" t="s">
        <v>52</v>
      </c>
      <c r="N309" s="62" t="s">
        <v>2172</v>
      </c>
      <c r="O309" s="62" t="s">
        <v>44</v>
      </c>
      <c r="P309" s="309" t="s">
        <v>2167</v>
      </c>
      <c r="Q309" s="309" t="s">
        <v>2162</v>
      </c>
      <c r="R309" s="51" t="s">
        <v>56</v>
      </c>
      <c r="S309" s="51" t="s">
        <v>1618</v>
      </c>
      <c r="T309" s="60">
        <v>46296.0</v>
      </c>
      <c r="U309" s="42"/>
      <c r="V309" s="62"/>
      <c r="W309" s="64"/>
      <c r="X309" s="76"/>
      <c r="Y309" s="76"/>
      <c r="Z309" s="76"/>
      <c r="AA309" s="76"/>
    </row>
    <row r="310">
      <c r="A310" s="42">
        <f t="shared" si="2"/>
        <v>309</v>
      </c>
      <c r="B310" s="51" t="s">
        <v>41</v>
      </c>
      <c r="C310" s="53" t="s">
        <v>2175</v>
      </c>
      <c r="D310" s="42" t="s">
        <v>44</v>
      </c>
      <c r="E310" s="42" t="s">
        <v>44</v>
      </c>
      <c r="F310" s="53" t="s">
        <v>1612</v>
      </c>
      <c r="G310" s="53" t="s">
        <v>197</v>
      </c>
      <c r="H310" s="53" t="s">
        <v>91</v>
      </c>
      <c r="I310" s="53" t="s">
        <v>485</v>
      </c>
      <c r="J310" s="53" t="s">
        <v>1614</v>
      </c>
      <c r="K310" s="53" t="s">
        <v>1615</v>
      </c>
      <c r="L310" s="53" t="s">
        <v>52</v>
      </c>
      <c r="M310" s="53" t="s">
        <v>52</v>
      </c>
      <c r="N310" s="62" t="s">
        <v>2160</v>
      </c>
      <c r="O310" s="62" t="s">
        <v>44</v>
      </c>
      <c r="P310" s="62" t="s">
        <v>2178</v>
      </c>
      <c r="Q310" s="62" t="s">
        <v>2179</v>
      </c>
      <c r="R310" s="51" t="s">
        <v>56</v>
      </c>
      <c r="S310" s="51" t="s">
        <v>1618</v>
      </c>
      <c r="T310" s="60">
        <v>46296.0</v>
      </c>
      <c r="U310" s="42"/>
      <c r="V310" s="62"/>
      <c r="W310" s="64"/>
      <c r="X310" s="76"/>
      <c r="Y310" s="76"/>
      <c r="Z310" s="76"/>
      <c r="AA310" s="76"/>
    </row>
    <row r="311">
      <c r="A311" s="42">
        <f t="shared" si="2"/>
        <v>310</v>
      </c>
      <c r="B311" s="51" t="s">
        <v>41</v>
      </c>
      <c r="C311" s="53" t="s">
        <v>2180</v>
      </c>
      <c r="D311" s="42" t="s">
        <v>44</v>
      </c>
      <c r="E311" s="42" t="s">
        <v>44</v>
      </c>
      <c r="F311" s="53" t="s">
        <v>1612</v>
      </c>
      <c r="G311" s="53" t="s">
        <v>197</v>
      </c>
      <c r="H311" s="53" t="s">
        <v>91</v>
      </c>
      <c r="I311" s="53" t="s">
        <v>485</v>
      </c>
      <c r="J311" s="53" t="s">
        <v>1614</v>
      </c>
      <c r="K311" s="53" t="s">
        <v>1615</v>
      </c>
      <c r="L311" s="53" t="s">
        <v>52</v>
      </c>
      <c r="M311" s="53" t="s">
        <v>52</v>
      </c>
      <c r="N311" s="62" t="s">
        <v>2160</v>
      </c>
      <c r="O311" s="62" t="s">
        <v>44</v>
      </c>
      <c r="P311" s="62" t="s">
        <v>2183</v>
      </c>
      <c r="Q311" s="62" t="s">
        <v>2184</v>
      </c>
      <c r="R311" s="51" t="s">
        <v>56</v>
      </c>
      <c r="S311" s="51" t="s">
        <v>1618</v>
      </c>
      <c r="T311" s="60">
        <v>46296.0</v>
      </c>
      <c r="U311" s="42"/>
      <c r="V311" s="62"/>
      <c r="W311" s="64"/>
      <c r="X311" s="76"/>
      <c r="Y311" s="76"/>
      <c r="Z311" s="76"/>
      <c r="AA311" s="76"/>
    </row>
    <row r="312">
      <c r="A312" s="51">
        <v>311.0</v>
      </c>
      <c r="B312" s="51" t="s">
        <v>41</v>
      </c>
      <c r="C312" s="53"/>
      <c r="D312" s="42"/>
      <c r="E312" s="42"/>
      <c r="F312" s="53" t="s">
        <v>1612</v>
      </c>
      <c r="G312" s="53" t="s">
        <v>197</v>
      </c>
      <c r="H312" s="53" t="s">
        <v>91</v>
      </c>
      <c r="I312" s="53" t="s">
        <v>485</v>
      </c>
      <c r="J312" s="53" t="s">
        <v>1614</v>
      </c>
      <c r="K312" s="53" t="s">
        <v>1615</v>
      </c>
      <c r="L312" s="53" t="s">
        <v>52</v>
      </c>
      <c r="M312" s="53" t="s">
        <v>52</v>
      </c>
      <c r="N312" s="62" t="s">
        <v>2160</v>
      </c>
      <c r="O312" s="62" t="s">
        <v>44</v>
      </c>
      <c r="P312" s="309" t="s">
        <v>2187</v>
      </c>
      <c r="Q312" s="309" t="s">
        <v>2188</v>
      </c>
      <c r="R312" s="51" t="s">
        <v>56</v>
      </c>
      <c r="S312" s="51" t="s">
        <v>1618</v>
      </c>
      <c r="T312" s="60">
        <v>46296.0</v>
      </c>
      <c r="U312" s="42"/>
      <c r="V312" s="62"/>
      <c r="W312" s="64"/>
      <c r="X312" s="76"/>
      <c r="Y312" s="76"/>
      <c r="Z312" s="76"/>
      <c r="AA312" s="76"/>
    </row>
    <row r="313">
      <c r="A313" s="42">
        <f t="shared" ref="A313:A3524" si="3">ROW()-1</f>
        <v>312</v>
      </c>
      <c r="B313" s="51" t="s">
        <v>41</v>
      </c>
      <c r="C313" s="53" t="s">
        <v>2192</v>
      </c>
      <c r="D313" s="42" t="s">
        <v>44</v>
      </c>
      <c r="E313" s="42" t="s">
        <v>44</v>
      </c>
      <c r="F313" s="53" t="s">
        <v>1612</v>
      </c>
      <c r="G313" s="53" t="s">
        <v>197</v>
      </c>
      <c r="H313" s="53" t="s">
        <v>91</v>
      </c>
      <c r="I313" s="53" t="s">
        <v>485</v>
      </c>
      <c r="J313" s="53" t="s">
        <v>1614</v>
      </c>
      <c r="K313" s="53" t="s">
        <v>1615</v>
      </c>
      <c r="L313" s="53" t="s">
        <v>52</v>
      </c>
      <c r="M313" s="53" t="s">
        <v>52</v>
      </c>
      <c r="N313" s="62" t="s">
        <v>2160</v>
      </c>
      <c r="O313" s="62" t="s">
        <v>44</v>
      </c>
      <c r="P313" s="62" t="s">
        <v>2194</v>
      </c>
      <c r="Q313" s="62" t="s">
        <v>2195</v>
      </c>
      <c r="R313" s="51" t="s">
        <v>56</v>
      </c>
      <c r="S313" s="51" t="s">
        <v>1618</v>
      </c>
      <c r="T313" s="60">
        <v>46296.0</v>
      </c>
      <c r="U313" s="42"/>
      <c r="V313" s="62"/>
      <c r="W313" s="64"/>
      <c r="X313" s="76"/>
      <c r="Y313" s="76"/>
      <c r="Z313" s="76"/>
      <c r="AA313" s="76"/>
    </row>
    <row r="314">
      <c r="A314" s="42">
        <f t="shared" si="3"/>
        <v>313</v>
      </c>
      <c r="B314" s="51" t="s">
        <v>41</v>
      </c>
      <c r="C314" s="53" t="s">
        <v>2198</v>
      </c>
      <c r="D314" s="42" t="s">
        <v>44</v>
      </c>
      <c r="E314" s="42" t="s">
        <v>44</v>
      </c>
      <c r="F314" s="53" t="s">
        <v>1612</v>
      </c>
      <c r="G314" s="53" t="s">
        <v>47</v>
      </c>
      <c r="H314" s="53" t="s">
        <v>95</v>
      </c>
      <c r="I314" s="53" t="s">
        <v>485</v>
      </c>
      <c r="J314" s="53" t="s">
        <v>1614</v>
      </c>
      <c r="K314" s="53" t="s">
        <v>1615</v>
      </c>
      <c r="L314" s="53" t="s">
        <v>52</v>
      </c>
      <c r="M314" s="53" t="s">
        <v>52</v>
      </c>
      <c r="N314" s="62" t="s">
        <v>2199</v>
      </c>
      <c r="O314" s="62" t="s">
        <v>44</v>
      </c>
      <c r="P314" s="62" t="s">
        <v>2200</v>
      </c>
      <c r="Q314" s="62" t="s">
        <v>2201</v>
      </c>
      <c r="R314" s="51" t="s">
        <v>56</v>
      </c>
      <c r="S314" s="51" t="s">
        <v>1618</v>
      </c>
      <c r="T314" s="60">
        <v>46296.0</v>
      </c>
      <c r="U314" s="42"/>
      <c r="V314" s="62"/>
      <c r="W314" s="64"/>
      <c r="X314" s="76"/>
      <c r="Y314" s="76"/>
      <c r="Z314" s="76"/>
      <c r="AA314" s="76"/>
    </row>
    <row r="315">
      <c r="A315" s="42">
        <f t="shared" si="3"/>
        <v>314</v>
      </c>
      <c r="B315" s="51" t="s">
        <v>41</v>
      </c>
      <c r="C315" s="53" t="s">
        <v>2206</v>
      </c>
      <c r="D315" s="42" t="s">
        <v>44</v>
      </c>
      <c r="E315" s="42" t="s">
        <v>44</v>
      </c>
      <c r="F315" s="53" t="s">
        <v>1612</v>
      </c>
      <c r="G315" s="53" t="s">
        <v>47</v>
      </c>
      <c r="H315" s="53" t="s">
        <v>48</v>
      </c>
      <c r="I315" s="53" t="s">
        <v>485</v>
      </c>
      <c r="J315" s="53" t="s">
        <v>1614</v>
      </c>
      <c r="K315" s="53" t="s">
        <v>1615</v>
      </c>
      <c r="L315" s="53" t="s">
        <v>52</v>
      </c>
      <c r="M315" s="53" t="s">
        <v>52</v>
      </c>
      <c r="N315" s="62" t="s">
        <v>2209</v>
      </c>
      <c r="O315" s="62" t="s">
        <v>44</v>
      </c>
      <c r="P315" s="62" t="s">
        <v>2210</v>
      </c>
      <c r="Q315" s="62" t="s">
        <v>2211</v>
      </c>
      <c r="R315" s="51" t="s">
        <v>56</v>
      </c>
      <c r="S315" s="51" t="s">
        <v>1618</v>
      </c>
      <c r="T315" s="60">
        <v>46296.0</v>
      </c>
      <c r="U315" s="42"/>
      <c r="V315" s="62"/>
      <c r="W315" s="64"/>
      <c r="X315" s="76"/>
      <c r="Y315" s="76"/>
      <c r="Z315" s="76"/>
      <c r="AA315" s="76"/>
    </row>
    <row r="316">
      <c r="A316" s="42">
        <f t="shared" si="3"/>
        <v>315</v>
      </c>
      <c r="B316" s="51" t="s">
        <v>41</v>
      </c>
      <c r="C316" s="53" t="s">
        <v>2214</v>
      </c>
      <c r="D316" s="42" t="s">
        <v>44</v>
      </c>
      <c r="E316" s="42" t="s">
        <v>44</v>
      </c>
      <c r="F316" s="53" t="s">
        <v>1612</v>
      </c>
      <c r="G316" s="53" t="s">
        <v>47</v>
      </c>
      <c r="H316" s="53" t="s">
        <v>48</v>
      </c>
      <c r="I316" s="53" t="s">
        <v>485</v>
      </c>
      <c r="J316" s="53" t="s">
        <v>1614</v>
      </c>
      <c r="K316" s="53" t="s">
        <v>1615</v>
      </c>
      <c r="L316" s="53" t="s">
        <v>52</v>
      </c>
      <c r="M316" s="53" t="s">
        <v>52</v>
      </c>
      <c r="N316" s="309" t="s">
        <v>2217</v>
      </c>
      <c r="O316" s="62" t="s">
        <v>44</v>
      </c>
      <c r="P316" s="62" t="s">
        <v>2218</v>
      </c>
      <c r="Q316" s="62" t="s">
        <v>2219</v>
      </c>
      <c r="R316" s="51" t="s">
        <v>56</v>
      </c>
      <c r="S316" s="51" t="s">
        <v>1618</v>
      </c>
      <c r="T316" s="60">
        <v>46296.0</v>
      </c>
      <c r="U316" s="42"/>
      <c r="V316" s="62"/>
      <c r="W316" s="64"/>
      <c r="X316" s="76"/>
      <c r="Y316" s="76"/>
      <c r="Z316" s="76"/>
      <c r="AA316" s="76"/>
    </row>
    <row r="317">
      <c r="A317" s="42">
        <f t="shared" si="3"/>
        <v>316</v>
      </c>
      <c r="B317" s="51" t="s">
        <v>41</v>
      </c>
      <c r="C317" s="53" t="s">
        <v>2222</v>
      </c>
      <c r="D317" s="42" t="s">
        <v>44</v>
      </c>
      <c r="E317" s="42" t="s">
        <v>44</v>
      </c>
      <c r="F317" s="53" t="s">
        <v>1612</v>
      </c>
      <c r="G317" s="53" t="s">
        <v>47</v>
      </c>
      <c r="H317" s="53" t="s">
        <v>95</v>
      </c>
      <c r="I317" s="53" t="s">
        <v>485</v>
      </c>
      <c r="J317" s="53" t="s">
        <v>1614</v>
      </c>
      <c r="K317" s="53" t="s">
        <v>1615</v>
      </c>
      <c r="L317" s="53" t="s">
        <v>52</v>
      </c>
      <c r="M317" s="53" t="s">
        <v>52</v>
      </c>
      <c r="N317" s="62" t="s">
        <v>2223</v>
      </c>
      <c r="O317" s="62" t="s">
        <v>44</v>
      </c>
      <c r="P317" s="62" t="s">
        <v>2224</v>
      </c>
      <c r="Q317" s="62" t="s">
        <v>2225</v>
      </c>
      <c r="R317" s="51" t="s">
        <v>56</v>
      </c>
      <c r="S317" s="51" t="s">
        <v>1618</v>
      </c>
      <c r="T317" s="60">
        <v>46297.0</v>
      </c>
      <c r="U317" s="42"/>
      <c r="V317" s="62"/>
      <c r="W317" s="64"/>
      <c r="X317" s="76"/>
      <c r="Y317" s="76"/>
      <c r="Z317" s="76"/>
      <c r="AA317" s="76"/>
    </row>
    <row r="318">
      <c r="A318" s="42">
        <f t="shared" si="3"/>
        <v>317</v>
      </c>
      <c r="B318" s="51" t="s">
        <v>41</v>
      </c>
      <c r="C318" s="53" t="s">
        <v>2228</v>
      </c>
      <c r="D318" s="42" t="s">
        <v>44</v>
      </c>
      <c r="E318" s="42" t="s">
        <v>44</v>
      </c>
      <c r="F318" s="53" t="s">
        <v>1612</v>
      </c>
      <c r="G318" s="53" t="s">
        <v>47</v>
      </c>
      <c r="H318" s="53" t="s">
        <v>48</v>
      </c>
      <c r="I318" s="53" t="s">
        <v>485</v>
      </c>
      <c r="J318" s="53" t="s">
        <v>1614</v>
      </c>
      <c r="K318" s="53" t="s">
        <v>1615</v>
      </c>
      <c r="L318" s="53" t="s">
        <v>52</v>
      </c>
      <c r="M318" s="53" t="s">
        <v>52</v>
      </c>
      <c r="N318" s="62" t="s">
        <v>2223</v>
      </c>
      <c r="O318" s="62" t="s">
        <v>44</v>
      </c>
      <c r="P318" s="62" t="s">
        <v>2230</v>
      </c>
      <c r="Q318" s="309" t="s">
        <v>2231</v>
      </c>
      <c r="R318" s="51" t="s">
        <v>56</v>
      </c>
      <c r="S318" s="51" t="s">
        <v>1618</v>
      </c>
      <c r="T318" s="60">
        <v>46297.0</v>
      </c>
      <c r="U318" s="42"/>
      <c r="V318" s="62"/>
      <c r="W318" s="64"/>
      <c r="X318" s="76"/>
      <c r="Y318" s="76"/>
      <c r="Z318" s="76"/>
      <c r="AA318" s="76"/>
    </row>
    <row r="319">
      <c r="A319" s="42">
        <f t="shared" si="3"/>
        <v>318</v>
      </c>
      <c r="B319" s="51" t="s">
        <v>41</v>
      </c>
      <c r="C319" s="53" t="s">
        <v>2233</v>
      </c>
      <c r="D319" s="42" t="s">
        <v>44</v>
      </c>
      <c r="E319" s="42" t="s">
        <v>44</v>
      </c>
      <c r="F319" s="53" t="s">
        <v>1612</v>
      </c>
      <c r="G319" s="53" t="s">
        <v>47</v>
      </c>
      <c r="H319" s="53" t="s">
        <v>48</v>
      </c>
      <c r="I319" s="53" t="s">
        <v>485</v>
      </c>
      <c r="J319" s="53" t="s">
        <v>1614</v>
      </c>
      <c r="K319" s="53" t="s">
        <v>1615</v>
      </c>
      <c r="L319" s="53" t="s">
        <v>52</v>
      </c>
      <c r="M319" s="53" t="s">
        <v>52</v>
      </c>
      <c r="N319" s="62" t="s">
        <v>2235</v>
      </c>
      <c r="O319" s="62" t="s">
        <v>44</v>
      </c>
      <c r="P319" s="62" t="s">
        <v>2230</v>
      </c>
      <c r="Q319" s="62" t="s">
        <v>2237</v>
      </c>
      <c r="R319" s="51" t="s">
        <v>56</v>
      </c>
      <c r="S319" s="51" t="s">
        <v>1618</v>
      </c>
      <c r="T319" s="60">
        <v>46297.0</v>
      </c>
      <c r="U319" s="42"/>
      <c r="V319" s="62"/>
      <c r="W319" s="64"/>
      <c r="X319" s="76"/>
      <c r="Y319" s="76"/>
      <c r="Z319" s="76"/>
      <c r="AA319" s="76"/>
    </row>
    <row r="320">
      <c r="A320" s="42">
        <f t="shared" si="3"/>
        <v>319</v>
      </c>
      <c r="B320" s="51" t="s">
        <v>41</v>
      </c>
      <c r="C320" s="53" t="s">
        <v>2238</v>
      </c>
      <c r="D320" s="42" t="s">
        <v>44</v>
      </c>
      <c r="E320" s="42" t="s">
        <v>44</v>
      </c>
      <c r="F320" s="53" t="s">
        <v>1612</v>
      </c>
      <c r="G320" s="53" t="s">
        <v>47</v>
      </c>
      <c r="H320" s="53" t="s">
        <v>48</v>
      </c>
      <c r="I320" s="53" t="s">
        <v>485</v>
      </c>
      <c r="J320" s="53" t="s">
        <v>1614</v>
      </c>
      <c r="K320" s="53" t="s">
        <v>1615</v>
      </c>
      <c r="L320" s="53" t="s">
        <v>52</v>
      </c>
      <c r="M320" s="53" t="s">
        <v>52</v>
      </c>
      <c r="N320" s="62" t="s">
        <v>2240</v>
      </c>
      <c r="O320" s="62" t="s">
        <v>44</v>
      </c>
      <c r="P320" s="62" t="s">
        <v>2230</v>
      </c>
      <c r="Q320" s="62" t="s">
        <v>2242</v>
      </c>
      <c r="R320" s="51" t="s">
        <v>56</v>
      </c>
      <c r="S320" s="51" t="s">
        <v>1618</v>
      </c>
      <c r="T320" s="60">
        <v>46297.0</v>
      </c>
      <c r="U320" s="42"/>
      <c r="V320" s="62"/>
      <c r="W320" s="64"/>
      <c r="X320" s="76"/>
      <c r="Y320" s="76"/>
      <c r="Z320" s="76"/>
      <c r="AA320" s="76"/>
    </row>
    <row r="321">
      <c r="A321" s="42">
        <f t="shared" si="3"/>
        <v>320</v>
      </c>
      <c r="B321" s="51" t="s">
        <v>41</v>
      </c>
      <c r="C321" s="53" t="s">
        <v>2243</v>
      </c>
      <c r="D321" s="42" t="s">
        <v>44</v>
      </c>
      <c r="E321" s="42" t="s">
        <v>44</v>
      </c>
      <c r="F321" s="53" t="s">
        <v>1612</v>
      </c>
      <c r="G321" s="53" t="s">
        <v>47</v>
      </c>
      <c r="H321" s="53" t="s">
        <v>95</v>
      </c>
      <c r="I321" s="53" t="s">
        <v>485</v>
      </c>
      <c r="J321" s="53" t="s">
        <v>1614</v>
      </c>
      <c r="K321" s="53" t="s">
        <v>1615</v>
      </c>
      <c r="L321" s="53" t="s">
        <v>52</v>
      </c>
      <c r="M321" s="53" t="s">
        <v>52</v>
      </c>
      <c r="N321" s="309" t="s">
        <v>2245</v>
      </c>
      <c r="O321" s="62" t="s">
        <v>44</v>
      </c>
      <c r="P321" s="309" t="s">
        <v>2247</v>
      </c>
      <c r="Q321" s="62" t="s">
        <v>2248</v>
      </c>
      <c r="R321" s="51" t="s">
        <v>56</v>
      </c>
      <c r="S321" s="51" t="s">
        <v>1618</v>
      </c>
      <c r="T321" s="60">
        <v>46297.0</v>
      </c>
      <c r="U321" s="42"/>
      <c r="V321" s="62"/>
      <c r="W321" s="64"/>
      <c r="X321" s="76"/>
      <c r="Y321" s="76"/>
      <c r="Z321" s="76"/>
      <c r="AA321" s="76"/>
    </row>
    <row r="322">
      <c r="A322" s="42">
        <f t="shared" si="3"/>
        <v>321</v>
      </c>
      <c r="B322" s="51" t="s">
        <v>41</v>
      </c>
      <c r="C322" s="53" t="s">
        <v>2249</v>
      </c>
      <c r="D322" s="42" t="s">
        <v>44</v>
      </c>
      <c r="E322" s="42" t="s">
        <v>44</v>
      </c>
      <c r="F322" s="53" t="s">
        <v>1612</v>
      </c>
      <c r="G322" s="53" t="s">
        <v>47</v>
      </c>
      <c r="H322" s="53" t="s">
        <v>48</v>
      </c>
      <c r="I322" s="53" t="s">
        <v>485</v>
      </c>
      <c r="J322" s="53" t="s">
        <v>1614</v>
      </c>
      <c r="K322" s="53" t="s">
        <v>1615</v>
      </c>
      <c r="L322" s="53" t="s">
        <v>52</v>
      </c>
      <c r="M322" s="53" t="s">
        <v>52</v>
      </c>
      <c r="N322" s="62" t="s">
        <v>2209</v>
      </c>
      <c r="O322" s="62" t="s">
        <v>44</v>
      </c>
      <c r="P322" s="62" t="s">
        <v>2250</v>
      </c>
      <c r="Q322" s="62" t="s">
        <v>2251</v>
      </c>
      <c r="R322" s="51" t="s">
        <v>56</v>
      </c>
      <c r="S322" s="51" t="s">
        <v>1618</v>
      </c>
      <c r="T322" s="60">
        <v>46297.0</v>
      </c>
      <c r="U322" s="42"/>
      <c r="V322" s="62"/>
      <c r="W322" s="64"/>
      <c r="X322" s="76"/>
      <c r="Y322" s="76"/>
      <c r="Z322" s="76"/>
      <c r="AA322" s="76"/>
    </row>
    <row r="323">
      <c r="A323" s="42">
        <f t="shared" si="3"/>
        <v>322</v>
      </c>
      <c r="B323" s="51" t="s">
        <v>41</v>
      </c>
      <c r="C323" s="53" t="s">
        <v>2254</v>
      </c>
      <c r="D323" s="42" t="s">
        <v>44</v>
      </c>
      <c r="E323" s="42" t="s">
        <v>44</v>
      </c>
      <c r="F323" s="53" t="s">
        <v>1612</v>
      </c>
      <c r="G323" s="53" t="s">
        <v>47</v>
      </c>
      <c r="H323" s="53" t="s">
        <v>95</v>
      </c>
      <c r="I323" s="53" t="s">
        <v>485</v>
      </c>
      <c r="J323" s="53" t="s">
        <v>1614</v>
      </c>
      <c r="K323" s="53" t="s">
        <v>1615</v>
      </c>
      <c r="L323" s="53" t="s">
        <v>52</v>
      </c>
      <c r="M323" s="53" t="s">
        <v>52</v>
      </c>
      <c r="N323" s="62" t="s">
        <v>2255</v>
      </c>
      <c r="O323" s="62" t="s">
        <v>44</v>
      </c>
      <c r="P323" s="62" t="s">
        <v>2256</v>
      </c>
      <c r="Q323" s="62" t="s">
        <v>2257</v>
      </c>
      <c r="R323" s="51" t="s">
        <v>56</v>
      </c>
      <c r="S323" s="51" t="s">
        <v>1618</v>
      </c>
      <c r="T323" s="60">
        <v>46297.0</v>
      </c>
      <c r="U323" s="42"/>
      <c r="V323" s="62"/>
      <c r="W323" s="64"/>
      <c r="X323" s="76"/>
      <c r="Y323" s="76"/>
      <c r="Z323" s="76"/>
      <c r="AA323" s="76"/>
    </row>
    <row r="324">
      <c r="A324" s="42">
        <f t="shared" si="3"/>
        <v>323</v>
      </c>
      <c r="B324" s="51" t="s">
        <v>41</v>
      </c>
      <c r="C324" s="53" t="s">
        <v>2260</v>
      </c>
      <c r="D324" s="42" t="s">
        <v>44</v>
      </c>
      <c r="E324" s="42" t="s">
        <v>44</v>
      </c>
      <c r="F324" s="53" t="s">
        <v>1612</v>
      </c>
      <c r="G324" s="53" t="s">
        <v>47</v>
      </c>
      <c r="H324" s="53" t="s">
        <v>48</v>
      </c>
      <c r="I324" s="53" t="s">
        <v>485</v>
      </c>
      <c r="J324" s="53" t="s">
        <v>1614</v>
      </c>
      <c r="K324" s="53" t="s">
        <v>1615</v>
      </c>
      <c r="L324" s="53" t="s">
        <v>52</v>
      </c>
      <c r="M324" s="53" t="s">
        <v>52</v>
      </c>
      <c r="N324" s="62" t="s">
        <v>2261</v>
      </c>
      <c r="O324" s="62" t="s">
        <v>44</v>
      </c>
      <c r="P324" s="62" t="s">
        <v>2262</v>
      </c>
      <c r="Q324" s="62" t="s">
        <v>2263</v>
      </c>
      <c r="R324" s="51" t="s">
        <v>56</v>
      </c>
      <c r="S324" s="51" t="s">
        <v>1618</v>
      </c>
      <c r="T324" s="60">
        <v>46297.0</v>
      </c>
      <c r="U324" s="42"/>
      <c r="V324" s="62"/>
      <c r="W324" s="64"/>
      <c r="X324" s="76"/>
      <c r="Y324" s="76"/>
      <c r="Z324" s="76"/>
      <c r="AA324" s="76"/>
    </row>
    <row r="325">
      <c r="A325" s="42">
        <f t="shared" si="3"/>
        <v>324</v>
      </c>
      <c r="B325" s="51" t="s">
        <v>41</v>
      </c>
      <c r="C325" s="53" t="s">
        <v>2266</v>
      </c>
      <c r="D325" s="42" t="s">
        <v>44</v>
      </c>
      <c r="E325" s="42" t="s">
        <v>44</v>
      </c>
      <c r="F325" s="53" t="s">
        <v>1612</v>
      </c>
      <c r="G325" s="53" t="s">
        <v>47</v>
      </c>
      <c r="H325" s="53" t="s">
        <v>48</v>
      </c>
      <c r="I325" s="53" t="s">
        <v>485</v>
      </c>
      <c r="J325" s="53" t="s">
        <v>1614</v>
      </c>
      <c r="K325" s="53" t="s">
        <v>1615</v>
      </c>
      <c r="L325" s="53" t="s">
        <v>52</v>
      </c>
      <c r="M325" s="53" t="s">
        <v>52</v>
      </c>
      <c r="N325" s="62" t="s">
        <v>2267</v>
      </c>
      <c r="O325" s="62" t="s">
        <v>44</v>
      </c>
      <c r="P325" s="62" t="s">
        <v>2262</v>
      </c>
      <c r="Q325" s="62" t="s">
        <v>2268</v>
      </c>
      <c r="R325" s="51" t="s">
        <v>56</v>
      </c>
      <c r="S325" s="51" t="s">
        <v>1618</v>
      </c>
      <c r="T325" s="60">
        <v>46297.0</v>
      </c>
      <c r="U325" s="42"/>
      <c r="V325" s="62"/>
      <c r="W325" s="64"/>
      <c r="X325" s="76"/>
      <c r="Y325" s="76"/>
      <c r="Z325" s="76"/>
      <c r="AA325" s="76"/>
    </row>
    <row r="326">
      <c r="A326" s="42">
        <f t="shared" si="3"/>
        <v>325</v>
      </c>
      <c r="B326" s="51" t="s">
        <v>41</v>
      </c>
      <c r="C326" s="53" t="s">
        <v>2271</v>
      </c>
      <c r="D326" s="42" t="s">
        <v>44</v>
      </c>
      <c r="E326" s="42" t="s">
        <v>44</v>
      </c>
      <c r="F326" s="53" t="s">
        <v>1612</v>
      </c>
      <c r="G326" s="53" t="s">
        <v>47</v>
      </c>
      <c r="H326" s="53" t="s">
        <v>48</v>
      </c>
      <c r="I326" s="53" t="s">
        <v>485</v>
      </c>
      <c r="J326" s="53" t="s">
        <v>1614</v>
      </c>
      <c r="K326" s="53" t="s">
        <v>1615</v>
      </c>
      <c r="L326" s="53" t="s">
        <v>52</v>
      </c>
      <c r="M326" s="53" t="s">
        <v>52</v>
      </c>
      <c r="N326" s="62" t="s">
        <v>2267</v>
      </c>
      <c r="O326" s="62" t="s">
        <v>44</v>
      </c>
      <c r="P326" s="62" t="s">
        <v>2272</v>
      </c>
      <c r="Q326" s="62" t="s">
        <v>2273</v>
      </c>
      <c r="R326" s="51" t="s">
        <v>56</v>
      </c>
      <c r="S326" s="51" t="s">
        <v>1618</v>
      </c>
      <c r="T326" s="60">
        <v>46297.0</v>
      </c>
      <c r="U326" s="42"/>
      <c r="V326" s="62"/>
      <c r="W326" s="140"/>
      <c r="X326" s="76"/>
      <c r="Y326" s="76"/>
      <c r="Z326" s="76"/>
      <c r="AA326" s="76"/>
    </row>
    <row r="327">
      <c r="A327" s="42">
        <f t="shared" si="3"/>
        <v>326</v>
      </c>
      <c r="B327" s="51" t="s">
        <v>41</v>
      </c>
      <c r="C327" s="53" t="s">
        <v>2276</v>
      </c>
      <c r="D327" s="42" t="s">
        <v>44</v>
      </c>
      <c r="E327" s="42" t="s">
        <v>44</v>
      </c>
      <c r="F327" s="53" t="s">
        <v>1612</v>
      </c>
      <c r="G327" s="53" t="s">
        <v>47</v>
      </c>
      <c r="H327" s="53" t="s">
        <v>95</v>
      </c>
      <c r="I327" s="53" t="s">
        <v>485</v>
      </c>
      <c r="J327" s="53" t="s">
        <v>1614</v>
      </c>
      <c r="K327" s="53" t="s">
        <v>1615</v>
      </c>
      <c r="L327" s="53" t="s">
        <v>52</v>
      </c>
      <c r="M327" s="53" t="s">
        <v>52</v>
      </c>
      <c r="N327" s="62" t="s">
        <v>2267</v>
      </c>
      <c r="O327" s="62" t="s">
        <v>44</v>
      </c>
      <c r="P327" s="62" t="s">
        <v>2277</v>
      </c>
      <c r="Q327" s="62" t="s">
        <v>2278</v>
      </c>
      <c r="R327" s="51" t="s">
        <v>56</v>
      </c>
      <c r="S327" s="51" t="s">
        <v>1618</v>
      </c>
      <c r="T327" s="60">
        <v>46297.0</v>
      </c>
      <c r="U327" s="42"/>
      <c r="V327" s="62"/>
      <c r="W327" s="140"/>
      <c r="X327" s="76"/>
      <c r="Y327" s="76"/>
      <c r="Z327" s="76"/>
      <c r="AA327" s="76"/>
    </row>
    <row r="328">
      <c r="A328" s="42">
        <f t="shared" si="3"/>
        <v>327</v>
      </c>
      <c r="B328" s="51" t="s">
        <v>41</v>
      </c>
      <c r="C328" s="53" t="s">
        <v>2281</v>
      </c>
      <c r="D328" s="42" t="s">
        <v>44</v>
      </c>
      <c r="E328" s="42" t="s">
        <v>44</v>
      </c>
      <c r="F328" s="53" t="s">
        <v>1612</v>
      </c>
      <c r="G328" s="53" t="s">
        <v>47</v>
      </c>
      <c r="H328" s="53" t="s">
        <v>95</v>
      </c>
      <c r="I328" s="53" t="s">
        <v>485</v>
      </c>
      <c r="J328" s="53" t="s">
        <v>1614</v>
      </c>
      <c r="K328" s="53" t="s">
        <v>1615</v>
      </c>
      <c r="L328" s="53" t="s">
        <v>52</v>
      </c>
      <c r="M328" s="53" t="s">
        <v>52</v>
      </c>
      <c r="N328" s="62" t="s">
        <v>2267</v>
      </c>
      <c r="O328" s="62" t="s">
        <v>44</v>
      </c>
      <c r="P328" s="62" t="s">
        <v>2282</v>
      </c>
      <c r="Q328" s="309" t="s">
        <v>2283</v>
      </c>
      <c r="R328" s="51" t="s">
        <v>56</v>
      </c>
      <c r="S328" s="51" t="s">
        <v>1618</v>
      </c>
      <c r="T328" s="60">
        <v>46297.0</v>
      </c>
      <c r="U328" s="42"/>
      <c r="V328" s="62"/>
      <c r="W328" s="64"/>
      <c r="X328" s="76"/>
      <c r="Y328" s="76"/>
      <c r="Z328" s="76"/>
      <c r="AA328" s="76"/>
    </row>
    <row r="329">
      <c r="A329" s="42">
        <f t="shared" si="3"/>
        <v>328</v>
      </c>
      <c r="B329" s="51" t="s">
        <v>41</v>
      </c>
      <c r="C329" s="53" t="s">
        <v>2289</v>
      </c>
      <c r="D329" s="42" t="s">
        <v>44</v>
      </c>
      <c r="E329" s="42" t="s">
        <v>44</v>
      </c>
      <c r="F329" s="53" t="s">
        <v>1612</v>
      </c>
      <c r="G329" s="53" t="s">
        <v>47</v>
      </c>
      <c r="H329" s="53" t="s">
        <v>48</v>
      </c>
      <c r="I329" s="53" t="s">
        <v>485</v>
      </c>
      <c r="J329" s="53" t="s">
        <v>1614</v>
      </c>
      <c r="K329" s="53" t="s">
        <v>1615</v>
      </c>
      <c r="L329" s="53" t="s">
        <v>52</v>
      </c>
      <c r="M329" s="53" t="s">
        <v>52</v>
      </c>
      <c r="N329" s="62" t="s">
        <v>2267</v>
      </c>
      <c r="O329" s="62" t="s">
        <v>44</v>
      </c>
      <c r="P329" s="62" t="s">
        <v>2293</v>
      </c>
      <c r="Q329" s="62" t="s">
        <v>2294</v>
      </c>
      <c r="R329" s="51" t="s">
        <v>56</v>
      </c>
      <c r="S329" s="51" t="s">
        <v>1618</v>
      </c>
      <c r="T329" s="60">
        <v>46297.0</v>
      </c>
      <c r="U329" s="42"/>
      <c r="V329" s="62"/>
      <c r="W329" s="140"/>
      <c r="X329" s="76"/>
      <c r="Y329" s="76"/>
      <c r="Z329" s="76"/>
      <c r="AA329" s="76"/>
    </row>
    <row r="330">
      <c r="A330" s="42">
        <f t="shared" si="3"/>
        <v>329</v>
      </c>
      <c r="B330" s="51" t="s">
        <v>41</v>
      </c>
      <c r="C330" s="53" t="s">
        <v>2296</v>
      </c>
      <c r="D330" s="42" t="s">
        <v>44</v>
      </c>
      <c r="E330" s="42" t="s">
        <v>44</v>
      </c>
      <c r="F330" s="53" t="s">
        <v>1612</v>
      </c>
      <c r="G330" s="53" t="s">
        <v>47</v>
      </c>
      <c r="H330" s="53" t="s">
        <v>48</v>
      </c>
      <c r="I330" s="53" t="s">
        <v>485</v>
      </c>
      <c r="J330" s="53" t="s">
        <v>1614</v>
      </c>
      <c r="K330" s="53" t="s">
        <v>1615</v>
      </c>
      <c r="L330" s="53" t="s">
        <v>52</v>
      </c>
      <c r="M330" s="53" t="s">
        <v>52</v>
      </c>
      <c r="N330" s="62" t="s">
        <v>2300</v>
      </c>
      <c r="O330" s="62" t="s">
        <v>44</v>
      </c>
      <c r="P330" s="62" t="s">
        <v>2293</v>
      </c>
      <c r="Q330" s="62" t="s">
        <v>2302</v>
      </c>
      <c r="R330" s="51" t="s">
        <v>56</v>
      </c>
      <c r="S330" s="51" t="s">
        <v>1618</v>
      </c>
      <c r="T330" s="60">
        <v>46297.0</v>
      </c>
      <c r="U330" s="42"/>
      <c r="V330" s="62"/>
      <c r="W330" s="64"/>
      <c r="X330" s="76"/>
      <c r="Y330" s="76"/>
      <c r="Z330" s="76"/>
      <c r="AA330" s="76"/>
    </row>
    <row r="331">
      <c r="A331" s="42">
        <f t="shared" si="3"/>
        <v>330</v>
      </c>
      <c r="B331" s="51" t="s">
        <v>41</v>
      </c>
      <c r="C331" s="53" t="s">
        <v>2303</v>
      </c>
      <c r="D331" s="42" t="s">
        <v>44</v>
      </c>
      <c r="E331" s="42" t="s">
        <v>44</v>
      </c>
      <c r="F331" s="53" t="s">
        <v>1612</v>
      </c>
      <c r="G331" s="53" t="s">
        <v>47</v>
      </c>
      <c r="H331" s="53" t="s">
        <v>48</v>
      </c>
      <c r="I331" s="53" t="s">
        <v>485</v>
      </c>
      <c r="J331" s="53" t="s">
        <v>1614</v>
      </c>
      <c r="K331" s="53" t="s">
        <v>1615</v>
      </c>
      <c r="L331" s="53" t="s">
        <v>52</v>
      </c>
      <c r="M331" s="53" t="s">
        <v>52</v>
      </c>
      <c r="N331" s="62" t="s">
        <v>2223</v>
      </c>
      <c r="O331" s="62" t="s">
        <v>44</v>
      </c>
      <c r="P331" s="62" t="s">
        <v>2230</v>
      </c>
      <c r="Q331" s="62" t="s">
        <v>2306</v>
      </c>
      <c r="R331" s="51" t="s">
        <v>56</v>
      </c>
      <c r="S331" s="53"/>
      <c r="T331" s="82"/>
      <c r="U331" s="42"/>
      <c r="V331" s="62"/>
      <c r="W331" s="64"/>
      <c r="X331" s="76"/>
      <c r="Y331" s="76"/>
      <c r="Z331" s="76"/>
      <c r="AA331" s="76"/>
    </row>
    <row r="332">
      <c r="A332" s="42">
        <f t="shared" si="3"/>
        <v>331</v>
      </c>
      <c r="B332" s="51" t="s">
        <v>41</v>
      </c>
      <c r="C332" s="53" t="s">
        <v>2307</v>
      </c>
      <c r="D332" s="42" t="s">
        <v>44</v>
      </c>
      <c r="E332" s="42" t="s">
        <v>44</v>
      </c>
      <c r="F332" s="53" t="s">
        <v>1612</v>
      </c>
      <c r="G332" s="53" t="s">
        <v>47</v>
      </c>
      <c r="H332" s="53" t="s">
        <v>48</v>
      </c>
      <c r="I332" s="53" t="s">
        <v>485</v>
      </c>
      <c r="J332" s="53" t="s">
        <v>1614</v>
      </c>
      <c r="K332" s="53" t="s">
        <v>1615</v>
      </c>
      <c r="L332" s="53" t="s">
        <v>52</v>
      </c>
      <c r="M332" s="53" t="s">
        <v>52</v>
      </c>
      <c r="N332" s="62" t="s">
        <v>2209</v>
      </c>
      <c r="O332" s="62" t="s">
        <v>44</v>
      </c>
      <c r="P332" s="62" t="s">
        <v>2310</v>
      </c>
      <c r="Q332" s="62" t="s">
        <v>2311</v>
      </c>
      <c r="R332" s="53"/>
      <c r="S332" s="53"/>
      <c r="T332" s="82"/>
      <c r="U332" s="42"/>
      <c r="V332" s="62"/>
      <c r="W332" s="64"/>
      <c r="X332" s="76"/>
      <c r="Y332" s="76"/>
      <c r="Z332" s="76"/>
      <c r="AA332" s="76"/>
    </row>
    <row r="333">
      <c r="A333" s="42">
        <f t="shared" si="3"/>
        <v>332</v>
      </c>
      <c r="B333" s="51" t="s">
        <v>41</v>
      </c>
      <c r="C333" s="53" t="s">
        <v>2313</v>
      </c>
      <c r="D333" s="42" t="s">
        <v>44</v>
      </c>
      <c r="E333" s="42" t="s">
        <v>44</v>
      </c>
      <c r="F333" s="53" t="s">
        <v>1612</v>
      </c>
      <c r="G333" s="53" t="s">
        <v>47</v>
      </c>
      <c r="H333" s="53" t="s">
        <v>48</v>
      </c>
      <c r="I333" s="53" t="s">
        <v>485</v>
      </c>
      <c r="J333" s="53" t="s">
        <v>1614</v>
      </c>
      <c r="K333" s="53" t="s">
        <v>1615</v>
      </c>
      <c r="L333" s="53" t="s">
        <v>52</v>
      </c>
      <c r="M333" s="53" t="s">
        <v>52</v>
      </c>
      <c r="N333" s="62" t="s">
        <v>2209</v>
      </c>
      <c r="O333" s="62" t="s">
        <v>44</v>
      </c>
      <c r="P333" s="62" t="s">
        <v>2315</v>
      </c>
      <c r="Q333" s="62" t="s">
        <v>2316</v>
      </c>
      <c r="R333" s="53"/>
      <c r="S333" s="53"/>
      <c r="T333" s="82"/>
      <c r="U333" s="42"/>
      <c r="V333" s="62"/>
      <c r="W333" s="64"/>
      <c r="X333" s="76"/>
      <c r="Y333" s="76"/>
      <c r="Z333" s="76"/>
      <c r="AA333" s="76"/>
    </row>
    <row r="334">
      <c r="A334" s="42">
        <f t="shared" si="3"/>
        <v>333</v>
      </c>
      <c r="B334" s="51" t="s">
        <v>41</v>
      </c>
      <c r="C334" s="53" t="s">
        <v>2317</v>
      </c>
      <c r="D334" s="42" t="s">
        <v>44</v>
      </c>
      <c r="E334" s="42" t="s">
        <v>44</v>
      </c>
      <c r="F334" s="53" t="s">
        <v>1612</v>
      </c>
      <c r="G334" s="53" t="s">
        <v>47</v>
      </c>
      <c r="H334" s="53" t="s">
        <v>95</v>
      </c>
      <c r="I334" s="53" t="s">
        <v>485</v>
      </c>
      <c r="J334" s="53" t="s">
        <v>1614</v>
      </c>
      <c r="K334" s="53" t="s">
        <v>1615</v>
      </c>
      <c r="L334" s="53" t="s">
        <v>52</v>
      </c>
      <c r="M334" s="53" t="s">
        <v>52</v>
      </c>
      <c r="N334" s="62" t="s">
        <v>2320</v>
      </c>
      <c r="O334" s="62" t="s">
        <v>44</v>
      </c>
      <c r="P334" s="62" t="s">
        <v>2321</v>
      </c>
      <c r="Q334" s="62" t="s">
        <v>2322</v>
      </c>
      <c r="R334" s="53"/>
      <c r="S334" s="53"/>
      <c r="T334" s="82"/>
      <c r="U334" s="42"/>
      <c r="V334" s="62"/>
      <c r="W334" s="64"/>
      <c r="X334" s="76"/>
      <c r="Y334" s="76"/>
      <c r="Z334" s="76"/>
      <c r="AA334" s="76"/>
    </row>
    <row r="335">
      <c r="A335" s="42">
        <f t="shared" si="3"/>
        <v>334</v>
      </c>
      <c r="B335" s="51" t="s">
        <v>41</v>
      </c>
      <c r="C335" s="53" t="s">
        <v>2323</v>
      </c>
      <c r="D335" s="42" t="s">
        <v>44</v>
      </c>
      <c r="E335" s="42" t="s">
        <v>44</v>
      </c>
      <c r="F335" s="53" t="s">
        <v>1612</v>
      </c>
      <c r="G335" s="53" t="s">
        <v>47</v>
      </c>
      <c r="H335" s="53" t="s">
        <v>95</v>
      </c>
      <c r="I335" s="53" t="s">
        <v>485</v>
      </c>
      <c r="J335" s="53" t="s">
        <v>1614</v>
      </c>
      <c r="K335" s="53" t="s">
        <v>1615</v>
      </c>
      <c r="L335" s="53" t="s">
        <v>52</v>
      </c>
      <c r="M335" s="53" t="s">
        <v>52</v>
      </c>
      <c r="N335" s="62" t="s">
        <v>2326</v>
      </c>
      <c r="O335" s="62" t="s">
        <v>44</v>
      </c>
      <c r="P335" s="62" t="s">
        <v>2321</v>
      </c>
      <c r="Q335" s="62" t="s">
        <v>2327</v>
      </c>
      <c r="R335" s="53"/>
      <c r="S335" s="53"/>
      <c r="T335" s="82"/>
      <c r="U335" s="42"/>
      <c r="V335" s="62"/>
      <c r="W335" s="64"/>
      <c r="X335" s="76"/>
      <c r="Y335" s="76"/>
      <c r="Z335" s="76"/>
      <c r="AA335" s="76"/>
    </row>
    <row r="336">
      <c r="A336" s="42">
        <f t="shared" si="3"/>
        <v>335</v>
      </c>
      <c r="B336" s="51" t="s">
        <v>41</v>
      </c>
      <c r="C336" s="53" t="s">
        <v>2329</v>
      </c>
      <c r="D336" s="42" t="s">
        <v>44</v>
      </c>
      <c r="E336" s="42" t="s">
        <v>44</v>
      </c>
      <c r="F336" s="53" t="s">
        <v>1612</v>
      </c>
      <c r="G336" s="53" t="s">
        <v>47</v>
      </c>
      <c r="H336" s="53" t="s">
        <v>95</v>
      </c>
      <c r="I336" s="53" t="s">
        <v>485</v>
      </c>
      <c r="J336" s="53" t="s">
        <v>1614</v>
      </c>
      <c r="K336" s="53" t="s">
        <v>1615</v>
      </c>
      <c r="L336" s="53" t="s">
        <v>52</v>
      </c>
      <c r="M336" s="53" t="s">
        <v>52</v>
      </c>
      <c r="N336" s="62" t="s">
        <v>2209</v>
      </c>
      <c r="O336" s="62" t="s">
        <v>44</v>
      </c>
      <c r="P336" s="62" t="s">
        <v>2331</v>
      </c>
      <c r="Q336" s="62" t="s">
        <v>2332</v>
      </c>
      <c r="R336" s="53"/>
      <c r="S336" s="53"/>
      <c r="T336" s="82"/>
      <c r="U336" s="53"/>
      <c r="V336" s="62"/>
      <c r="W336" s="64"/>
      <c r="X336" s="76"/>
      <c r="Y336" s="76"/>
      <c r="Z336" s="76"/>
      <c r="AA336" s="76"/>
    </row>
    <row r="337">
      <c r="A337" s="42">
        <f t="shared" si="3"/>
        <v>336</v>
      </c>
      <c r="B337" s="51" t="s">
        <v>41</v>
      </c>
      <c r="C337" s="53" t="s">
        <v>2334</v>
      </c>
      <c r="D337" s="42" t="s">
        <v>44</v>
      </c>
      <c r="E337" s="42" t="s">
        <v>44</v>
      </c>
      <c r="F337" s="53" t="s">
        <v>1612</v>
      </c>
      <c r="G337" s="53" t="s">
        <v>47</v>
      </c>
      <c r="H337" s="53" t="s">
        <v>48</v>
      </c>
      <c r="I337" s="53" t="s">
        <v>485</v>
      </c>
      <c r="J337" s="53" t="s">
        <v>1614</v>
      </c>
      <c r="K337" s="53" t="s">
        <v>1615</v>
      </c>
      <c r="L337" s="53" t="s">
        <v>52</v>
      </c>
      <c r="M337" s="53" t="s">
        <v>52</v>
      </c>
      <c r="N337" s="62" t="s">
        <v>2209</v>
      </c>
      <c r="O337" s="62" t="s">
        <v>44</v>
      </c>
      <c r="P337" s="62" t="s">
        <v>2336</v>
      </c>
      <c r="Q337" s="62" t="s">
        <v>2337</v>
      </c>
      <c r="R337" s="53"/>
      <c r="S337" s="53"/>
      <c r="T337" s="82"/>
      <c r="U337" s="53"/>
      <c r="V337" s="62"/>
      <c r="W337" s="64"/>
      <c r="X337" s="76"/>
      <c r="Y337" s="76"/>
      <c r="Z337" s="76"/>
      <c r="AA337" s="76"/>
    </row>
    <row r="338">
      <c r="A338" s="42">
        <f t="shared" si="3"/>
        <v>337</v>
      </c>
      <c r="B338" s="51" t="s">
        <v>41</v>
      </c>
      <c r="C338" s="53" t="s">
        <v>2338</v>
      </c>
      <c r="D338" s="42" t="s">
        <v>44</v>
      </c>
      <c r="E338" s="42" t="s">
        <v>44</v>
      </c>
      <c r="F338" s="53" t="s">
        <v>1612</v>
      </c>
      <c r="G338" s="53" t="s">
        <v>47</v>
      </c>
      <c r="H338" s="53" t="s">
        <v>48</v>
      </c>
      <c r="I338" s="53" t="s">
        <v>485</v>
      </c>
      <c r="J338" s="53" t="s">
        <v>1614</v>
      </c>
      <c r="K338" s="53" t="s">
        <v>1615</v>
      </c>
      <c r="L338" s="53" t="s">
        <v>52</v>
      </c>
      <c r="M338" s="53" t="s">
        <v>52</v>
      </c>
      <c r="N338" s="62" t="s">
        <v>2209</v>
      </c>
      <c r="O338" s="62" t="s">
        <v>44</v>
      </c>
      <c r="P338" s="62" t="s">
        <v>2339</v>
      </c>
      <c r="Q338" s="62" t="s">
        <v>2341</v>
      </c>
      <c r="R338" s="53"/>
      <c r="S338" s="53"/>
      <c r="T338" s="82"/>
      <c r="U338" s="42"/>
      <c r="V338" s="62"/>
      <c r="W338" s="64"/>
      <c r="X338" s="76"/>
      <c r="Y338" s="76"/>
      <c r="Z338" s="76"/>
      <c r="AA338" s="76"/>
    </row>
    <row r="339">
      <c r="A339" s="42">
        <f t="shared" si="3"/>
        <v>338</v>
      </c>
      <c r="B339" s="51" t="s">
        <v>41</v>
      </c>
      <c r="C339" s="53" t="s">
        <v>2343</v>
      </c>
      <c r="D339" s="42" t="s">
        <v>44</v>
      </c>
      <c r="E339" s="42" t="s">
        <v>44</v>
      </c>
      <c r="F339" s="53" t="s">
        <v>1612</v>
      </c>
      <c r="G339" s="53" t="s">
        <v>47</v>
      </c>
      <c r="H339" s="53" t="s">
        <v>48</v>
      </c>
      <c r="I339" s="53" t="s">
        <v>485</v>
      </c>
      <c r="J339" s="53" t="s">
        <v>1614</v>
      </c>
      <c r="K339" s="53" t="s">
        <v>1615</v>
      </c>
      <c r="L339" s="53" t="s">
        <v>52</v>
      </c>
      <c r="M339" s="53" t="s">
        <v>52</v>
      </c>
      <c r="N339" s="62" t="s">
        <v>2209</v>
      </c>
      <c r="O339" s="62" t="s">
        <v>44</v>
      </c>
      <c r="P339" s="62" t="s">
        <v>2344</v>
      </c>
      <c r="Q339" s="62" t="s">
        <v>2345</v>
      </c>
      <c r="R339" s="53"/>
      <c r="S339" s="53"/>
      <c r="T339" s="82"/>
      <c r="U339" s="42"/>
      <c r="V339" s="62"/>
      <c r="W339" s="64"/>
      <c r="X339" s="76"/>
      <c r="Y339" s="76"/>
      <c r="Z339" s="76"/>
      <c r="AA339" s="76"/>
    </row>
    <row r="340">
      <c r="A340" s="42">
        <f t="shared" si="3"/>
        <v>339</v>
      </c>
      <c r="B340" s="51" t="s">
        <v>41</v>
      </c>
      <c r="C340" s="53" t="s">
        <v>2348</v>
      </c>
      <c r="D340" s="42" t="s">
        <v>44</v>
      </c>
      <c r="E340" s="42" t="s">
        <v>44</v>
      </c>
      <c r="F340" s="53" t="s">
        <v>1612</v>
      </c>
      <c r="G340" s="53" t="s">
        <v>197</v>
      </c>
      <c r="H340" s="53" t="s">
        <v>91</v>
      </c>
      <c r="I340" s="53" t="s">
        <v>485</v>
      </c>
      <c r="J340" s="53" t="s">
        <v>1614</v>
      </c>
      <c r="K340" s="53" t="s">
        <v>1615</v>
      </c>
      <c r="L340" s="53" t="s">
        <v>52</v>
      </c>
      <c r="M340" s="53" t="s">
        <v>52</v>
      </c>
      <c r="N340" s="62" t="s">
        <v>2349</v>
      </c>
      <c r="O340" s="62" t="s">
        <v>44</v>
      </c>
      <c r="P340" s="62" t="s">
        <v>2350</v>
      </c>
      <c r="Q340" s="62" t="s">
        <v>2352</v>
      </c>
      <c r="R340" s="53"/>
      <c r="S340" s="53"/>
      <c r="T340" s="82"/>
      <c r="U340" s="42"/>
      <c r="V340" s="62"/>
      <c r="W340" s="64"/>
      <c r="X340" s="76"/>
      <c r="Y340" s="76"/>
      <c r="Z340" s="76"/>
      <c r="AA340" s="76"/>
    </row>
    <row r="341">
      <c r="A341" s="42">
        <f t="shared" si="3"/>
        <v>340</v>
      </c>
      <c r="B341" s="51" t="s">
        <v>41</v>
      </c>
      <c r="C341" s="53" t="s">
        <v>2354</v>
      </c>
      <c r="D341" s="42" t="s">
        <v>44</v>
      </c>
      <c r="E341" s="42" t="s">
        <v>44</v>
      </c>
      <c r="F341" s="53" t="s">
        <v>1612</v>
      </c>
      <c r="G341" s="53" t="s">
        <v>47</v>
      </c>
      <c r="H341" s="53" t="s">
        <v>95</v>
      </c>
      <c r="I341" s="53" t="s">
        <v>485</v>
      </c>
      <c r="J341" s="53" t="s">
        <v>1614</v>
      </c>
      <c r="K341" s="53" t="s">
        <v>1615</v>
      </c>
      <c r="L341" s="53" t="s">
        <v>52</v>
      </c>
      <c r="M341" s="53" t="s">
        <v>52</v>
      </c>
      <c r="N341" s="62" t="s">
        <v>2355</v>
      </c>
      <c r="O341" s="62" t="s">
        <v>44</v>
      </c>
      <c r="P341" s="62" t="s">
        <v>2356</v>
      </c>
      <c r="Q341" s="62" t="s">
        <v>2358</v>
      </c>
      <c r="R341" s="53"/>
      <c r="S341" s="53"/>
      <c r="T341" s="82"/>
      <c r="U341" s="42"/>
      <c r="V341" s="62"/>
      <c r="W341" s="64"/>
      <c r="X341" s="76"/>
      <c r="Y341" s="76"/>
      <c r="Z341" s="76"/>
      <c r="AA341" s="76"/>
    </row>
    <row r="342">
      <c r="A342" s="42">
        <f t="shared" si="3"/>
        <v>341</v>
      </c>
      <c r="B342" s="51" t="s">
        <v>41</v>
      </c>
      <c r="C342" s="53" t="s">
        <v>2360</v>
      </c>
      <c r="D342" s="42" t="s">
        <v>44</v>
      </c>
      <c r="E342" s="42" t="s">
        <v>44</v>
      </c>
      <c r="F342" s="53" t="s">
        <v>1612</v>
      </c>
      <c r="G342" s="53" t="s">
        <v>47</v>
      </c>
      <c r="H342" s="53" t="s">
        <v>48</v>
      </c>
      <c r="I342" s="53" t="s">
        <v>485</v>
      </c>
      <c r="J342" s="53" t="s">
        <v>1614</v>
      </c>
      <c r="K342" s="53" t="s">
        <v>1615</v>
      </c>
      <c r="L342" s="53" t="s">
        <v>52</v>
      </c>
      <c r="M342" s="53" t="s">
        <v>52</v>
      </c>
      <c r="N342" s="62" t="s">
        <v>2361</v>
      </c>
      <c r="O342" s="62" t="s">
        <v>44</v>
      </c>
      <c r="P342" s="62" t="s">
        <v>2362</v>
      </c>
      <c r="Q342" s="62" t="s">
        <v>2364</v>
      </c>
      <c r="R342" s="53"/>
      <c r="S342" s="53"/>
      <c r="T342" s="82"/>
      <c r="U342" s="42"/>
      <c r="V342" s="62"/>
      <c r="W342" s="64"/>
      <c r="X342" s="76"/>
      <c r="Y342" s="76"/>
      <c r="Z342" s="76"/>
      <c r="AA342" s="76"/>
    </row>
    <row r="343">
      <c r="A343" s="42">
        <f t="shared" si="3"/>
        <v>342</v>
      </c>
      <c r="B343" s="51" t="s">
        <v>41</v>
      </c>
      <c r="C343" s="53" t="s">
        <v>2366</v>
      </c>
      <c r="D343" s="42" t="s">
        <v>44</v>
      </c>
      <c r="E343" s="42" t="s">
        <v>44</v>
      </c>
      <c r="F343" s="53" t="s">
        <v>1612</v>
      </c>
      <c r="G343" s="53" t="s">
        <v>47</v>
      </c>
      <c r="H343" s="53" t="s">
        <v>95</v>
      </c>
      <c r="I343" s="53" t="s">
        <v>485</v>
      </c>
      <c r="J343" s="53" t="s">
        <v>1614</v>
      </c>
      <c r="K343" s="53" t="s">
        <v>1615</v>
      </c>
      <c r="L343" s="53" t="s">
        <v>52</v>
      </c>
      <c r="M343" s="53" t="s">
        <v>52</v>
      </c>
      <c r="N343" s="62" t="s">
        <v>2349</v>
      </c>
      <c r="O343" s="62" t="s">
        <v>44</v>
      </c>
      <c r="P343" s="62" t="s">
        <v>2368</v>
      </c>
      <c r="Q343" s="62" t="s">
        <v>2369</v>
      </c>
      <c r="R343" s="53"/>
      <c r="S343" s="53"/>
      <c r="T343" s="82"/>
      <c r="U343" s="42"/>
      <c r="V343" s="62"/>
      <c r="W343" s="64"/>
      <c r="X343" s="76"/>
      <c r="Y343" s="76"/>
      <c r="Z343" s="76"/>
      <c r="AA343" s="76"/>
    </row>
    <row r="344">
      <c r="A344" s="42">
        <f t="shared" si="3"/>
        <v>343</v>
      </c>
      <c r="B344" s="51" t="s">
        <v>41</v>
      </c>
      <c r="C344" s="53" t="s">
        <v>2371</v>
      </c>
      <c r="D344" s="42" t="s">
        <v>44</v>
      </c>
      <c r="E344" s="42" t="s">
        <v>44</v>
      </c>
      <c r="F344" s="53" t="s">
        <v>1612</v>
      </c>
      <c r="G344" s="53" t="s">
        <v>47</v>
      </c>
      <c r="H344" s="53" t="s">
        <v>95</v>
      </c>
      <c r="I344" s="53" t="s">
        <v>485</v>
      </c>
      <c r="J344" s="53" t="s">
        <v>1614</v>
      </c>
      <c r="K344" s="53" t="s">
        <v>1615</v>
      </c>
      <c r="L344" s="53" t="s">
        <v>52</v>
      </c>
      <c r="M344" s="53" t="s">
        <v>52</v>
      </c>
      <c r="N344" s="62" t="s">
        <v>2372</v>
      </c>
      <c r="O344" s="62" t="s">
        <v>44</v>
      </c>
      <c r="P344" s="62" t="s">
        <v>2368</v>
      </c>
      <c r="Q344" s="62" t="s">
        <v>2374</v>
      </c>
      <c r="R344" s="53"/>
      <c r="S344" s="53"/>
      <c r="T344" s="82"/>
      <c r="U344" s="42"/>
      <c r="V344" s="62"/>
      <c r="W344" s="64"/>
      <c r="X344" s="76"/>
      <c r="Y344" s="76"/>
      <c r="Z344" s="76"/>
      <c r="AA344" s="76"/>
    </row>
    <row r="345">
      <c r="A345" s="42">
        <f t="shared" si="3"/>
        <v>344</v>
      </c>
      <c r="B345" s="51" t="s">
        <v>41</v>
      </c>
      <c r="C345" s="53" t="s">
        <v>2376</v>
      </c>
      <c r="D345" s="42" t="s">
        <v>44</v>
      </c>
      <c r="E345" s="42" t="s">
        <v>44</v>
      </c>
      <c r="F345" s="53" t="s">
        <v>1612</v>
      </c>
      <c r="G345" s="53" t="s">
        <v>197</v>
      </c>
      <c r="H345" s="53" t="s">
        <v>91</v>
      </c>
      <c r="I345" s="53" t="s">
        <v>485</v>
      </c>
      <c r="J345" s="53" t="s">
        <v>1614</v>
      </c>
      <c r="K345" s="53" t="s">
        <v>1615</v>
      </c>
      <c r="L345" s="53" t="s">
        <v>52</v>
      </c>
      <c r="M345" s="53" t="s">
        <v>52</v>
      </c>
      <c r="N345" s="62" t="s">
        <v>2372</v>
      </c>
      <c r="O345" s="62" t="s">
        <v>44</v>
      </c>
      <c r="P345" s="62" t="s">
        <v>2378</v>
      </c>
      <c r="Q345" s="62" t="s">
        <v>2379</v>
      </c>
      <c r="R345" s="53"/>
      <c r="S345" s="53"/>
      <c r="T345" s="82"/>
      <c r="U345" s="42"/>
      <c r="V345" s="62"/>
      <c r="W345" s="64"/>
      <c r="X345" s="76"/>
      <c r="Y345" s="76"/>
      <c r="Z345" s="76"/>
      <c r="AA345" s="76"/>
    </row>
    <row r="346">
      <c r="A346" s="42">
        <f t="shared" si="3"/>
        <v>345</v>
      </c>
      <c r="B346" s="51" t="s">
        <v>41</v>
      </c>
      <c r="C346" s="53" t="s">
        <v>2381</v>
      </c>
      <c r="D346" s="42" t="s">
        <v>44</v>
      </c>
      <c r="E346" s="42" t="s">
        <v>44</v>
      </c>
      <c r="F346" s="53" t="s">
        <v>1612</v>
      </c>
      <c r="G346" s="53" t="s">
        <v>47</v>
      </c>
      <c r="H346" s="53" t="s">
        <v>48</v>
      </c>
      <c r="I346" s="53" t="s">
        <v>485</v>
      </c>
      <c r="J346" s="53" t="s">
        <v>1614</v>
      </c>
      <c r="K346" s="53" t="s">
        <v>1615</v>
      </c>
      <c r="L346" s="53" t="s">
        <v>52</v>
      </c>
      <c r="M346" s="53" t="s">
        <v>52</v>
      </c>
      <c r="N346" s="62" t="s">
        <v>2209</v>
      </c>
      <c r="O346" s="62" t="s">
        <v>44</v>
      </c>
      <c r="P346" s="62" t="s">
        <v>2383</v>
      </c>
      <c r="Q346" s="62" t="s">
        <v>2385</v>
      </c>
      <c r="R346" s="53"/>
      <c r="S346" s="53"/>
      <c r="T346" s="82"/>
      <c r="U346" s="42"/>
      <c r="V346" s="62"/>
      <c r="W346" s="64"/>
      <c r="X346" s="76"/>
      <c r="Y346" s="76"/>
      <c r="Z346" s="76"/>
      <c r="AA346" s="76"/>
    </row>
    <row r="347">
      <c r="A347" s="42">
        <f t="shared" si="3"/>
        <v>346</v>
      </c>
      <c r="B347" s="51" t="s">
        <v>41</v>
      </c>
      <c r="C347" s="53" t="s">
        <v>2386</v>
      </c>
      <c r="D347" s="42" t="s">
        <v>44</v>
      </c>
      <c r="E347" s="42" t="s">
        <v>44</v>
      </c>
      <c r="F347" s="53" t="s">
        <v>1612</v>
      </c>
      <c r="G347" s="53" t="s">
        <v>47</v>
      </c>
      <c r="H347" s="53" t="s">
        <v>95</v>
      </c>
      <c r="I347" s="53" t="s">
        <v>485</v>
      </c>
      <c r="J347" s="53" t="s">
        <v>1614</v>
      </c>
      <c r="K347" s="53" t="s">
        <v>1615</v>
      </c>
      <c r="L347" s="53" t="s">
        <v>52</v>
      </c>
      <c r="M347" s="53" t="s">
        <v>52</v>
      </c>
      <c r="N347" s="62" t="s">
        <v>2388</v>
      </c>
      <c r="O347" s="62" t="s">
        <v>44</v>
      </c>
      <c r="P347" s="62" t="s">
        <v>2390</v>
      </c>
      <c r="Q347" s="62" t="s">
        <v>2391</v>
      </c>
      <c r="R347" s="53"/>
      <c r="S347" s="53"/>
      <c r="T347" s="82"/>
      <c r="U347" s="42"/>
      <c r="V347" s="62"/>
      <c r="W347" s="64"/>
      <c r="X347" s="76"/>
      <c r="Y347" s="76"/>
      <c r="Z347" s="76"/>
      <c r="AA347" s="76"/>
    </row>
    <row r="348">
      <c r="A348" s="42">
        <f t="shared" si="3"/>
        <v>347</v>
      </c>
      <c r="B348" s="51" t="s">
        <v>41</v>
      </c>
      <c r="C348" s="53" t="s">
        <v>2392</v>
      </c>
      <c r="D348" s="42" t="s">
        <v>44</v>
      </c>
      <c r="E348" s="42" t="s">
        <v>44</v>
      </c>
      <c r="F348" s="53" t="s">
        <v>1612</v>
      </c>
      <c r="G348" s="53" t="s">
        <v>47</v>
      </c>
      <c r="H348" s="53" t="s">
        <v>48</v>
      </c>
      <c r="I348" s="53" t="s">
        <v>485</v>
      </c>
      <c r="J348" s="53" t="s">
        <v>1614</v>
      </c>
      <c r="K348" s="53" t="s">
        <v>1615</v>
      </c>
      <c r="L348" s="53" t="s">
        <v>52</v>
      </c>
      <c r="M348" s="53" t="s">
        <v>52</v>
      </c>
      <c r="N348" s="62" t="s">
        <v>2209</v>
      </c>
      <c r="O348" s="62" t="s">
        <v>44</v>
      </c>
      <c r="P348" s="62" t="s">
        <v>2395</v>
      </c>
      <c r="Q348" s="62" t="s">
        <v>2396</v>
      </c>
      <c r="R348" s="53"/>
      <c r="S348" s="53"/>
      <c r="T348" s="82"/>
      <c r="U348" s="42"/>
      <c r="V348" s="62"/>
      <c r="W348" s="64"/>
      <c r="X348" s="76"/>
      <c r="Y348" s="76"/>
      <c r="Z348" s="76"/>
      <c r="AA348" s="76"/>
    </row>
    <row r="349">
      <c r="A349" s="42">
        <f t="shared" si="3"/>
        <v>348</v>
      </c>
      <c r="B349" s="51" t="s">
        <v>41</v>
      </c>
      <c r="C349" s="53" t="s">
        <v>2398</v>
      </c>
      <c r="D349" s="42" t="s">
        <v>44</v>
      </c>
      <c r="E349" s="42" t="s">
        <v>44</v>
      </c>
      <c r="F349" s="53" t="s">
        <v>1612</v>
      </c>
      <c r="G349" s="53" t="s">
        <v>47</v>
      </c>
      <c r="H349" s="53" t="s">
        <v>48</v>
      </c>
      <c r="I349" s="53" t="s">
        <v>485</v>
      </c>
      <c r="J349" s="53" t="s">
        <v>1614</v>
      </c>
      <c r="K349" s="53" t="s">
        <v>1615</v>
      </c>
      <c r="L349" s="53" t="s">
        <v>52</v>
      </c>
      <c r="M349" s="53" t="s">
        <v>52</v>
      </c>
      <c r="N349" s="62" t="s">
        <v>2402</v>
      </c>
      <c r="O349" s="62" t="s">
        <v>44</v>
      </c>
      <c r="P349" s="62" t="s">
        <v>2403</v>
      </c>
      <c r="Q349" s="62" t="s">
        <v>2404</v>
      </c>
      <c r="R349" s="53"/>
      <c r="S349" s="53"/>
      <c r="T349" s="82"/>
      <c r="U349" s="42"/>
      <c r="V349" s="62"/>
      <c r="W349" s="64"/>
      <c r="X349" s="76"/>
      <c r="Y349" s="76"/>
      <c r="Z349" s="76"/>
      <c r="AA349" s="76"/>
    </row>
    <row r="350">
      <c r="A350" s="42">
        <f t="shared" si="3"/>
        <v>349</v>
      </c>
      <c r="B350" s="51" t="s">
        <v>41</v>
      </c>
      <c r="C350" s="53" t="s">
        <v>2406</v>
      </c>
      <c r="D350" s="42" t="s">
        <v>44</v>
      </c>
      <c r="E350" s="42" t="s">
        <v>44</v>
      </c>
      <c r="F350" s="53" t="s">
        <v>1612</v>
      </c>
      <c r="G350" s="53" t="s">
        <v>47</v>
      </c>
      <c r="H350" s="53" t="s">
        <v>95</v>
      </c>
      <c r="I350" s="53" t="s">
        <v>485</v>
      </c>
      <c r="J350" s="53" t="s">
        <v>1614</v>
      </c>
      <c r="K350" s="53" t="s">
        <v>1615</v>
      </c>
      <c r="L350" s="53" t="s">
        <v>52</v>
      </c>
      <c r="M350" s="53" t="s">
        <v>52</v>
      </c>
      <c r="N350" s="62" t="s">
        <v>2408</v>
      </c>
      <c r="O350" s="62" t="s">
        <v>44</v>
      </c>
      <c r="P350" s="62" t="s">
        <v>2409</v>
      </c>
      <c r="Q350" s="62" t="s">
        <v>2410</v>
      </c>
      <c r="R350" s="53"/>
      <c r="S350" s="53"/>
      <c r="T350" s="82"/>
      <c r="U350" s="42"/>
      <c r="V350" s="62"/>
      <c r="W350" s="64"/>
      <c r="X350" s="315"/>
      <c r="Y350" s="315"/>
      <c r="Z350" s="315"/>
      <c r="AA350" s="315"/>
    </row>
    <row r="351">
      <c r="A351" s="42">
        <f t="shared" si="3"/>
        <v>350</v>
      </c>
      <c r="B351" s="51" t="s">
        <v>41</v>
      </c>
      <c r="C351" s="53" t="s">
        <v>2417</v>
      </c>
      <c r="D351" s="42" t="s">
        <v>44</v>
      </c>
      <c r="E351" s="42" t="s">
        <v>44</v>
      </c>
      <c r="F351" s="53" t="s">
        <v>1612</v>
      </c>
      <c r="G351" s="53" t="s">
        <v>197</v>
      </c>
      <c r="H351" s="53" t="s">
        <v>91</v>
      </c>
      <c r="I351" s="53" t="s">
        <v>485</v>
      </c>
      <c r="J351" s="53" t="s">
        <v>1614</v>
      </c>
      <c r="K351" s="53" t="s">
        <v>1615</v>
      </c>
      <c r="L351" s="53" t="s">
        <v>52</v>
      </c>
      <c r="M351" s="53" t="s">
        <v>52</v>
      </c>
      <c r="N351" s="62" t="s">
        <v>2402</v>
      </c>
      <c r="O351" s="62" t="s">
        <v>44</v>
      </c>
      <c r="P351" s="62" t="s">
        <v>2419</v>
      </c>
      <c r="Q351" s="62" t="s">
        <v>2420</v>
      </c>
      <c r="R351" s="53"/>
      <c r="S351" s="53"/>
      <c r="T351" s="82"/>
      <c r="U351" s="53"/>
      <c r="V351" s="62"/>
      <c r="W351" s="64"/>
      <c r="X351" s="76"/>
      <c r="Y351" s="76"/>
      <c r="Z351" s="76"/>
      <c r="AA351" s="76"/>
    </row>
    <row r="352">
      <c r="A352" s="42">
        <f t="shared" si="3"/>
        <v>351</v>
      </c>
      <c r="B352" s="51" t="s">
        <v>41</v>
      </c>
      <c r="C352" s="53" t="s">
        <v>2422</v>
      </c>
      <c r="D352" s="42" t="s">
        <v>44</v>
      </c>
      <c r="E352" s="42" t="s">
        <v>44</v>
      </c>
      <c r="F352" s="53" t="s">
        <v>1612</v>
      </c>
      <c r="G352" s="53" t="s">
        <v>47</v>
      </c>
      <c r="H352" s="53" t="s">
        <v>95</v>
      </c>
      <c r="I352" s="53" t="s">
        <v>485</v>
      </c>
      <c r="J352" s="53" t="s">
        <v>1614</v>
      </c>
      <c r="K352" s="53" t="s">
        <v>1615</v>
      </c>
      <c r="L352" s="53" t="s">
        <v>52</v>
      </c>
      <c r="M352" s="53" t="s">
        <v>52</v>
      </c>
      <c r="N352" s="62" t="s">
        <v>2402</v>
      </c>
      <c r="O352" s="62" t="s">
        <v>44</v>
      </c>
      <c r="P352" s="62" t="s">
        <v>2425</v>
      </c>
      <c r="Q352" s="62" t="s">
        <v>2426</v>
      </c>
      <c r="R352" s="53"/>
      <c r="S352" s="53"/>
      <c r="T352" s="82"/>
      <c r="U352" s="53"/>
      <c r="V352" s="62"/>
      <c r="W352" s="64"/>
      <c r="X352" s="76"/>
      <c r="Y352" s="76"/>
      <c r="Z352" s="76"/>
      <c r="AA352" s="76"/>
    </row>
    <row r="353">
      <c r="A353" s="42">
        <f t="shared" si="3"/>
        <v>352</v>
      </c>
      <c r="B353" s="51" t="s">
        <v>41</v>
      </c>
      <c r="C353" s="53" t="s">
        <v>2427</v>
      </c>
      <c r="D353" s="42" t="s">
        <v>44</v>
      </c>
      <c r="E353" s="42" t="s">
        <v>44</v>
      </c>
      <c r="F353" s="53" t="s">
        <v>1612</v>
      </c>
      <c r="G353" s="53" t="s">
        <v>47</v>
      </c>
      <c r="H353" s="53" t="s">
        <v>48</v>
      </c>
      <c r="I353" s="53" t="s">
        <v>485</v>
      </c>
      <c r="J353" s="53" t="s">
        <v>1614</v>
      </c>
      <c r="K353" s="53" t="s">
        <v>1615</v>
      </c>
      <c r="L353" s="53" t="s">
        <v>52</v>
      </c>
      <c r="M353" s="53" t="s">
        <v>52</v>
      </c>
      <c r="N353" s="62" t="s">
        <v>2430</v>
      </c>
      <c r="O353" s="62" t="s">
        <v>44</v>
      </c>
      <c r="P353" s="62" t="s">
        <v>2431</v>
      </c>
      <c r="Q353" s="62" t="s">
        <v>2432</v>
      </c>
      <c r="R353" s="53"/>
      <c r="S353" s="53"/>
      <c r="T353" s="82"/>
      <c r="U353" s="42"/>
      <c r="V353" s="62"/>
      <c r="W353" s="64"/>
      <c r="X353" s="76"/>
      <c r="Y353" s="76"/>
      <c r="Z353" s="76"/>
      <c r="AA353" s="76"/>
    </row>
    <row r="354">
      <c r="A354" s="42">
        <f t="shared" si="3"/>
        <v>353</v>
      </c>
      <c r="B354" s="51" t="s">
        <v>41</v>
      </c>
      <c r="C354" s="53" t="s">
        <v>2434</v>
      </c>
      <c r="D354" s="42" t="s">
        <v>44</v>
      </c>
      <c r="E354" s="42" t="s">
        <v>44</v>
      </c>
      <c r="F354" s="53" t="s">
        <v>1612</v>
      </c>
      <c r="G354" s="53" t="s">
        <v>47</v>
      </c>
      <c r="H354" s="53" t="s">
        <v>48</v>
      </c>
      <c r="I354" s="53" t="s">
        <v>485</v>
      </c>
      <c r="J354" s="53" t="s">
        <v>1614</v>
      </c>
      <c r="K354" s="53" t="s">
        <v>1615</v>
      </c>
      <c r="L354" s="53" t="s">
        <v>52</v>
      </c>
      <c r="M354" s="53" t="s">
        <v>52</v>
      </c>
      <c r="N354" s="62" t="s">
        <v>2209</v>
      </c>
      <c r="O354" s="62" t="s">
        <v>44</v>
      </c>
      <c r="P354" s="62" t="s">
        <v>2436</v>
      </c>
      <c r="Q354" s="62" t="s">
        <v>2437</v>
      </c>
      <c r="R354" s="53"/>
      <c r="S354" s="53"/>
      <c r="T354" s="82"/>
      <c r="U354" s="53"/>
      <c r="V354" s="62"/>
      <c r="W354" s="64"/>
      <c r="X354" s="76"/>
      <c r="Y354" s="76"/>
      <c r="Z354" s="76"/>
      <c r="AA354" s="76"/>
    </row>
    <row r="355">
      <c r="A355" s="42">
        <f t="shared" si="3"/>
        <v>354</v>
      </c>
      <c r="B355" s="51" t="s">
        <v>41</v>
      </c>
      <c r="C355" s="53" t="s">
        <v>2439</v>
      </c>
      <c r="D355" s="42" t="s">
        <v>44</v>
      </c>
      <c r="E355" s="42" t="s">
        <v>44</v>
      </c>
      <c r="F355" s="53" t="s">
        <v>1612</v>
      </c>
      <c r="G355" s="53" t="s">
        <v>47</v>
      </c>
      <c r="H355" s="53" t="s">
        <v>48</v>
      </c>
      <c r="I355" s="53" t="s">
        <v>485</v>
      </c>
      <c r="J355" s="53" t="s">
        <v>1614</v>
      </c>
      <c r="K355" s="53" t="s">
        <v>1615</v>
      </c>
      <c r="L355" s="53" t="s">
        <v>52</v>
      </c>
      <c r="M355" s="53" t="s">
        <v>52</v>
      </c>
      <c r="N355" s="62" t="s">
        <v>2441</v>
      </c>
      <c r="O355" s="62" t="s">
        <v>44</v>
      </c>
      <c r="P355" s="62" t="s">
        <v>2442</v>
      </c>
      <c r="Q355" s="62" t="s">
        <v>2443</v>
      </c>
      <c r="R355" s="53"/>
      <c r="S355" s="53"/>
      <c r="T355" s="82"/>
      <c r="U355" s="42"/>
      <c r="V355" s="62"/>
      <c r="W355" s="64"/>
      <c r="X355" s="76"/>
      <c r="Y355" s="76"/>
      <c r="Z355" s="76"/>
      <c r="AA355" s="76"/>
    </row>
    <row r="356">
      <c r="A356" s="42">
        <f t="shared" si="3"/>
        <v>355</v>
      </c>
      <c r="B356" s="51" t="s">
        <v>41</v>
      </c>
      <c r="C356" s="53" t="s">
        <v>2444</v>
      </c>
      <c r="D356" s="42" t="s">
        <v>44</v>
      </c>
      <c r="E356" s="42" t="s">
        <v>44</v>
      </c>
      <c r="F356" s="53" t="s">
        <v>1612</v>
      </c>
      <c r="G356" s="53" t="s">
        <v>47</v>
      </c>
      <c r="H356" s="53" t="s">
        <v>95</v>
      </c>
      <c r="I356" s="53" t="s">
        <v>485</v>
      </c>
      <c r="J356" s="53" t="s">
        <v>1614</v>
      </c>
      <c r="K356" s="53" t="s">
        <v>1615</v>
      </c>
      <c r="L356" s="53" t="s">
        <v>52</v>
      </c>
      <c r="M356" s="53" t="s">
        <v>52</v>
      </c>
      <c r="N356" s="62" t="s">
        <v>2447</v>
      </c>
      <c r="O356" s="62" t="s">
        <v>44</v>
      </c>
      <c r="P356" s="62" t="s">
        <v>2448</v>
      </c>
      <c r="Q356" s="62" t="s">
        <v>2449</v>
      </c>
      <c r="R356" s="53"/>
      <c r="S356" s="53"/>
      <c r="T356" s="82"/>
      <c r="U356" s="42"/>
      <c r="V356" s="62"/>
      <c r="W356" s="64"/>
      <c r="X356" s="76"/>
      <c r="Y356" s="76"/>
      <c r="Z356" s="76"/>
      <c r="AA356" s="76"/>
    </row>
    <row r="357">
      <c r="A357" s="42">
        <f t="shared" si="3"/>
        <v>356</v>
      </c>
      <c r="B357" s="51" t="s">
        <v>41</v>
      </c>
      <c r="C357" s="53" t="s">
        <v>2450</v>
      </c>
      <c r="D357" s="42" t="s">
        <v>44</v>
      </c>
      <c r="E357" s="42" t="s">
        <v>44</v>
      </c>
      <c r="F357" s="53" t="s">
        <v>1612</v>
      </c>
      <c r="G357" s="53" t="s">
        <v>197</v>
      </c>
      <c r="H357" s="53" t="s">
        <v>91</v>
      </c>
      <c r="I357" s="53" t="s">
        <v>485</v>
      </c>
      <c r="J357" s="53" t="s">
        <v>1614</v>
      </c>
      <c r="K357" s="53" t="s">
        <v>1615</v>
      </c>
      <c r="L357" s="53" t="s">
        <v>52</v>
      </c>
      <c r="M357" s="53" t="s">
        <v>52</v>
      </c>
      <c r="N357" s="62" t="s">
        <v>2447</v>
      </c>
      <c r="O357" s="62" t="s">
        <v>44</v>
      </c>
      <c r="P357" s="62" t="s">
        <v>2453</v>
      </c>
      <c r="Q357" s="62" t="s">
        <v>2454</v>
      </c>
      <c r="R357" s="53"/>
      <c r="S357" s="53"/>
      <c r="T357" s="82"/>
      <c r="U357" s="53"/>
      <c r="V357" s="62"/>
      <c r="W357" s="64"/>
      <c r="X357" s="76"/>
      <c r="Y357" s="76"/>
      <c r="Z357" s="76"/>
      <c r="AA357" s="76"/>
    </row>
    <row r="358">
      <c r="A358" s="42">
        <f t="shared" si="3"/>
        <v>357</v>
      </c>
      <c r="B358" s="51" t="s">
        <v>41</v>
      </c>
      <c r="C358" s="53" t="s">
        <v>2455</v>
      </c>
      <c r="D358" s="42" t="s">
        <v>44</v>
      </c>
      <c r="E358" s="42" t="s">
        <v>44</v>
      </c>
      <c r="F358" s="53" t="s">
        <v>1612</v>
      </c>
      <c r="G358" s="53" t="s">
        <v>47</v>
      </c>
      <c r="H358" s="53" t="s">
        <v>48</v>
      </c>
      <c r="I358" s="53" t="s">
        <v>485</v>
      </c>
      <c r="J358" s="53" t="s">
        <v>1614</v>
      </c>
      <c r="K358" s="53" t="s">
        <v>1615</v>
      </c>
      <c r="L358" s="53" t="s">
        <v>52</v>
      </c>
      <c r="M358" s="53" t="s">
        <v>52</v>
      </c>
      <c r="N358" s="62" t="s">
        <v>2388</v>
      </c>
      <c r="O358" s="62" t="s">
        <v>44</v>
      </c>
      <c r="P358" s="62" t="s">
        <v>2458</v>
      </c>
      <c r="Q358" s="62" t="s">
        <v>2459</v>
      </c>
      <c r="R358" s="53"/>
      <c r="S358" s="53"/>
      <c r="T358" s="82"/>
      <c r="U358" s="42"/>
      <c r="V358" s="62"/>
      <c r="W358" s="64"/>
      <c r="X358" s="76"/>
      <c r="Y358" s="76"/>
      <c r="Z358" s="76"/>
      <c r="AA358" s="76"/>
    </row>
    <row r="359">
      <c r="A359" s="42">
        <f t="shared" si="3"/>
        <v>358</v>
      </c>
      <c r="B359" s="51" t="s">
        <v>41</v>
      </c>
      <c r="C359" s="53" t="s">
        <v>2460</v>
      </c>
      <c r="D359" s="42" t="s">
        <v>44</v>
      </c>
      <c r="E359" s="42" t="s">
        <v>44</v>
      </c>
      <c r="F359" s="53" t="s">
        <v>1612</v>
      </c>
      <c r="G359" s="53" t="s">
        <v>47</v>
      </c>
      <c r="H359" s="53" t="s">
        <v>48</v>
      </c>
      <c r="I359" s="53" t="s">
        <v>485</v>
      </c>
      <c r="J359" s="53" t="s">
        <v>1614</v>
      </c>
      <c r="K359" s="53" t="s">
        <v>1615</v>
      </c>
      <c r="L359" s="53" t="s">
        <v>52</v>
      </c>
      <c r="M359" s="53" t="s">
        <v>52</v>
      </c>
      <c r="N359" s="62" t="s">
        <v>2388</v>
      </c>
      <c r="O359" s="62" t="s">
        <v>44</v>
      </c>
      <c r="P359" s="62" t="s">
        <v>2463</v>
      </c>
      <c r="Q359" s="62" t="s">
        <v>2432</v>
      </c>
      <c r="R359" s="53"/>
      <c r="S359" s="53"/>
      <c r="T359" s="82"/>
      <c r="U359" s="42"/>
      <c r="V359" s="62"/>
      <c r="W359" s="64"/>
      <c r="X359" s="76"/>
      <c r="Y359" s="76"/>
      <c r="Z359" s="76"/>
      <c r="AA359" s="76"/>
    </row>
    <row r="360">
      <c r="A360" s="42">
        <f t="shared" si="3"/>
        <v>359</v>
      </c>
      <c r="B360" s="51" t="s">
        <v>41</v>
      </c>
      <c r="C360" s="53" t="s">
        <v>2464</v>
      </c>
      <c r="D360" s="42" t="s">
        <v>44</v>
      </c>
      <c r="E360" s="42" t="s">
        <v>44</v>
      </c>
      <c r="F360" s="53" t="s">
        <v>1612</v>
      </c>
      <c r="G360" s="53" t="s">
        <v>47</v>
      </c>
      <c r="H360" s="53" t="s">
        <v>48</v>
      </c>
      <c r="I360" s="53" t="s">
        <v>485</v>
      </c>
      <c r="J360" s="53" t="s">
        <v>1614</v>
      </c>
      <c r="K360" s="53" t="s">
        <v>1615</v>
      </c>
      <c r="L360" s="53" t="s">
        <v>52</v>
      </c>
      <c r="M360" s="53" t="s">
        <v>52</v>
      </c>
      <c r="N360" s="62" t="s">
        <v>2467</v>
      </c>
      <c r="O360" s="62" t="s">
        <v>44</v>
      </c>
      <c r="P360" s="62" t="s">
        <v>2468</v>
      </c>
      <c r="Q360" s="62" t="s">
        <v>2469</v>
      </c>
      <c r="R360" s="53"/>
      <c r="S360" s="53"/>
      <c r="T360" s="82"/>
      <c r="U360" s="42"/>
      <c r="V360" s="62"/>
      <c r="W360" s="64"/>
      <c r="X360" s="76"/>
      <c r="Y360" s="76"/>
      <c r="Z360" s="76"/>
      <c r="AA360" s="76"/>
    </row>
    <row r="361">
      <c r="A361" s="42">
        <f t="shared" si="3"/>
        <v>360</v>
      </c>
      <c r="B361" s="51" t="s">
        <v>41</v>
      </c>
      <c r="C361" s="53" t="s">
        <v>2470</v>
      </c>
      <c r="D361" s="42" t="s">
        <v>44</v>
      </c>
      <c r="E361" s="42" t="s">
        <v>44</v>
      </c>
      <c r="F361" s="53" t="s">
        <v>1612</v>
      </c>
      <c r="G361" s="53" t="s">
        <v>47</v>
      </c>
      <c r="H361" s="53" t="s">
        <v>95</v>
      </c>
      <c r="I361" s="53" t="s">
        <v>485</v>
      </c>
      <c r="J361" s="53" t="s">
        <v>1614</v>
      </c>
      <c r="K361" s="53" t="s">
        <v>1615</v>
      </c>
      <c r="L361" s="53" t="s">
        <v>52</v>
      </c>
      <c r="M361" s="53" t="s">
        <v>52</v>
      </c>
      <c r="N361" s="62" t="s">
        <v>2388</v>
      </c>
      <c r="O361" s="62" t="s">
        <v>44</v>
      </c>
      <c r="P361" s="62" t="s">
        <v>2473</v>
      </c>
      <c r="Q361" s="62" t="s">
        <v>2474</v>
      </c>
      <c r="R361" s="53"/>
      <c r="S361" s="53"/>
      <c r="T361" s="82"/>
      <c r="U361" s="53"/>
      <c r="V361" s="62"/>
      <c r="W361" s="64"/>
      <c r="X361" s="76"/>
      <c r="Y361" s="76"/>
      <c r="Z361" s="76"/>
      <c r="AA361" s="76"/>
    </row>
    <row r="362">
      <c r="A362" s="42">
        <f t="shared" si="3"/>
        <v>361</v>
      </c>
      <c r="B362" s="51" t="s">
        <v>41</v>
      </c>
      <c r="C362" s="53" t="s">
        <v>2476</v>
      </c>
      <c r="D362" s="42" t="s">
        <v>44</v>
      </c>
      <c r="E362" s="42" t="s">
        <v>44</v>
      </c>
      <c r="F362" s="53" t="s">
        <v>1612</v>
      </c>
      <c r="G362" s="53" t="s">
        <v>47</v>
      </c>
      <c r="H362" s="53" t="s">
        <v>95</v>
      </c>
      <c r="I362" s="53" t="s">
        <v>485</v>
      </c>
      <c r="J362" s="53" t="s">
        <v>1614</v>
      </c>
      <c r="K362" s="53" t="s">
        <v>1615</v>
      </c>
      <c r="L362" s="53" t="s">
        <v>52</v>
      </c>
      <c r="M362" s="53" t="s">
        <v>52</v>
      </c>
      <c r="N362" s="62" t="s">
        <v>2388</v>
      </c>
      <c r="O362" s="62" t="s">
        <v>44</v>
      </c>
      <c r="P362" s="62" t="s">
        <v>2478</v>
      </c>
      <c r="Q362" s="62" t="s">
        <v>2479</v>
      </c>
      <c r="R362" s="53"/>
      <c r="S362" s="53"/>
      <c r="T362" s="82"/>
      <c r="U362" s="42"/>
      <c r="V362" s="62"/>
      <c r="W362" s="64"/>
      <c r="X362" s="76"/>
      <c r="Y362" s="76"/>
      <c r="Z362" s="76"/>
      <c r="AA362" s="76"/>
    </row>
    <row r="363">
      <c r="A363" s="42">
        <f t="shared" si="3"/>
        <v>362</v>
      </c>
      <c r="B363" s="51" t="s">
        <v>41</v>
      </c>
      <c r="C363" s="53" t="s">
        <v>2481</v>
      </c>
      <c r="D363" s="42" t="s">
        <v>44</v>
      </c>
      <c r="E363" s="42" t="s">
        <v>44</v>
      </c>
      <c r="F363" s="53" t="s">
        <v>1612</v>
      </c>
      <c r="G363" s="53" t="s">
        <v>47</v>
      </c>
      <c r="H363" s="53" t="s">
        <v>48</v>
      </c>
      <c r="I363" s="53" t="s">
        <v>485</v>
      </c>
      <c r="J363" s="53" t="s">
        <v>1614</v>
      </c>
      <c r="K363" s="53" t="s">
        <v>1615</v>
      </c>
      <c r="L363" s="53" t="s">
        <v>52</v>
      </c>
      <c r="M363" s="53" t="s">
        <v>52</v>
      </c>
      <c r="N363" s="62" t="s">
        <v>2388</v>
      </c>
      <c r="O363" s="62" t="s">
        <v>44</v>
      </c>
      <c r="P363" s="62" t="s">
        <v>2483</v>
      </c>
      <c r="Q363" s="62" t="s">
        <v>2484</v>
      </c>
      <c r="R363" s="53"/>
      <c r="S363" s="53"/>
      <c r="T363" s="82"/>
      <c r="U363" s="42"/>
      <c r="V363" s="62"/>
      <c r="W363" s="64"/>
      <c r="X363" s="76"/>
      <c r="Y363" s="76"/>
      <c r="Z363" s="76"/>
      <c r="AA363" s="76"/>
    </row>
    <row r="364">
      <c r="A364" s="42">
        <f t="shared" si="3"/>
        <v>363</v>
      </c>
      <c r="B364" s="51" t="s">
        <v>41</v>
      </c>
      <c r="C364" s="53" t="s">
        <v>2486</v>
      </c>
      <c r="D364" s="42" t="s">
        <v>44</v>
      </c>
      <c r="E364" s="42" t="s">
        <v>44</v>
      </c>
      <c r="F364" s="53" t="s">
        <v>1612</v>
      </c>
      <c r="G364" s="53" t="s">
        <v>47</v>
      </c>
      <c r="H364" s="53" t="s">
        <v>48</v>
      </c>
      <c r="I364" s="53" t="s">
        <v>485</v>
      </c>
      <c r="J364" s="53" t="s">
        <v>1614</v>
      </c>
      <c r="K364" s="53" t="s">
        <v>1615</v>
      </c>
      <c r="L364" s="53" t="s">
        <v>52</v>
      </c>
      <c r="M364" s="53" t="s">
        <v>52</v>
      </c>
      <c r="N364" s="62" t="s">
        <v>2488</v>
      </c>
      <c r="O364" s="62" t="s">
        <v>44</v>
      </c>
      <c r="P364" s="62" t="s">
        <v>2489</v>
      </c>
      <c r="Q364" s="62" t="s">
        <v>2490</v>
      </c>
      <c r="R364" s="53"/>
      <c r="S364" s="53"/>
      <c r="T364" s="82"/>
      <c r="U364" s="42"/>
      <c r="V364" s="62"/>
      <c r="W364" s="64"/>
      <c r="X364" s="76"/>
      <c r="Y364" s="76"/>
      <c r="Z364" s="76"/>
      <c r="AA364" s="76"/>
    </row>
    <row r="365">
      <c r="A365" s="42">
        <f t="shared" si="3"/>
        <v>364</v>
      </c>
      <c r="B365" s="51" t="s">
        <v>41</v>
      </c>
      <c r="C365" s="53" t="s">
        <v>2492</v>
      </c>
      <c r="D365" s="42" t="s">
        <v>44</v>
      </c>
      <c r="E365" s="42" t="s">
        <v>44</v>
      </c>
      <c r="F365" s="53" t="s">
        <v>1612</v>
      </c>
      <c r="G365" s="53" t="s">
        <v>47</v>
      </c>
      <c r="H365" s="53" t="s">
        <v>95</v>
      </c>
      <c r="I365" s="53" t="s">
        <v>485</v>
      </c>
      <c r="J365" s="53" t="s">
        <v>1614</v>
      </c>
      <c r="K365" s="53" t="s">
        <v>1615</v>
      </c>
      <c r="L365" s="53" t="s">
        <v>52</v>
      </c>
      <c r="M365" s="53" t="s">
        <v>52</v>
      </c>
      <c r="N365" s="62" t="s">
        <v>2495</v>
      </c>
      <c r="O365" s="62" t="s">
        <v>44</v>
      </c>
      <c r="P365" s="62" t="s">
        <v>2496</v>
      </c>
      <c r="Q365" s="62" t="s">
        <v>2497</v>
      </c>
      <c r="R365" s="53"/>
      <c r="S365" s="53"/>
      <c r="T365" s="82"/>
      <c r="U365" s="42"/>
      <c r="V365" s="62"/>
      <c r="W365" s="64"/>
      <c r="X365" s="76"/>
      <c r="Y365" s="76"/>
      <c r="Z365" s="76"/>
      <c r="AA365" s="76"/>
    </row>
    <row r="366">
      <c r="A366" s="42">
        <f t="shared" si="3"/>
        <v>365</v>
      </c>
      <c r="B366" s="51" t="s">
        <v>41</v>
      </c>
      <c r="C366" s="53" t="s">
        <v>2500</v>
      </c>
      <c r="D366" s="42" t="s">
        <v>44</v>
      </c>
      <c r="E366" s="42" t="s">
        <v>44</v>
      </c>
      <c r="F366" s="53" t="s">
        <v>1612</v>
      </c>
      <c r="G366" s="53" t="s">
        <v>47</v>
      </c>
      <c r="H366" s="53" t="s">
        <v>48</v>
      </c>
      <c r="I366" s="53" t="s">
        <v>485</v>
      </c>
      <c r="J366" s="53" t="s">
        <v>2501</v>
      </c>
      <c r="K366" s="53" t="s">
        <v>51</v>
      </c>
      <c r="L366" s="53" t="s">
        <v>52</v>
      </c>
      <c r="M366" s="53" t="s">
        <v>52</v>
      </c>
      <c r="N366" s="62" t="s">
        <v>2502</v>
      </c>
      <c r="O366" s="62" t="s">
        <v>44</v>
      </c>
      <c r="P366" s="62" t="s">
        <v>2503</v>
      </c>
      <c r="Q366" s="62" t="s">
        <v>2504</v>
      </c>
      <c r="R366" s="53"/>
      <c r="S366" s="53"/>
      <c r="T366" s="82"/>
      <c r="U366" s="42"/>
      <c r="V366" s="62"/>
      <c r="W366" s="64"/>
      <c r="X366" s="76"/>
      <c r="Y366" s="76"/>
      <c r="Z366" s="76"/>
      <c r="AA366" s="76"/>
    </row>
    <row r="367">
      <c r="A367" s="42">
        <f t="shared" si="3"/>
        <v>366</v>
      </c>
      <c r="B367" s="51" t="s">
        <v>41</v>
      </c>
      <c r="C367" s="53" t="s">
        <v>2507</v>
      </c>
      <c r="D367" s="42" t="s">
        <v>44</v>
      </c>
      <c r="E367" s="42" t="s">
        <v>44</v>
      </c>
      <c r="F367" s="53" t="s">
        <v>1612</v>
      </c>
      <c r="G367" s="53" t="s">
        <v>47</v>
      </c>
      <c r="H367" s="53" t="s">
        <v>48</v>
      </c>
      <c r="I367" s="53" t="s">
        <v>485</v>
      </c>
      <c r="J367" s="53" t="s">
        <v>2501</v>
      </c>
      <c r="K367" s="53" t="s">
        <v>51</v>
      </c>
      <c r="L367" s="53" t="s">
        <v>52</v>
      </c>
      <c r="M367" s="53" t="s">
        <v>52</v>
      </c>
      <c r="N367" s="62" t="s">
        <v>2502</v>
      </c>
      <c r="O367" s="62" t="s">
        <v>44</v>
      </c>
      <c r="P367" s="62" t="s">
        <v>2508</v>
      </c>
      <c r="Q367" s="62" t="s">
        <v>2509</v>
      </c>
      <c r="R367" s="53"/>
      <c r="S367" s="53"/>
      <c r="T367" s="82"/>
      <c r="U367" s="42"/>
      <c r="V367" s="62"/>
      <c r="W367" s="64"/>
      <c r="X367" s="76"/>
      <c r="Y367" s="76"/>
      <c r="Z367" s="76"/>
      <c r="AA367" s="76"/>
    </row>
    <row r="368">
      <c r="A368" s="42">
        <f t="shared" si="3"/>
        <v>367</v>
      </c>
      <c r="B368" s="51" t="s">
        <v>41</v>
      </c>
      <c r="C368" s="53" t="s">
        <v>2512</v>
      </c>
      <c r="D368" s="42" t="s">
        <v>44</v>
      </c>
      <c r="E368" s="42" t="s">
        <v>44</v>
      </c>
      <c r="F368" s="53" t="s">
        <v>1612</v>
      </c>
      <c r="G368" s="53" t="s">
        <v>47</v>
      </c>
      <c r="H368" s="53" t="s">
        <v>48</v>
      </c>
      <c r="I368" s="53" t="s">
        <v>485</v>
      </c>
      <c r="J368" s="53" t="s">
        <v>2501</v>
      </c>
      <c r="K368" s="53" t="s">
        <v>51</v>
      </c>
      <c r="L368" s="53" t="s">
        <v>52</v>
      </c>
      <c r="M368" s="53" t="s">
        <v>52</v>
      </c>
      <c r="N368" s="62" t="s">
        <v>2502</v>
      </c>
      <c r="O368" s="62" t="s">
        <v>44</v>
      </c>
      <c r="P368" s="62" t="s">
        <v>2513</v>
      </c>
      <c r="Q368" s="62" t="s">
        <v>2514</v>
      </c>
      <c r="R368" s="53"/>
      <c r="S368" s="53"/>
      <c r="T368" s="82"/>
      <c r="U368" s="42"/>
      <c r="V368" s="62"/>
      <c r="W368" s="64"/>
      <c r="X368" s="76"/>
      <c r="Y368" s="76"/>
      <c r="Z368" s="76"/>
      <c r="AA368" s="76"/>
    </row>
    <row r="369">
      <c r="A369" s="42">
        <f t="shared" si="3"/>
        <v>368</v>
      </c>
      <c r="B369" s="51" t="s">
        <v>41</v>
      </c>
      <c r="C369" s="53" t="s">
        <v>2517</v>
      </c>
      <c r="D369" s="42" t="s">
        <v>44</v>
      </c>
      <c r="E369" s="42" t="s">
        <v>44</v>
      </c>
      <c r="F369" s="53" t="s">
        <v>1612</v>
      </c>
      <c r="G369" s="53" t="s">
        <v>47</v>
      </c>
      <c r="H369" s="53" t="s">
        <v>48</v>
      </c>
      <c r="I369" s="53" t="s">
        <v>485</v>
      </c>
      <c r="J369" s="53" t="s">
        <v>2501</v>
      </c>
      <c r="K369" s="53" t="s">
        <v>51</v>
      </c>
      <c r="L369" s="53" t="s">
        <v>52</v>
      </c>
      <c r="M369" s="53" t="s">
        <v>52</v>
      </c>
      <c r="N369" s="62" t="s">
        <v>2518</v>
      </c>
      <c r="O369" s="62" t="s">
        <v>44</v>
      </c>
      <c r="P369" s="62" t="s">
        <v>2520</v>
      </c>
      <c r="Q369" s="62" t="s">
        <v>2521</v>
      </c>
      <c r="R369" s="53"/>
      <c r="S369" s="53"/>
      <c r="T369" s="82"/>
      <c r="U369" s="42"/>
      <c r="V369" s="62"/>
      <c r="W369" s="64"/>
      <c r="X369" s="76"/>
      <c r="Y369" s="76"/>
      <c r="Z369" s="76"/>
      <c r="AA369" s="76"/>
    </row>
    <row r="370">
      <c r="A370" s="42">
        <f t="shared" si="3"/>
        <v>369</v>
      </c>
      <c r="B370" s="51" t="s">
        <v>41</v>
      </c>
      <c r="C370" s="53" t="s">
        <v>2523</v>
      </c>
      <c r="D370" s="42" t="s">
        <v>44</v>
      </c>
      <c r="E370" s="42" t="s">
        <v>44</v>
      </c>
      <c r="F370" s="53" t="s">
        <v>1612</v>
      </c>
      <c r="G370" s="53" t="s">
        <v>47</v>
      </c>
      <c r="H370" s="53" t="s">
        <v>95</v>
      </c>
      <c r="I370" s="53" t="s">
        <v>485</v>
      </c>
      <c r="J370" s="53" t="s">
        <v>2501</v>
      </c>
      <c r="K370" s="53" t="s">
        <v>51</v>
      </c>
      <c r="L370" s="53" t="s">
        <v>52</v>
      </c>
      <c r="M370" s="53" t="s">
        <v>52</v>
      </c>
      <c r="N370" s="62" t="s">
        <v>2502</v>
      </c>
      <c r="O370" s="62" t="s">
        <v>44</v>
      </c>
      <c r="P370" s="62" t="s">
        <v>2525</v>
      </c>
      <c r="Q370" s="62" t="s">
        <v>2526</v>
      </c>
      <c r="R370" s="53"/>
      <c r="S370" s="53"/>
      <c r="T370" s="82"/>
      <c r="U370" s="42"/>
      <c r="V370" s="62"/>
      <c r="W370" s="64"/>
      <c r="X370" s="76"/>
      <c r="Y370" s="76"/>
      <c r="Z370" s="76"/>
      <c r="AA370" s="76"/>
    </row>
    <row r="371">
      <c r="A371" s="42">
        <f t="shared" si="3"/>
        <v>370</v>
      </c>
      <c r="B371" s="51" t="s">
        <v>41</v>
      </c>
      <c r="C371" s="53" t="s">
        <v>2528</v>
      </c>
      <c r="D371" s="42" t="s">
        <v>44</v>
      </c>
      <c r="E371" s="42" t="s">
        <v>44</v>
      </c>
      <c r="F371" s="53" t="s">
        <v>1612</v>
      </c>
      <c r="G371" s="53" t="s">
        <v>47</v>
      </c>
      <c r="H371" s="53" t="s">
        <v>95</v>
      </c>
      <c r="I371" s="53" t="s">
        <v>485</v>
      </c>
      <c r="J371" s="53" t="s">
        <v>2501</v>
      </c>
      <c r="K371" s="53" t="s">
        <v>51</v>
      </c>
      <c r="L371" s="53" t="s">
        <v>52</v>
      </c>
      <c r="M371" s="53" t="s">
        <v>52</v>
      </c>
      <c r="N371" s="62" t="s">
        <v>2529</v>
      </c>
      <c r="O371" s="62" t="s">
        <v>44</v>
      </c>
      <c r="P371" s="62" t="s">
        <v>2531</v>
      </c>
      <c r="Q371" s="62" t="s">
        <v>2532</v>
      </c>
      <c r="R371" s="53"/>
      <c r="S371" s="53"/>
      <c r="T371" s="82"/>
      <c r="U371" s="42"/>
      <c r="V371" s="62"/>
      <c r="W371" s="64"/>
      <c r="X371" s="76"/>
      <c r="Y371" s="76"/>
      <c r="Z371" s="76"/>
      <c r="AA371" s="76"/>
    </row>
    <row r="372">
      <c r="A372" s="42">
        <f t="shared" si="3"/>
        <v>371</v>
      </c>
      <c r="B372" s="51" t="s">
        <v>41</v>
      </c>
      <c r="C372" s="53" t="s">
        <v>2534</v>
      </c>
      <c r="D372" s="42" t="s">
        <v>44</v>
      </c>
      <c r="E372" s="42" t="s">
        <v>44</v>
      </c>
      <c r="F372" s="53" t="s">
        <v>1612</v>
      </c>
      <c r="G372" s="53" t="s">
        <v>47</v>
      </c>
      <c r="H372" s="53" t="s">
        <v>95</v>
      </c>
      <c r="I372" s="53" t="s">
        <v>485</v>
      </c>
      <c r="J372" s="53" t="s">
        <v>2501</v>
      </c>
      <c r="K372" s="53" t="s">
        <v>51</v>
      </c>
      <c r="L372" s="53" t="s">
        <v>52</v>
      </c>
      <c r="M372" s="53" t="s">
        <v>52</v>
      </c>
      <c r="N372" s="62" t="s">
        <v>2536</v>
      </c>
      <c r="O372" s="62" t="s">
        <v>44</v>
      </c>
      <c r="P372" s="62" t="s">
        <v>2538</v>
      </c>
      <c r="Q372" s="62" t="s">
        <v>2539</v>
      </c>
      <c r="R372" s="53"/>
      <c r="S372" s="53"/>
      <c r="T372" s="82"/>
      <c r="U372" s="42"/>
      <c r="V372" s="62"/>
      <c r="W372" s="140"/>
      <c r="X372" s="76"/>
      <c r="Y372" s="76"/>
      <c r="Z372" s="76"/>
      <c r="AA372" s="76"/>
    </row>
    <row r="373">
      <c r="A373" s="42">
        <f t="shared" si="3"/>
        <v>372</v>
      </c>
      <c r="B373" s="51" t="s">
        <v>41</v>
      </c>
      <c r="C373" s="53" t="s">
        <v>2540</v>
      </c>
      <c r="D373" s="42" t="s">
        <v>44</v>
      </c>
      <c r="E373" s="42" t="s">
        <v>44</v>
      </c>
      <c r="F373" s="53" t="s">
        <v>1612</v>
      </c>
      <c r="G373" s="53" t="s">
        <v>47</v>
      </c>
      <c r="H373" s="53" t="s">
        <v>48</v>
      </c>
      <c r="I373" s="53" t="s">
        <v>485</v>
      </c>
      <c r="J373" s="53" t="s">
        <v>2501</v>
      </c>
      <c r="K373" s="53" t="s">
        <v>51</v>
      </c>
      <c r="L373" s="53" t="s">
        <v>52</v>
      </c>
      <c r="M373" s="53" t="s">
        <v>52</v>
      </c>
      <c r="N373" s="62" t="s">
        <v>2542</v>
      </c>
      <c r="O373" s="62" t="s">
        <v>44</v>
      </c>
      <c r="P373" s="62" t="s">
        <v>2531</v>
      </c>
      <c r="Q373" s="62" t="s">
        <v>2543</v>
      </c>
      <c r="R373" s="53"/>
      <c r="S373" s="53"/>
      <c r="T373" s="82"/>
      <c r="U373" s="42"/>
      <c r="V373" s="62"/>
      <c r="W373" s="64"/>
      <c r="X373" s="76"/>
      <c r="Y373" s="76"/>
      <c r="Z373" s="76"/>
      <c r="AA373" s="76"/>
    </row>
    <row r="374">
      <c r="A374" s="42">
        <f t="shared" si="3"/>
        <v>373</v>
      </c>
      <c r="B374" s="51" t="s">
        <v>41</v>
      </c>
      <c r="C374" s="53" t="s">
        <v>2545</v>
      </c>
      <c r="D374" s="42" t="s">
        <v>44</v>
      </c>
      <c r="E374" s="42" t="s">
        <v>44</v>
      </c>
      <c r="F374" s="53" t="s">
        <v>1612</v>
      </c>
      <c r="G374" s="53" t="s">
        <v>47</v>
      </c>
      <c r="H374" s="53" t="s">
        <v>95</v>
      </c>
      <c r="I374" s="53" t="s">
        <v>485</v>
      </c>
      <c r="J374" s="53" t="s">
        <v>2501</v>
      </c>
      <c r="K374" s="53" t="s">
        <v>51</v>
      </c>
      <c r="L374" s="53" t="s">
        <v>52</v>
      </c>
      <c r="M374" s="53" t="s">
        <v>52</v>
      </c>
      <c r="N374" s="62" t="s">
        <v>2542</v>
      </c>
      <c r="O374" s="62" t="s">
        <v>44</v>
      </c>
      <c r="P374" s="62" t="s">
        <v>2548</v>
      </c>
      <c r="Q374" s="62" t="s">
        <v>2549</v>
      </c>
      <c r="R374" s="53"/>
      <c r="S374" s="53"/>
      <c r="T374" s="82"/>
      <c r="U374" s="42"/>
      <c r="V374" s="62"/>
      <c r="W374" s="64"/>
      <c r="X374" s="76"/>
      <c r="Y374" s="76"/>
      <c r="Z374" s="76"/>
      <c r="AA374" s="76"/>
    </row>
    <row r="375">
      <c r="A375" s="42">
        <f t="shared" si="3"/>
        <v>374</v>
      </c>
      <c r="B375" s="51" t="s">
        <v>41</v>
      </c>
      <c r="C375" s="53" t="s">
        <v>2550</v>
      </c>
      <c r="D375" s="42" t="s">
        <v>44</v>
      </c>
      <c r="E375" s="42" t="s">
        <v>44</v>
      </c>
      <c r="F375" s="53" t="s">
        <v>1612</v>
      </c>
      <c r="G375" s="53" t="s">
        <v>47</v>
      </c>
      <c r="H375" s="53" t="s">
        <v>91</v>
      </c>
      <c r="I375" s="53" t="s">
        <v>485</v>
      </c>
      <c r="J375" s="53" t="s">
        <v>2501</v>
      </c>
      <c r="K375" s="53" t="s">
        <v>51</v>
      </c>
      <c r="L375" s="53" t="s">
        <v>52</v>
      </c>
      <c r="M375" s="53" t="s">
        <v>52</v>
      </c>
      <c r="N375" s="62" t="s">
        <v>2552</v>
      </c>
      <c r="O375" s="62" t="s">
        <v>44</v>
      </c>
      <c r="P375" s="62" t="s">
        <v>2554</v>
      </c>
      <c r="Q375" s="62" t="s">
        <v>2555</v>
      </c>
      <c r="R375" s="53"/>
      <c r="S375" s="53"/>
      <c r="T375" s="82"/>
      <c r="U375" s="42"/>
      <c r="V375" s="62"/>
      <c r="W375" s="64"/>
      <c r="X375" s="76"/>
      <c r="Y375" s="76"/>
      <c r="Z375" s="76"/>
      <c r="AA375" s="76"/>
    </row>
    <row r="376">
      <c r="A376" s="42">
        <f t="shared" si="3"/>
        <v>375</v>
      </c>
      <c r="B376" s="51" t="s">
        <v>41</v>
      </c>
      <c r="C376" s="53" t="s">
        <v>2556</v>
      </c>
      <c r="D376" s="42" t="s">
        <v>44</v>
      </c>
      <c r="E376" s="42" t="s">
        <v>44</v>
      </c>
      <c r="F376" s="53" t="s">
        <v>1612</v>
      </c>
      <c r="G376" s="53" t="s">
        <v>47</v>
      </c>
      <c r="H376" s="53" t="s">
        <v>48</v>
      </c>
      <c r="I376" s="53" t="s">
        <v>485</v>
      </c>
      <c r="J376" s="53" t="s">
        <v>2501</v>
      </c>
      <c r="K376" s="53" t="s">
        <v>51</v>
      </c>
      <c r="L376" s="53" t="s">
        <v>52</v>
      </c>
      <c r="M376" s="53" t="s">
        <v>52</v>
      </c>
      <c r="N376" s="62" t="s">
        <v>2559</v>
      </c>
      <c r="O376" s="62" t="s">
        <v>44</v>
      </c>
      <c r="P376" s="62" t="s">
        <v>2560</v>
      </c>
      <c r="Q376" s="62" t="s">
        <v>2561</v>
      </c>
      <c r="R376" s="53"/>
      <c r="S376" s="53"/>
      <c r="T376" s="82"/>
      <c r="U376" s="42"/>
      <c r="V376" s="62"/>
      <c r="W376" s="64"/>
      <c r="X376" s="76"/>
      <c r="Y376" s="76"/>
      <c r="Z376" s="76"/>
      <c r="AA376" s="76"/>
    </row>
    <row r="377">
      <c r="A377" s="42">
        <f t="shared" si="3"/>
        <v>376</v>
      </c>
      <c r="B377" s="51" t="s">
        <v>41</v>
      </c>
      <c r="C377" s="53" t="s">
        <v>2562</v>
      </c>
      <c r="D377" s="42" t="s">
        <v>44</v>
      </c>
      <c r="E377" s="42" t="s">
        <v>44</v>
      </c>
      <c r="F377" s="53" t="s">
        <v>1612</v>
      </c>
      <c r="G377" s="53" t="s">
        <v>47</v>
      </c>
      <c r="H377" s="53" t="s">
        <v>95</v>
      </c>
      <c r="I377" s="53" t="s">
        <v>485</v>
      </c>
      <c r="J377" s="53" t="s">
        <v>2501</v>
      </c>
      <c r="K377" s="53" t="s">
        <v>51</v>
      </c>
      <c r="L377" s="53" t="s">
        <v>52</v>
      </c>
      <c r="M377" s="53" t="s">
        <v>52</v>
      </c>
      <c r="N377" s="62" t="s">
        <v>2559</v>
      </c>
      <c r="O377" s="62" t="s">
        <v>44</v>
      </c>
      <c r="P377" s="62" t="s">
        <v>2565</v>
      </c>
      <c r="Q377" s="62" t="s">
        <v>2566</v>
      </c>
      <c r="R377" s="53"/>
      <c r="S377" s="53"/>
      <c r="T377" s="82"/>
      <c r="U377" s="42"/>
      <c r="V377" s="62"/>
      <c r="W377" s="64"/>
      <c r="X377" s="76"/>
      <c r="Y377" s="76"/>
      <c r="Z377" s="76"/>
      <c r="AA377" s="76"/>
    </row>
    <row r="378">
      <c r="A378" s="42">
        <f t="shared" si="3"/>
        <v>377</v>
      </c>
      <c r="B378" s="51" t="s">
        <v>41</v>
      </c>
      <c r="C378" s="53" t="s">
        <v>2568</v>
      </c>
      <c r="D378" s="42" t="s">
        <v>44</v>
      </c>
      <c r="E378" s="42" t="s">
        <v>44</v>
      </c>
      <c r="F378" s="53" t="s">
        <v>1612</v>
      </c>
      <c r="G378" s="53" t="s">
        <v>85</v>
      </c>
      <c r="H378" s="53" t="s">
        <v>86</v>
      </c>
      <c r="I378" s="53" t="s">
        <v>485</v>
      </c>
      <c r="J378" s="53" t="s">
        <v>2501</v>
      </c>
      <c r="K378" s="53" t="s">
        <v>51</v>
      </c>
      <c r="L378" s="53" t="s">
        <v>52</v>
      </c>
      <c r="M378" s="53" t="s">
        <v>52</v>
      </c>
      <c r="N378" s="62" t="s">
        <v>2502</v>
      </c>
      <c r="O378" s="62" t="s">
        <v>44</v>
      </c>
      <c r="P378" s="62" t="s">
        <v>2051</v>
      </c>
      <c r="Q378" s="62" t="s">
        <v>2570</v>
      </c>
      <c r="R378" s="53"/>
      <c r="S378" s="53"/>
      <c r="T378" s="82"/>
      <c r="U378" s="42"/>
      <c r="V378" s="62"/>
      <c r="W378" s="140"/>
      <c r="X378" s="76"/>
      <c r="Y378" s="76"/>
      <c r="Z378" s="76"/>
      <c r="AA378" s="76"/>
    </row>
    <row r="379">
      <c r="A379" s="42">
        <f t="shared" si="3"/>
        <v>378</v>
      </c>
      <c r="B379" s="51" t="s">
        <v>41</v>
      </c>
      <c r="C379" s="53" t="s">
        <v>2572</v>
      </c>
      <c r="D379" s="42" t="s">
        <v>44</v>
      </c>
      <c r="E379" s="42" t="s">
        <v>44</v>
      </c>
      <c r="F379" s="53" t="s">
        <v>1612</v>
      </c>
      <c r="G379" s="53" t="s">
        <v>47</v>
      </c>
      <c r="H379" s="53" t="s">
        <v>48</v>
      </c>
      <c r="I379" s="53" t="s">
        <v>485</v>
      </c>
      <c r="J379" s="53" t="s">
        <v>2501</v>
      </c>
      <c r="K379" s="53" t="s">
        <v>51</v>
      </c>
      <c r="L379" s="53" t="s">
        <v>52</v>
      </c>
      <c r="M379" s="53" t="s">
        <v>52</v>
      </c>
      <c r="N379" s="62" t="s">
        <v>2502</v>
      </c>
      <c r="O379" s="62" t="s">
        <v>44</v>
      </c>
      <c r="P379" s="62" t="s">
        <v>2574</v>
      </c>
      <c r="Q379" s="62" t="s">
        <v>2575</v>
      </c>
      <c r="R379" s="53"/>
      <c r="S379" s="53"/>
      <c r="T379" s="82"/>
      <c r="U379" s="42"/>
      <c r="V379" s="62"/>
      <c r="W379" s="64"/>
      <c r="X379" s="76"/>
      <c r="Y379" s="76"/>
      <c r="Z379" s="76"/>
      <c r="AA379" s="76"/>
    </row>
    <row r="380">
      <c r="A380" s="42">
        <f t="shared" si="3"/>
        <v>379</v>
      </c>
      <c r="B380" s="51" t="s">
        <v>41</v>
      </c>
      <c r="C380" s="53" t="s">
        <v>2577</v>
      </c>
      <c r="D380" s="42" t="s">
        <v>44</v>
      </c>
      <c r="E380" s="42" t="s">
        <v>44</v>
      </c>
      <c r="F380" s="53" t="s">
        <v>1612</v>
      </c>
      <c r="G380" s="53" t="s">
        <v>47</v>
      </c>
      <c r="H380" s="53" t="s">
        <v>48</v>
      </c>
      <c r="I380" s="53" t="s">
        <v>485</v>
      </c>
      <c r="J380" s="53" t="s">
        <v>2501</v>
      </c>
      <c r="K380" s="53" t="s">
        <v>51</v>
      </c>
      <c r="L380" s="53" t="s">
        <v>52</v>
      </c>
      <c r="M380" s="53" t="s">
        <v>52</v>
      </c>
      <c r="N380" s="62" t="s">
        <v>2579</v>
      </c>
      <c r="O380" s="62" t="s">
        <v>44</v>
      </c>
      <c r="P380" s="62" t="s">
        <v>2580</v>
      </c>
      <c r="Q380" s="62" t="s">
        <v>2581</v>
      </c>
      <c r="R380" s="53"/>
      <c r="S380" s="53"/>
      <c r="T380" s="82"/>
      <c r="U380" s="53"/>
      <c r="V380" s="62"/>
      <c r="W380" s="64"/>
      <c r="X380" s="76"/>
      <c r="Y380" s="76"/>
      <c r="Z380" s="76"/>
      <c r="AA380" s="76"/>
    </row>
    <row r="381">
      <c r="A381" s="42">
        <f t="shared" si="3"/>
        <v>380</v>
      </c>
      <c r="B381" s="51" t="s">
        <v>41</v>
      </c>
      <c r="C381" s="53" t="s">
        <v>2583</v>
      </c>
      <c r="D381" s="42" t="s">
        <v>44</v>
      </c>
      <c r="E381" s="42" t="s">
        <v>44</v>
      </c>
      <c r="F381" s="53" t="s">
        <v>1612</v>
      </c>
      <c r="G381" s="53" t="s">
        <v>47</v>
      </c>
      <c r="H381" s="53" t="s">
        <v>95</v>
      </c>
      <c r="I381" s="53" t="s">
        <v>485</v>
      </c>
      <c r="J381" s="53" t="s">
        <v>2501</v>
      </c>
      <c r="K381" s="53" t="s">
        <v>51</v>
      </c>
      <c r="L381" s="53" t="s">
        <v>52</v>
      </c>
      <c r="M381" s="53" t="s">
        <v>52</v>
      </c>
      <c r="N381" s="62" t="s">
        <v>2585</v>
      </c>
      <c r="O381" s="62" t="s">
        <v>44</v>
      </c>
      <c r="P381" s="62" t="s">
        <v>2586</v>
      </c>
      <c r="Q381" s="62" t="s">
        <v>2587</v>
      </c>
      <c r="R381" s="53"/>
      <c r="S381" s="53"/>
      <c r="T381" s="82"/>
      <c r="U381" s="53"/>
      <c r="V381" s="62"/>
      <c r="W381" s="140"/>
      <c r="X381" s="76"/>
      <c r="Y381" s="76"/>
      <c r="Z381" s="76"/>
      <c r="AA381" s="76"/>
    </row>
    <row r="382">
      <c r="A382" s="42">
        <f t="shared" si="3"/>
        <v>381</v>
      </c>
      <c r="B382" s="51" t="s">
        <v>41</v>
      </c>
      <c r="C382" s="53" t="s">
        <v>2589</v>
      </c>
      <c r="D382" s="42" t="s">
        <v>44</v>
      </c>
      <c r="E382" s="42" t="s">
        <v>44</v>
      </c>
      <c r="F382" s="53" t="s">
        <v>1612</v>
      </c>
      <c r="G382" s="53" t="s">
        <v>197</v>
      </c>
      <c r="H382" s="53" t="s">
        <v>112</v>
      </c>
      <c r="I382" s="53" t="s">
        <v>485</v>
      </c>
      <c r="J382" s="53" t="s">
        <v>2501</v>
      </c>
      <c r="K382" s="53" t="s">
        <v>51</v>
      </c>
      <c r="L382" s="53" t="s">
        <v>52</v>
      </c>
      <c r="M382" s="53" t="s">
        <v>52</v>
      </c>
      <c r="N382" s="62" t="s">
        <v>2591</v>
      </c>
      <c r="O382" s="62" t="s">
        <v>44</v>
      </c>
      <c r="P382" s="62" t="s">
        <v>2592</v>
      </c>
      <c r="Q382" s="62" t="s">
        <v>2593</v>
      </c>
      <c r="R382" s="53"/>
      <c r="S382" s="53"/>
      <c r="T382" s="82"/>
      <c r="U382" s="42"/>
      <c r="V382" s="62"/>
      <c r="W382" s="64"/>
      <c r="X382" s="76"/>
      <c r="Y382" s="76"/>
      <c r="Z382" s="76"/>
      <c r="AA382" s="76"/>
    </row>
    <row r="383">
      <c r="A383" s="42">
        <f t="shared" si="3"/>
        <v>382</v>
      </c>
      <c r="B383" s="51" t="s">
        <v>41</v>
      </c>
      <c r="C383" s="53" t="s">
        <v>2595</v>
      </c>
      <c r="D383" s="42" t="s">
        <v>44</v>
      </c>
      <c r="E383" s="42" t="s">
        <v>44</v>
      </c>
      <c r="F383" s="53" t="s">
        <v>1612</v>
      </c>
      <c r="G383" s="53" t="s">
        <v>47</v>
      </c>
      <c r="H383" s="53" t="s">
        <v>48</v>
      </c>
      <c r="I383" s="53" t="s">
        <v>485</v>
      </c>
      <c r="J383" s="53" t="s">
        <v>1614</v>
      </c>
      <c r="K383" s="53" t="s">
        <v>1615</v>
      </c>
      <c r="L383" s="53" t="s">
        <v>52</v>
      </c>
      <c r="M383" s="53" t="s">
        <v>52</v>
      </c>
      <c r="N383" s="62" t="s">
        <v>2597</v>
      </c>
      <c r="O383" s="62" t="s">
        <v>44</v>
      </c>
      <c r="P383" s="62" t="s">
        <v>2598</v>
      </c>
      <c r="Q383" s="62" t="s">
        <v>2599</v>
      </c>
      <c r="R383" s="53"/>
      <c r="S383" s="53"/>
      <c r="T383" s="82"/>
      <c r="U383" s="42"/>
      <c r="V383" s="62"/>
      <c r="W383" s="64"/>
      <c r="X383" s="76"/>
      <c r="Y383" s="76"/>
      <c r="Z383" s="76"/>
      <c r="AA383" s="76"/>
    </row>
    <row r="384">
      <c r="A384" s="42">
        <f t="shared" si="3"/>
        <v>383</v>
      </c>
      <c r="B384" s="51" t="s">
        <v>41</v>
      </c>
      <c r="C384" s="53" t="s">
        <v>2601</v>
      </c>
      <c r="D384" s="42" t="s">
        <v>44</v>
      </c>
      <c r="E384" s="42" t="s">
        <v>44</v>
      </c>
      <c r="F384" s="53" t="s">
        <v>1612</v>
      </c>
      <c r="G384" s="53" t="s">
        <v>197</v>
      </c>
      <c r="H384" s="53" t="s">
        <v>91</v>
      </c>
      <c r="I384" s="53" t="s">
        <v>485</v>
      </c>
      <c r="J384" s="53" t="s">
        <v>1614</v>
      </c>
      <c r="K384" s="53" t="s">
        <v>1615</v>
      </c>
      <c r="L384" s="53" t="s">
        <v>52</v>
      </c>
      <c r="M384" s="53" t="s">
        <v>52</v>
      </c>
      <c r="N384" s="62" t="s">
        <v>2111</v>
      </c>
      <c r="O384" s="62" t="s">
        <v>44</v>
      </c>
      <c r="P384" s="62" t="s">
        <v>2603</v>
      </c>
      <c r="Q384" s="62" t="s">
        <v>2604</v>
      </c>
      <c r="R384" s="53"/>
      <c r="S384" s="53"/>
      <c r="T384" s="82"/>
      <c r="U384" s="42"/>
      <c r="V384" s="62"/>
      <c r="W384" s="64"/>
      <c r="X384" s="76"/>
      <c r="Y384" s="76"/>
      <c r="Z384" s="76"/>
      <c r="AA384" s="76"/>
    </row>
    <row r="385">
      <c r="A385" s="42">
        <f t="shared" si="3"/>
        <v>384</v>
      </c>
      <c r="B385" s="51" t="s">
        <v>41</v>
      </c>
      <c r="C385" s="53" t="s">
        <v>2607</v>
      </c>
      <c r="D385" s="42" t="s">
        <v>44</v>
      </c>
      <c r="E385" s="42" t="s">
        <v>44</v>
      </c>
      <c r="F385" s="53" t="s">
        <v>1612</v>
      </c>
      <c r="G385" s="53" t="s">
        <v>197</v>
      </c>
      <c r="H385" s="53" t="s">
        <v>112</v>
      </c>
      <c r="I385" s="53" t="s">
        <v>485</v>
      </c>
      <c r="J385" s="53" t="s">
        <v>1614</v>
      </c>
      <c r="K385" s="53" t="s">
        <v>1615</v>
      </c>
      <c r="L385" s="53" t="s">
        <v>52</v>
      </c>
      <c r="M385" s="53" t="s">
        <v>52</v>
      </c>
      <c r="N385" s="62" t="s">
        <v>2610</v>
      </c>
      <c r="O385" s="62" t="s">
        <v>44</v>
      </c>
      <c r="P385" s="62" t="s">
        <v>2611</v>
      </c>
      <c r="Q385" s="62" t="s">
        <v>2612</v>
      </c>
      <c r="R385" s="53"/>
      <c r="S385" s="53"/>
      <c r="T385" s="82"/>
      <c r="U385" s="42"/>
      <c r="V385" s="62"/>
      <c r="W385" s="64"/>
      <c r="X385" s="76"/>
      <c r="Y385" s="76"/>
      <c r="Z385" s="76"/>
      <c r="AA385" s="76"/>
    </row>
    <row r="386">
      <c r="A386" s="42">
        <f t="shared" si="3"/>
        <v>385</v>
      </c>
      <c r="B386" s="51" t="s">
        <v>41</v>
      </c>
      <c r="C386" s="53" t="s">
        <v>2613</v>
      </c>
      <c r="D386" s="42" t="s">
        <v>44</v>
      </c>
      <c r="E386" s="42" t="s">
        <v>44</v>
      </c>
      <c r="F386" s="53" t="s">
        <v>1612</v>
      </c>
      <c r="G386" s="53" t="s">
        <v>85</v>
      </c>
      <c r="H386" s="53" t="s">
        <v>86</v>
      </c>
      <c r="I386" s="53" t="s">
        <v>485</v>
      </c>
      <c r="J386" s="53" t="s">
        <v>1614</v>
      </c>
      <c r="K386" s="53" t="s">
        <v>1615</v>
      </c>
      <c r="L386" s="53" t="s">
        <v>52</v>
      </c>
      <c r="M386" s="53" t="s">
        <v>52</v>
      </c>
      <c r="N386" s="62" t="s">
        <v>2617</v>
      </c>
      <c r="O386" s="62" t="s">
        <v>44</v>
      </c>
      <c r="P386" s="62" t="s">
        <v>2618</v>
      </c>
      <c r="Q386" s="62" t="s">
        <v>2619</v>
      </c>
      <c r="R386" s="53"/>
      <c r="S386" s="53"/>
      <c r="T386" s="82"/>
      <c r="U386" s="42"/>
      <c r="V386" s="62"/>
      <c r="W386" s="64"/>
      <c r="X386" s="76"/>
      <c r="Y386" s="76"/>
      <c r="Z386" s="76"/>
      <c r="AA386" s="76"/>
    </row>
    <row r="387">
      <c r="A387" s="42">
        <f t="shared" si="3"/>
        <v>386</v>
      </c>
      <c r="B387" s="51" t="s">
        <v>41</v>
      </c>
      <c r="C387" s="53" t="s">
        <v>2621</v>
      </c>
      <c r="D387" s="42" t="s">
        <v>44</v>
      </c>
      <c r="E387" s="42" t="s">
        <v>44</v>
      </c>
      <c r="F387" s="53" t="s">
        <v>1612</v>
      </c>
      <c r="G387" s="53" t="s">
        <v>47</v>
      </c>
      <c r="H387" s="53" t="s">
        <v>48</v>
      </c>
      <c r="I387" s="53" t="s">
        <v>485</v>
      </c>
      <c r="J387" s="53" t="s">
        <v>1614</v>
      </c>
      <c r="K387" s="53" t="s">
        <v>1615</v>
      </c>
      <c r="L387" s="53" t="s">
        <v>52</v>
      </c>
      <c r="M387" s="53" t="s">
        <v>52</v>
      </c>
      <c r="N387" s="62" t="s">
        <v>2623</v>
      </c>
      <c r="O387" s="62" t="s">
        <v>44</v>
      </c>
      <c r="P387" s="62" t="s">
        <v>2624</v>
      </c>
      <c r="Q387" s="62" t="s">
        <v>2625</v>
      </c>
      <c r="R387" s="53"/>
      <c r="S387" s="53"/>
      <c r="T387" s="82"/>
      <c r="U387" s="42"/>
      <c r="V387" s="62"/>
      <c r="W387" s="64"/>
      <c r="X387" s="76"/>
      <c r="Y387" s="76"/>
      <c r="Z387" s="76"/>
      <c r="AA387" s="76"/>
    </row>
    <row r="388">
      <c r="A388" s="42">
        <f t="shared" si="3"/>
        <v>387</v>
      </c>
      <c r="B388" s="51" t="s">
        <v>41</v>
      </c>
      <c r="C388" s="53" t="s">
        <v>2627</v>
      </c>
      <c r="D388" s="42" t="s">
        <v>44</v>
      </c>
      <c r="E388" s="42" t="s">
        <v>44</v>
      </c>
      <c r="F388" s="53" t="s">
        <v>1612</v>
      </c>
      <c r="G388" s="53" t="s">
        <v>47</v>
      </c>
      <c r="H388" s="53" t="s">
        <v>95</v>
      </c>
      <c r="I388" s="53" t="s">
        <v>485</v>
      </c>
      <c r="J388" s="53" t="s">
        <v>1614</v>
      </c>
      <c r="K388" s="53" t="s">
        <v>1615</v>
      </c>
      <c r="L388" s="53" t="s">
        <v>52</v>
      </c>
      <c r="M388" s="53" t="s">
        <v>52</v>
      </c>
      <c r="N388" s="62" t="s">
        <v>2597</v>
      </c>
      <c r="O388" s="62" t="s">
        <v>44</v>
      </c>
      <c r="P388" s="62" t="s">
        <v>2629</v>
      </c>
      <c r="Q388" s="62" t="s">
        <v>2630</v>
      </c>
      <c r="R388" s="53"/>
      <c r="S388" s="53"/>
      <c r="T388" s="82"/>
      <c r="U388" s="42"/>
      <c r="V388" s="62"/>
      <c r="W388" s="64"/>
      <c r="X388" s="76"/>
      <c r="Y388" s="76"/>
      <c r="Z388" s="76"/>
      <c r="AA388" s="76"/>
    </row>
    <row r="389">
      <c r="A389" s="42">
        <f t="shared" si="3"/>
        <v>388</v>
      </c>
      <c r="B389" s="51" t="s">
        <v>41</v>
      </c>
      <c r="C389" s="53" t="s">
        <v>2633</v>
      </c>
      <c r="D389" s="42" t="s">
        <v>44</v>
      </c>
      <c r="E389" s="42" t="s">
        <v>44</v>
      </c>
      <c r="F389" s="53" t="s">
        <v>1612</v>
      </c>
      <c r="G389" s="53" t="s">
        <v>47</v>
      </c>
      <c r="H389" s="53" t="s">
        <v>95</v>
      </c>
      <c r="I389" s="53" t="s">
        <v>485</v>
      </c>
      <c r="J389" s="53" t="s">
        <v>1614</v>
      </c>
      <c r="K389" s="53" t="s">
        <v>1615</v>
      </c>
      <c r="L389" s="53" t="s">
        <v>52</v>
      </c>
      <c r="M389" s="53" t="s">
        <v>52</v>
      </c>
      <c r="N389" s="62" t="s">
        <v>2623</v>
      </c>
      <c r="O389" s="62" t="s">
        <v>44</v>
      </c>
      <c r="P389" s="62" t="s">
        <v>2634</v>
      </c>
      <c r="Q389" s="62" t="s">
        <v>2635</v>
      </c>
      <c r="R389" s="53"/>
      <c r="S389" s="53"/>
      <c r="T389" s="82"/>
      <c r="U389" s="42"/>
      <c r="V389" s="62"/>
      <c r="W389" s="64"/>
      <c r="X389" s="76"/>
      <c r="Y389" s="76"/>
      <c r="Z389" s="76"/>
      <c r="AA389" s="76"/>
    </row>
    <row r="390">
      <c r="A390" s="42">
        <f t="shared" si="3"/>
        <v>389</v>
      </c>
      <c r="B390" s="51" t="s">
        <v>41</v>
      </c>
      <c r="C390" s="53" t="s">
        <v>2638</v>
      </c>
      <c r="D390" s="42" t="s">
        <v>44</v>
      </c>
      <c r="E390" s="42" t="s">
        <v>44</v>
      </c>
      <c r="F390" s="53" t="s">
        <v>1612</v>
      </c>
      <c r="G390" s="53" t="s">
        <v>47</v>
      </c>
      <c r="H390" s="53" t="s">
        <v>95</v>
      </c>
      <c r="I390" s="53" t="s">
        <v>485</v>
      </c>
      <c r="J390" s="53" t="s">
        <v>1614</v>
      </c>
      <c r="K390" s="53" t="s">
        <v>1615</v>
      </c>
      <c r="L390" s="53" t="s">
        <v>52</v>
      </c>
      <c r="M390" s="53" t="s">
        <v>52</v>
      </c>
      <c r="N390" s="62" t="s">
        <v>2639</v>
      </c>
      <c r="O390" s="62" t="s">
        <v>44</v>
      </c>
      <c r="P390" s="62" t="s">
        <v>2640</v>
      </c>
      <c r="Q390" s="62" t="s">
        <v>2641</v>
      </c>
      <c r="R390" s="53"/>
      <c r="S390" s="53"/>
      <c r="T390" s="82"/>
      <c r="U390" s="42"/>
      <c r="V390" s="62"/>
      <c r="W390" s="64"/>
      <c r="X390" s="76"/>
      <c r="Y390" s="76"/>
      <c r="Z390" s="76"/>
      <c r="AA390" s="76"/>
    </row>
    <row r="391">
      <c r="A391" s="42">
        <f t="shared" si="3"/>
        <v>390</v>
      </c>
      <c r="B391" s="51" t="s">
        <v>41</v>
      </c>
      <c r="C391" s="53" t="s">
        <v>2644</v>
      </c>
      <c r="D391" s="42" t="s">
        <v>44</v>
      </c>
      <c r="E391" s="42" t="s">
        <v>44</v>
      </c>
      <c r="F391" s="53" t="s">
        <v>1612</v>
      </c>
      <c r="G391" s="53" t="s">
        <v>47</v>
      </c>
      <c r="H391" s="53" t="s">
        <v>48</v>
      </c>
      <c r="I391" s="53" t="s">
        <v>485</v>
      </c>
      <c r="J391" s="53" t="s">
        <v>1614</v>
      </c>
      <c r="K391" s="53" t="s">
        <v>1615</v>
      </c>
      <c r="L391" s="53" t="s">
        <v>52</v>
      </c>
      <c r="M391" s="53" t="s">
        <v>52</v>
      </c>
      <c r="N391" s="62" t="s">
        <v>2597</v>
      </c>
      <c r="O391" s="62" t="s">
        <v>44</v>
      </c>
      <c r="P391" s="62" t="s">
        <v>2646</v>
      </c>
      <c r="Q391" s="62" t="s">
        <v>2341</v>
      </c>
      <c r="R391" s="53"/>
      <c r="S391" s="53"/>
      <c r="T391" s="82"/>
      <c r="U391" s="42"/>
      <c r="V391" s="62"/>
      <c r="W391" s="64"/>
      <c r="X391" s="76"/>
      <c r="Y391" s="76"/>
      <c r="Z391" s="76"/>
      <c r="AA391" s="76"/>
    </row>
    <row r="392">
      <c r="A392" s="42">
        <f t="shared" si="3"/>
        <v>391</v>
      </c>
      <c r="B392" s="51" t="s">
        <v>41</v>
      </c>
      <c r="C392" s="53" t="s">
        <v>2649</v>
      </c>
      <c r="D392" s="42" t="s">
        <v>44</v>
      </c>
      <c r="E392" s="42" t="s">
        <v>44</v>
      </c>
      <c r="F392" s="53" t="s">
        <v>1612</v>
      </c>
      <c r="G392" s="53" t="s">
        <v>47</v>
      </c>
      <c r="H392" s="53" t="s">
        <v>48</v>
      </c>
      <c r="I392" s="53" t="s">
        <v>485</v>
      </c>
      <c r="J392" s="53" t="s">
        <v>2650</v>
      </c>
      <c r="K392" s="53" t="s">
        <v>51</v>
      </c>
      <c r="L392" s="53" t="s">
        <v>52</v>
      </c>
      <c r="M392" s="53" t="s">
        <v>52</v>
      </c>
      <c r="N392" s="62" t="s">
        <v>2617</v>
      </c>
      <c r="O392" s="62" t="s">
        <v>44</v>
      </c>
      <c r="P392" s="62" t="s">
        <v>2503</v>
      </c>
      <c r="Q392" s="62" t="s">
        <v>2653</v>
      </c>
      <c r="R392" s="53"/>
      <c r="S392" s="53"/>
      <c r="T392" s="82"/>
      <c r="U392" s="42"/>
      <c r="V392" s="62"/>
      <c r="W392" s="64"/>
      <c r="X392" s="76"/>
      <c r="Y392" s="76"/>
      <c r="Z392" s="76"/>
      <c r="AA392" s="76"/>
    </row>
    <row r="393">
      <c r="A393" s="42">
        <f t="shared" si="3"/>
        <v>392</v>
      </c>
      <c r="B393" s="51" t="s">
        <v>41</v>
      </c>
      <c r="C393" s="53" t="s">
        <v>2654</v>
      </c>
      <c r="D393" s="42" t="s">
        <v>44</v>
      </c>
      <c r="E393" s="42" t="s">
        <v>44</v>
      </c>
      <c r="F393" s="53" t="s">
        <v>1612</v>
      </c>
      <c r="G393" s="53" t="s">
        <v>47</v>
      </c>
      <c r="H393" s="53" t="s">
        <v>95</v>
      </c>
      <c r="I393" s="53" t="s">
        <v>485</v>
      </c>
      <c r="J393" s="53" t="s">
        <v>2650</v>
      </c>
      <c r="K393" s="53" t="s">
        <v>51</v>
      </c>
      <c r="L393" s="53" t="s">
        <v>52</v>
      </c>
      <c r="M393" s="53" t="s">
        <v>52</v>
      </c>
      <c r="N393" s="62" t="s">
        <v>2656</v>
      </c>
      <c r="O393" s="62" t="s">
        <v>44</v>
      </c>
      <c r="P393" s="62" t="s">
        <v>2657</v>
      </c>
      <c r="Q393" s="62" t="s">
        <v>2659</v>
      </c>
      <c r="R393" s="53"/>
      <c r="S393" s="53"/>
      <c r="T393" s="82"/>
      <c r="U393" s="42"/>
      <c r="V393" s="62"/>
      <c r="W393" s="64"/>
      <c r="X393" s="316"/>
      <c r="Y393" s="76"/>
      <c r="Z393" s="76"/>
      <c r="AA393" s="76"/>
    </row>
    <row r="394">
      <c r="A394" s="42">
        <f t="shared" si="3"/>
        <v>393</v>
      </c>
      <c r="B394" s="51" t="s">
        <v>41</v>
      </c>
      <c r="C394" s="53" t="s">
        <v>2661</v>
      </c>
      <c r="D394" s="42" t="s">
        <v>44</v>
      </c>
      <c r="E394" s="42" t="s">
        <v>44</v>
      </c>
      <c r="F394" s="53" t="s">
        <v>1612</v>
      </c>
      <c r="G394" s="53" t="s">
        <v>47</v>
      </c>
      <c r="H394" s="53" t="s">
        <v>48</v>
      </c>
      <c r="I394" s="53" t="s">
        <v>485</v>
      </c>
      <c r="J394" s="53" t="s">
        <v>2650</v>
      </c>
      <c r="K394" s="53" t="s">
        <v>51</v>
      </c>
      <c r="L394" s="53" t="s">
        <v>52</v>
      </c>
      <c r="M394" s="53" t="s">
        <v>52</v>
      </c>
      <c r="N394" s="62" t="s">
        <v>2617</v>
      </c>
      <c r="O394" s="62" t="s">
        <v>44</v>
      </c>
      <c r="P394" s="62" t="s">
        <v>2508</v>
      </c>
      <c r="Q394" s="62" t="s">
        <v>2663</v>
      </c>
      <c r="R394" s="53"/>
      <c r="S394" s="53"/>
      <c r="T394" s="82"/>
      <c r="U394" s="42"/>
      <c r="V394" s="62"/>
      <c r="W394" s="64"/>
      <c r="X394" s="223"/>
      <c r="Y394" s="223"/>
      <c r="Z394" s="223"/>
      <c r="AA394" s="223"/>
    </row>
    <row r="395">
      <c r="A395" s="42">
        <f t="shared" si="3"/>
        <v>394</v>
      </c>
      <c r="B395" s="51" t="s">
        <v>41</v>
      </c>
      <c r="C395" s="53" t="s">
        <v>2666</v>
      </c>
      <c r="D395" s="42" t="s">
        <v>44</v>
      </c>
      <c r="E395" s="42" t="s">
        <v>44</v>
      </c>
      <c r="F395" s="53" t="s">
        <v>1612</v>
      </c>
      <c r="G395" s="53" t="s">
        <v>47</v>
      </c>
      <c r="H395" s="53" t="s">
        <v>48</v>
      </c>
      <c r="I395" s="53" t="s">
        <v>485</v>
      </c>
      <c r="J395" s="53" t="s">
        <v>2650</v>
      </c>
      <c r="K395" s="53" t="s">
        <v>51</v>
      </c>
      <c r="L395" s="53" t="s">
        <v>52</v>
      </c>
      <c r="M395" s="53" t="s">
        <v>52</v>
      </c>
      <c r="N395" s="62" t="s">
        <v>2668</v>
      </c>
      <c r="O395" s="62" t="s">
        <v>44</v>
      </c>
      <c r="P395" s="62" t="s">
        <v>2670</v>
      </c>
      <c r="Q395" s="62" t="s">
        <v>2671</v>
      </c>
      <c r="R395" s="53"/>
      <c r="S395" s="53"/>
      <c r="T395" s="82"/>
      <c r="U395" s="42"/>
      <c r="V395" s="62"/>
      <c r="W395" s="64"/>
      <c r="X395" s="223"/>
      <c r="Y395" s="223"/>
      <c r="Z395" s="223"/>
      <c r="AA395" s="223"/>
    </row>
    <row r="396">
      <c r="A396" s="42">
        <f t="shared" si="3"/>
        <v>395</v>
      </c>
      <c r="B396" s="51" t="s">
        <v>41</v>
      </c>
      <c r="C396" s="53" t="s">
        <v>2672</v>
      </c>
      <c r="D396" s="42" t="s">
        <v>44</v>
      </c>
      <c r="E396" s="42" t="s">
        <v>44</v>
      </c>
      <c r="F396" s="53" t="s">
        <v>1612</v>
      </c>
      <c r="G396" s="53" t="s">
        <v>47</v>
      </c>
      <c r="H396" s="53" t="s">
        <v>48</v>
      </c>
      <c r="I396" s="53" t="s">
        <v>485</v>
      </c>
      <c r="J396" s="53" t="s">
        <v>2650</v>
      </c>
      <c r="K396" s="53" t="s">
        <v>51</v>
      </c>
      <c r="L396" s="53" t="s">
        <v>52</v>
      </c>
      <c r="M396" s="53" t="s">
        <v>52</v>
      </c>
      <c r="N396" s="62" t="s">
        <v>2668</v>
      </c>
      <c r="O396" s="62" t="s">
        <v>44</v>
      </c>
      <c r="P396" s="62" t="s">
        <v>2675</v>
      </c>
      <c r="Q396" s="62" t="s">
        <v>2676</v>
      </c>
      <c r="R396" s="53"/>
      <c r="S396" s="53"/>
      <c r="T396" s="82"/>
      <c r="U396" s="53"/>
      <c r="V396" s="62"/>
      <c r="W396" s="140"/>
      <c r="X396" s="223"/>
      <c r="Y396" s="223"/>
      <c r="Z396" s="223"/>
      <c r="AA396" s="223"/>
    </row>
    <row r="397">
      <c r="A397" s="42">
        <f t="shared" si="3"/>
        <v>396</v>
      </c>
      <c r="B397" s="51" t="s">
        <v>41</v>
      </c>
      <c r="C397" s="53" t="s">
        <v>2678</v>
      </c>
      <c r="D397" s="42" t="s">
        <v>44</v>
      </c>
      <c r="E397" s="42" t="s">
        <v>44</v>
      </c>
      <c r="F397" s="53" t="s">
        <v>1612</v>
      </c>
      <c r="G397" s="53" t="s">
        <v>47</v>
      </c>
      <c r="H397" s="53" t="s">
        <v>48</v>
      </c>
      <c r="I397" s="53" t="s">
        <v>485</v>
      </c>
      <c r="J397" s="53" t="s">
        <v>2650</v>
      </c>
      <c r="K397" s="53" t="s">
        <v>51</v>
      </c>
      <c r="L397" s="53" t="s">
        <v>52</v>
      </c>
      <c r="M397" s="53" t="s">
        <v>52</v>
      </c>
      <c r="N397" s="62" t="s">
        <v>2668</v>
      </c>
      <c r="O397" s="62" t="s">
        <v>44</v>
      </c>
      <c r="P397" s="62" t="s">
        <v>2680</v>
      </c>
      <c r="Q397" s="62" t="s">
        <v>2681</v>
      </c>
      <c r="R397" s="53"/>
      <c r="S397" s="53"/>
      <c r="T397" s="82"/>
      <c r="U397" s="42"/>
      <c r="V397" s="62"/>
      <c r="W397" s="64"/>
      <c r="X397" s="223"/>
      <c r="Y397" s="223"/>
      <c r="Z397" s="223"/>
      <c r="AA397" s="223"/>
    </row>
    <row r="398">
      <c r="A398" s="42">
        <f t="shared" si="3"/>
        <v>397</v>
      </c>
      <c r="B398" s="51" t="s">
        <v>41</v>
      </c>
      <c r="C398" s="53" t="s">
        <v>2684</v>
      </c>
      <c r="D398" s="42" t="s">
        <v>44</v>
      </c>
      <c r="E398" s="42" t="s">
        <v>44</v>
      </c>
      <c r="F398" s="53" t="s">
        <v>1612</v>
      </c>
      <c r="G398" s="53" t="s">
        <v>47</v>
      </c>
      <c r="H398" s="53" t="s">
        <v>48</v>
      </c>
      <c r="I398" s="53" t="s">
        <v>485</v>
      </c>
      <c r="J398" s="53" t="s">
        <v>2650</v>
      </c>
      <c r="K398" s="53" t="s">
        <v>51</v>
      </c>
      <c r="L398" s="53" t="s">
        <v>52</v>
      </c>
      <c r="M398" s="53" t="s">
        <v>52</v>
      </c>
      <c r="N398" s="62" t="s">
        <v>2668</v>
      </c>
      <c r="O398" s="62" t="s">
        <v>44</v>
      </c>
      <c r="P398" s="62" t="s">
        <v>2685</v>
      </c>
      <c r="Q398" s="62" t="s">
        <v>2686</v>
      </c>
      <c r="R398" s="53"/>
      <c r="S398" s="53"/>
      <c r="T398" s="82"/>
      <c r="U398" s="42"/>
      <c r="V398" s="62"/>
      <c r="W398" s="64"/>
      <c r="X398" s="223"/>
      <c r="Y398" s="223"/>
      <c r="Z398" s="223"/>
      <c r="AA398" s="223"/>
    </row>
    <row r="399">
      <c r="A399" s="42">
        <f t="shared" si="3"/>
        <v>398</v>
      </c>
      <c r="B399" s="51" t="s">
        <v>41</v>
      </c>
      <c r="C399" s="53" t="s">
        <v>2689</v>
      </c>
      <c r="D399" s="42" t="s">
        <v>44</v>
      </c>
      <c r="E399" s="42" t="s">
        <v>44</v>
      </c>
      <c r="F399" s="53" t="s">
        <v>1612</v>
      </c>
      <c r="G399" s="53" t="s">
        <v>47</v>
      </c>
      <c r="H399" s="53" t="s">
        <v>48</v>
      </c>
      <c r="I399" s="53" t="s">
        <v>485</v>
      </c>
      <c r="J399" s="53" t="s">
        <v>2650</v>
      </c>
      <c r="K399" s="53" t="s">
        <v>51</v>
      </c>
      <c r="L399" s="53" t="s">
        <v>52</v>
      </c>
      <c r="M399" s="53" t="s">
        <v>52</v>
      </c>
      <c r="N399" s="62" t="s">
        <v>2690</v>
      </c>
      <c r="O399" s="62" t="s">
        <v>44</v>
      </c>
      <c r="P399" s="62" t="s">
        <v>2691</v>
      </c>
      <c r="Q399" s="62" t="s">
        <v>2692</v>
      </c>
      <c r="R399" s="53"/>
      <c r="S399" s="53"/>
      <c r="T399" s="82"/>
      <c r="U399" s="42"/>
      <c r="V399" s="62"/>
      <c r="W399" s="64"/>
      <c r="X399" s="223"/>
      <c r="Y399" s="223"/>
      <c r="Z399" s="223"/>
      <c r="AA399" s="223"/>
    </row>
    <row r="400">
      <c r="A400" s="42">
        <f t="shared" si="3"/>
        <v>399</v>
      </c>
      <c r="B400" s="51" t="s">
        <v>41</v>
      </c>
      <c r="C400" s="53" t="s">
        <v>2695</v>
      </c>
      <c r="D400" s="42" t="s">
        <v>44</v>
      </c>
      <c r="E400" s="42" t="s">
        <v>44</v>
      </c>
      <c r="F400" s="53" t="s">
        <v>1612</v>
      </c>
      <c r="G400" s="53" t="s">
        <v>47</v>
      </c>
      <c r="H400" s="53" t="s">
        <v>95</v>
      </c>
      <c r="I400" s="53" t="s">
        <v>485</v>
      </c>
      <c r="J400" s="53" t="s">
        <v>2650</v>
      </c>
      <c r="K400" s="53" t="s">
        <v>51</v>
      </c>
      <c r="L400" s="53" t="s">
        <v>52</v>
      </c>
      <c r="M400" s="53" t="s">
        <v>52</v>
      </c>
      <c r="N400" s="62" t="s">
        <v>2690</v>
      </c>
      <c r="O400" s="62" t="s">
        <v>44</v>
      </c>
      <c r="P400" s="62" t="s">
        <v>2696</v>
      </c>
      <c r="Q400" s="62" t="s">
        <v>2697</v>
      </c>
      <c r="R400" s="53"/>
      <c r="S400" s="53"/>
      <c r="T400" s="82"/>
      <c r="U400" s="42"/>
      <c r="V400" s="62"/>
      <c r="W400" s="64"/>
      <c r="X400" s="223"/>
      <c r="Y400" s="223"/>
      <c r="Z400" s="223"/>
      <c r="AA400" s="223"/>
    </row>
    <row r="401">
      <c r="A401" s="42">
        <f t="shared" si="3"/>
        <v>400</v>
      </c>
      <c r="B401" s="51" t="s">
        <v>41</v>
      </c>
      <c r="C401" s="53" t="s">
        <v>2700</v>
      </c>
      <c r="D401" s="42" t="s">
        <v>44</v>
      </c>
      <c r="E401" s="42" t="s">
        <v>44</v>
      </c>
      <c r="F401" s="53" t="s">
        <v>1612</v>
      </c>
      <c r="G401" s="53" t="s">
        <v>47</v>
      </c>
      <c r="H401" s="53" t="s">
        <v>95</v>
      </c>
      <c r="I401" s="53" t="s">
        <v>485</v>
      </c>
      <c r="J401" s="53" t="s">
        <v>2650</v>
      </c>
      <c r="K401" s="53" t="s">
        <v>51</v>
      </c>
      <c r="L401" s="53" t="s">
        <v>52</v>
      </c>
      <c r="M401" s="53" t="s">
        <v>52</v>
      </c>
      <c r="N401" s="62" t="s">
        <v>2668</v>
      </c>
      <c r="O401" s="62" t="s">
        <v>44</v>
      </c>
      <c r="P401" s="62" t="s">
        <v>2702</v>
      </c>
      <c r="Q401" s="62" t="s">
        <v>2703</v>
      </c>
      <c r="R401" s="53"/>
      <c r="S401" s="53"/>
      <c r="T401" s="82"/>
      <c r="U401" s="53"/>
      <c r="V401" s="62"/>
      <c r="W401" s="64"/>
      <c r="X401" s="223"/>
      <c r="Y401" s="223"/>
      <c r="Z401" s="223"/>
      <c r="AA401" s="223"/>
    </row>
    <row r="402">
      <c r="A402" s="42">
        <f t="shared" si="3"/>
        <v>401</v>
      </c>
      <c r="B402" s="51" t="s">
        <v>41</v>
      </c>
      <c r="C402" s="53" t="s">
        <v>2705</v>
      </c>
      <c r="D402" s="42" t="s">
        <v>44</v>
      </c>
      <c r="E402" s="42" t="s">
        <v>44</v>
      </c>
      <c r="F402" s="53" t="s">
        <v>1612</v>
      </c>
      <c r="G402" s="53" t="s">
        <v>47</v>
      </c>
      <c r="H402" s="53" t="s">
        <v>95</v>
      </c>
      <c r="I402" s="53" t="s">
        <v>485</v>
      </c>
      <c r="J402" s="53" t="s">
        <v>2650</v>
      </c>
      <c r="K402" s="53" t="s">
        <v>51</v>
      </c>
      <c r="L402" s="53" t="s">
        <v>52</v>
      </c>
      <c r="M402" s="53" t="s">
        <v>52</v>
      </c>
      <c r="N402" s="62" t="s">
        <v>2707</v>
      </c>
      <c r="O402" s="62" t="s">
        <v>44</v>
      </c>
      <c r="P402" s="62" t="s">
        <v>2708</v>
      </c>
      <c r="Q402" s="62" t="s">
        <v>2709</v>
      </c>
      <c r="R402" s="53"/>
      <c r="S402" s="53"/>
      <c r="T402" s="82"/>
      <c r="U402" s="42"/>
      <c r="V402" s="62"/>
      <c r="W402" s="64"/>
      <c r="X402" s="223"/>
      <c r="Y402" s="223"/>
      <c r="Z402" s="223"/>
      <c r="AA402" s="223"/>
    </row>
    <row r="403">
      <c r="A403" s="42">
        <f t="shared" si="3"/>
        <v>402</v>
      </c>
      <c r="B403" s="51" t="s">
        <v>41</v>
      </c>
      <c r="C403" s="53" t="s">
        <v>2711</v>
      </c>
      <c r="D403" s="42" t="s">
        <v>44</v>
      </c>
      <c r="E403" s="42" t="s">
        <v>44</v>
      </c>
      <c r="F403" s="53" t="s">
        <v>1612</v>
      </c>
      <c r="G403" s="53" t="s">
        <v>47</v>
      </c>
      <c r="H403" s="53" t="s">
        <v>95</v>
      </c>
      <c r="I403" s="53" t="s">
        <v>485</v>
      </c>
      <c r="J403" s="53" t="s">
        <v>2650</v>
      </c>
      <c r="K403" s="53" t="s">
        <v>51</v>
      </c>
      <c r="L403" s="53" t="s">
        <v>52</v>
      </c>
      <c r="M403" s="53" t="s">
        <v>52</v>
      </c>
      <c r="N403" s="62" t="s">
        <v>2656</v>
      </c>
      <c r="O403" s="62" t="s">
        <v>44</v>
      </c>
      <c r="P403" s="62" t="s">
        <v>2708</v>
      </c>
      <c r="Q403" s="62" t="s">
        <v>2713</v>
      </c>
      <c r="R403" s="53"/>
      <c r="S403" s="53"/>
      <c r="T403" s="82"/>
      <c r="U403" s="42"/>
      <c r="V403" s="62"/>
      <c r="W403" s="64"/>
      <c r="X403" s="223"/>
      <c r="Y403" s="223"/>
      <c r="Z403" s="223"/>
      <c r="AA403" s="223"/>
    </row>
    <row r="404">
      <c r="A404" s="42">
        <f t="shared" si="3"/>
        <v>403</v>
      </c>
      <c r="B404" s="51" t="s">
        <v>41</v>
      </c>
      <c r="C404" s="53" t="s">
        <v>2715</v>
      </c>
      <c r="D404" s="42" t="s">
        <v>44</v>
      </c>
      <c r="E404" s="42" t="s">
        <v>44</v>
      </c>
      <c r="F404" s="53" t="s">
        <v>1612</v>
      </c>
      <c r="G404" s="53" t="s">
        <v>47</v>
      </c>
      <c r="H404" s="53" t="s">
        <v>95</v>
      </c>
      <c r="I404" s="53" t="s">
        <v>485</v>
      </c>
      <c r="J404" s="53" t="s">
        <v>2650</v>
      </c>
      <c r="K404" s="53" t="s">
        <v>51</v>
      </c>
      <c r="L404" s="53" t="s">
        <v>52</v>
      </c>
      <c r="M404" s="53" t="s">
        <v>52</v>
      </c>
      <c r="N404" s="62" t="s">
        <v>2717</v>
      </c>
      <c r="O404" s="62" t="s">
        <v>44</v>
      </c>
      <c r="P404" s="62" t="s">
        <v>2708</v>
      </c>
      <c r="Q404" s="62" t="s">
        <v>2718</v>
      </c>
      <c r="R404" s="53"/>
      <c r="S404" s="53"/>
      <c r="T404" s="82"/>
      <c r="U404" s="53"/>
      <c r="V404" s="62"/>
      <c r="W404" s="64"/>
      <c r="X404" s="223"/>
      <c r="Y404" s="223"/>
      <c r="Z404" s="223"/>
      <c r="AA404" s="223"/>
    </row>
    <row r="405">
      <c r="A405" s="42">
        <f t="shared" si="3"/>
        <v>404</v>
      </c>
      <c r="B405" s="51" t="s">
        <v>41</v>
      </c>
      <c r="C405" s="53" t="s">
        <v>2720</v>
      </c>
      <c r="D405" s="42" t="s">
        <v>44</v>
      </c>
      <c r="E405" s="42" t="s">
        <v>44</v>
      </c>
      <c r="F405" s="53" t="s">
        <v>1612</v>
      </c>
      <c r="G405" s="53" t="s">
        <v>85</v>
      </c>
      <c r="H405" s="53" t="s">
        <v>86</v>
      </c>
      <c r="I405" s="53" t="s">
        <v>485</v>
      </c>
      <c r="J405" s="53" t="s">
        <v>2650</v>
      </c>
      <c r="K405" s="53" t="s">
        <v>51</v>
      </c>
      <c r="L405" s="53" t="s">
        <v>52</v>
      </c>
      <c r="M405" s="53" t="s">
        <v>52</v>
      </c>
      <c r="N405" s="62" t="s">
        <v>2722</v>
      </c>
      <c r="O405" s="62" t="s">
        <v>44</v>
      </c>
      <c r="P405" s="62" t="s">
        <v>2051</v>
      </c>
      <c r="Q405" s="62" t="s">
        <v>2570</v>
      </c>
      <c r="R405" s="53"/>
      <c r="S405" s="53"/>
      <c r="T405" s="82"/>
      <c r="U405" s="42"/>
      <c r="V405" s="62"/>
      <c r="W405" s="64"/>
      <c r="X405" s="223"/>
      <c r="Y405" s="223"/>
      <c r="Z405" s="223"/>
      <c r="AA405" s="223"/>
    </row>
    <row r="406">
      <c r="A406" s="42">
        <f t="shared" si="3"/>
        <v>405</v>
      </c>
      <c r="B406" s="51" t="s">
        <v>41</v>
      </c>
      <c r="C406" s="53" t="s">
        <v>2724</v>
      </c>
      <c r="D406" s="42" t="s">
        <v>44</v>
      </c>
      <c r="E406" s="42" t="s">
        <v>44</v>
      </c>
      <c r="F406" s="53" t="s">
        <v>1612</v>
      </c>
      <c r="G406" s="53" t="s">
        <v>47</v>
      </c>
      <c r="H406" s="53" t="s">
        <v>48</v>
      </c>
      <c r="I406" s="53" t="s">
        <v>485</v>
      </c>
      <c r="J406" s="53" t="s">
        <v>2650</v>
      </c>
      <c r="K406" s="53" t="s">
        <v>51</v>
      </c>
      <c r="L406" s="53" t="s">
        <v>52</v>
      </c>
      <c r="M406" s="53" t="s">
        <v>52</v>
      </c>
      <c r="N406" s="62" t="s">
        <v>2722</v>
      </c>
      <c r="O406" s="62" t="s">
        <v>44</v>
      </c>
      <c r="P406" s="62" t="s">
        <v>2574</v>
      </c>
      <c r="Q406" s="62" t="s">
        <v>2727</v>
      </c>
      <c r="R406" s="53"/>
      <c r="S406" s="53"/>
      <c r="T406" s="82"/>
      <c r="U406" s="53"/>
      <c r="V406" s="62"/>
      <c r="W406" s="64"/>
      <c r="X406" s="223"/>
      <c r="Y406" s="223"/>
      <c r="Z406" s="223"/>
      <c r="AA406" s="223"/>
    </row>
    <row r="407">
      <c r="A407" s="42">
        <f t="shared" si="3"/>
        <v>406</v>
      </c>
      <c r="B407" s="51" t="s">
        <v>41</v>
      </c>
      <c r="C407" s="53" t="s">
        <v>2728</v>
      </c>
      <c r="D407" s="42" t="s">
        <v>44</v>
      </c>
      <c r="E407" s="42" t="s">
        <v>44</v>
      </c>
      <c r="F407" s="53" t="s">
        <v>1612</v>
      </c>
      <c r="G407" s="53" t="s">
        <v>197</v>
      </c>
      <c r="H407" s="53" t="s">
        <v>198</v>
      </c>
      <c r="I407" s="53" t="s">
        <v>485</v>
      </c>
      <c r="J407" s="53" t="s">
        <v>2650</v>
      </c>
      <c r="K407" s="53" t="s">
        <v>51</v>
      </c>
      <c r="L407" s="53" t="s">
        <v>52</v>
      </c>
      <c r="M407" s="53" t="s">
        <v>52</v>
      </c>
      <c r="N407" s="62" t="s">
        <v>2730</v>
      </c>
      <c r="O407" s="62" t="s">
        <v>44</v>
      </c>
      <c r="P407" s="62" t="s">
        <v>2732</v>
      </c>
      <c r="Q407" s="62" t="s">
        <v>2733</v>
      </c>
      <c r="R407" s="53"/>
      <c r="S407" s="53"/>
      <c r="T407" s="82"/>
      <c r="U407" s="42"/>
      <c r="V407" s="62"/>
      <c r="W407" s="64"/>
      <c r="X407" s="223"/>
      <c r="Y407" s="223"/>
      <c r="Z407" s="223"/>
      <c r="AA407" s="223"/>
    </row>
    <row r="408">
      <c r="A408" s="42">
        <f t="shared" si="3"/>
        <v>407</v>
      </c>
      <c r="B408" s="51" t="s">
        <v>41</v>
      </c>
      <c r="C408" s="53" t="s">
        <v>2736</v>
      </c>
      <c r="D408" s="42" t="s">
        <v>44</v>
      </c>
      <c r="E408" s="42" t="s">
        <v>44</v>
      </c>
      <c r="F408" s="53" t="s">
        <v>1612</v>
      </c>
      <c r="G408" s="53" t="s">
        <v>197</v>
      </c>
      <c r="H408" s="53" t="s">
        <v>112</v>
      </c>
      <c r="I408" s="53" t="s">
        <v>485</v>
      </c>
      <c r="J408" s="53" t="s">
        <v>2650</v>
      </c>
      <c r="K408" s="53" t="s">
        <v>51</v>
      </c>
      <c r="L408" s="53" t="s">
        <v>52</v>
      </c>
      <c r="M408" s="53" t="s">
        <v>52</v>
      </c>
      <c r="N408" s="62" t="s">
        <v>2740</v>
      </c>
      <c r="O408" s="62" t="s">
        <v>44</v>
      </c>
      <c r="P408" s="62" t="s">
        <v>2741</v>
      </c>
      <c r="Q408" s="62" t="s">
        <v>2742</v>
      </c>
      <c r="R408" s="53"/>
      <c r="S408" s="53"/>
      <c r="T408" s="82"/>
      <c r="U408" s="42"/>
      <c r="V408" s="62"/>
      <c r="W408" s="64"/>
      <c r="X408" s="223"/>
      <c r="Y408" s="223"/>
      <c r="Z408" s="223"/>
      <c r="AA408" s="223"/>
    </row>
    <row r="409">
      <c r="A409" s="42">
        <f t="shared" si="3"/>
        <v>408</v>
      </c>
      <c r="B409" s="51" t="s">
        <v>41</v>
      </c>
      <c r="C409" s="53" t="s">
        <v>2744</v>
      </c>
      <c r="D409" s="42" t="s">
        <v>44</v>
      </c>
      <c r="E409" s="42" t="s">
        <v>44</v>
      </c>
      <c r="F409" s="53" t="s">
        <v>1612</v>
      </c>
      <c r="G409" s="53" t="s">
        <v>47</v>
      </c>
      <c r="H409" s="53" t="s">
        <v>48</v>
      </c>
      <c r="I409" s="53" t="s">
        <v>485</v>
      </c>
      <c r="J409" s="53" t="s">
        <v>1614</v>
      </c>
      <c r="K409" s="53" t="s">
        <v>1615</v>
      </c>
      <c r="L409" s="53" t="s">
        <v>52</v>
      </c>
      <c r="M409" s="53" t="s">
        <v>52</v>
      </c>
      <c r="N409" s="62" t="s">
        <v>2117</v>
      </c>
      <c r="O409" s="62" t="s">
        <v>44</v>
      </c>
      <c r="P409" s="62" t="s">
        <v>2746</v>
      </c>
      <c r="Q409" s="62" t="s">
        <v>2747</v>
      </c>
      <c r="R409" s="53"/>
      <c r="S409" s="53"/>
      <c r="T409" s="82"/>
      <c r="U409" s="42"/>
      <c r="V409" s="62"/>
      <c r="W409" s="64"/>
      <c r="X409" s="223"/>
      <c r="Y409" s="223"/>
      <c r="Z409" s="223"/>
      <c r="AA409" s="223"/>
    </row>
    <row r="410">
      <c r="A410" s="42">
        <f t="shared" si="3"/>
        <v>409</v>
      </c>
      <c r="B410" s="51" t="s">
        <v>41</v>
      </c>
      <c r="C410" s="53" t="s">
        <v>2750</v>
      </c>
      <c r="D410" s="42" t="s">
        <v>44</v>
      </c>
      <c r="E410" s="42" t="s">
        <v>44</v>
      </c>
      <c r="F410" s="53" t="s">
        <v>1612</v>
      </c>
      <c r="G410" s="53" t="s">
        <v>47</v>
      </c>
      <c r="H410" s="53" t="s">
        <v>48</v>
      </c>
      <c r="I410" s="53" t="s">
        <v>485</v>
      </c>
      <c r="J410" s="53" t="s">
        <v>1614</v>
      </c>
      <c r="K410" s="53" t="s">
        <v>1615</v>
      </c>
      <c r="L410" s="53" t="s">
        <v>52</v>
      </c>
      <c r="M410" s="53" t="s">
        <v>52</v>
      </c>
      <c r="N410" s="62" t="s">
        <v>2117</v>
      </c>
      <c r="O410" s="62" t="s">
        <v>44</v>
      </c>
      <c r="P410" s="62" t="s">
        <v>2751</v>
      </c>
      <c r="Q410" s="62" t="s">
        <v>2752</v>
      </c>
      <c r="R410" s="53"/>
      <c r="S410" s="53"/>
      <c r="T410" s="82"/>
      <c r="U410" s="42"/>
      <c r="V410" s="62"/>
      <c r="W410" s="64"/>
      <c r="X410" s="223"/>
      <c r="Y410" s="223"/>
      <c r="Z410" s="223"/>
      <c r="AA410" s="223"/>
    </row>
    <row r="411">
      <c r="A411" s="42">
        <f t="shared" si="3"/>
        <v>410</v>
      </c>
      <c r="B411" s="51" t="s">
        <v>41</v>
      </c>
      <c r="C411" s="53" t="s">
        <v>2755</v>
      </c>
      <c r="D411" s="42" t="s">
        <v>44</v>
      </c>
      <c r="E411" s="42" t="s">
        <v>44</v>
      </c>
      <c r="F411" s="53" t="s">
        <v>1612</v>
      </c>
      <c r="G411" s="53" t="s">
        <v>47</v>
      </c>
      <c r="H411" s="53" t="s">
        <v>48</v>
      </c>
      <c r="I411" s="53" t="s">
        <v>485</v>
      </c>
      <c r="J411" s="53" t="s">
        <v>1614</v>
      </c>
      <c r="K411" s="53" t="s">
        <v>1615</v>
      </c>
      <c r="L411" s="53" t="s">
        <v>52</v>
      </c>
      <c r="M411" s="53" t="s">
        <v>52</v>
      </c>
      <c r="N411" s="62" t="s">
        <v>2117</v>
      </c>
      <c r="O411" s="62" t="s">
        <v>44</v>
      </c>
      <c r="P411" s="62" t="s">
        <v>2756</v>
      </c>
      <c r="Q411" s="62" t="s">
        <v>2758</v>
      </c>
      <c r="R411" s="53"/>
      <c r="S411" s="53"/>
      <c r="T411" s="82"/>
      <c r="U411" s="42"/>
      <c r="V411" s="62"/>
      <c r="W411" s="64"/>
      <c r="X411" s="223"/>
      <c r="Y411" s="223"/>
      <c r="Z411" s="223"/>
      <c r="AA411" s="223"/>
    </row>
    <row r="412">
      <c r="A412" s="42">
        <f t="shared" si="3"/>
        <v>411</v>
      </c>
      <c r="B412" s="51" t="s">
        <v>41</v>
      </c>
      <c r="C412" s="53" t="s">
        <v>2760</v>
      </c>
      <c r="D412" s="42" t="s">
        <v>44</v>
      </c>
      <c r="E412" s="42" t="s">
        <v>44</v>
      </c>
      <c r="F412" s="53" t="s">
        <v>1612</v>
      </c>
      <c r="G412" s="53" t="s">
        <v>47</v>
      </c>
      <c r="H412" s="53" t="s">
        <v>48</v>
      </c>
      <c r="I412" s="53" t="s">
        <v>485</v>
      </c>
      <c r="J412" s="53" t="s">
        <v>1614</v>
      </c>
      <c r="K412" s="53" t="s">
        <v>1615</v>
      </c>
      <c r="L412" s="53" t="s">
        <v>52</v>
      </c>
      <c r="M412" s="53" t="s">
        <v>52</v>
      </c>
      <c r="N412" s="62" t="s">
        <v>2117</v>
      </c>
      <c r="O412" s="62" t="s">
        <v>44</v>
      </c>
      <c r="P412" s="62" t="s">
        <v>2761</v>
      </c>
      <c r="Q412" s="62" t="s">
        <v>2762</v>
      </c>
      <c r="R412" s="53"/>
      <c r="S412" s="53"/>
      <c r="T412" s="82"/>
      <c r="U412" s="42"/>
      <c r="V412" s="62"/>
      <c r="W412" s="140"/>
      <c r="X412" s="317"/>
      <c r="Y412" s="317"/>
      <c r="Z412" s="317"/>
      <c r="AA412" s="318"/>
    </row>
    <row r="413">
      <c r="A413" s="42">
        <f t="shared" si="3"/>
        <v>412</v>
      </c>
      <c r="B413" s="51" t="s">
        <v>41</v>
      </c>
      <c r="C413" s="53" t="s">
        <v>2767</v>
      </c>
      <c r="D413" s="42" t="s">
        <v>44</v>
      </c>
      <c r="E413" s="42" t="s">
        <v>44</v>
      </c>
      <c r="F413" s="53" t="s">
        <v>1612</v>
      </c>
      <c r="G413" s="53" t="s">
        <v>47</v>
      </c>
      <c r="H413" s="53" t="s">
        <v>48</v>
      </c>
      <c r="I413" s="53" t="s">
        <v>485</v>
      </c>
      <c r="J413" s="53" t="s">
        <v>1614</v>
      </c>
      <c r="K413" s="53" t="s">
        <v>1615</v>
      </c>
      <c r="L413" s="53" t="s">
        <v>52</v>
      </c>
      <c r="M413" s="53" t="s">
        <v>52</v>
      </c>
      <c r="N413" s="62" t="s">
        <v>2117</v>
      </c>
      <c r="O413" s="62" t="s">
        <v>44</v>
      </c>
      <c r="P413" s="62" t="s">
        <v>2769</v>
      </c>
      <c r="Q413" s="62" t="s">
        <v>2770</v>
      </c>
      <c r="R413" s="53"/>
      <c r="S413" s="53"/>
      <c r="T413" s="82"/>
      <c r="U413" s="42"/>
      <c r="V413" s="62"/>
      <c r="W413" s="64"/>
      <c r="X413" s="223"/>
      <c r="Y413" s="223"/>
      <c r="Z413" s="223"/>
      <c r="AA413" s="223"/>
    </row>
    <row r="414">
      <c r="A414" s="42">
        <f t="shared" si="3"/>
        <v>413</v>
      </c>
      <c r="B414" s="51" t="s">
        <v>41</v>
      </c>
      <c r="C414" s="53" t="s">
        <v>2773</v>
      </c>
      <c r="D414" s="42" t="s">
        <v>44</v>
      </c>
      <c r="E414" s="42" t="s">
        <v>44</v>
      </c>
      <c r="F414" s="53" t="s">
        <v>1612</v>
      </c>
      <c r="G414" s="53" t="s">
        <v>197</v>
      </c>
      <c r="H414" s="53" t="s">
        <v>112</v>
      </c>
      <c r="I414" s="53" t="s">
        <v>485</v>
      </c>
      <c r="J414" s="53" t="s">
        <v>1614</v>
      </c>
      <c r="K414" s="53" t="s">
        <v>1615</v>
      </c>
      <c r="L414" s="53" t="s">
        <v>52</v>
      </c>
      <c r="M414" s="53" t="s">
        <v>52</v>
      </c>
      <c r="N414" s="62" t="s">
        <v>2117</v>
      </c>
      <c r="O414" s="62" t="s">
        <v>44</v>
      </c>
      <c r="P414" s="62" t="s">
        <v>2774</v>
      </c>
      <c r="Q414" s="62" t="s">
        <v>2069</v>
      </c>
      <c r="R414" s="53"/>
      <c r="S414" s="53"/>
      <c r="T414" s="82"/>
      <c r="U414" s="42"/>
      <c r="V414" s="62"/>
      <c r="W414" s="64"/>
      <c r="X414" s="223"/>
      <c r="Y414" s="223"/>
      <c r="Z414" s="223"/>
      <c r="AA414" s="223"/>
    </row>
    <row r="415">
      <c r="A415" s="42">
        <f t="shared" si="3"/>
        <v>414</v>
      </c>
      <c r="B415" s="51" t="s">
        <v>41</v>
      </c>
      <c r="C415" s="53" t="s">
        <v>2777</v>
      </c>
      <c r="D415" s="42" t="s">
        <v>44</v>
      </c>
      <c r="E415" s="42" t="s">
        <v>44</v>
      </c>
      <c r="F415" s="53" t="s">
        <v>1612</v>
      </c>
      <c r="G415" s="53" t="s">
        <v>47</v>
      </c>
      <c r="H415" s="53" t="s">
        <v>95</v>
      </c>
      <c r="I415" s="53" t="s">
        <v>485</v>
      </c>
      <c r="J415" s="53" t="s">
        <v>1614</v>
      </c>
      <c r="K415" s="53" t="s">
        <v>1615</v>
      </c>
      <c r="L415" s="53" t="s">
        <v>52</v>
      </c>
      <c r="M415" s="53" t="s">
        <v>52</v>
      </c>
      <c r="N415" s="62" t="s">
        <v>2117</v>
      </c>
      <c r="O415" s="62" t="s">
        <v>44</v>
      </c>
      <c r="P415" s="62" t="s">
        <v>2779</v>
      </c>
      <c r="Q415" s="62" t="s">
        <v>2780</v>
      </c>
      <c r="R415" s="53"/>
      <c r="S415" s="53"/>
      <c r="T415" s="82"/>
      <c r="U415" s="42"/>
      <c r="V415" s="62"/>
      <c r="W415" s="64"/>
      <c r="X415" s="223"/>
      <c r="Y415" s="223"/>
      <c r="Z415" s="223"/>
      <c r="AA415" s="223"/>
    </row>
    <row r="416">
      <c r="A416" s="42">
        <f t="shared" si="3"/>
        <v>415</v>
      </c>
      <c r="B416" s="51" t="s">
        <v>41</v>
      </c>
      <c r="C416" s="53" t="s">
        <v>2782</v>
      </c>
      <c r="D416" s="42" t="s">
        <v>44</v>
      </c>
      <c r="E416" s="42" t="s">
        <v>44</v>
      </c>
      <c r="F416" s="53" t="s">
        <v>1612</v>
      </c>
      <c r="G416" s="53" t="s">
        <v>47</v>
      </c>
      <c r="H416" s="53" t="s">
        <v>95</v>
      </c>
      <c r="I416" s="53" t="s">
        <v>485</v>
      </c>
      <c r="J416" s="53" t="s">
        <v>1614</v>
      </c>
      <c r="K416" s="53" t="s">
        <v>1615</v>
      </c>
      <c r="L416" s="53" t="s">
        <v>52</v>
      </c>
      <c r="M416" s="53" t="s">
        <v>52</v>
      </c>
      <c r="N416" s="62" t="s">
        <v>2783</v>
      </c>
      <c r="O416" s="62" t="s">
        <v>44</v>
      </c>
      <c r="P416" s="62" t="s">
        <v>2784</v>
      </c>
      <c r="Q416" s="62" t="s">
        <v>2785</v>
      </c>
      <c r="R416" s="53"/>
      <c r="S416" s="53"/>
      <c r="T416" s="82"/>
      <c r="U416" s="53"/>
      <c r="V416" s="62"/>
      <c r="W416" s="64"/>
      <c r="X416" s="223"/>
      <c r="Y416" s="223"/>
      <c r="Z416" s="223"/>
      <c r="AA416" s="223"/>
    </row>
    <row r="417">
      <c r="A417" s="42">
        <f t="shared" si="3"/>
        <v>416</v>
      </c>
      <c r="B417" s="51" t="s">
        <v>41</v>
      </c>
      <c r="C417" s="53" t="s">
        <v>2788</v>
      </c>
      <c r="D417" s="42" t="s">
        <v>44</v>
      </c>
      <c r="E417" s="42" t="s">
        <v>44</v>
      </c>
      <c r="F417" s="53" t="s">
        <v>1612</v>
      </c>
      <c r="G417" s="53" t="s">
        <v>47</v>
      </c>
      <c r="H417" s="53" t="s">
        <v>48</v>
      </c>
      <c r="I417" s="53" t="s">
        <v>485</v>
      </c>
      <c r="J417" s="53" t="s">
        <v>1614</v>
      </c>
      <c r="K417" s="53" t="s">
        <v>1615</v>
      </c>
      <c r="L417" s="53" t="s">
        <v>52</v>
      </c>
      <c r="M417" s="53" t="s">
        <v>52</v>
      </c>
      <c r="N417" s="62" t="s">
        <v>2117</v>
      </c>
      <c r="O417" s="62" t="s">
        <v>44</v>
      </c>
      <c r="P417" s="62" t="s">
        <v>2789</v>
      </c>
      <c r="Q417" s="62" t="s">
        <v>2790</v>
      </c>
      <c r="R417" s="53"/>
      <c r="S417" s="53"/>
      <c r="T417" s="82"/>
      <c r="U417" s="42"/>
      <c r="V417" s="62"/>
      <c r="W417" s="64"/>
      <c r="X417" s="223"/>
      <c r="Y417" s="223"/>
      <c r="Z417" s="223"/>
      <c r="AA417" s="223"/>
    </row>
    <row r="418">
      <c r="A418" s="42">
        <f t="shared" si="3"/>
        <v>417</v>
      </c>
      <c r="B418" s="51" t="s">
        <v>41</v>
      </c>
      <c r="C418" s="53" t="s">
        <v>2793</v>
      </c>
      <c r="D418" s="42" t="s">
        <v>44</v>
      </c>
      <c r="E418" s="42" t="s">
        <v>44</v>
      </c>
      <c r="F418" s="53" t="s">
        <v>1612</v>
      </c>
      <c r="G418" s="53" t="s">
        <v>47</v>
      </c>
      <c r="H418" s="53" t="s">
        <v>48</v>
      </c>
      <c r="I418" s="53" t="s">
        <v>485</v>
      </c>
      <c r="J418" s="53" t="s">
        <v>1614</v>
      </c>
      <c r="K418" s="53" t="s">
        <v>1615</v>
      </c>
      <c r="L418" s="53" t="s">
        <v>52</v>
      </c>
      <c r="M418" s="53" t="s">
        <v>52</v>
      </c>
      <c r="N418" s="62" t="s">
        <v>2794</v>
      </c>
      <c r="O418" s="62" t="s">
        <v>44</v>
      </c>
      <c r="P418" s="62" t="s">
        <v>2796</v>
      </c>
      <c r="Q418" s="62" t="s">
        <v>2797</v>
      </c>
      <c r="R418" s="53"/>
      <c r="S418" s="53"/>
      <c r="T418" s="82"/>
      <c r="U418" s="42"/>
      <c r="V418" s="62"/>
      <c r="W418" s="64"/>
      <c r="X418" s="223"/>
      <c r="Y418" s="223"/>
      <c r="Z418" s="223"/>
      <c r="AA418" s="223"/>
    </row>
    <row r="419">
      <c r="A419" s="42">
        <f t="shared" si="3"/>
        <v>418</v>
      </c>
      <c r="B419" s="51" t="s">
        <v>41</v>
      </c>
      <c r="C419" s="53" t="s">
        <v>2799</v>
      </c>
      <c r="D419" s="42" t="s">
        <v>44</v>
      </c>
      <c r="E419" s="42" t="s">
        <v>44</v>
      </c>
      <c r="F419" s="53" t="s">
        <v>1612</v>
      </c>
      <c r="G419" s="53" t="s">
        <v>47</v>
      </c>
      <c r="H419" s="53" t="s">
        <v>95</v>
      </c>
      <c r="I419" s="53" t="s">
        <v>485</v>
      </c>
      <c r="J419" s="53" t="s">
        <v>1614</v>
      </c>
      <c r="K419" s="53" t="s">
        <v>1615</v>
      </c>
      <c r="L419" s="53" t="s">
        <v>52</v>
      </c>
      <c r="M419" s="53" t="s">
        <v>52</v>
      </c>
      <c r="N419" s="62" t="s">
        <v>2800</v>
      </c>
      <c r="O419" s="62" t="s">
        <v>44</v>
      </c>
      <c r="P419" s="62" t="s">
        <v>2802</v>
      </c>
      <c r="Q419" s="62" t="s">
        <v>2803</v>
      </c>
      <c r="R419" s="53"/>
      <c r="S419" s="53"/>
      <c r="T419" s="82"/>
      <c r="U419" s="42"/>
      <c r="V419" s="62"/>
      <c r="W419" s="64"/>
      <c r="X419" s="223"/>
      <c r="Y419" s="223"/>
      <c r="Z419" s="223"/>
      <c r="AA419" s="264"/>
    </row>
    <row r="420">
      <c r="A420" s="42">
        <f t="shared" si="3"/>
        <v>419</v>
      </c>
      <c r="B420" s="51" t="s">
        <v>41</v>
      </c>
      <c r="C420" s="53" t="s">
        <v>2805</v>
      </c>
      <c r="D420" s="42" t="s">
        <v>44</v>
      </c>
      <c r="E420" s="42" t="s">
        <v>44</v>
      </c>
      <c r="F420" s="53" t="s">
        <v>1612</v>
      </c>
      <c r="G420" s="53" t="s">
        <v>197</v>
      </c>
      <c r="H420" s="53" t="s">
        <v>91</v>
      </c>
      <c r="I420" s="53" t="s">
        <v>485</v>
      </c>
      <c r="J420" s="53" t="s">
        <v>1614</v>
      </c>
      <c r="K420" s="53" t="s">
        <v>1615</v>
      </c>
      <c r="L420" s="53" t="s">
        <v>52</v>
      </c>
      <c r="M420" s="53" t="s">
        <v>52</v>
      </c>
      <c r="N420" s="62" t="s">
        <v>2794</v>
      </c>
      <c r="O420" s="62" t="s">
        <v>44</v>
      </c>
      <c r="P420" s="62" t="s">
        <v>2808</v>
      </c>
      <c r="Q420" s="62" t="s">
        <v>2809</v>
      </c>
      <c r="R420" s="53"/>
      <c r="S420" s="53"/>
      <c r="T420" s="82"/>
      <c r="U420" s="42"/>
      <c r="V420" s="62"/>
      <c r="W420" s="64"/>
      <c r="X420" s="223"/>
      <c r="Y420" s="223"/>
      <c r="Z420" s="223"/>
      <c r="AA420" s="223"/>
    </row>
    <row r="421">
      <c r="A421" s="42">
        <f t="shared" si="3"/>
        <v>420</v>
      </c>
      <c r="B421" s="51" t="s">
        <v>41</v>
      </c>
      <c r="C421" s="53" t="s">
        <v>2810</v>
      </c>
      <c r="D421" s="42" t="s">
        <v>44</v>
      </c>
      <c r="E421" s="42" t="s">
        <v>44</v>
      </c>
      <c r="F421" s="53" t="s">
        <v>1612</v>
      </c>
      <c r="G421" s="53" t="s">
        <v>47</v>
      </c>
      <c r="H421" s="53" t="s">
        <v>48</v>
      </c>
      <c r="I421" s="53" t="s">
        <v>485</v>
      </c>
      <c r="J421" s="53" t="s">
        <v>1614</v>
      </c>
      <c r="K421" s="53" t="s">
        <v>1615</v>
      </c>
      <c r="L421" s="53" t="s">
        <v>52</v>
      </c>
      <c r="M421" s="53" t="s">
        <v>52</v>
      </c>
      <c r="N421" s="62" t="s">
        <v>2117</v>
      </c>
      <c r="O421" s="62" t="s">
        <v>44</v>
      </c>
      <c r="P421" s="62" t="s">
        <v>2813</v>
      </c>
      <c r="Q421" s="62" t="s">
        <v>2814</v>
      </c>
      <c r="R421" s="53"/>
      <c r="S421" s="53"/>
      <c r="T421" s="82"/>
      <c r="U421" s="42"/>
      <c r="V421" s="62"/>
      <c r="W421" s="64"/>
      <c r="X421" s="223"/>
      <c r="Y421" s="223"/>
      <c r="Z421" s="223"/>
      <c r="AA421" s="223"/>
    </row>
    <row r="422">
      <c r="A422" s="42">
        <f t="shared" si="3"/>
        <v>421</v>
      </c>
      <c r="B422" s="51" t="s">
        <v>41</v>
      </c>
      <c r="C422" s="53" t="s">
        <v>2815</v>
      </c>
      <c r="D422" s="42" t="s">
        <v>44</v>
      </c>
      <c r="E422" s="42" t="s">
        <v>44</v>
      </c>
      <c r="F422" s="53" t="s">
        <v>1612</v>
      </c>
      <c r="G422" s="53" t="s">
        <v>47</v>
      </c>
      <c r="H422" s="53" t="s">
        <v>48</v>
      </c>
      <c r="I422" s="53" t="s">
        <v>485</v>
      </c>
      <c r="J422" s="53" t="s">
        <v>1614</v>
      </c>
      <c r="K422" s="53" t="s">
        <v>1615</v>
      </c>
      <c r="L422" s="53" t="s">
        <v>52</v>
      </c>
      <c r="M422" s="53" t="s">
        <v>52</v>
      </c>
      <c r="N422" s="62" t="s">
        <v>2794</v>
      </c>
      <c r="O422" s="62" t="s">
        <v>44</v>
      </c>
      <c r="P422" s="62" t="s">
        <v>2818</v>
      </c>
      <c r="Q422" s="62" t="s">
        <v>2819</v>
      </c>
      <c r="R422" s="53"/>
      <c r="S422" s="53"/>
      <c r="T422" s="82"/>
      <c r="U422" s="53"/>
      <c r="V422" s="62"/>
      <c r="W422" s="64"/>
      <c r="X422" s="223"/>
      <c r="Y422" s="223"/>
      <c r="Z422" s="223"/>
      <c r="AA422" s="223"/>
    </row>
    <row r="423">
      <c r="A423" s="42">
        <f t="shared" si="3"/>
        <v>422</v>
      </c>
      <c r="B423" s="51" t="s">
        <v>41</v>
      </c>
      <c r="C423" s="53" t="s">
        <v>2820</v>
      </c>
      <c r="D423" s="42" t="s">
        <v>44</v>
      </c>
      <c r="E423" s="42" t="s">
        <v>44</v>
      </c>
      <c r="F423" s="53" t="s">
        <v>1612</v>
      </c>
      <c r="G423" s="53" t="s">
        <v>47</v>
      </c>
      <c r="H423" s="53" t="s">
        <v>95</v>
      </c>
      <c r="I423" s="53" t="s">
        <v>485</v>
      </c>
      <c r="J423" s="53" t="s">
        <v>1614</v>
      </c>
      <c r="K423" s="53" t="s">
        <v>1615</v>
      </c>
      <c r="L423" s="53" t="s">
        <v>52</v>
      </c>
      <c r="M423" s="53" t="s">
        <v>52</v>
      </c>
      <c r="N423" s="62" t="s">
        <v>2823</v>
      </c>
      <c r="O423" s="62" t="s">
        <v>44</v>
      </c>
      <c r="P423" s="62" t="s">
        <v>2818</v>
      </c>
      <c r="Q423" s="62" t="s">
        <v>2824</v>
      </c>
      <c r="R423" s="53"/>
      <c r="S423" s="53"/>
      <c r="T423" s="82"/>
      <c r="U423" s="42"/>
      <c r="V423" s="62"/>
      <c r="W423" s="64"/>
      <c r="X423" s="223"/>
      <c r="Y423" s="223"/>
      <c r="Z423" s="223"/>
      <c r="AA423" s="223"/>
    </row>
    <row r="424">
      <c r="A424" s="42">
        <f t="shared" si="3"/>
        <v>423</v>
      </c>
      <c r="B424" s="51" t="s">
        <v>41</v>
      </c>
      <c r="C424" s="53" t="s">
        <v>2826</v>
      </c>
      <c r="D424" s="42" t="s">
        <v>44</v>
      </c>
      <c r="E424" s="42" t="s">
        <v>44</v>
      </c>
      <c r="F424" s="53" t="s">
        <v>1612</v>
      </c>
      <c r="G424" s="53" t="s">
        <v>197</v>
      </c>
      <c r="H424" s="53" t="s">
        <v>91</v>
      </c>
      <c r="I424" s="53" t="s">
        <v>485</v>
      </c>
      <c r="J424" s="53" t="s">
        <v>1614</v>
      </c>
      <c r="K424" s="53" t="s">
        <v>1615</v>
      </c>
      <c r="L424" s="53" t="s">
        <v>52</v>
      </c>
      <c r="M424" s="53" t="s">
        <v>52</v>
      </c>
      <c r="N424" s="62" t="s">
        <v>2823</v>
      </c>
      <c r="O424" s="62" t="s">
        <v>44</v>
      </c>
      <c r="P424" s="62" t="s">
        <v>2828</v>
      </c>
      <c r="Q424" s="62" t="s">
        <v>2829</v>
      </c>
      <c r="R424" s="53"/>
      <c r="S424" s="53"/>
      <c r="T424" s="82"/>
      <c r="U424" s="42"/>
      <c r="V424" s="62"/>
      <c r="W424" s="64"/>
      <c r="X424" s="223"/>
      <c r="Y424" s="223"/>
      <c r="Z424" s="223"/>
      <c r="AA424" s="223"/>
    </row>
    <row r="425">
      <c r="A425" s="42">
        <f t="shared" si="3"/>
        <v>424</v>
      </c>
      <c r="B425" s="51" t="s">
        <v>41</v>
      </c>
      <c r="C425" s="53" t="s">
        <v>2831</v>
      </c>
      <c r="D425" s="42" t="s">
        <v>44</v>
      </c>
      <c r="E425" s="42" t="s">
        <v>44</v>
      </c>
      <c r="F425" s="53" t="s">
        <v>1612</v>
      </c>
      <c r="G425" s="53" t="s">
        <v>47</v>
      </c>
      <c r="H425" s="53" t="s">
        <v>48</v>
      </c>
      <c r="I425" s="53" t="s">
        <v>485</v>
      </c>
      <c r="J425" s="53" t="s">
        <v>1614</v>
      </c>
      <c r="K425" s="53" t="s">
        <v>1615</v>
      </c>
      <c r="L425" s="53" t="s">
        <v>52</v>
      </c>
      <c r="M425" s="53" t="s">
        <v>52</v>
      </c>
      <c r="N425" s="62" t="s">
        <v>2117</v>
      </c>
      <c r="O425" s="62" t="s">
        <v>44</v>
      </c>
      <c r="P425" s="62" t="s">
        <v>2833</v>
      </c>
      <c r="Q425" s="62" t="s">
        <v>2834</v>
      </c>
      <c r="R425" s="53"/>
      <c r="S425" s="53"/>
      <c r="T425" s="82"/>
      <c r="U425" s="53"/>
      <c r="V425" s="62"/>
      <c r="W425" s="64"/>
      <c r="X425" s="223"/>
      <c r="Y425" s="223"/>
      <c r="Z425" s="223"/>
      <c r="AA425" s="223"/>
    </row>
    <row r="426">
      <c r="A426" s="42">
        <f t="shared" si="3"/>
        <v>425</v>
      </c>
      <c r="B426" s="51" t="s">
        <v>41</v>
      </c>
      <c r="C426" s="53" t="s">
        <v>2836</v>
      </c>
      <c r="D426" s="42" t="s">
        <v>44</v>
      </c>
      <c r="E426" s="42" t="s">
        <v>44</v>
      </c>
      <c r="F426" s="53" t="s">
        <v>1612</v>
      </c>
      <c r="G426" s="53" t="s">
        <v>47</v>
      </c>
      <c r="H426" s="53" t="s">
        <v>48</v>
      </c>
      <c r="I426" s="53" t="s">
        <v>485</v>
      </c>
      <c r="J426" s="53" t="s">
        <v>1614</v>
      </c>
      <c r="K426" s="53" t="s">
        <v>1615</v>
      </c>
      <c r="L426" s="53" t="s">
        <v>52</v>
      </c>
      <c r="M426" s="53" t="s">
        <v>52</v>
      </c>
      <c r="N426" s="62" t="s">
        <v>2117</v>
      </c>
      <c r="O426" s="62" t="s">
        <v>44</v>
      </c>
      <c r="P426" s="62" t="s">
        <v>2838</v>
      </c>
      <c r="Q426" s="62" t="s">
        <v>2839</v>
      </c>
      <c r="R426" s="53"/>
      <c r="S426" s="53"/>
      <c r="T426" s="82"/>
      <c r="U426" s="42"/>
      <c r="V426" s="62"/>
      <c r="W426" s="64"/>
      <c r="X426" s="223"/>
      <c r="Y426" s="223"/>
      <c r="Z426" s="223"/>
      <c r="AA426" s="223"/>
    </row>
    <row r="427">
      <c r="A427" s="42">
        <f t="shared" si="3"/>
        <v>426</v>
      </c>
      <c r="B427" s="51" t="s">
        <v>41</v>
      </c>
      <c r="C427" s="53" t="s">
        <v>2841</v>
      </c>
      <c r="D427" s="42" t="s">
        <v>44</v>
      </c>
      <c r="E427" s="42" t="s">
        <v>44</v>
      </c>
      <c r="F427" s="53" t="s">
        <v>1612</v>
      </c>
      <c r="G427" s="53" t="s">
        <v>47</v>
      </c>
      <c r="H427" s="53" t="s">
        <v>48</v>
      </c>
      <c r="I427" s="53" t="s">
        <v>485</v>
      </c>
      <c r="J427" s="53" t="s">
        <v>1614</v>
      </c>
      <c r="K427" s="53" t="s">
        <v>1615</v>
      </c>
      <c r="L427" s="53" t="s">
        <v>52</v>
      </c>
      <c r="M427" s="53" t="s">
        <v>52</v>
      </c>
      <c r="N427" s="62" t="s">
        <v>2117</v>
      </c>
      <c r="O427" s="62" t="s">
        <v>44</v>
      </c>
      <c r="P427" s="62" t="s">
        <v>2843</v>
      </c>
      <c r="Q427" s="62" t="s">
        <v>2844</v>
      </c>
      <c r="R427" s="53"/>
      <c r="S427" s="53"/>
      <c r="T427" s="82"/>
      <c r="U427" s="53"/>
      <c r="V427" s="62"/>
      <c r="W427" s="64"/>
      <c r="X427" s="223"/>
      <c r="Y427" s="223"/>
      <c r="Z427" s="223"/>
      <c r="AA427" s="223"/>
    </row>
    <row r="428">
      <c r="A428" s="42">
        <f t="shared" si="3"/>
        <v>427</v>
      </c>
      <c r="B428" s="51" t="s">
        <v>41</v>
      </c>
      <c r="C428" s="53" t="s">
        <v>2846</v>
      </c>
      <c r="D428" s="42" t="s">
        <v>44</v>
      </c>
      <c r="E428" s="42" t="s">
        <v>44</v>
      </c>
      <c r="F428" s="53" t="s">
        <v>1612</v>
      </c>
      <c r="G428" s="53" t="s">
        <v>47</v>
      </c>
      <c r="H428" s="53" t="s">
        <v>48</v>
      </c>
      <c r="I428" s="53" t="s">
        <v>485</v>
      </c>
      <c r="J428" s="53" t="s">
        <v>1614</v>
      </c>
      <c r="K428" s="53" t="s">
        <v>1615</v>
      </c>
      <c r="L428" s="53" t="s">
        <v>52</v>
      </c>
      <c r="M428" s="53" t="s">
        <v>52</v>
      </c>
      <c r="N428" s="62" t="s">
        <v>2117</v>
      </c>
      <c r="O428" s="62" t="s">
        <v>44</v>
      </c>
      <c r="P428" s="62" t="s">
        <v>2848</v>
      </c>
      <c r="Q428" s="62" t="s">
        <v>2849</v>
      </c>
      <c r="R428" s="53"/>
      <c r="S428" s="53"/>
      <c r="T428" s="82"/>
      <c r="U428" s="53"/>
      <c r="V428" s="62"/>
      <c r="W428" s="64"/>
      <c r="X428" s="223"/>
      <c r="Y428" s="223"/>
      <c r="Z428" s="223"/>
      <c r="AA428" s="223"/>
    </row>
    <row r="429">
      <c r="A429" s="42">
        <f t="shared" si="3"/>
        <v>428</v>
      </c>
      <c r="B429" s="51" t="s">
        <v>41</v>
      </c>
      <c r="C429" s="53" t="s">
        <v>2851</v>
      </c>
      <c r="D429" s="42" t="s">
        <v>44</v>
      </c>
      <c r="E429" s="42" t="s">
        <v>44</v>
      </c>
      <c r="F429" s="53" t="s">
        <v>1612</v>
      </c>
      <c r="G429" s="53" t="s">
        <v>47</v>
      </c>
      <c r="H429" s="53" t="s">
        <v>95</v>
      </c>
      <c r="I429" s="53" t="s">
        <v>485</v>
      </c>
      <c r="J429" s="53" t="s">
        <v>1614</v>
      </c>
      <c r="K429" s="53" t="s">
        <v>1615</v>
      </c>
      <c r="L429" s="53" t="s">
        <v>52</v>
      </c>
      <c r="M429" s="53" t="s">
        <v>52</v>
      </c>
      <c r="N429" s="62" t="s">
        <v>2853</v>
      </c>
      <c r="O429" s="62" t="s">
        <v>44</v>
      </c>
      <c r="P429" s="62" t="s">
        <v>2854</v>
      </c>
      <c r="Q429" s="62" t="s">
        <v>2855</v>
      </c>
      <c r="R429" s="53"/>
      <c r="S429" s="53"/>
      <c r="T429" s="82"/>
      <c r="U429" s="42"/>
      <c r="V429" s="62"/>
      <c r="W429" s="64"/>
      <c r="X429" s="223"/>
      <c r="Y429" s="223"/>
      <c r="Z429" s="223"/>
      <c r="AA429" s="223"/>
    </row>
    <row r="430">
      <c r="A430" s="42">
        <f t="shared" si="3"/>
        <v>429</v>
      </c>
      <c r="B430" s="51" t="s">
        <v>41</v>
      </c>
      <c r="C430" s="53" t="s">
        <v>2857</v>
      </c>
      <c r="D430" s="42" t="s">
        <v>44</v>
      </c>
      <c r="E430" s="42" t="s">
        <v>44</v>
      </c>
      <c r="F430" s="53" t="s">
        <v>1612</v>
      </c>
      <c r="G430" s="53" t="s">
        <v>47</v>
      </c>
      <c r="H430" s="53" t="s">
        <v>95</v>
      </c>
      <c r="I430" s="53" t="s">
        <v>485</v>
      </c>
      <c r="J430" s="53" t="s">
        <v>1614</v>
      </c>
      <c r="K430" s="53" t="s">
        <v>1615</v>
      </c>
      <c r="L430" s="53" t="s">
        <v>52</v>
      </c>
      <c r="M430" s="53" t="s">
        <v>52</v>
      </c>
      <c r="N430" s="62" t="s">
        <v>2859</v>
      </c>
      <c r="O430" s="62" t="s">
        <v>44</v>
      </c>
      <c r="P430" s="62" t="s">
        <v>2854</v>
      </c>
      <c r="Q430" s="62" t="s">
        <v>2860</v>
      </c>
      <c r="R430" s="53"/>
      <c r="S430" s="53"/>
      <c r="T430" s="82"/>
      <c r="U430" s="42"/>
      <c r="V430" s="62"/>
      <c r="W430" s="64"/>
      <c r="X430" s="223"/>
      <c r="Y430" s="223"/>
      <c r="Z430" s="223"/>
      <c r="AA430" s="223"/>
    </row>
    <row r="431">
      <c r="A431" s="42">
        <f t="shared" si="3"/>
        <v>430</v>
      </c>
      <c r="B431" s="51" t="s">
        <v>41</v>
      </c>
      <c r="C431" s="53" t="s">
        <v>2862</v>
      </c>
      <c r="D431" s="42" t="s">
        <v>44</v>
      </c>
      <c r="E431" s="42" t="s">
        <v>44</v>
      </c>
      <c r="F431" s="53" t="s">
        <v>1612</v>
      </c>
      <c r="G431" s="53" t="s">
        <v>47</v>
      </c>
      <c r="H431" s="53" t="s">
        <v>95</v>
      </c>
      <c r="I431" s="53" t="s">
        <v>485</v>
      </c>
      <c r="J431" s="53" t="s">
        <v>1614</v>
      </c>
      <c r="K431" s="53" t="s">
        <v>1615</v>
      </c>
      <c r="L431" s="53" t="s">
        <v>52</v>
      </c>
      <c r="M431" s="53" t="s">
        <v>52</v>
      </c>
      <c r="N431" s="62" t="s">
        <v>2117</v>
      </c>
      <c r="O431" s="62" t="s">
        <v>44</v>
      </c>
      <c r="P431" s="62" t="s">
        <v>2864</v>
      </c>
      <c r="Q431" s="62" t="s">
        <v>2278</v>
      </c>
      <c r="R431" s="53"/>
      <c r="S431" s="53"/>
      <c r="T431" s="82"/>
      <c r="U431" s="42"/>
      <c r="V431" s="306"/>
      <c r="W431" s="64"/>
      <c r="X431" s="223"/>
      <c r="Y431" s="223"/>
      <c r="Z431" s="223"/>
      <c r="AA431" s="223"/>
    </row>
    <row r="432">
      <c r="A432" s="42">
        <f t="shared" si="3"/>
        <v>431</v>
      </c>
      <c r="B432" s="51" t="s">
        <v>41</v>
      </c>
      <c r="C432" s="53" t="s">
        <v>2866</v>
      </c>
      <c r="D432" s="42" t="s">
        <v>44</v>
      </c>
      <c r="E432" s="42" t="s">
        <v>44</v>
      </c>
      <c r="F432" s="53" t="s">
        <v>1612</v>
      </c>
      <c r="G432" s="53" t="s">
        <v>47</v>
      </c>
      <c r="H432" s="53" t="s">
        <v>48</v>
      </c>
      <c r="I432" s="53" t="s">
        <v>485</v>
      </c>
      <c r="J432" s="53" t="s">
        <v>1614</v>
      </c>
      <c r="K432" s="53" t="s">
        <v>1615</v>
      </c>
      <c r="L432" s="53" t="s">
        <v>52</v>
      </c>
      <c r="M432" s="53" t="s">
        <v>52</v>
      </c>
      <c r="N432" s="62" t="s">
        <v>2117</v>
      </c>
      <c r="O432" s="62" t="s">
        <v>44</v>
      </c>
      <c r="P432" s="62" t="s">
        <v>2868</v>
      </c>
      <c r="Q432" s="62" t="s">
        <v>2341</v>
      </c>
      <c r="R432" s="53"/>
      <c r="S432" s="53"/>
      <c r="T432" s="82"/>
      <c r="U432" s="42"/>
      <c r="V432" s="62"/>
      <c r="W432" s="64"/>
      <c r="X432" s="223"/>
      <c r="Y432" s="223"/>
      <c r="Z432" s="223"/>
      <c r="AA432" s="223"/>
    </row>
    <row r="433">
      <c r="A433" s="42">
        <f t="shared" si="3"/>
        <v>432</v>
      </c>
      <c r="B433" s="51" t="s">
        <v>41</v>
      </c>
      <c r="C433" s="53" t="s">
        <v>2871</v>
      </c>
      <c r="D433" s="42" t="s">
        <v>44</v>
      </c>
      <c r="E433" s="42" t="s">
        <v>44</v>
      </c>
      <c r="F433" s="53" t="s">
        <v>1612</v>
      </c>
      <c r="G433" s="53" t="s">
        <v>47</v>
      </c>
      <c r="H433" s="53" t="s">
        <v>48</v>
      </c>
      <c r="I433" s="53" t="s">
        <v>485</v>
      </c>
      <c r="J433" s="53" t="s">
        <v>1614</v>
      </c>
      <c r="K433" s="53" t="s">
        <v>1615</v>
      </c>
      <c r="L433" s="53" t="s">
        <v>52</v>
      </c>
      <c r="M433" s="53" t="s">
        <v>52</v>
      </c>
      <c r="N433" s="62" t="s">
        <v>2117</v>
      </c>
      <c r="O433" s="62" t="s">
        <v>44</v>
      </c>
      <c r="P433" s="62" t="s">
        <v>2872</v>
      </c>
      <c r="Q433" s="62" t="s">
        <v>2345</v>
      </c>
      <c r="R433" s="53"/>
      <c r="S433" s="53"/>
      <c r="T433" s="82"/>
      <c r="U433" s="42"/>
      <c r="V433" s="62"/>
      <c r="W433" s="64"/>
      <c r="X433" s="223"/>
      <c r="Y433" s="223"/>
      <c r="Z433" s="223"/>
      <c r="AA433" s="223"/>
    </row>
    <row r="434">
      <c r="A434" s="42">
        <f t="shared" si="3"/>
        <v>433</v>
      </c>
      <c r="B434" s="51" t="s">
        <v>41</v>
      </c>
      <c r="C434" s="53" t="s">
        <v>2875</v>
      </c>
      <c r="D434" s="42" t="s">
        <v>44</v>
      </c>
      <c r="E434" s="42" t="s">
        <v>44</v>
      </c>
      <c r="F434" s="53" t="s">
        <v>1612</v>
      </c>
      <c r="G434" s="53" t="s">
        <v>197</v>
      </c>
      <c r="H434" s="53" t="s">
        <v>91</v>
      </c>
      <c r="I434" s="53" t="s">
        <v>485</v>
      </c>
      <c r="J434" s="53" t="s">
        <v>1614</v>
      </c>
      <c r="K434" s="53" t="s">
        <v>1615</v>
      </c>
      <c r="L434" s="53" t="s">
        <v>52</v>
      </c>
      <c r="M434" s="53" t="s">
        <v>52</v>
      </c>
      <c r="N434" s="62" t="s">
        <v>2876</v>
      </c>
      <c r="O434" s="62" t="s">
        <v>44</v>
      </c>
      <c r="P434" s="62" t="s">
        <v>2350</v>
      </c>
      <c r="Q434" s="62" t="s">
        <v>2352</v>
      </c>
      <c r="R434" s="53"/>
      <c r="S434" s="53"/>
      <c r="T434" s="82"/>
      <c r="U434" s="53"/>
      <c r="V434" s="62"/>
      <c r="W434" s="64"/>
      <c r="X434" s="223"/>
      <c r="Y434" s="223"/>
      <c r="Z434" s="223"/>
      <c r="AA434" s="223"/>
    </row>
    <row r="435">
      <c r="A435" s="42">
        <f t="shared" si="3"/>
        <v>434</v>
      </c>
      <c r="B435" s="51" t="s">
        <v>41</v>
      </c>
      <c r="C435" s="53" t="s">
        <v>2879</v>
      </c>
      <c r="D435" s="42" t="s">
        <v>44</v>
      </c>
      <c r="E435" s="42" t="s">
        <v>44</v>
      </c>
      <c r="F435" s="53" t="s">
        <v>1612</v>
      </c>
      <c r="G435" s="53" t="s">
        <v>47</v>
      </c>
      <c r="H435" s="53" t="s">
        <v>95</v>
      </c>
      <c r="I435" s="53" t="s">
        <v>485</v>
      </c>
      <c r="J435" s="53" t="s">
        <v>1614</v>
      </c>
      <c r="K435" s="53" t="s">
        <v>1615</v>
      </c>
      <c r="L435" s="53" t="s">
        <v>52</v>
      </c>
      <c r="M435" s="53" t="s">
        <v>52</v>
      </c>
      <c r="N435" s="62" t="s">
        <v>2880</v>
      </c>
      <c r="O435" s="62" t="s">
        <v>44</v>
      </c>
      <c r="P435" s="62" t="s">
        <v>2356</v>
      </c>
      <c r="Q435" s="62" t="s">
        <v>2358</v>
      </c>
      <c r="R435" s="53"/>
      <c r="S435" s="53"/>
      <c r="T435" s="82"/>
      <c r="U435" s="53"/>
      <c r="V435" s="62"/>
      <c r="W435" s="64"/>
      <c r="X435" s="223"/>
      <c r="Y435" s="223"/>
      <c r="Z435" s="223"/>
      <c r="AA435" s="223"/>
    </row>
    <row r="436">
      <c r="A436" s="42">
        <f t="shared" si="3"/>
        <v>435</v>
      </c>
      <c r="B436" s="51" t="s">
        <v>41</v>
      </c>
      <c r="C436" s="53" t="s">
        <v>2883</v>
      </c>
      <c r="D436" s="42" t="s">
        <v>44</v>
      </c>
      <c r="E436" s="42" t="s">
        <v>44</v>
      </c>
      <c r="F436" s="53" t="s">
        <v>1612</v>
      </c>
      <c r="G436" s="53" t="s">
        <v>47</v>
      </c>
      <c r="H436" s="53" t="s">
        <v>95</v>
      </c>
      <c r="I436" s="53" t="s">
        <v>485</v>
      </c>
      <c r="J436" s="53" t="s">
        <v>1614</v>
      </c>
      <c r="K436" s="53" t="s">
        <v>1615</v>
      </c>
      <c r="L436" s="53" t="s">
        <v>52</v>
      </c>
      <c r="M436" s="53" t="s">
        <v>52</v>
      </c>
      <c r="N436" s="62" t="s">
        <v>2876</v>
      </c>
      <c r="O436" s="62" t="s">
        <v>44</v>
      </c>
      <c r="P436" s="62" t="s">
        <v>2368</v>
      </c>
      <c r="Q436" s="62" t="s">
        <v>2369</v>
      </c>
      <c r="R436" s="53"/>
      <c r="S436" s="53"/>
      <c r="T436" s="82"/>
      <c r="U436" s="42"/>
      <c r="V436" s="62"/>
      <c r="W436" s="64"/>
      <c r="X436" s="223"/>
      <c r="Y436" s="223"/>
      <c r="Z436" s="223"/>
      <c r="AA436" s="223"/>
    </row>
    <row r="437">
      <c r="A437" s="42">
        <f t="shared" si="3"/>
        <v>436</v>
      </c>
      <c r="B437" s="51" t="s">
        <v>41</v>
      </c>
      <c r="C437" s="53" t="s">
        <v>2886</v>
      </c>
      <c r="D437" s="42" t="s">
        <v>44</v>
      </c>
      <c r="E437" s="42" t="s">
        <v>44</v>
      </c>
      <c r="F437" s="53" t="s">
        <v>1612</v>
      </c>
      <c r="G437" s="53" t="s">
        <v>47</v>
      </c>
      <c r="H437" s="53" t="s">
        <v>95</v>
      </c>
      <c r="I437" s="53" t="s">
        <v>485</v>
      </c>
      <c r="J437" s="53" t="s">
        <v>1614</v>
      </c>
      <c r="K437" s="53" t="s">
        <v>1615</v>
      </c>
      <c r="L437" s="53" t="s">
        <v>52</v>
      </c>
      <c r="M437" s="53" t="s">
        <v>52</v>
      </c>
      <c r="N437" s="62" t="s">
        <v>2887</v>
      </c>
      <c r="O437" s="62" t="s">
        <v>44</v>
      </c>
      <c r="P437" s="62" t="s">
        <v>2368</v>
      </c>
      <c r="Q437" s="62" t="s">
        <v>2374</v>
      </c>
      <c r="R437" s="53"/>
      <c r="S437" s="53"/>
      <c r="T437" s="82"/>
      <c r="U437" s="42"/>
      <c r="V437" s="62"/>
      <c r="W437" s="64"/>
      <c r="X437" s="223"/>
      <c r="Y437" s="223"/>
      <c r="Z437" s="223"/>
      <c r="AA437" s="223"/>
    </row>
    <row r="438">
      <c r="A438" s="42">
        <f t="shared" si="3"/>
        <v>437</v>
      </c>
      <c r="B438" s="51" t="s">
        <v>41</v>
      </c>
      <c r="C438" s="53" t="s">
        <v>2890</v>
      </c>
      <c r="D438" s="42" t="s">
        <v>44</v>
      </c>
      <c r="E438" s="42" t="s">
        <v>44</v>
      </c>
      <c r="F438" s="53" t="s">
        <v>1612</v>
      </c>
      <c r="G438" s="53" t="s">
        <v>197</v>
      </c>
      <c r="H438" s="53" t="s">
        <v>91</v>
      </c>
      <c r="I438" s="53" t="s">
        <v>485</v>
      </c>
      <c r="J438" s="53" t="s">
        <v>1614</v>
      </c>
      <c r="K438" s="53" t="s">
        <v>1615</v>
      </c>
      <c r="L438" s="53" t="s">
        <v>52</v>
      </c>
      <c r="M438" s="53" t="s">
        <v>52</v>
      </c>
      <c r="N438" s="62" t="s">
        <v>2887</v>
      </c>
      <c r="O438" s="62" t="s">
        <v>44</v>
      </c>
      <c r="P438" s="62" t="s">
        <v>2378</v>
      </c>
      <c r="Q438" s="62" t="s">
        <v>2379</v>
      </c>
      <c r="R438" s="53"/>
      <c r="S438" s="53"/>
      <c r="T438" s="82"/>
      <c r="U438" s="42"/>
      <c r="V438" s="62"/>
      <c r="W438" s="64"/>
      <c r="X438" s="223"/>
      <c r="Y438" s="223"/>
      <c r="Z438" s="223"/>
      <c r="AA438" s="223"/>
    </row>
    <row r="439">
      <c r="A439" s="42">
        <f t="shared" si="3"/>
        <v>438</v>
      </c>
      <c r="B439" s="51" t="s">
        <v>41</v>
      </c>
      <c r="C439" s="53" t="s">
        <v>2893</v>
      </c>
      <c r="D439" s="42" t="s">
        <v>44</v>
      </c>
      <c r="E439" s="42" t="s">
        <v>44</v>
      </c>
      <c r="F439" s="53" t="s">
        <v>1612</v>
      </c>
      <c r="G439" s="53" t="s">
        <v>47</v>
      </c>
      <c r="H439" s="53" t="s">
        <v>48</v>
      </c>
      <c r="I439" s="53" t="s">
        <v>485</v>
      </c>
      <c r="J439" s="53" t="s">
        <v>1614</v>
      </c>
      <c r="K439" s="53" t="s">
        <v>1615</v>
      </c>
      <c r="L439" s="53" t="s">
        <v>52</v>
      </c>
      <c r="M439" s="53" t="s">
        <v>52</v>
      </c>
      <c r="N439" s="62" t="s">
        <v>2135</v>
      </c>
      <c r="O439" s="62" t="s">
        <v>44</v>
      </c>
      <c r="P439" s="62" t="s">
        <v>2896</v>
      </c>
      <c r="Q439" s="62" t="s">
        <v>2897</v>
      </c>
      <c r="R439" s="53"/>
      <c r="S439" s="53"/>
      <c r="T439" s="82"/>
      <c r="U439" s="53"/>
      <c r="V439" s="62"/>
      <c r="W439" s="64"/>
      <c r="X439" s="223"/>
      <c r="Y439" s="223"/>
      <c r="Z439" s="223"/>
      <c r="AA439" s="223"/>
    </row>
    <row r="440">
      <c r="A440" s="42">
        <f t="shared" si="3"/>
        <v>439</v>
      </c>
      <c r="B440" s="51" t="s">
        <v>41</v>
      </c>
      <c r="C440" s="53" t="s">
        <v>2898</v>
      </c>
      <c r="D440" s="42" t="s">
        <v>44</v>
      </c>
      <c r="E440" s="42" t="s">
        <v>44</v>
      </c>
      <c r="F440" s="53" t="s">
        <v>1612</v>
      </c>
      <c r="G440" s="53" t="s">
        <v>47</v>
      </c>
      <c r="H440" s="53" t="s">
        <v>48</v>
      </c>
      <c r="I440" s="53" t="s">
        <v>485</v>
      </c>
      <c r="J440" s="53" t="s">
        <v>1614</v>
      </c>
      <c r="K440" s="53" t="s">
        <v>1615</v>
      </c>
      <c r="L440" s="53" t="s">
        <v>52</v>
      </c>
      <c r="M440" s="53" t="s">
        <v>52</v>
      </c>
      <c r="N440" s="62" t="s">
        <v>2135</v>
      </c>
      <c r="O440" s="62" t="s">
        <v>44</v>
      </c>
      <c r="P440" s="62" t="s">
        <v>2901</v>
      </c>
      <c r="Q440" s="62" t="s">
        <v>2902</v>
      </c>
      <c r="R440" s="53"/>
      <c r="S440" s="53"/>
      <c r="T440" s="82"/>
      <c r="U440" s="42"/>
      <c r="V440" s="62"/>
      <c r="W440" s="64"/>
      <c r="X440" s="223"/>
      <c r="Y440" s="223"/>
      <c r="Z440" s="223"/>
      <c r="AA440" s="223"/>
    </row>
    <row r="441">
      <c r="A441" s="42">
        <f t="shared" si="3"/>
        <v>440</v>
      </c>
      <c r="B441" s="51" t="s">
        <v>41</v>
      </c>
      <c r="C441" s="53" t="s">
        <v>2904</v>
      </c>
      <c r="D441" s="42" t="s">
        <v>44</v>
      </c>
      <c r="E441" s="42" t="s">
        <v>44</v>
      </c>
      <c r="F441" s="53" t="s">
        <v>1612</v>
      </c>
      <c r="G441" s="53" t="s">
        <v>47</v>
      </c>
      <c r="H441" s="53" t="s">
        <v>48</v>
      </c>
      <c r="I441" s="53" t="s">
        <v>485</v>
      </c>
      <c r="J441" s="53" t="s">
        <v>1614</v>
      </c>
      <c r="K441" s="53" t="s">
        <v>1615</v>
      </c>
      <c r="L441" s="53" t="s">
        <v>52</v>
      </c>
      <c r="M441" s="53" t="s">
        <v>52</v>
      </c>
      <c r="N441" s="62" t="s">
        <v>2135</v>
      </c>
      <c r="O441" s="62" t="s">
        <v>44</v>
      </c>
      <c r="P441" s="62" t="s">
        <v>2906</v>
      </c>
      <c r="Q441" s="62" t="s">
        <v>2907</v>
      </c>
      <c r="R441" s="53"/>
      <c r="S441" s="53"/>
      <c r="T441" s="82"/>
      <c r="U441" s="42"/>
      <c r="V441" s="62"/>
      <c r="W441" s="64"/>
      <c r="X441" s="223"/>
      <c r="Y441" s="223"/>
      <c r="Z441" s="223"/>
      <c r="AA441" s="223"/>
    </row>
    <row r="442">
      <c r="A442" s="42">
        <f t="shared" si="3"/>
        <v>441</v>
      </c>
      <c r="B442" s="51" t="s">
        <v>41</v>
      </c>
      <c r="C442" s="53" t="s">
        <v>2908</v>
      </c>
      <c r="D442" s="42" t="s">
        <v>44</v>
      </c>
      <c r="E442" s="42" t="s">
        <v>44</v>
      </c>
      <c r="F442" s="53" t="s">
        <v>1612</v>
      </c>
      <c r="G442" s="53" t="s">
        <v>47</v>
      </c>
      <c r="H442" s="53" t="s">
        <v>95</v>
      </c>
      <c r="I442" s="53" t="s">
        <v>485</v>
      </c>
      <c r="J442" s="53" t="s">
        <v>1614</v>
      </c>
      <c r="K442" s="53" t="s">
        <v>1615</v>
      </c>
      <c r="L442" s="53" t="s">
        <v>52</v>
      </c>
      <c r="M442" s="53" t="s">
        <v>52</v>
      </c>
      <c r="N442" s="62" t="s">
        <v>2910</v>
      </c>
      <c r="O442" s="62" t="s">
        <v>44</v>
      </c>
      <c r="P442" s="62" t="s">
        <v>2912</v>
      </c>
      <c r="Q442" s="62" t="s">
        <v>2913</v>
      </c>
      <c r="R442" s="53"/>
      <c r="S442" s="53"/>
      <c r="T442" s="82"/>
      <c r="U442" s="42"/>
      <c r="V442" s="62"/>
      <c r="W442" s="64"/>
      <c r="X442" s="223"/>
      <c r="Y442" s="223"/>
      <c r="Z442" s="223"/>
      <c r="AA442" s="223"/>
    </row>
    <row r="443">
      <c r="A443" s="42">
        <f t="shared" si="3"/>
        <v>442</v>
      </c>
      <c r="B443" s="51" t="s">
        <v>41</v>
      </c>
      <c r="C443" s="53" t="s">
        <v>2914</v>
      </c>
      <c r="D443" s="42" t="s">
        <v>44</v>
      </c>
      <c r="E443" s="42" t="s">
        <v>44</v>
      </c>
      <c r="F443" s="53" t="s">
        <v>1612</v>
      </c>
      <c r="G443" s="53" t="s">
        <v>47</v>
      </c>
      <c r="H443" s="53" t="s">
        <v>48</v>
      </c>
      <c r="I443" s="53" t="s">
        <v>485</v>
      </c>
      <c r="J443" s="53" t="s">
        <v>1614</v>
      </c>
      <c r="K443" s="53" t="s">
        <v>1615</v>
      </c>
      <c r="L443" s="53" t="s">
        <v>52</v>
      </c>
      <c r="M443" s="53" t="s">
        <v>52</v>
      </c>
      <c r="N443" s="62" t="s">
        <v>2910</v>
      </c>
      <c r="O443" s="62" t="s">
        <v>44</v>
      </c>
      <c r="P443" s="62" t="s">
        <v>2917</v>
      </c>
      <c r="Q443" s="62" t="s">
        <v>2918</v>
      </c>
      <c r="R443" s="53"/>
      <c r="S443" s="53"/>
      <c r="T443" s="82"/>
      <c r="U443" s="42"/>
      <c r="V443" s="62"/>
      <c r="W443" s="64"/>
      <c r="X443" s="223"/>
      <c r="Y443" s="223"/>
      <c r="Z443" s="223"/>
      <c r="AA443" s="223"/>
    </row>
    <row r="444">
      <c r="A444" s="42">
        <f t="shared" si="3"/>
        <v>443</v>
      </c>
      <c r="B444" s="51" t="s">
        <v>41</v>
      </c>
      <c r="C444" s="53" t="s">
        <v>2919</v>
      </c>
      <c r="D444" s="42" t="s">
        <v>44</v>
      </c>
      <c r="E444" s="42" t="s">
        <v>44</v>
      </c>
      <c r="F444" s="53" t="s">
        <v>1612</v>
      </c>
      <c r="G444" s="53" t="s">
        <v>47</v>
      </c>
      <c r="H444" s="53" t="s">
        <v>48</v>
      </c>
      <c r="I444" s="53" t="s">
        <v>485</v>
      </c>
      <c r="J444" s="53" t="s">
        <v>1614</v>
      </c>
      <c r="K444" s="53" t="s">
        <v>1615</v>
      </c>
      <c r="L444" s="53" t="s">
        <v>52</v>
      </c>
      <c r="M444" s="53" t="s">
        <v>52</v>
      </c>
      <c r="N444" s="62" t="s">
        <v>2922</v>
      </c>
      <c r="O444" s="62" t="s">
        <v>44</v>
      </c>
      <c r="P444" s="62" t="s">
        <v>2917</v>
      </c>
      <c r="Q444" s="62" t="s">
        <v>2923</v>
      </c>
      <c r="R444" s="53"/>
      <c r="S444" s="53"/>
      <c r="T444" s="82"/>
      <c r="U444" s="42"/>
      <c r="V444" s="62"/>
      <c r="W444" s="64"/>
      <c r="X444" s="223"/>
      <c r="Y444" s="223"/>
      <c r="Z444" s="223"/>
      <c r="AA444" s="223"/>
    </row>
    <row r="445">
      <c r="A445" s="42">
        <f t="shared" si="3"/>
        <v>444</v>
      </c>
      <c r="B445" s="51" t="s">
        <v>41</v>
      </c>
      <c r="C445" s="53" t="s">
        <v>2925</v>
      </c>
      <c r="D445" s="42" t="s">
        <v>44</v>
      </c>
      <c r="E445" s="42" t="s">
        <v>44</v>
      </c>
      <c r="F445" s="53" t="s">
        <v>1612</v>
      </c>
      <c r="G445" s="53" t="s">
        <v>47</v>
      </c>
      <c r="H445" s="53" t="s">
        <v>48</v>
      </c>
      <c r="I445" s="53" t="s">
        <v>485</v>
      </c>
      <c r="J445" s="53" t="s">
        <v>1614</v>
      </c>
      <c r="K445" s="53" t="s">
        <v>1615</v>
      </c>
      <c r="L445" s="53" t="s">
        <v>52</v>
      </c>
      <c r="M445" s="53" t="s">
        <v>52</v>
      </c>
      <c r="N445" s="62" t="s">
        <v>2927</v>
      </c>
      <c r="O445" s="62" t="s">
        <v>44</v>
      </c>
      <c r="P445" s="62" t="s">
        <v>2917</v>
      </c>
      <c r="Q445" s="62" t="s">
        <v>2923</v>
      </c>
      <c r="R445" s="53"/>
      <c r="S445" s="53"/>
      <c r="T445" s="82"/>
      <c r="U445" s="42"/>
      <c r="V445" s="62"/>
      <c r="W445" s="64"/>
      <c r="X445" s="223"/>
      <c r="Y445" s="223"/>
      <c r="Z445" s="223"/>
      <c r="AA445" s="223"/>
    </row>
    <row r="446">
      <c r="A446" s="42">
        <f t="shared" si="3"/>
        <v>445</v>
      </c>
      <c r="B446" s="51" t="s">
        <v>41</v>
      </c>
      <c r="C446" s="53" t="s">
        <v>2930</v>
      </c>
      <c r="D446" s="42" t="s">
        <v>44</v>
      </c>
      <c r="E446" s="42" t="s">
        <v>44</v>
      </c>
      <c r="F446" s="53" t="s">
        <v>1612</v>
      </c>
      <c r="G446" s="53" t="s">
        <v>47</v>
      </c>
      <c r="H446" s="53" t="s">
        <v>48</v>
      </c>
      <c r="I446" s="53" t="s">
        <v>485</v>
      </c>
      <c r="J446" s="53" t="s">
        <v>1614</v>
      </c>
      <c r="K446" s="53" t="s">
        <v>1615</v>
      </c>
      <c r="L446" s="53" t="s">
        <v>52</v>
      </c>
      <c r="M446" s="53" t="s">
        <v>52</v>
      </c>
      <c r="N446" s="62" t="s">
        <v>2931</v>
      </c>
      <c r="O446" s="62" t="s">
        <v>44</v>
      </c>
      <c r="P446" s="62" t="s">
        <v>2932</v>
      </c>
      <c r="Q446" s="62" t="s">
        <v>2933</v>
      </c>
      <c r="R446" s="53"/>
      <c r="S446" s="53"/>
      <c r="T446" s="82"/>
      <c r="U446" s="53"/>
      <c r="V446" s="62"/>
      <c r="W446" s="64"/>
      <c r="X446" s="223"/>
      <c r="Y446" s="223"/>
      <c r="Z446" s="223"/>
      <c r="AA446" s="223"/>
    </row>
    <row r="447">
      <c r="A447" s="42">
        <f t="shared" si="3"/>
        <v>446</v>
      </c>
      <c r="B447" s="51" t="s">
        <v>41</v>
      </c>
      <c r="C447" s="53" t="s">
        <v>2936</v>
      </c>
      <c r="D447" s="42" t="s">
        <v>44</v>
      </c>
      <c r="E447" s="42" t="s">
        <v>44</v>
      </c>
      <c r="F447" s="53" t="s">
        <v>1612</v>
      </c>
      <c r="G447" s="53" t="s">
        <v>47</v>
      </c>
      <c r="H447" s="53" t="s">
        <v>95</v>
      </c>
      <c r="I447" s="53" t="s">
        <v>485</v>
      </c>
      <c r="J447" s="53" t="s">
        <v>1614</v>
      </c>
      <c r="K447" s="53" t="s">
        <v>1615</v>
      </c>
      <c r="L447" s="53" t="s">
        <v>52</v>
      </c>
      <c r="M447" s="53" t="s">
        <v>52</v>
      </c>
      <c r="N447" s="62" t="s">
        <v>2937</v>
      </c>
      <c r="O447" s="62" t="s">
        <v>44</v>
      </c>
      <c r="P447" s="62" t="s">
        <v>2938</v>
      </c>
      <c r="Q447" s="62" t="s">
        <v>2939</v>
      </c>
      <c r="R447" s="53"/>
      <c r="S447" s="53"/>
      <c r="T447" s="82"/>
      <c r="U447" s="42"/>
      <c r="V447" s="62"/>
      <c r="W447" s="64"/>
      <c r="X447" s="223"/>
      <c r="Y447" s="223"/>
      <c r="Z447" s="223"/>
      <c r="AA447" s="223"/>
    </row>
    <row r="448">
      <c r="A448" s="42">
        <f t="shared" si="3"/>
        <v>447</v>
      </c>
      <c r="B448" s="51" t="s">
        <v>41</v>
      </c>
      <c r="C448" s="53" t="s">
        <v>2942</v>
      </c>
      <c r="D448" s="42" t="s">
        <v>44</v>
      </c>
      <c r="E448" s="42" t="s">
        <v>44</v>
      </c>
      <c r="F448" s="53" t="s">
        <v>1612</v>
      </c>
      <c r="G448" s="53" t="s">
        <v>47</v>
      </c>
      <c r="H448" s="53" t="s">
        <v>91</v>
      </c>
      <c r="I448" s="53" t="s">
        <v>485</v>
      </c>
      <c r="J448" s="53" t="s">
        <v>1614</v>
      </c>
      <c r="K448" s="53" t="s">
        <v>1615</v>
      </c>
      <c r="L448" s="53" t="s">
        <v>52</v>
      </c>
      <c r="M448" s="53" t="s">
        <v>52</v>
      </c>
      <c r="N448" s="62" t="s">
        <v>2937</v>
      </c>
      <c r="O448" s="62" t="s">
        <v>44</v>
      </c>
      <c r="P448" s="62" t="s">
        <v>2943</v>
      </c>
      <c r="Q448" s="62" t="s">
        <v>2944</v>
      </c>
      <c r="R448" s="53"/>
      <c r="S448" s="53"/>
      <c r="T448" s="82"/>
      <c r="U448" s="42"/>
      <c r="V448" s="62"/>
      <c r="W448" s="64"/>
      <c r="X448" s="223"/>
      <c r="Y448" s="223"/>
      <c r="Z448" s="223"/>
      <c r="AA448" s="223"/>
    </row>
    <row r="449">
      <c r="A449" s="42">
        <f t="shared" si="3"/>
        <v>448</v>
      </c>
      <c r="B449" s="51" t="s">
        <v>41</v>
      </c>
      <c r="C449" s="53" t="s">
        <v>2947</v>
      </c>
      <c r="D449" s="42" t="s">
        <v>44</v>
      </c>
      <c r="E449" s="42" t="s">
        <v>44</v>
      </c>
      <c r="F449" s="53" t="s">
        <v>1612</v>
      </c>
      <c r="G449" s="53" t="s">
        <v>47</v>
      </c>
      <c r="H449" s="53" t="s">
        <v>48</v>
      </c>
      <c r="I449" s="53" t="s">
        <v>485</v>
      </c>
      <c r="J449" s="53" t="s">
        <v>1614</v>
      </c>
      <c r="K449" s="53" t="s">
        <v>1615</v>
      </c>
      <c r="L449" s="53" t="s">
        <v>52</v>
      </c>
      <c r="M449" s="53" t="s">
        <v>52</v>
      </c>
      <c r="N449" s="62" t="s">
        <v>2948</v>
      </c>
      <c r="O449" s="62" t="s">
        <v>44</v>
      </c>
      <c r="P449" s="62" t="s">
        <v>2949</v>
      </c>
      <c r="Q449" s="62" t="s">
        <v>2950</v>
      </c>
      <c r="R449" s="53"/>
      <c r="S449" s="53"/>
      <c r="T449" s="82"/>
      <c r="U449" s="42"/>
      <c r="V449" s="62"/>
      <c r="W449" s="64"/>
      <c r="X449" s="223"/>
      <c r="Y449" s="223"/>
      <c r="Z449" s="223"/>
      <c r="AA449" s="223"/>
    </row>
    <row r="450">
      <c r="A450" s="42">
        <f t="shared" si="3"/>
        <v>449</v>
      </c>
      <c r="B450" s="51" t="s">
        <v>41</v>
      </c>
      <c r="C450" s="53" t="s">
        <v>2953</v>
      </c>
      <c r="D450" s="42" t="s">
        <v>44</v>
      </c>
      <c r="E450" s="42" t="s">
        <v>44</v>
      </c>
      <c r="F450" s="53" t="s">
        <v>1612</v>
      </c>
      <c r="G450" s="53" t="s">
        <v>47</v>
      </c>
      <c r="H450" s="53" t="s">
        <v>91</v>
      </c>
      <c r="I450" s="53" t="s">
        <v>485</v>
      </c>
      <c r="J450" s="53" t="s">
        <v>1614</v>
      </c>
      <c r="K450" s="53" t="s">
        <v>1615</v>
      </c>
      <c r="L450" s="53" t="s">
        <v>52</v>
      </c>
      <c r="M450" s="53" t="s">
        <v>52</v>
      </c>
      <c r="N450" s="62" t="s">
        <v>2937</v>
      </c>
      <c r="O450" s="62" t="s">
        <v>44</v>
      </c>
      <c r="P450" s="62" t="s">
        <v>2954</v>
      </c>
      <c r="Q450" s="62" t="s">
        <v>2955</v>
      </c>
      <c r="R450" s="53"/>
      <c r="S450" s="53"/>
      <c r="T450" s="82"/>
      <c r="U450" s="42"/>
      <c r="V450" s="62"/>
      <c r="W450" s="64"/>
      <c r="X450" s="223"/>
      <c r="Y450" s="223"/>
      <c r="Z450" s="223"/>
      <c r="AA450" s="223"/>
    </row>
    <row r="451">
      <c r="A451" s="42">
        <f t="shared" si="3"/>
        <v>450</v>
      </c>
      <c r="B451" s="51" t="s">
        <v>41</v>
      </c>
      <c r="C451" s="53" t="s">
        <v>2958</v>
      </c>
      <c r="D451" s="42" t="s">
        <v>44</v>
      </c>
      <c r="E451" s="42" t="s">
        <v>44</v>
      </c>
      <c r="F451" s="53" t="s">
        <v>1612</v>
      </c>
      <c r="G451" s="53" t="s">
        <v>47</v>
      </c>
      <c r="H451" s="53" t="s">
        <v>48</v>
      </c>
      <c r="I451" s="53" t="s">
        <v>485</v>
      </c>
      <c r="J451" s="53" t="s">
        <v>1614</v>
      </c>
      <c r="K451" s="53" t="s">
        <v>1615</v>
      </c>
      <c r="L451" s="53" t="s">
        <v>52</v>
      </c>
      <c r="M451" s="53" t="s">
        <v>52</v>
      </c>
      <c r="N451" s="62" t="s">
        <v>2959</v>
      </c>
      <c r="O451" s="62" t="s">
        <v>44</v>
      </c>
      <c r="P451" s="62" t="s">
        <v>1969</v>
      </c>
      <c r="Q451" s="62" t="s">
        <v>1970</v>
      </c>
      <c r="R451" s="53"/>
      <c r="S451" s="53"/>
      <c r="T451" s="82"/>
      <c r="U451" s="42"/>
      <c r="V451" s="62"/>
      <c r="W451" s="64"/>
      <c r="X451" s="223"/>
      <c r="Y451" s="223"/>
      <c r="Z451" s="223"/>
      <c r="AA451" s="223"/>
    </row>
    <row r="452">
      <c r="A452" s="42">
        <f t="shared" si="3"/>
        <v>451</v>
      </c>
      <c r="B452" s="51" t="s">
        <v>41</v>
      </c>
      <c r="C452" s="53" t="s">
        <v>2962</v>
      </c>
      <c r="D452" s="42" t="s">
        <v>44</v>
      </c>
      <c r="E452" s="42" t="s">
        <v>44</v>
      </c>
      <c r="F452" s="53" t="s">
        <v>1612</v>
      </c>
      <c r="G452" s="53" t="s">
        <v>47</v>
      </c>
      <c r="H452" s="53" t="s">
        <v>95</v>
      </c>
      <c r="I452" s="53" t="s">
        <v>485</v>
      </c>
      <c r="J452" s="53" t="s">
        <v>1614</v>
      </c>
      <c r="K452" s="53" t="s">
        <v>1615</v>
      </c>
      <c r="L452" s="53" t="s">
        <v>52</v>
      </c>
      <c r="M452" s="53" t="s">
        <v>52</v>
      </c>
      <c r="N452" s="62" t="s">
        <v>2963</v>
      </c>
      <c r="O452" s="62" t="s">
        <v>44</v>
      </c>
      <c r="P452" s="62" t="s">
        <v>1977</v>
      </c>
      <c r="Q452" s="62" t="s">
        <v>1978</v>
      </c>
      <c r="R452" s="53"/>
      <c r="S452" s="53"/>
      <c r="T452" s="82"/>
      <c r="U452" s="42"/>
      <c r="V452" s="62"/>
      <c r="W452" s="64"/>
      <c r="X452" s="223"/>
      <c r="Y452" s="223"/>
      <c r="Z452" s="223"/>
      <c r="AA452" s="223"/>
    </row>
    <row r="453">
      <c r="A453" s="42">
        <f t="shared" si="3"/>
        <v>452</v>
      </c>
      <c r="B453" s="51" t="s">
        <v>41</v>
      </c>
      <c r="C453" s="53" t="s">
        <v>2966</v>
      </c>
      <c r="D453" s="42" t="s">
        <v>44</v>
      </c>
      <c r="E453" s="42" t="s">
        <v>44</v>
      </c>
      <c r="F453" s="53" t="s">
        <v>1612</v>
      </c>
      <c r="G453" s="53" t="s">
        <v>47</v>
      </c>
      <c r="H453" s="53" t="s">
        <v>95</v>
      </c>
      <c r="I453" s="53" t="s">
        <v>485</v>
      </c>
      <c r="J453" s="53" t="s">
        <v>1614</v>
      </c>
      <c r="K453" s="53" t="s">
        <v>1615</v>
      </c>
      <c r="L453" s="53" t="s">
        <v>52</v>
      </c>
      <c r="M453" s="53" t="s">
        <v>52</v>
      </c>
      <c r="N453" s="62" t="s">
        <v>2968</v>
      </c>
      <c r="O453" s="62" t="s">
        <v>44</v>
      </c>
      <c r="P453" s="62" t="s">
        <v>2970</v>
      </c>
      <c r="Q453" s="62" t="s">
        <v>2971</v>
      </c>
      <c r="R453" s="53"/>
      <c r="S453" s="53"/>
      <c r="T453" s="82"/>
      <c r="U453" s="42"/>
      <c r="V453" s="62"/>
      <c r="W453" s="64"/>
      <c r="X453" s="223"/>
      <c r="Y453" s="223"/>
      <c r="Z453" s="223"/>
      <c r="AA453" s="223"/>
    </row>
    <row r="454">
      <c r="A454" s="42">
        <f t="shared" si="3"/>
        <v>453</v>
      </c>
      <c r="B454" s="51" t="s">
        <v>41</v>
      </c>
      <c r="C454" s="53" t="s">
        <v>2972</v>
      </c>
      <c r="D454" s="42" t="s">
        <v>44</v>
      </c>
      <c r="E454" s="42" t="s">
        <v>44</v>
      </c>
      <c r="F454" s="53" t="s">
        <v>1612</v>
      </c>
      <c r="G454" s="53" t="s">
        <v>47</v>
      </c>
      <c r="H454" s="53" t="s">
        <v>48</v>
      </c>
      <c r="I454" s="53" t="s">
        <v>485</v>
      </c>
      <c r="J454" s="53" t="s">
        <v>1614</v>
      </c>
      <c r="K454" s="53" t="s">
        <v>1615</v>
      </c>
      <c r="L454" s="53" t="s">
        <v>52</v>
      </c>
      <c r="M454" s="53" t="s">
        <v>52</v>
      </c>
      <c r="N454" s="62" t="s">
        <v>2974</v>
      </c>
      <c r="O454" s="62" t="s">
        <v>44</v>
      </c>
      <c r="P454" s="62" t="s">
        <v>2976</v>
      </c>
      <c r="Q454" s="62" t="s">
        <v>2977</v>
      </c>
      <c r="R454" s="53"/>
      <c r="S454" s="53"/>
      <c r="T454" s="82"/>
      <c r="U454" s="42"/>
      <c r="V454" s="62"/>
      <c r="W454" s="64"/>
      <c r="X454" s="223"/>
      <c r="Y454" s="223"/>
      <c r="Z454" s="223"/>
      <c r="AA454" s="223"/>
    </row>
    <row r="455">
      <c r="A455" s="42">
        <f t="shared" si="3"/>
        <v>454</v>
      </c>
      <c r="B455" s="51" t="s">
        <v>41</v>
      </c>
      <c r="C455" s="53" t="s">
        <v>2978</v>
      </c>
      <c r="D455" s="42" t="s">
        <v>44</v>
      </c>
      <c r="E455" s="42" t="s">
        <v>44</v>
      </c>
      <c r="F455" s="53" t="s">
        <v>1612</v>
      </c>
      <c r="G455" s="53" t="s">
        <v>47</v>
      </c>
      <c r="H455" s="53" t="s">
        <v>48</v>
      </c>
      <c r="I455" s="53" t="s">
        <v>485</v>
      </c>
      <c r="J455" s="53" t="s">
        <v>1614</v>
      </c>
      <c r="K455" s="53" t="s">
        <v>1615</v>
      </c>
      <c r="L455" s="53" t="s">
        <v>52</v>
      </c>
      <c r="M455" s="53" t="s">
        <v>52</v>
      </c>
      <c r="N455" s="62" t="s">
        <v>2135</v>
      </c>
      <c r="O455" s="62" t="s">
        <v>44</v>
      </c>
      <c r="P455" s="62" t="s">
        <v>2981</v>
      </c>
      <c r="Q455" s="62" t="s">
        <v>2982</v>
      </c>
      <c r="R455" s="53"/>
      <c r="S455" s="53"/>
      <c r="T455" s="82"/>
      <c r="U455" s="42"/>
      <c r="V455" s="62"/>
      <c r="W455" s="64"/>
      <c r="X455" s="223"/>
      <c r="Y455" s="223"/>
      <c r="Z455" s="223"/>
      <c r="AA455" s="223"/>
    </row>
    <row r="456">
      <c r="A456" s="42">
        <f t="shared" si="3"/>
        <v>455</v>
      </c>
      <c r="B456" s="51" t="s">
        <v>41</v>
      </c>
      <c r="C456" s="53" t="s">
        <v>2983</v>
      </c>
      <c r="D456" s="42" t="s">
        <v>44</v>
      </c>
      <c r="E456" s="42" t="s">
        <v>44</v>
      </c>
      <c r="F456" s="53" t="s">
        <v>1612</v>
      </c>
      <c r="G456" s="53" t="s">
        <v>47</v>
      </c>
      <c r="H456" s="53" t="s">
        <v>95</v>
      </c>
      <c r="I456" s="53" t="s">
        <v>485</v>
      </c>
      <c r="J456" s="53" t="s">
        <v>1614</v>
      </c>
      <c r="K456" s="53" t="s">
        <v>1615</v>
      </c>
      <c r="L456" s="53" t="s">
        <v>52</v>
      </c>
      <c r="M456" s="53" t="s">
        <v>52</v>
      </c>
      <c r="N456" s="62" t="s">
        <v>2135</v>
      </c>
      <c r="O456" s="62" t="s">
        <v>44</v>
      </c>
      <c r="P456" s="62" t="s">
        <v>2986</v>
      </c>
      <c r="Q456" s="62" t="s">
        <v>2987</v>
      </c>
      <c r="R456" s="53"/>
      <c r="S456" s="53"/>
      <c r="T456" s="82"/>
      <c r="U456" s="42"/>
      <c r="V456" s="62"/>
      <c r="W456" s="64"/>
      <c r="X456" s="223"/>
      <c r="Y456" s="223"/>
      <c r="Z456" s="223"/>
      <c r="AA456" s="223"/>
    </row>
    <row r="457">
      <c r="A457" s="42">
        <f t="shared" si="3"/>
        <v>456</v>
      </c>
      <c r="B457" s="51" t="s">
        <v>41</v>
      </c>
      <c r="C457" s="53" t="s">
        <v>2988</v>
      </c>
      <c r="D457" s="42" t="s">
        <v>44</v>
      </c>
      <c r="E457" s="42" t="s">
        <v>44</v>
      </c>
      <c r="F457" s="53" t="s">
        <v>1612</v>
      </c>
      <c r="G457" s="53" t="s">
        <v>47</v>
      </c>
      <c r="H457" s="53" t="s">
        <v>95</v>
      </c>
      <c r="I457" s="53" t="s">
        <v>485</v>
      </c>
      <c r="J457" s="53" t="s">
        <v>1614</v>
      </c>
      <c r="K457" s="53" t="s">
        <v>1615</v>
      </c>
      <c r="L457" s="53" t="s">
        <v>52</v>
      </c>
      <c r="M457" s="53" t="s">
        <v>52</v>
      </c>
      <c r="N457" s="62" t="s">
        <v>2991</v>
      </c>
      <c r="O457" s="62" t="s">
        <v>44</v>
      </c>
      <c r="P457" s="62" t="s">
        <v>2992</v>
      </c>
      <c r="Q457" s="62" t="s">
        <v>2993</v>
      </c>
      <c r="R457" s="53"/>
      <c r="S457" s="53"/>
      <c r="T457" s="82"/>
      <c r="U457" s="42"/>
      <c r="V457" s="62"/>
      <c r="W457" s="64"/>
      <c r="X457" s="223"/>
      <c r="Y457" s="223"/>
      <c r="Z457" s="223"/>
      <c r="AA457" s="223"/>
    </row>
    <row r="458">
      <c r="A458" s="42">
        <f t="shared" si="3"/>
        <v>457</v>
      </c>
      <c r="B458" s="51" t="s">
        <v>41</v>
      </c>
      <c r="C458" s="53" t="s">
        <v>2996</v>
      </c>
      <c r="D458" s="42" t="s">
        <v>44</v>
      </c>
      <c r="E458" s="42" t="s">
        <v>44</v>
      </c>
      <c r="F458" s="53" t="s">
        <v>1612</v>
      </c>
      <c r="G458" s="53" t="s">
        <v>47</v>
      </c>
      <c r="H458" s="53" t="s">
        <v>48</v>
      </c>
      <c r="I458" s="53" t="s">
        <v>485</v>
      </c>
      <c r="J458" s="53" t="s">
        <v>1614</v>
      </c>
      <c r="K458" s="53" t="s">
        <v>1615</v>
      </c>
      <c r="L458" s="53" t="s">
        <v>52</v>
      </c>
      <c r="M458" s="53" t="s">
        <v>52</v>
      </c>
      <c r="N458" s="62" t="s">
        <v>2135</v>
      </c>
      <c r="O458" s="62" t="s">
        <v>44</v>
      </c>
      <c r="P458" s="62" t="s">
        <v>2997</v>
      </c>
      <c r="Q458" s="62" t="s">
        <v>2341</v>
      </c>
      <c r="R458" s="53"/>
      <c r="S458" s="53"/>
      <c r="T458" s="82"/>
      <c r="U458" s="42"/>
      <c r="V458" s="62"/>
      <c r="W458" s="64"/>
      <c r="X458" s="223"/>
      <c r="Y458" s="223"/>
      <c r="Z458" s="223"/>
      <c r="AA458" s="223"/>
    </row>
    <row r="459">
      <c r="A459" s="42">
        <f t="shared" si="3"/>
        <v>458</v>
      </c>
      <c r="B459" s="51" t="s">
        <v>41</v>
      </c>
      <c r="C459" s="53" t="s">
        <v>2998</v>
      </c>
      <c r="D459" s="42" t="s">
        <v>44</v>
      </c>
      <c r="E459" s="42" t="s">
        <v>44</v>
      </c>
      <c r="F459" s="53" t="s">
        <v>1612</v>
      </c>
      <c r="G459" s="53" t="s">
        <v>47</v>
      </c>
      <c r="H459" s="53" t="s">
        <v>48</v>
      </c>
      <c r="I459" s="53" t="s">
        <v>485</v>
      </c>
      <c r="J459" s="53" t="s">
        <v>1614</v>
      </c>
      <c r="K459" s="53" t="s">
        <v>1615</v>
      </c>
      <c r="L459" s="53" t="s">
        <v>52</v>
      </c>
      <c r="M459" s="53" t="s">
        <v>52</v>
      </c>
      <c r="N459" s="62" t="s">
        <v>1616</v>
      </c>
      <c r="O459" s="62" t="s">
        <v>44</v>
      </c>
      <c r="P459" s="62" t="s">
        <v>2999</v>
      </c>
      <c r="Q459" s="62" t="s">
        <v>3001</v>
      </c>
      <c r="R459" s="53"/>
      <c r="S459" s="53"/>
      <c r="T459" s="82"/>
      <c r="U459" s="53"/>
      <c r="V459" s="62"/>
      <c r="W459" s="64"/>
      <c r="X459" s="223"/>
      <c r="Y459" s="223"/>
      <c r="Z459" s="223"/>
      <c r="AA459" s="223"/>
    </row>
    <row r="460">
      <c r="A460" s="42">
        <f t="shared" si="3"/>
        <v>459</v>
      </c>
      <c r="B460" s="51" t="s">
        <v>41</v>
      </c>
      <c r="C460" s="53" t="s">
        <v>3003</v>
      </c>
      <c r="D460" s="42" t="s">
        <v>44</v>
      </c>
      <c r="E460" s="42" t="s">
        <v>44</v>
      </c>
      <c r="F460" s="53" t="s">
        <v>1612</v>
      </c>
      <c r="G460" s="53" t="s">
        <v>47</v>
      </c>
      <c r="H460" s="53" t="s">
        <v>48</v>
      </c>
      <c r="I460" s="53" t="s">
        <v>485</v>
      </c>
      <c r="J460" s="53" t="s">
        <v>1614</v>
      </c>
      <c r="K460" s="53" t="s">
        <v>1615</v>
      </c>
      <c r="L460" s="53" t="s">
        <v>52</v>
      </c>
      <c r="M460" s="53" t="s">
        <v>52</v>
      </c>
      <c r="N460" s="62" t="s">
        <v>3004</v>
      </c>
      <c r="O460" s="62" t="s">
        <v>44</v>
      </c>
      <c r="P460" s="62" t="s">
        <v>3006</v>
      </c>
      <c r="Q460" s="62" t="s">
        <v>3007</v>
      </c>
      <c r="R460" s="53"/>
      <c r="S460" s="53"/>
      <c r="T460" s="82"/>
      <c r="U460" s="42"/>
      <c r="V460" s="62"/>
      <c r="W460" s="140"/>
      <c r="X460" s="223"/>
      <c r="Y460" s="223"/>
      <c r="Z460" s="223"/>
      <c r="AA460" s="223"/>
    </row>
    <row r="461">
      <c r="A461" s="42">
        <f t="shared" si="3"/>
        <v>460</v>
      </c>
      <c r="B461" s="51" t="s">
        <v>41</v>
      </c>
      <c r="C461" s="53" t="s">
        <v>3009</v>
      </c>
      <c r="D461" s="42" t="s">
        <v>44</v>
      </c>
      <c r="E461" s="42" t="s">
        <v>44</v>
      </c>
      <c r="F461" s="53" t="s">
        <v>1612</v>
      </c>
      <c r="G461" s="53" t="s">
        <v>47</v>
      </c>
      <c r="H461" s="53" t="s">
        <v>48</v>
      </c>
      <c r="I461" s="53" t="s">
        <v>485</v>
      </c>
      <c r="J461" s="53" t="s">
        <v>1614</v>
      </c>
      <c r="K461" s="53" t="s">
        <v>1615</v>
      </c>
      <c r="L461" s="53" t="s">
        <v>52</v>
      </c>
      <c r="M461" s="53" t="s">
        <v>52</v>
      </c>
      <c r="N461" s="62" t="s">
        <v>3004</v>
      </c>
      <c r="O461" s="62" t="s">
        <v>44</v>
      </c>
      <c r="P461" s="62" t="s">
        <v>3011</v>
      </c>
      <c r="Q461" s="62" t="s">
        <v>3013</v>
      </c>
      <c r="R461" s="53"/>
      <c r="S461" s="53"/>
      <c r="T461" s="82"/>
      <c r="U461" s="42"/>
      <c r="V461" s="62"/>
      <c r="W461" s="64"/>
      <c r="X461" s="223"/>
      <c r="Y461" s="223"/>
      <c r="Z461" s="223"/>
      <c r="AA461" s="223"/>
    </row>
    <row r="462">
      <c r="A462" s="42">
        <f t="shared" si="3"/>
        <v>461</v>
      </c>
      <c r="B462" s="51" t="s">
        <v>41</v>
      </c>
      <c r="C462" s="53" t="s">
        <v>3014</v>
      </c>
      <c r="D462" s="42" t="s">
        <v>44</v>
      </c>
      <c r="E462" s="42" t="s">
        <v>44</v>
      </c>
      <c r="F462" s="53" t="s">
        <v>1612</v>
      </c>
      <c r="G462" s="53" t="s">
        <v>197</v>
      </c>
      <c r="H462" s="53" t="s">
        <v>112</v>
      </c>
      <c r="I462" s="53" t="s">
        <v>485</v>
      </c>
      <c r="J462" s="53" t="s">
        <v>1614</v>
      </c>
      <c r="K462" s="53" t="s">
        <v>1615</v>
      </c>
      <c r="L462" s="53" t="s">
        <v>52</v>
      </c>
      <c r="M462" s="53" t="s">
        <v>52</v>
      </c>
      <c r="N462" s="62" t="s">
        <v>3017</v>
      </c>
      <c r="O462" s="62" t="s">
        <v>44</v>
      </c>
      <c r="P462" s="62" t="s">
        <v>3006</v>
      </c>
      <c r="Q462" s="62" t="s">
        <v>3018</v>
      </c>
      <c r="R462" s="53"/>
      <c r="S462" s="53"/>
      <c r="T462" s="82"/>
      <c r="U462" s="42"/>
      <c r="V462" s="62"/>
      <c r="W462" s="140"/>
      <c r="X462" s="223"/>
      <c r="Y462" s="223"/>
      <c r="Z462" s="223"/>
      <c r="AA462" s="223"/>
    </row>
    <row r="463">
      <c r="A463" s="42">
        <f t="shared" si="3"/>
        <v>462</v>
      </c>
      <c r="B463" s="51" t="s">
        <v>41</v>
      </c>
      <c r="C463" s="53" t="s">
        <v>3019</v>
      </c>
      <c r="D463" s="42" t="s">
        <v>44</v>
      </c>
      <c r="E463" s="42" t="s">
        <v>44</v>
      </c>
      <c r="F463" s="53" t="s">
        <v>1612</v>
      </c>
      <c r="G463" s="53" t="s">
        <v>47</v>
      </c>
      <c r="H463" s="53" t="s">
        <v>48</v>
      </c>
      <c r="I463" s="53" t="s">
        <v>485</v>
      </c>
      <c r="J463" s="53" t="s">
        <v>1614</v>
      </c>
      <c r="K463" s="53" t="s">
        <v>1615</v>
      </c>
      <c r="L463" s="53" t="s">
        <v>52</v>
      </c>
      <c r="M463" s="53" t="s">
        <v>52</v>
      </c>
      <c r="N463" s="62" t="s">
        <v>1616</v>
      </c>
      <c r="O463" s="62" t="s">
        <v>44</v>
      </c>
      <c r="P463" s="62" t="s">
        <v>3022</v>
      </c>
      <c r="Q463" s="62" t="s">
        <v>3023</v>
      </c>
      <c r="R463" s="53"/>
      <c r="S463" s="53"/>
      <c r="T463" s="82"/>
      <c r="U463" s="42"/>
      <c r="V463" s="62"/>
      <c r="W463" s="140"/>
      <c r="X463" s="223"/>
      <c r="Y463" s="223"/>
      <c r="Z463" s="223"/>
      <c r="AA463" s="223"/>
    </row>
    <row r="464">
      <c r="A464" s="42">
        <f t="shared" si="3"/>
        <v>463</v>
      </c>
      <c r="B464" s="51" t="s">
        <v>41</v>
      </c>
      <c r="C464" s="53" t="s">
        <v>3025</v>
      </c>
      <c r="D464" s="42" t="s">
        <v>44</v>
      </c>
      <c r="E464" s="42" t="s">
        <v>44</v>
      </c>
      <c r="F464" s="53" t="s">
        <v>1612</v>
      </c>
      <c r="G464" s="53" t="s">
        <v>111</v>
      </c>
      <c r="H464" s="53" t="s">
        <v>91</v>
      </c>
      <c r="I464" s="53" t="s">
        <v>485</v>
      </c>
      <c r="J464" s="53" t="s">
        <v>1614</v>
      </c>
      <c r="K464" s="53" t="s">
        <v>1615</v>
      </c>
      <c r="L464" s="53" t="s">
        <v>52</v>
      </c>
      <c r="M464" s="53" t="s">
        <v>52</v>
      </c>
      <c r="N464" s="62" t="s">
        <v>1616</v>
      </c>
      <c r="O464" s="62" t="s">
        <v>44</v>
      </c>
      <c r="P464" s="62" t="s">
        <v>3027</v>
      </c>
      <c r="Q464" s="62" t="s">
        <v>3028</v>
      </c>
      <c r="R464" s="53"/>
      <c r="S464" s="53"/>
      <c r="T464" s="82"/>
      <c r="U464" s="42"/>
      <c r="V464" s="62"/>
      <c r="W464" s="140"/>
      <c r="X464" s="223"/>
      <c r="Y464" s="223"/>
      <c r="Z464" s="223"/>
      <c r="AA464" s="223"/>
    </row>
    <row r="465">
      <c r="A465" s="42">
        <f t="shared" si="3"/>
        <v>464</v>
      </c>
      <c r="B465" s="51" t="s">
        <v>41</v>
      </c>
      <c r="C465" s="53" t="s">
        <v>3029</v>
      </c>
      <c r="D465" s="42" t="s">
        <v>44</v>
      </c>
      <c r="E465" s="42" t="s">
        <v>44</v>
      </c>
      <c r="F465" s="53" t="s">
        <v>1612</v>
      </c>
      <c r="G465" s="53" t="s">
        <v>47</v>
      </c>
      <c r="H465" s="53" t="s">
        <v>48</v>
      </c>
      <c r="I465" s="53" t="s">
        <v>485</v>
      </c>
      <c r="J465" s="53" t="s">
        <v>1614</v>
      </c>
      <c r="K465" s="53" t="s">
        <v>1615</v>
      </c>
      <c r="L465" s="53" t="s">
        <v>52</v>
      </c>
      <c r="M465" s="53" t="s">
        <v>52</v>
      </c>
      <c r="N465" s="62" t="s">
        <v>3032</v>
      </c>
      <c r="O465" s="62" t="s">
        <v>44</v>
      </c>
      <c r="P465" s="62" t="s">
        <v>3033</v>
      </c>
      <c r="Q465" s="62" t="s">
        <v>3034</v>
      </c>
      <c r="R465" s="53"/>
      <c r="S465" s="53"/>
      <c r="T465" s="82"/>
      <c r="U465" s="42"/>
      <c r="V465" s="62"/>
      <c r="W465" s="140"/>
      <c r="X465" s="223"/>
      <c r="Y465" s="223"/>
      <c r="Z465" s="223"/>
      <c r="AA465" s="223"/>
    </row>
    <row r="466">
      <c r="A466" s="42">
        <f t="shared" si="3"/>
        <v>465</v>
      </c>
      <c r="B466" s="51" t="s">
        <v>41</v>
      </c>
      <c r="C466" s="53" t="s">
        <v>3036</v>
      </c>
      <c r="D466" s="42" t="s">
        <v>44</v>
      </c>
      <c r="E466" s="42" t="s">
        <v>44</v>
      </c>
      <c r="F466" s="53" t="s">
        <v>1612</v>
      </c>
      <c r="G466" s="53" t="s">
        <v>47</v>
      </c>
      <c r="H466" s="53" t="s">
        <v>48</v>
      </c>
      <c r="I466" s="53" t="s">
        <v>485</v>
      </c>
      <c r="J466" s="53" t="s">
        <v>1614</v>
      </c>
      <c r="K466" s="53" t="s">
        <v>1615</v>
      </c>
      <c r="L466" s="53" t="s">
        <v>52</v>
      </c>
      <c r="M466" s="53" t="s">
        <v>52</v>
      </c>
      <c r="N466" s="62" t="s">
        <v>1616</v>
      </c>
      <c r="O466" s="62" t="s">
        <v>44</v>
      </c>
      <c r="P466" s="62" t="s">
        <v>3038</v>
      </c>
      <c r="Q466" s="62" t="s">
        <v>3039</v>
      </c>
      <c r="R466" s="53"/>
      <c r="S466" s="53"/>
      <c r="T466" s="82"/>
      <c r="U466" s="42"/>
      <c r="V466" s="62"/>
      <c r="W466" s="140"/>
      <c r="X466" s="223"/>
      <c r="Y466" s="223"/>
      <c r="Z466" s="223"/>
      <c r="AA466" s="223"/>
    </row>
    <row r="467">
      <c r="A467" s="42">
        <f t="shared" si="3"/>
        <v>466</v>
      </c>
      <c r="B467" s="51" t="s">
        <v>41</v>
      </c>
      <c r="C467" s="53" t="s">
        <v>3041</v>
      </c>
      <c r="D467" s="42" t="s">
        <v>44</v>
      </c>
      <c r="E467" s="42" t="s">
        <v>44</v>
      </c>
      <c r="F467" s="53" t="s">
        <v>1612</v>
      </c>
      <c r="G467" s="53" t="s">
        <v>47</v>
      </c>
      <c r="H467" s="53" t="s">
        <v>48</v>
      </c>
      <c r="I467" s="53" t="s">
        <v>485</v>
      </c>
      <c r="J467" s="53" t="s">
        <v>1614</v>
      </c>
      <c r="K467" s="53" t="s">
        <v>1615</v>
      </c>
      <c r="L467" s="53" t="s">
        <v>52</v>
      </c>
      <c r="M467" s="53" t="s">
        <v>52</v>
      </c>
      <c r="N467" s="62" t="s">
        <v>3032</v>
      </c>
      <c r="O467" s="62" t="s">
        <v>44</v>
      </c>
      <c r="P467" s="62" t="s">
        <v>3043</v>
      </c>
      <c r="Q467" s="62" t="s">
        <v>3044</v>
      </c>
      <c r="R467" s="53"/>
      <c r="S467" s="53"/>
      <c r="T467" s="82"/>
      <c r="U467" s="53"/>
      <c r="V467" s="62"/>
      <c r="W467" s="140"/>
      <c r="X467" s="223"/>
      <c r="Y467" s="223"/>
      <c r="Z467" s="223"/>
      <c r="AA467" s="223"/>
    </row>
    <row r="468">
      <c r="A468" s="42">
        <f t="shared" si="3"/>
        <v>467</v>
      </c>
      <c r="B468" s="51" t="s">
        <v>41</v>
      </c>
      <c r="C468" s="53" t="s">
        <v>3046</v>
      </c>
      <c r="D468" s="42" t="s">
        <v>44</v>
      </c>
      <c r="E468" s="42" t="s">
        <v>44</v>
      </c>
      <c r="F468" s="53" t="s">
        <v>1612</v>
      </c>
      <c r="G468" s="53" t="s">
        <v>47</v>
      </c>
      <c r="H468" s="53" t="s">
        <v>48</v>
      </c>
      <c r="I468" s="53" t="s">
        <v>485</v>
      </c>
      <c r="J468" s="53" t="s">
        <v>1614</v>
      </c>
      <c r="K468" s="53" t="s">
        <v>1615</v>
      </c>
      <c r="L468" s="53" t="s">
        <v>52</v>
      </c>
      <c r="M468" s="53" t="s">
        <v>52</v>
      </c>
      <c r="N468" s="62" t="s">
        <v>3032</v>
      </c>
      <c r="O468" s="62" t="s">
        <v>44</v>
      </c>
      <c r="P468" s="62" t="s">
        <v>3048</v>
      </c>
      <c r="Q468" s="62" t="s">
        <v>3049</v>
      </c>
      <c r="R468" s="53"/>
      <c r="S468" s="53"/>
      <c r="T468" s="82"/>
      <c r="U468" s="53"/>
      <c r="V468" s="62"/>
      <c r="W468" s="140"/>
      <c r="X468" s="223"/>
      <c r="Y468" s="223"/>
      <c r="Z468" s="223"/>
      <c r="AA468" s="223"/>
    </row>
    <row r="469">
      <c r="A469" s="42">
        <f t="shared" si="3"/>
        <v>468</v>
      </c>
      <c r="B469" s="51" t="s">
        <v>41</v>
      </c>
      <c r="C469" s="53" t="s">
        <v>3051</v>
      </c>
      <c r="D469" s="42" t="s">
        <v>44</v>
      </c>
      <c r="E469" s="42" t="s">
        <v>44</v>
      </c>
      <c r="F469" s="53" t="s">
        <v>1612</v>
      </c>
      <c r="G469" s="53" t="s">
        <v>47</v>
      </c>
      <c r="H469" s="53" t="s">
        <v>48</v>
      </c>
      <c r="I469" s="53" t="s">
        <v>485</v>
      </c>
      <c r="J469" s="53" t="s">
        <v>1614</v>
      </c>
      <c r="K469" s="53" t="s">
        <v>1615</v>
      </c>
      <c r="L469" s="53" t="s">
        <v>52</v>
      </c>
      <c r="M469" s="53" t="s">
        <v>52</v>
      </c>
      <c r="N469" s="62" t="s">
        <v>3053</v>
      </c>
      <c r="O469" s="62" t="s">
        <v>44</v>
      </c>
      <c r="P469" s="62" t="s">
        <v>3054</v>
      </c>
      <c r="Q469" s="62" t="s">
        <v>3055</v>
      </c>
      <c r="R469" s="53"/>
      <c r="S469" s="53"/>
      <c r="T469" s="82"/>
      <c r="U469" s="42"/>
      <c r="V469" s="62"/>
      <c r="W469" s="64"/>
      <c r="X469" s="223"/>
      <c r="Y469" s="223"/>
      <c r="Z469" s="223"/>
      <c r="AA469" s="223"/>
    </row>
    <row r="470">
      <c r="A470" s="42">
        <f t="shared" si="3"/>
        <v>469</v>
      </c>
      <c r="B470" s="51" t="s">
        <v>41</v>
      </c>
      <c r="C470" s="53" t="s">
        <v>3058</v>
      </c>
      <c r="D470" s="42" t="s">
        <v>44</v>
      </c>
      <c r="E470" s="42" t="s">
        <v>44</v>
      </c>
      <c r="F470" s="53" t="s">
        <v>1612</v>
      </c>
      <c r="G470" s="53" t="s">
        <v>47</v>
      </c>
      <c r="H470" s="53" t="s">
        <v>91</v>
      </c>
      <c r="I470" s="53" t="s">
        <v>485</v>
      </c>
      <c r="J470" s="53" t="s">
        <v>1614</v>
      </c>
      <c r="K470" s="53" t="s">
        <v>1615</v>
      </c>
      <c r="L470" s="53" t="s">
        <v>52</v>
      </c>
      <c r="M470" s="53" t="s">
        <v>52</v>
      </c>
      <c r="N470" s="62" t="s">
        <v>3053</v>
      </c>
      <c r="O470" s="62" t="s">
        <v>44</v>
      </c>
      <c r="P470" s="62" t="s">
        <v>3059</v>
      </c>
      <c r="Q470" s="62" t="s">
        <v>3060</v>
      </c>
      <c r="R470" s="53"/>
      <c r="S470" s="53"/>
      <c r="T470" s="82"/>
      <c r="U470" s="42"/>
      <c r="V470" s="62"/>
      <c r="W470" s="64"/>
      <c r="X470" s="223"/>
      <c r="Y470" s="223"/>
      <c r="Z470" s="223"/>
      <c r="AA470" s="223"/>
    </row>
    <row r="471">
      <c r="A471" s="42">
        <f t="shared" si="3"/>
        <v>470</v>
      </c>
      <c r="B471" s="51" t="s">
        <v>41</v>
      </c>
      <c r="C471" s="53" t="s">
        <v>3063</v>
      </c>
      <c r="D471" s="42" t="s">
        <v>44</v>
      </c>
      <c r="E471" s="42" t="s">
        <v>44</v>
      </c>
      <c r="F471" s="53" t="s">
        <v>1612</v>
      </c>
      <c r="G471" s="53" t="s">
        <v>47</v>
      </c>
      <c r="H471" s="53" t="s">
        <v>95</v>
      </c>
      <c r="I471" s="53" t="s">
        <v>485</v>
      </c>
      <c r="J471" s="53" t="s">
        <v>1614</v>
      </c>
      <c r="K471" s="53" t="s">
        <v>1615</v>
      </c>
      <c r="L471" s="53" t="s">
        <v>52</v>
      </c>
      <c r="M471" s="53" t="s">
        <v>52</v>
      </c>
      <c r="N471" s="62" t="s">
        <v>3064</v>
      </c>
      <c r="O471" s="62" t="s">
        <v>44</v>
      </c>
      <c r="P471" s="62" t="s">
        <v>3065</v>
      </c>
      <c r="Q471" s="62" t="s">
        <v>3066</v>
      </c>
      <c r="R471" s="53"/>
      <c r="S471" s="53"/>
      <c r="T471" s="82"/>
      <c r="U471" s="42"/>
      <c r="V471" s="62"/>
      <c r="W471" s="64"/>
      <c r="X471" s="223"/>
      <c r="Y471" s="223"/>
      <c r="Z471" s="223"/>
      <c r="AA471" s="223"/>
    </row>
    <row r="472">
      <c r="A472" s="42">
        <f t="shared" si="3"/>
        <v>471</v>
      </c>
      <c r="B472" s="51" t="s">
        <v>41</v>
      </c>
      <c r="C472" s="53" t="s">
        <v>3069</v>
      </c>
      <c r="D472" s="42" t="s">
        <v>44</v>
      </c>
      <c r="E472" s="42" t="s">
        <v>44</v>
      </c>
      <c r="F472" s="53" t="s">
        <v>1612</v>
      </c>
      <c r="G472" s="53" t="s">
        <v>47</v>
      </c>
      <c r="H472" s="53" t="s">
        <v>48</v>
      </c>
      <c r="I472" s="53" t="s">
        <v>485</v>
      </c>
      <c r="J472" s="53" t="s">
        <v>1614</v>
      </c>
      <c r="K472" s="53" t="s">
        <v>1615</v>
      </c>
      <c r="L472" s="53" t="s">
        <v>52</v>
      </c>
      <c r="M472" s="53" t="s">
        <v>52</v>
      </c>
      <c r="N472" s="62" t="s">
        <v>3070</v>
      </c>
      <c r="O472" s="62" t="s">
        <v>44</v>
      </c>
      <c r="P472" s="62" t="s">
        <v>3071</v>
      </c>
      <c r="Q472" s="62" t="s">
        <v>3072</v>
      </c>
      <c r="R472" s="53"/>
      <c r="S472" s="53"/>
      <c r="T472" s="82"/>
      <c r="U472" s="42"/>
      <c r="V472" s="62"/>
      <c r="W472" s="64"/>
      <c r="X472" s="223"/>
      <c r="Y472" s="223"/>
      <c r="Z472" s="223"/>
      <c r="AA472" s="223"/>
    </row>
    <row r="473">
      <c r="A473" s="42">
        <f t="shared" si="3"/>
        <v>472</v>
      </c>
      <c r="B473" s="51" t="s">
        <v>41</v>
      </c>
      <c r="C473" s="53" t="s">
        <v>3075</v>
      </c>
      <c r="D473" s="42" t="s">
        <v>44</v>
      </c>
      <c r="E473" s="42" t="s">
        <v>44</v>
      </c>
      <c r="F473" s="53" t="s">
        <v>1612</v>
      </c>
      <c r="G473" s="53" t="s">
        <v>47</v>
      </c>
      <c r="H473" s="53" t="s">
        <v>48</v>
      </c>
      <c r="I473" s="53" t="s">
        <v>485</v>
      </c>
      <c r="J473" s="53" t="s">
        <v>1614</v>
      </c>
      <c r="K473" s="53" t="s">
        <v>1615</v>
      </c>
      <c r="L473" s="53" t="s">
        <v>52</v>
      </c>
      <c r="M473" s="53" t="s">
        <v>52</v>
      </c>
      <c r="N473" s="62" t="s">
        <v>3032</v>
      </c>
      <c r="O473" s="62" t="s">
        <v>44</v>
      </c>
      <c r="P473" s="62" t="s">
        <v>3076</v>
      </c>
      <c r="Q473" s="62" t="s">
        <v>3077</v>
      </c>
      <c r="R473" s="53"/>
      <c r="S473" s="53"/>
      <c r="T473" s="82"/>
      <c r="U473" s="53"/>
      <c r="V473" s="62"/>
      <c r="W473" s="64"/>
      <c r="X473" s="223"/>
      <c r="Y473" s="223"/>
      <c r="Z473" s="223"/>
      <c r="AA473" s="223"/>
    </row>
    <row r="474">
      <c r="A474" s="42">
        <f t="shared" si="3"/>
        <v>473</v>
      </c>
      <c r="B474" s="51" t="s">
        <v>41</v>
      </c>
      <c r="C474" s="53" t="s">
        <v>3081</v>
      </c>
      <c r="D474" s="42" t="s">
        <v>44</v>
      </c>
      <c r="E474" s="42" t="s">
        <v>44</v>
      </c>
      <c r="F474" s="53" t="s">
        <v>1612</v>
      </c>
      <c r="G474" s="53" t="s">
        <v>47</v>
      </c>
      <c r="H474" s="53" t="s">
        <v>48</v>
      </c>
      <c r="I474" s="53" t="s">
        <v>485</v>
      </c>
      <c r="J474" s="53" t="s">
        <v>1614</v>
      </c>
      <c r="K474" s="53" t="s">
        <v>1615</v>
      </c>
      <c r="L474" s="53" t="s">
        <v>52</v>
      </c>
      <c r="M474" s="53" t="s">
        <v>52</v>
      </c>
      <c r="N474" s="62" t="s">
        <v>3082</v>
      </c>
      <c r="O474" s="62" t="s">
        <v>44</v>
      </c>
      <c r="P474" s="62" t="s">
        <v>3083</v>
      </c>
      <c r="Q474" s="62" t="s">
        <v>3084</v>
      </c>
      <c r="R474" s="53"/>
      <c r="S474" s="53"/>
      <c r="T474" s="82"/>
      <c r="U474" s="53"/>
      <c r="V474" s="62"/>
      <c r="W474" s="64"/>
      <c r="X474" s="223"/>
      <c r="Y474" s="223"/>
      <c r="Z474" s="223"/>
      <c r="AA474" s="223"/>
    </row>
    <row r="475">
      <c r="A475" s="42">
        <f t="shared" si="3"/>
        <v>474</v>
      </c>
      <c r="B475" s="51" t="s">
        <v>41</v>
      </c>
      <c r="C475" s="53" t="s">
        <v>3088</v>
      </c>
      <c r="D475" s="42" t="s">
        <v>44</v>
      </c>
      <c r="E475" s="42" t="s">
        <v>44</v>
      </c>
      <c r="F475" s="53" t="s">
        <v>1612</v>
      </c>
      <c r="G475" s="53" t="s">
        <v>47</v>
      </c>
      <c r="H475" s="53" t="s">
        <v>95</v>
      </c>
      <c r="I475" s="53" t="s">
        <v>485</v>
      </c>
      <c r="J475" s="53" t="s">
        <v>1614</v>
      </c>
      <c r="K475" s="53" t="s">
        <v>1615</v>
      </c>
      <c r="L475" s="53" t="s">
        <v>52</v>
      </c>
      <c r="M475" s="53" t="s">
        <v>52</v>
      </c>
      <c r="N475" s="62" t="s">
        <v>3089</v>
      </c>
      <c r="O475" s="62" t="s">
        <v>44</v>
      </c>
      <c r="P475" s="62" t="s">
        <v>3090</v>
      </c>
      <c r="Q475" s="62" t="s">
        <v>3091</v>
      </c>
      <c r="R475" s="53"/>
      <c r="S475" s="53"/>
      <c r="T475" s="82"/>
      <c r="U475" s="53"/>
      <c r="V475" s="62"/>
      <c r="W475" s="64"/>
      <c r="X475" s="223"/>
      <c r="Y475" s="223"/>
      <c r="Z475" s="223"/>
      <c r="AA475" s="223"/>
    </row>
    <row r="476">
      <c r="A476" s="42">
        <f t="shared" si="3"/>
        <v>475</v>
      </c>
      <c r="B476" s="51" t="s">
        <v>41</v>
      </c>
      <c r="C476" s="53" t="s">
        <v>3094</v>
      </c>
      <c r="D476" s="42" t="s">
        <v>44</v>
      </c>
      <c r="E476" s="42" t="s">
        <v>44</v>
      </c>
      <c r="F476" s="53" t="s">
        <v>1612</v>
      </c>
      <c r="G476" s="53" t="s">
        <v>47</v>
      </c>
      <c r="H476" s="53" t="s">
        <v>95</v>
      </c>
      <c r="I476" s="53" t="s">
        <v>485</v>
      </c>
      <c r="J476" s="53" t="s">
        <v>1614</v>
      </c>
      <c r="K476" s="53" t="s">
        <v>1615</v>
      </c>
      <c r="L476" s="53" t="s">
        <v>52</v>
      </c>
      <c r="M476" s="53" t="s">
        <v>52</v>
      </c>
      <c r="N476" s="62" t="s">
        <v>3095</v>
      </c>
      <c r="O476" s="62" t="s">
        <v>44</v>
      </c>
      <c r="P476" s="62" t="s">
        <v>3096</v>
      </c>
      <c r="Q476" s="62" t="s">
        <v>3097</v>
      </c>
      <c r="R476" s="53"/>
      <c r="S476" s="53"/>
      <c r="T476" s="82"/>
      <c r="U476" s="42"/>
      <c r="V476" s="62"/>
      <c r="W476" s="64"/>
      <c r="X476" s="223"/>
      <c r="Y476" s="223"/>
      <c r="Z476" s="223"/>
      <c r="AA476" s="223"/>
    </row>
    <row r="477">
      <c r="A477" s="42">
        <f t="shared" si="3"/>
        <v>476</v>
      </c>
      <c r="B477" s="51" t="s">
        <v>41</v>
      </c>
      <c r="C477" s="53" t="s">
        <v>3100</v>
      </c>
      <c r="D477" s="42" t="s">
        <v>44</v>
      </c>
      <c r="E477" s="42" t="s">
        <v>44</v>
      </c>
      <c r="F477" s="53" t="s">
        <v>1612</v>
      </c>
      <c r="G477" s="53" t="s">
        <v>47</v>
      </c>
      <c r="H477" s="53" t="s">
        <v>48</v>
      </c>
      <c r="I477" s="53" t="s">
        <v>485</v>
      </c>
      <c r="J477" s="53" t="s">
        <v>1614</v>
      </c>
      <c r="K477" s="53" t="s">
        <v>1615</v>
      </c>
      <c r="L477" s="53" t="s">
        <v>52</v>
      </c>
      <c r="M477" s="53" t="s">
        <v>52</v>
      </c>
      <c r="N477" s="62" t="s">
        <v>3032</v>
      </c>
      <c r="O477" s="62" t="s">
        <v>44</v>
      </c>
      <c r="P477" s="62" t="s">
        <v>3103</v>
      </c>
      <c r="Q477" s="62" t="s">
        <v>3104</v>
      </c>
      <c r="R477" s="53"/>
      <c r="S477" s="53"/>
      <c r="T477" s="82"/>
      <c r="U477" s="42"/>
      <c r="V477" s="62"/>
      <c r="W477" s="64"/>
      <c r="X477" s="223"/>
      <c r="Y477" s="223"/>
      <c r="Z477" s="223"/>
      <c r="AA477" s="223"/>
    </row>
    <row r="478">
      <c r="A478" s="42">
        <f t="shared" si="3"/>
        <v>477</v>
      </c>
      <c r="B478" s="51" t="s">
        <v>41</v>
      </c>
      <c r="C478" s="53" t="s">
        <v>3105</v>
      </c>
      <c r="D478" s="42" t="s">
        <v>44</v>
      </c>
      <c r="E478" s="42" t="s">
        <v>44</v>
      </c>
      <c r="F478" s="53" t="s">
        <v>1612</v>
      </c>
      <c r="G478" s="53" t="s">
        <v>47</v>
      </c>
      <c r="H478" s="53" t="s">
        <v>48</v>
      </c>
      <c r="I478" s="53" t="s">
        <v>485</v>
      </c>
      <c r="J478" s="53" t="s">
        <v>1614</v>
      </c>
      <c r="K478" s="53" t="s">
        <v>1615</v>
      </c>
      <c r="L478" s="53" t="s">
        <v>52</v>
      </c>
      <c r="M478" s="53" t="s">
        <v>52</v>
      </c>
      <c r="N478" s="62" t="s">
        <v>3108</v>
      </c>
      <c r="O478" s="62" t="s">
        <v>44</v>
      </c>
      <c r="P478" s="62" t="s">
        <v>3109</v>
      </c>
      <c r="Q478" s="62" t="s">
        <v>3110</v>
      </c>
      <c r="R478" s="53"/>
      <c r="S478" s="53"/>
      <c r="T478" s="82"/>
      <c r="U478" s="42"/>
      <c r="V478" s="62"/>
      <c r="W478" s="64"/>
      <c r="X478" s="223"/>
      <c r="Y478" s="223"/>
      <c r="Z478" s="223"/>
      <c r="AA478" s="223"/>
    </row>
    <row r="479">
      <c r="A479" s="42">
        <f t="shared" si="3"/>
        <v>478</v>
      </c>
      <c r="B479" s="51" t="s">
        <v>41</v>
      </c>
      <c r="C479" s="53" t="s">
        <v>3111</v>
      </c>
      <c r="D479" s="42" t="s">
        <v>44</v>
      </c>
      <c r="E479" s="42" t="s">
        <v>44</v>
      </c>
      <c r="F479" s="53" t="s">
        <v>1612</v>
      </c>
      <c r="G479" s="53" t="s">
        <v>47</v>
      </c>
      <c r="H479" s="53" t="s">
        <v>48</v>
      </c>
      <c r="I479" s="53" t="s">
        <v>485</v>
      </c>
      <c r="J479" s="53" t="s">
        <v>1614</v>
      </c>
      <c r="K479" s="53" t="s">
        <v>1615</v>
      </c>
      <c r="L479" s="53" t="s">
        <v>52</v>
      </c>
      <c r="M479" s="53" t="s">
        <v>52</v>
      </c>
      <c r="N479" s="62" t="s">
        <v>3114</v>
      </c>
      <c r="O479" s="62" t="s">
        <v>44</v>
      </c>
      <c r="P479" s="62" t="s">
        <v>3115</v>
      </c>
      <c r="Q479" s="62" t="s">
        <v>3116</v>
      </c>
      <c r="R479" s="53"/>
      <c r="S479" s="53"/>
      <c r="T479" s="82"/>
      <c r="U479" s="42"/>
      <c r="V479" s="62"/>
      <c r="W479" s="64"/>
      <c r="X479" s="223"/>
      <c r="Y479" s="223"/>
      <c r="Z479" s="223"/>
      <c r="AA479" s="223"/>
    </row>
    <row r="480">
      <c r="A480" s="42">
        <f t="shared" si="3"/>
        <v>479</v>
      </c>
      <c r="B480" s="51" t="s">
        <v>41</v>
      </c>
      <c r="C480" s="53" t="s">
        <v>3117</v>
      </c>
      <c r="D480" s="42" t="s">
        <v>44</v>
      </c>
      <c r="E480" s="42" t="s">
        <v>44</v>
      </c>
      <c r="F480" s="53" t="s">
        <v>1612</v>
      </c>
      <c r="G480" s="53" t="s">
        <v>47</v>
      </c>
      <c r="H480" s="53" t="s">
        <v>48</v>
      </c>
      <c r="I480" s="53" t="s">
        <v>485</v>
      </c>
      <c r="J480" s="53" t="s">
        <v>1614</v>
      </c>
      <c r="K480" s="53" t="s">
        <v>1615</v>
      </c>
      <c r="L480" s="53" t="s">
        <v>52</v>
      </c>
      <c r="M480" s="53" t="s">
        <v>52</v>
      </c>
      <c r="N480" s="62" t="s">
        <v>3032</v>
      </c>
      <c r="O480" s="62" t="s">
        <v>44</v>
      </c>
      <c r="P480" s="62" t="s">
        <v>3120</v>
      </c>
      <c r="Q480" s="62" t="s">
        <v>3121</v>
      </c>
      <c r="R480" s="53"/>
      <c r="S480" s="53"/>
      <c r="T480" s="82"/>
      <c r="U480" s="42"/>
      <c r="V480" s="62"/>
      <c r="W480" s="64"/>
      <c r="X480" s="223"/>
      <c r="Y480" s="223"/>
      <c r="Z480" s="223"/>
      <c r="AA480" s="223"/>
    </row>
    <row r="481">
      <c r="A481" s="42">
        <f t="shared" si="3"/>
        <v>480</v>
      </c>
      <c r="B481" s="51" t="s">
        <v>41</v>
      </c>
      <c r="C481" s="53" t="s">
        <v>3122</v>
      </c>
      <c r="D481" s="42" t="s">
        <v>44</v>
      </c>
      <c r="E481" s="42" t="s">
        <v>44</v>
      </c>
      <c r="F481" s="53" t="s">
        <v>1612</v>
      </c>
      <c r="G481" s="53" t="s">
        <v>47</v>
      </c>
      <c r="H481" s="53" t="s">
        <v>48</v>
      </c>
      <c r="I481" s="53" t="s">
        <v>485</v>
      </c>
      <c r="J481" s="53" t="s">
        <v>1614</v>
      </c>
      <c r="K481" s="53" t="s">
        <v>1615</v>
      </c>
      <c r="L481" s="53" t="s">
        <v>52</v>
      </c>
      <c r="M481" s="53" t="s">
        <v>52</v>
      </c>
      <c r="N481" s="62" t="s">
        <v>3032</v>
      </c>
      <c r="O481" s="62" t="s">
        <v>44</v>
      </c>
      <c r="P481" s="62" t="s">
        <v>3125</v>
      </c>
      <c r="Q481" s="62" t="s">
        <v>2341</v>
      </c>
      <c r="R481" s="53"/>
      <c r="S481" s="53"/>
      <c r="T481" s="82"/>
      <c r="U481" s="42"/>
      <c r="V481" s="62"/>
      <c r="W481" s="64"/>
      <c r="X481" s="223"/>
      <c r="Y481" s="223"/>
      <c r="Z481" s="223"/>
      <c r="AA481" s="223"/>
    </row>
    <row r="482">
      <c r="A482" s="42">
        <f t="shared" si="3"/>
        <v>481</v>
      </c>
      <c r="B482" s="51" t="s">
        <v>41</v>
      </c>
      <c r="C482" s="53" t="s">
        <v>3126</v>
      </c>
      <c r="D482" s="42" t="s">
        <v>44</v>
      </c>
      <c r="E482" s="42" t="s">
        <v>44</v>
      </c>
      <c r="F482" s="53" t="s">
        <v>1612</v>
      </c>
      <c r="G482" s="53" t="s">
        <v>47</v>
      </c>
      <c r="H482" s="53" t="s">
        <v>48</v>
      </c>
      <c r="I482" s="53" t="s">
        <v>485</v>
      </c>
      <c r="J482" s="53" t="s">
        <v>1614</v>
      </c>
      <c r="K482" s="53" t="s">
        <v>1615</v>
      </c>
      <c r="L482" s="53" t="s">
        <v>52</v>
      </c>
      <c r="M482" s="53" t="s">
        <v>52</v>
      </c>
      <c r="N482" s="62" t="s">
        <v>3032</v>
      </c>
      <c r="O482" s="62" t="s">
        <v>44</v>
      </c>
      <c r="P482" s="62" t="s">
        <v>3129</v>
      </c>
      <c r="Q482" s="62" t="s">
        <v>3130</v>
      </c>
      <c r="R482" s="53"/>
      <c r="S482" s="53"/>
      <c r="T482" s="82"/>
      <c r="U482" s="42"/>
      <c r="V482" s="62"/>
      <c r="W482" s="64"/>
      <c r="X482" s="223"/>
      <c r="Y482" s="223"/>
      <c r="Z482" s="223"/>
      <c r="AA482" s="223"/>
    </row>
    <row r="483">
      <c r="A483" s="42">
        <f t="shared" si="3"/>
        <v>482</v>
      </c>
      <c r="B483" s="51" t="s">
        <v>41</v>
      </c>
      <c r="C483" s="53" t="s">
        <v>3131</v>
      </c>
      <c r="D483" s="42" t="s">
        <v>44</v>
      </c>
      <c r="E483" s="42" t="s">
        <v>44</v>
      </c>
      <c r="F483" s="53" t="s">
        <v>1612</v>
      </c>
      <c r="G483" s="53" t="s">
        <v>47</v>
      </c>
      <c r="H483" s="53" t="s">
        <v>48</v>
      </c>
      <c r="I483" s="53" t="s">
        <v>485</v>
      </c>
      <c r="J483" s="53" t="s">
        <v>1614</v>
      </c>
      <c r="K483" s="53" t="s">
        <v>1615</v>
      </c>
      <c r="L483" s="53" t="s">
        <v>52</v>
      </c>
      <c r="M483" s="53" t="s">
        <v>52</v>
      </c>
      <c r="N483" s="62" t="s">
        <v>3032</v>
      </c>
      <c r="O483" s="62" t="s">
        <v>44</v>
      </c>
      <c r="P483" s="62" t="s">
        <v>3134</v>
      </c>
      <c r="Q483" s="62" t="s">
        <v>3135</v>
      </c>
      <c r="R483" s="53"/>
      <c r="S483" s="53"/>
      <c r="T483" s="82"/>
      <c r="U483" s="42"/>
      <c r="V483" s="62"/>
      <c r="W483" s="64"/>
      <c r="X483" s="223"/>
      <c r="Y483" s="223"/>
      <c r="Z483" s="223"/>
      <c r="AA483" s="223"/>
    </row>
    <row r="484">
      <c r="A484" s="42">
        <f t="shared" si="3"/>
        <v>483</v>
      </c>
      <c r="B484" s="51" t="s">
        <v>41</v>
      </c>
      <c r="C484" s="53" t="s">
        <v>3136</v>
      </c>
      <c r="D484" s="42" t="s">
        <v>44</v>
      </c>
      <c r="E484" s="42" t="s">
        <v>44</v>
      </c>
      <c r="F484" s="53" t="s">
        <v>1612</v>
      </c>
      <c r="G484" s="53" t="s">
        <v>47</v>
      </c>
      <c r="H484" s="53" t="s">
        <v>48</v>
      </c>
      <c r="I484" s="53" t="s">
        <v>485</v>
      </c>
      <c r="J484" s="53" t="s">
        <v>1614</v>
      </c>
      <c r="K484" s="53" t="s">
        <v>1615</v>
      </c>
      <c r="L484" s="53" t="s">
        <v>52</v>
      </c>
      <c r="M484" s="53" t="s">
        <v>52</v>
      </c>
      <c r="N484" s="62" t="s">
        <v>3032</v>
      </c>
      <c r="O484" s="62" t="s">
        <v>44</v>
      </c>
      <c r="P484" s="62" t="s">
        <v>3139</v>
      </c>
      <c r="Q484" s="62" t="s">
        <v>3140</v>
      </c>
      <c r="R484" s="53"/>
      <c r="S484" s="53"/>
      <c r="T484" s="82"/>
      <c r="U484" s="42"/>
      <c r="V484" s="62"/>
      <c r="W484" s="64"/>
      <c r="X484" s="223"/>
      <c r="Y484" s="223"/>
      <c r="Z484" s="223"/>
      <c r="AA484" s="223"/>
    </row>
    <row r="485">
      <c r="A485" s="42">
        <f t="shared" si="3"/>
        <v>484</v>
      </c>
      <c r="B485" s="51" t="s">
        <v>41</v>
      </c>
      <c r="C485" s="53" t="s">
        <v>3142</v>
      </c>
      <c r="D485" s="42" t="s">
        <v>44</v>
      </c>
      <c r="E485" s="42" t="s">
        <v>44</v>
      </c>
      <c r="F485" s="53" t="s">
        <v>1612</v>
      </c>
      <c r="G485" s="53" t="s">
        <v>47</v>
      </c>
      <c r="H485" s="53" t="s">
        <v>95</v>
      </c>
      <c r="I485" s="53" t="s">
        <v>485</v>
      </c>
      <c r="J485" s="53" t="s">
        <v>1614</v>
      </c>
      <c r="K485" s="53" t="s">
        <v>1615</v>
      </c>
      <c r="L485" s="53" t="s">
        <v>52</v>
      </c>
      <c r="M485" s="53" t="s">
        <v>52</v>
      </c>
      <c r="N485" s="62" t="s">
        <v>3144</v>
      </c>
      <c r="O485" s="62" t="s">
        <v>44</v>
      </c>
      <c r="P485" s="62" t="s">
        <v>3145</v>
      </c>
      <c r="Q485" s="62" t="s">
        <v>3146</v>
      </c>
      <c r="R485" s="53"/>
      <c r="S485" s="53"/>
      <c r="T485" s="82"/>
      <c r="U485" s="42"/>
      <c r="V485" s="62"/>
      <c r="W485" s="64"/>
      <c r="X485" s="223"/>
      <c r="Y485" s="223"/>
      <c r="Z485" s="223"/>
      <c r="AA485" s="223"/>
    </row>
    <row r="486">
      <c r="A486" s="42">
        <f t="shared" si="3"/>
        <v>485</v>
      </c>
      <c r="B486" s="51" t="s">
        <v>41</v>
      </c>
      <c r="C486" s="53" t="s">
        <v>3148</v>
      </c>
      <c r="D486" s="42" t="s">
        <v>44</v>
      </c>
      <c r="E486" s="42" t="s">
        <v>44</v>
      </c>
      <c r="F486" s="53" t="s">
        <v>1612</v>
      </c>
      <c r="G486" s="53" t="s">
        <v>47</v>
      </c>
      <c r="H486" s="53" t="s">
        <v>91</v>
      </c>
      <c r="I486" s="53" t="s">
        <v>485</v>
      </c>
      <c r="J486" s="53" t="s">
        <v>1614</v>
      </c>
      <c r="K486" s="53" t="s">
        <v>1615</v>
      </c>
      <c r="L486" s="53" t="s">
        <v>52</v>
      </c>
      <c r="M486" s="53" t="s">
        <v>52</v>
      </c>
      <c r="N486" s="62" t="s">
        <v>3150</v>
      </c>
      <c r="O486" s="62" t="s">
        <v>44</v>
      </c>
      <c r="P486" s="62" t="s">
        <v>3151</v>
      </c>
      <c r="Q486" s="62" t="s">
        <v>3152</v>
      </c>
      <c r="R486" s="53"/>
      <c r="S486" s="53"/>
      <c r="T486" s="82"/>
      <c r="U486" s="42"/>
      <c r="V486" s="62"/>
      <c r="W486" s="64"/>
      <c r="X486" s="223"/>
      <c r="Y486" s="223"/>
      <c r="Z486" s="223"/>
      <c r="AA486" s="223"/>
    </row>
    <row r="487">
      <c r="A487" s="42">
        <f t="shared" si="3"/>
        <v>486</v>
      </c>
      <c r="B487" s="51" t="s">
        <v>41</v>
      </c>
      <c r="C487" s="53" t="s">
        <v>3154</v>
      </c>
      <c r="D487" s="42" t="s">
        <v>44</v>
      </c>
      <c r="E487" s="42" t="s">
        <v>44</v>
      </c>
      <c r="F487" s="53" t="s">
        <v>1612</v>
      </c>
      <c r="G487" s="53" t="s">
        <v>47</v>
      </c>
      <c r="H487" s="53" t="s">
        <v>48</v>
      </c>
      <c r="I487" s="53" t="s">
        <v>485</v>
      </c>
      <c r="J487" s="53" t="s">
        <v>1614</v>
      </c>
      <c r="K487" s="53" t="s">
        <v>1615</v>
      </c>
      <c r="L487" s="53" t="s">
        <v>52</v>
      </c>
      <c r="M487" s="53" t="s">
        <v>52</v>
      </c>
      <c r="N487" s="62" t="s">
        <v>3156</v>
      </c>
      <c r="O487" s="62" t="s">
        <v>44</v>
      </c>
      <c r="P487" s="62" t="s">
        <v>3157</v>
      </c>
      <c r="Q487" s="62" t="s">
        <v>3158</v>
      </c>
      <c r="R487" s="53"/>
      <c r="S487" s="53"/>
      <c r="T487" s="82"/>
      <c r="U487" s="42"/>
      <c r="V487" s="62"/>
      <c r="W487" s="64"/>
      <c r="X487" s="223"/>
      <c r="Y487" s="223"/>
      <c r="Z487" s="223"/>
      <c r="AA487" s="223"/>
    </row>
    <row r="488">
      <c r="A488" s="42">
        <f t="shared" si="3"/>
        <v>487</v>
      </c>
      <c r="B488" s="51" t="s">
        <v>41</v>
      </c>
      <c r="C488" s="53" t="s">
        <v>3161</v>
      </c>
      <c r="D488" s="42" t="s">
        <v>44</v>
      </c>
      <c r="E488" s="42" t="s">
        <v>44</v>
      </c>
      <c r="F488" s="53" t="s">
        <v>1612</v>
      </c>
      <c r="G488" s="53" t="s">
        <v>47</v>
      </c>
      <c r="H488" s="53" t="s">
        <v>95</v>
      </c>
      <c r="I488" s="53" t="s">
        <v>485</v>
      </c>
      <c r="J488" s="53" t="s">
        <v>1614</v>
      </c>
      <c r="K488" s="53" t="s">
        <v>1615</v>
      </c>
      <c r="L488" s="53" t="s">
        <v>52</v>
      </c>
      <c r="M488" s="53" t="s">
        <v>52</v>
      </c>
      <c r="N488" s="62" t="s">
        <v>3162</v>
      </c>
      <c r="O488" s="62" t="s">
        <v>44</v>
      </c>
      <c r="P488" s="62" t="s">
        <v>3163</v>
      </c>
      <c r="Q488" s="62" t="s">
        <v>3164</v>
      </c>
      <c r="R488" s="53"/>
      <c r="S488" s="53"/>
      <c r="T488" s="82"/>
      <c r="U488" s="42"/>
      <c r="V488" s="62"/>
      <c r="W488" s="64"/>
      <c r="X488" s="223"/>
      <c r="Y488" s="223"/>
      <c r="Z488" s="223"/>
      <c r="AA488" s="223"/>
    </row>
    <row r="489">
      <c r="A489" s="42">
        <f t="shared" si="3"/>
        <v>488</v>
      </c>
      <c r="B489" s="51" t="s">
        <v>41</v>
      </c>
      <c r="C489" s="53" t="s">
        <v>3167</v>
      </c>
      <c r="D489" s="42" t="s">
        <v>44</v>
      </c>
      <c r="E489" s="42" t="s">
        <v>44</v>
      </c>
      <c r="F489" s="53" t="s">
        <v>1612</v>
      </c>
      <c r="G489" s="53" t="s">
        <v>197</v>
      </c>
      <c r="H489" s="53" t="s">
        <v>91</v>
      </c>
      <c r="I489" s="53" t="s">
        <v>485</v>
      </c>
      <c r="J489" s="53" t="s">
        <v>1614</v>
      </c>
      <c r="K489" s="53" t="s">
        <v>1615</v>
      </c>
      <c r="L489" s="53" t="s">
        <v>52</v>
      </c>
      <c r="M489" s="53" t="s">
        <v>52</v>
      </c>
      <c r="N489" s="62" t="s">
        <v>3168</v>
      </c>
      <c r="O489" s="62" t="s">
        <v>44</v>
      </c>
      <c r="P489" s="62" t="s">
        <v>3169</v>
      </c>
      <c r="Q489" s="62" t="s">
        <v>3170</v>
      </c>
      <c r="R489" s="53"/>
      <c r="S489" s="53"/>
      <c r="T489" s="82"/>
      <c r="U489" s="42"/>
      <c r="V489" s="62"/>
      <c r="W489" s="64"/>
      <c r="X489" s="223"/>
      <c r="Y489" s="223"/>
      <c r="Z489" s="223"/>
      <c r="AA489" s="223"/>
    </row>
    <row r="490">
      <c r="A490" s="42">
        <f t="shared" si="3"/>
        <v>489</v>
      </c>
      <c r="B490" s="51" t="s">
        <v>41</v>
      </c>
      <c r="C490" s="53" t="s">
        <v>3173</v>
      </c>
      <c r="D490" s="42" t="s">
        <v>44</v>
      </c>
      <c r="E490" s="42" t="s">
        <v>44</v>
      </c>
      <c r="F490" s="53" t="s">
        <v>1612</v>
      </c>
      <c r="G490" s="53" t="s">
        <v>47</v>
      </c>
      <c r="H490" s="53" t="s">
        <v>95</v>
      </c>
      <c r="I490" s="53" t="s">
        <v>485</v>
      </c>
      <c r="J490" s="53" t="s">
        <v>1614</v>
      </c>
      <c r="K490" s="53" t="s">
        <v>1615</v>
      </c>
      <c r="L490" s="53" t="s">
        <v>52</v>
      </c>
      <c r="M490" s="53" t="s">
        <v>52</v>
      </c>
      <c r="N490" s="62" t="s">
        <v>3174</v>
      </c>
      <c r="O490" s="62" t="s">
        <v>44</v>
      </c>
      <c r="P490" s="62" t="s">
        <v>3175</v>
      </c>
      <c r="Q490" s="62" t="s">
        <v>3176</v>
      </c>
      <c r="R490" s="53"/>
      <c r="S490" s="53"/>
      <c r="T490" s="82"/>
      <c r="U490" s="42"/>
      <c r="V490" s="62"/>
      <c r="W490" s="64"/>
      <c r="X490" s="223"/>
      <c r="Y490" s="223"/>
      <c r="Z490" s="223"/>
      <c r="AA490" s="223"/>
    </row>
    <row r="491">
      <c r="A491" s="42">
        <f t="shared" si="3"/>
        <v>490</v>
      </c>
      <c r="B491" s="51" t="s">
        <v>41</v>
      </c>
      <c r="C491" s="53" t="s">
        <v>3179</v>
      </c>
      <c r="D491" s="42" t="s">
        <v>44</v>
      </c>
      <c r="E491" s="42" t="s">
        <v>44</v>
      </c>
      <c r="F491" s="53" t="s">
        <v>1612</v>
      </c>
      <c r="G491" s="53" t="s">
        <v>47</v>
      </c>
      <c r="H491" s="53" t="s">
        <v>95</v>
      </c>
      <c r="I491" s="53" t="s">
        <v>485</v>
      </c>
      <c r="J491" s="53" t="s">
        <v>1614</v>
      </c>
      <c r="K491" s="53" t="s">
        <v>1615</v>
      </c>
      <c r="L491" s="53" t="s">
        <v>52</v>
      </c>
      <c r="M491" s="53" t="s">
        <v>52</v>
      </c>
      <c r="N491" s="62" t="s">
        <v>3180</v>
      </c>
      <c r="O491" s="62" t="s">
        <v>44</v>
      </c>
      <c r="P491" s="62" t="s">
        <v>3181</v>
      </c>
      <c r="Q491" s="62" t="s">
        <v>3182</v>
      </c>
      <c r="R491" s="53"/>
      <c r="S491" s="53"/>
      <c r="T491" s="82"/>
      <c r="U491" s="42"/>
      <c r="V491" s="62"/>
      <c r="W491" s="64"/>
      <c r="X491" s="223"/>
      <c r="Y491" s="223"/>
      <c r="Z491" s="223"/>
      <c r="AA491" s="223"/>
    </row>
    <row r="492">
      <c r="A492" s="42">
        <f t="shared" si="3"/>
        <v>491</v>
      </c>
      <c r="B492" s="51" t="s">
        <v>41</v>
      </c>
      <c r="C492" s="53" t="s">
        <v>3185</v>
      </c>
      <c r="D492" s="42" t="s">
        <v>44</v>
      </c>
      <c r="E492" s="42" t="s">
        <v>44</v>
      </c>
      <c r="F492" s="53" t="s">
        <v>1612</v>
      </c>
      <c r="G492" s="53" t="s">
        <v>47</v>
      </c>
      <c r="H492" s="53" t="s">
        <v>95</v>
      </c>
      <c r="I492" s="53" t="s">
        <v>485</v>
      </c>
      <c r="J492" s="53" t="s">
        <v>1614</v>
      </c>
      <c r="K492" s="53" t="s">
        <v>1615</v>
      </c>
      <c r="L492" s="53" t="s">
        <v>52</v>
      </c>
      <c r="M492" s="53" t="s">
        <v>52</v>
      </c>
      <c r="N492" s="62" t="s">
        <v>3168</v>
      </c>
      <c r="O492" s="62" t="s">
        <v>44</v>
      </c>
      <c r="P492" s="62" t="s">
        <v>3186</v>
      </c>
      <c r="Q492" s="62" t="s">
        <v>3187</v>
      </c>
      <c r="R492" s="53"/>
      <c r="S492" s="53"/>
      <c r="T492" s="82"/>
      <c r="U492" s="42"/>
      <c r="V492" s="62"/>
      <c r="W492" s="64"/>
      <c r="X492" s="223"/>
      <c r="Y492" s="223"/>
      <c r="Z492" s="223"/>
      <c r="AA492" s="223"/>
    </row>
    <row r="493">
      <c r="A493" s="42">
        <f t="shared" si="3"/>
        <v>492</v>
      </c>
      <c r="B493" s="51" t="s">
        <v>41</v>
      </c>
      <c r="C493" s="53" t="s">
        <v>3190</v>
      </c>
      <c r="D493" s="42" t="s">
        <v>44</v>
      </c>
      <c r="E493" s="42" t="s">
        <v>44</v>
      </c>
      <c r="F493" s="53" t="s">
        <v>1612</v>
      </c>
      <c r="G493" s="53" t="s">
        <v>47</v>
      </c>
      <c r="H493" s="53" t="s">
        <v>95</v>
      </c>
      <c r="I493" s="53" t="s">
        <v>485</v>
      </c>
      <c r="J493" s="53" t="s">
        <v>1614</v>
      </c>
      <c r="K493" s="53" t="s">
        <v>1615</v>
      </c>
      <c r="L493" s="53" t="s">
        <v>52</v>
      </c>
      <c r="M493" s="53" t="s">
        <v>52</v>
      </c>
      <c r="N493" s="62" t="s">
        <v>3191</v>
      </c>
      <c r="O493" s="62" t="s">
        <v>44</v>
      </c>
      <c r="P493" s="62" t="s">
        <v>3192</v>
      </c>
      <c r="Q493" s="62" t="s">
        <v>3194</v>
      </c>
      <c r="R493" s="53"/>
      <c r="S493" s="53"/>
      <c r="T493" s="82"/>
      <c r="U493" s="53"/>
      <c r="V493" s="62"/>
      <c r="W493" s="64"/>
      <c r="X493" s="223"/>
      <c r="Y493" s="223"/>
      <c r="Z493" s="223"/>
      <c r="AA493" s="223"/>
    </row>
    <row r="494">
      <c r="A494" s="42">
        <f t="shared" si="3"/>
        <v>493</v>
      </c>
      <c r="B494" s="51" t="s">
        <v>41</v>
      </c>
      <c r="C494" s="53" t="s">
        <v>3196</v>
      </c>
      <c r="D494" s="42" t="s">
        <v>44</v>
      </c>
      <c r="E494" s="42" t="s">
        <v>44</v>
      </c>
      <c r="F494" s="53" t="s">
        <v>1612</v>
      </c>
      <c r="G494" s="53" t="s">
        <v>47</v>
      </c>
      <c r="H494" s="53" t="s">
        <v>95</v>
      </c>
      <c r="I494" s="53" t="s">
        <v>485</v>
      </c>
      <c r="J494" s="53" t="s">
        <v>1614</v>
      </c>
      <c r="K494" s="53" t="s">
        <v>1615</v>
      </c>
      <c r="L494" s="53" t="s">
        <v>52</v>
      </c>
      <c r="M494" s="53" t="s">
        <v>52</v>
      </c>
      <c r="N494" s="62" t="s">
        <v>3197</v>
      </c>
      <c r="O494" s="62" t="s">
        <v>44</v>
      </c>
      <c r="P494" s="62" t="s">
        <v>3198</v>
      </c>
      <c r="Q494" s="62" t="s">
        <v>3200</v>
      </c>
      <c r="R494" s="53"/>
      <c r="S494" s="53"/>
      <c r="T494" s="82"/>
      <c r="U494" s="42"/>
      <c r="V494" s="62"/>
      <c r="W494" s="64"/>
      <c r="X494" s="223"/>
      <c r="Y494" s="223"/>
      <c r="Z494" s="223"/>
      <c r="AA494" s="223"/>
    </row>
    <row r="495">
      <c r="A495" s="42">
        <f t="shared" si="3"/>
        <v>494</v>
      </c>
      <c r="B495" s="51" t="s">
        <v>41</v>
      </c>
      <c r="C495" s="53" t="s">
        <v>3202</v>
      </c>
      <c r="D495" s="42" t="s">
        <v>44</v>
      </c>
      <c r="E495" s="42" t="s">
        <v>44</v>
      </c>
      <c r="F495" s="53" t="s">
        <v>1612</v>
      </c>
      <c r="G495" s="53" t="s">
        <v>47</v>
      </c>
      <c r="H495" s="53" t="s">
        <v>95</v>
      </c>
      <c r="I495" s="53" t="s">
        <v>485</v>
      </c>
      <c r="J495" s="53" t="s">
        <v>1614</v>
      </c>
      <c r="K495" s="53" t="s">
        <v>1615</v>
      </c>
      <c r="L495" s="53" t="s">
        <v>52</v>
      </c>
      <c r="M495" s="53" t="s">
        <v>52</v>
      </c>
      <c r="N495" s="62" t="s">
        <v>3203</v>
      </c>
      <c r="O495" s="62" t="s">
        <v>44</v>
      </c>
      <c r="P495" s="62" t="s">
        <v>3205</v>
      </c>
      <c r="Q495" s="62" t="s">
        <v>3206</v>
      </c>
      <c r="R495" s="53"/>
      <c r="S495" s="53"/>
      <c r="T495" s="82"/>
      <c r="U495" s="42"/>
      <c r="V495" s="62"/>
      <c r="W495" s="64"/>
      <c r="X495" s="223"/>
      <c r="Y495" s="223"/>
      <c r="Z495" s="223"/>
      <c r="AA495" s="223"/>
    </row>
    <row r="496">
      <c r="A496" s="42">
        <f t="shared" si="3"/>
        <v>495</v>
      </c>
      <c r="B496" s="51" t="s">
        <v>41</v>
      </c>
      <c r="C496" s="53" t="s">
        <v>3208</v>
      </c>
      <c r="D496" s="42" t="s">
        <v>44</v>
      </c>
      <c r="E496" s="42" t="s">
        <v>44</v>
      </c>
      <c r="F496" s="53" t="s">
        <v>1612</v>
      </c>
      <c r="G496" s="53" t="s">
        <v>47</v>
      </c>
      <c r="H496" s="53" t="s">
        <v>95</v>
      </c>
      <c r="I496" s="53" t="s">
        <v>485</v>
      </c>
      <c r="J496" s="53" t="s">
        <v>1614</v>
      </c>
      <c r="K496" s="53" t="s">
        <v>1615</v>
      </c>
      <c r="L496" s="53" t="s">
        <v>52</v>
      </c>
      <c r="M496" s="53" t="s">
        <v>52</v>
      </c>
      <c r="N496" s="62" t="s">
        <v>3209</v>
      </c>
      <c r="O496" s="62" t="s">
        <v>44</v>
      </c>
      <c r="P496" s="62" t="s">
        <v>3210</v>
      </c>
      <c r="Q496" s="62" t="s">
        <v>3211</v>
      </c>
      <c r="R496" s="53"/>
      <c r="S496" s="53"/>
      <c r="T496" s="82"/>
      <c r="U496" s="53"/>
      <c r="V496" s="62"/>
      <c r="W496" s="64"/>
      <c r="X496" s="223"/>
      <c r="Y496" s="223"/>
      <c r="Z496" s="223"/>
      <c r="AA496" s="223"/>
    </row>
    <row r="497">
      <c r="A497" s="42">
        <f t="shared" si="3"/>
        <v>496</v>
      </c>
      <c r="B497" s="51" t="s">
        <v>41</v>
      </c>
      <c r="C497" s="53" t="s">
        <v>3214</v>
      </c>
      <c r="D497" s="42" t="s">
        <v>44</v>
      </c>
      <c r="E497" s="42" t="s">
        <v>44</v>
      </c>
      <c r="F497" s="53" t="s">
        <v>1612</v>
      </c>
      <c r="G497" s="53" t="s">
        <v>47</v>
      </c>
      <c r="H497" s="53" t="s">
        <v>95</v>
      </c>
      <c r="I497" s="53" t="s">
        <v>485</v>
      </c>
      <c r="J497" s="53" t="s">
        <v>1614</v>
      </c>
      <c r="K497" s="53" t="s">
        <v>1615</v>
      </c>
      <c r="L497" s="53" t="s">
        <v>52</v>
      </c>
      <c r="M497" s="53" t="s">
        <v>52</v>
      </c>
      <c r="N497" s="62" t="s">
        <v>3215</v>
      </c>
      <c r="O497" s="62" t="s">
        <v>44</v>
      </c>
      <c r="P497" s="62" t="s">
        <v>3216</v>
      </c>
      <c r="Q497" s="62" t="s">
        <v>3211</v>
      </c>
      <c r="R497" s="53"/>
      <c r="S497" s="53"/>
      <c r="T497" s="82"/>
      <c r="U497" s="53"/>
      <c r="V497" s="62"/>
      <c r="W497" s="64"/>
      <c r="X497" s="223"/>
      <c r="Y497" s="223"/>
      <c r="Z497" s="223"/>
      <c r="AA497" s="223"/>
    </row>
    <row r="498">
      <c r="A498" s="42">
        <f t="shared" si="3"/>
        <v>497</v>
      </c>
      <c r="B498" s="51" t="s">
        <v>41</v>
      </c>
      <c r="C498" s="53" t="s">
        <v>3219</v>
      </c>
      <c r="D498" s="42" t="s">
        <v>44</v>
      </c>
      <c r="E498" s="42" t="s">
        <v>44</v>
      </c>
      <c r="F498" s="53" t="s">
        <v>1612</v>
      </c>
      <c r="G498" s="53" t="s">
        <v>47</v>
      </c>
      <c r="H498" s="53" t="s">
        <v>48</v>
      </c>
      <c r="I498" s="53" t="s">
        <v>485</v>
      </c>
      <c r="J498" s="53" t="s">
        <v>1614</v>
      </c>
      <c r="K498" s="53" t="s">
        <v>1615</v>
      </c>
      <c r="L498" s="53" t="s">
        <v>52</v>
      </c>
      <c r="M498" s="53" t="s">
        <v>52</v>
      </c>
      <c r="N498" s="62" t="s">
        <v>3032</v>
      </c>
      <c r="O498" s="62" t="s">
        <v>44</v>
      </c>
      <c r="P498" s="62" t="s">
        <v>3220</v>
      </c>
      <c r="Q498" s="62" t="s">
        <v>3222</v>
      </c>
      <c r="R498" s="53"/>
      <c r="S498" s="53"/>
      <c r="T498" s="82"/>
      <c r="U498" s="42"/>
      <c r="V498" s="62"/>
      <c r="W498" s="64"/>
      <c r="X498" s="223"/>
      <c r="Y498" s="223"/>
      <c r="Z498" s="223"/>
      <c r="AA498" s="223"/>
    </row>
    <row r="499">
      <c r="A499" s="42">
        <f t="shared" si="3"/>
        <v>498</v>
      </c>
      <c r="B499" s="51" t="s">
        <v>41</v>
      </c>
      <c r="C499" s="53" t="s">
        <v>3224</v>
      </c>
      <c r="D499" s="42" t="s">
        <v>44</v>
      </c>
      <c r="E499" s="42" t="s">
        <v>44</v>
      </c>
      <c r="F499" s="53" t="s">
        <v>1612</v>
      </c>
      <c r="G499" s="53" t="s">
        <v>47</v>
      </c>
      <c r="H499" s="53" t="s">
        <v>48</v>
      </c>
      <c r="I499" s="53" t="s">
        <v>485</v>
      </c>
      <c r="J499" s="53" t="s">
        <v>3225</v>
      </c>
      <c r="K499" s="53" t="s">
        <v>51</v>
      </c>
      <c r="L499" s="53" t="s">
        <v>52</v>
      </c>
      <c r="M499" s="53" t="s">
        <v>52</v>
      </c>
      <c r="N499" s="62" t="s">
        <v>3227</v>
      </c>
      <c r="O499" s="62" t="s">
        <v>44</v>
      </c>
      <c r="P499" s="62" t="s">
        <v>2503</v>
      </c>
      <c r="Q499" s="62" t="s">
        <v>3228</v>
      </c>
      <c r="R499" s="51" t="s">
        <v>56</v>
      </c>
      <c r="S499" s="51" t="s">
        <v>940</v>
      </c>
      <c r="T499" s="60">
        <v>46297.0</v>
      </c>
      <c r="U499" s="42"/>
      <c r="V499" s="62"/>
      <c r="W499" s="64"/>
      <c r="X499" s="223"/>
      <c r="Y499" s="223"/>
      <c r="Z499" s="223"/>
      <c r="AA499" s="223"/>
    </row>
    <row r="500">
      <c r="A500" s="42">
        <f t="shared" si="3"/>
        <v>499</v>
      </c>
      <c r="B500" s="51" t="s">
        <v>41</v>
      </c>
      <c r="C500" s="53" t="s">
        <v>3230</v>
      </c>
      <c r="D500" s="42" t="s">
        <v>44</v>
      </c>
      <c r="E500" s="42" t="s">
        <v>44</v>
      </c>
      <c r="F500" s="53" t="s">
        <v>1612</v>
      </c>
      <c r="G500" s="53" t="s">
        <v>47</v>
      </c>
      <c r="H500" s="53" t="s">
        <v>48</v>
      </c>
      <c r="I500" s="53" t="s">
        <v>485</v>
      </c>
      <c r="J500" s="53" t="s">
        <v>3225</v>
      </c>
      <c r="K500" s="53" t="s">
        <v>51</v>
      </c>
      <c r="L500" s="53" t="s">
        <v>52</v>
      </c>
      <c r="M500" s="53" t="s">
        <v>52</v>
      </c>
      <c r="N500" s="62" t="s">
        <v>3227</v>
      </c>
      <c r="O500" s="62" t="s">
        <v>44</v>
      </c>
      <c r="P500" s="62" t="s">
        <v>3233</v>
      </c>
      <c r="Q500" s="62" t="s">
        <v>3234</v>
      </c>
      <c r="R500" s="51" t="s">
        <v>56</v>
      </c>
      <c r="S500" s="51" t="s">
        <v>940</v>
      </c>
      <c r="T500" s="60">
        <v>46297.0</v>
      </c>
      <c r="U500" s="42"/>
      <c r="V500" s="62"/>
      <c r="W500" s="64"/>
      <c r="X500" s="223"/>
      <c r="Y500" s="223"/>
      <c r="Z500" s="223"/>
      <c r="AA500" s="223"/>
    </row>
    <row r="501">
      <c r="A501" s="42">
        <f t="shared" si="3"/>
        <v>500</v>
      </c>
      <c r="B501" s="51" t="s">
        <v>41</v>
      </c>
      <c r="C501" s="53" t="s">
        <v>3236</v>
      </c>
      <c r="D501" s="42" t="s">
        <v>44</v>
      </c>
      <c r="E501" s="42" t="s">
        <v>44</v>
      </c>
      <c r="F501" s="53" t="s">
        <v>1612</v>
      </c>
      <c r="G501" s="53" t="s">
        <v>47</v>
      </c>
      <c r="H501" s="53" t="s">
        <v>48</v>
      </c>
      <c r="I501" s="53" t="s">
        <v>485</v>
      </c>
      <c r="J501" s="53" t="s">
        <v>3225</v>
      </c>
      <c r="K501" s="53" t="s">
        <v>51</v>
      </c>
      <c r="L501" s="53" t="s">
        <v>52</v>
      </c>
      <c r="M501" s="53" t="s">
        <v>52</v>
      </c>
      <c r="N501" s="62" t="s">
        <v>3238</v>
      </c>
      <c r="O501" s="62" t="s">
        <v>44</v>
      </c>
      <c r="P501" s="62" t="s">
        <v>3239</v>
      </c>
      <c r="Q501" s="62" t="s">
        <v>3240</v>
      </c>
      <c r="R501" s="51" t="s">
        <v>56</v>
      </c>
      <c r="S501" s="51" t="s">
        <v>940</v>
      </c>
      <c r="T501" s="60">
        <v>46297.0</v>
      </c>
      <c r="U501" s="42"/>
      <c r="V501" s="62"/>
      <c r="W501" s="64"/>
      <c r="X501" s="223"/>
      <c r="Y501" s="223"/>
      <c r="Z501" s="223"/>
      <c r="AA501" s="223"/>
    </row>
    <row r="502">
      <c r="A502" s="42">
        <f t="shared" si="3"/>
        <v>501</v>
      </c>
      <c r="B502" s="51" t="s">
        <v>41</v>
      </c>
      <c r="C502" s="53" t="s">
        <v>3243</v>
      </c>
      <c r="D502" s="42" t="s">
        <v>44</v>
      </c>
      <c r="E502" s="42" t="s">
        <v>44</v>
      </c>
      <c r="F502" s="53" t="s">
        <v>1612</v>
      </c>
      <c r="G502" s="53" t="s">
        <v>47</v>
      </c>
      <c r="H502" s="53" t="s">
        <v>95</v>
      </c>
      <c r="I502" s="53" t="s">
        <v>485</v>
      </c>
      <c r="J502" s="53" t="s">
        <v>3225</v>
      </c>
      <c r="K502" s="53" t="s">
        <v>51</v>
      </c>
      <c r="L502" s="53" t="s">
        <v>52</v>
      </c>
      <c r="M502" s="53" t="s">
        <v>52</v>
      </c>
      <c r="N502" s="309" t="s">
        <v>3244</v>
      </c>
      <c r="O502" s="62" t="s">
        <v>44</v>
      </c>
      <c r="P502" s="62" t="s">
        <v>3245</v>
      </c>
      <c r="Q502" s="309" t="s">
        <v>3240</v>
      </c>
      <c r="R502" s="51" t="s">
        <v>56</v>
      </c>
      <c r="S502" s="51" t="s">
        <v>940</v>
      </c>
      <c r="T502" s="60">
        <v>46297.0</v>
      </c>
      <c r="U502" s="42"/>
      <c r="V502" s="62"/>
      <c r="W502" s="64"/>
      <c r="X502" s="223"/>
      <c r="Y502" s="223"/>
      <c r="Z502" s="223"/>
      <c r="AA502" s="223"/>
    </row>
    <row r="503">
      <c r="A503" s="42">
        <f t="shared" si="3"/>
        <v>502</v>
      </c>
      <c r="B503" s="51" t="s">
        <v>41</v>
      </c>
      <c r="C503" s="53" t="s">
        <v>3246</v>
      </c>
      <c r="D503" s="42" t="s">
        <v>44</v>
      </c>
      <c r="E503" s="42" t="s">
        <v>44</v>
      </c>
      <c r="F503" s="53" t="s">
        <v>1612</v>
      </c>
      <c r="G503" s="53" t="s">
        <v>47</v>
      </c>
      <c r="H503" s="53" t="s">
        <v>95</v>
      </c>
      <c r="I503" s="53" t="s">
        <v>485</v>
      </c>
      <c r="J503" s="53" t="s">
        <v>3225</v>
      </c>
      <c r="K503" s="53" t="s">
        <v>51</v>
      </c>
      <c r="L503" s="53" t="s">
        <v>52</v>
      </c>
      <c r="M503" s="53" t="s">
        <v>52</v>
      </c>
      <c r="N503" s="62" t="s">
        <v>3247</v>
      </c>
      <c r="O503" s="62" t="s">
        <v>44</v>
      </c>
      <c r="P503" s="62" t="s">
        <v>3245</v>
      </c>
      <c r="Q503" s="309" t="s">
        <v>3248</v>
      </c>
      <c r="R503" s="51" t="s">
        <v>56</v>
      </c>
      <c r="S503" s="51" t="s">
        <v>940</v>
      </c>
      <c r="T503" s="60">
        <v>46297.0</v>
      </c>
      <c r="U503" s="42"/>
      <c r="V503" s="62"/>
      <c r="W503" s="64"/>
      <c r="X503" s="223"/>
      <c r="Y503" s="223"/>
      <c r="Z503" s="223"/>
      <c r="AA503" s="223"/>
    </row>
    <row r="504">
      <c r="A504" s="42">
        <f t="shared" si="3"/>
        <v>503</v>
      </c>
      <c r="B504" s="51" t="s">
        <v>41</v>
      </c>
      <c r="C504" s="53" t="s">
        <v>3251</v>
      </c>
      <c r="D504" s="42" t="s">
        <v>44</v>
      </c>
      <c r="E504" s="42" t="s">
        <v>44</v>
      </c>
      <c r="F504" s="53" t="s">
        <v>1612</v>
      </c>
      <c r="G504" s="53" t="s">
        <v>111</v>
      </c>
      <c r="H504" s="53" t="s">
        <v>91</v>
      </c>
      <c r="I504" s="53" t="s">
        <v>485</v>
      </c>
      <c r="J504" s="53" t="s">
        <v>3225</v>
      </c>
      <c r="K504" s="53" t="s">
        <v>51</v>
      </c>
      <c r="L504" s="53" t="s">
        <v>52</v>
      </c>
      <c r="M504" s="53" t="s">
        <v>52</v>
      </c>
      <c r="N504" s="62" t="s">
        <v>3238</v>
      </c>
      <c r="O504" s="62" t="s">
        <v>44</v>
      </c>
      <c r="P504" s="62" t="s">
        <v>3252</v>
      </c>
      <c r="Q504" s="62" t="s">
        <v>3253</v>
      </c>
      <c r="R504" s="51" t="s">
        <v>56</v>
      </c>
      <c r="S504" s="51" t="s">
        <v>940</v>
      </c>
      <c r="T504" s="60">
        <v>46297.0</v>
      </c>
      <c r="U504" s="42"/>
      <c r="V504" s="62"/>
      <c r="W504" s="64"/>
      <c r="X504" s="223"/>
      <c r="Y504" s="223"/>
      <c r="Z504" s="223"/>
      <c r="AA504" s="223"/>
    </row>
    <row r="505">
      <c r="A505" s="42">
        <f t="shared" si="3"/>
        <v>504</v>
      </c>
      <c r="B505" s="51" t="s">
        <v>41</v>
      </c>
      <c r="C505" s="53" t="s">
        <v>3255</v>
      </c>
      <c r="D505" s="42" t="s">
        <v>44</v>
      </c>
      <c r="E505" s="42" t="s">
        <v>44</v>
      </c>
      <c r="F505" s="53" t="s">
        <v>1612</v>
      </c>
      <c r="G505" s="53" t="s">
        <v>47</v>
      </c>
      <c r="H505" s="53" t="s">
        <v>48</v>
      </c>
      <c r="I505" s="53" t="s">
        <v>485</v>
      </c>
      <c r="J505" s="53" t="s">
        <v>3225</v>
      </c>
      <c r="K505" s="53" t="s">
        <v>51</v>
      </c>
      <c r="L505" s="53" t="s">
        <v>52</v>
      </c>
      <c r="M505" s="53" t="s">
        <v>52</v>
      </c>
      <c r="N505" s="62" t="s">
        <v>3227</v>
      </c>
      <c r="O505" s="62" t="s">
        <v>44</v>
      </c>
      <c r="P505" s="62" t="s">
        <v>3257</v>
      </c>
      <c r="Q505" s="62" t="s">
        <v>3258</v>
      </c>
      <c r="R505" s="51" t="s">
        <v>56</v>
      </c>
      <c r="S505" s="51" t="s">
        <v>940</v>
      </c>
      <c r="T505" s="60">
        <v>46297.0</v>
      </c>
      <c r="U505" s="42"/>
      <c r="V505" s="62"/>
      <c r="W505" s="64"/>
      <c r="X505" s="223"/>
      <c r="Y505" s="223"/>
      <c r="Z505" s="223"/>
      <c r="AA505" s="223"/>
    </row>
    <row r="506">
      <c r="A506" s="42">
        <f t="shared" si="3"/>
        <v>505</v>
      </c>
      <c r="B506" s="51" t="s">
        <v>41</v>
      </c>
      <c r="C506" s="53" t="s">
        <v>3260</v>
      </c>
      <c r="D506" s="42" t="s">
        <v>44</v>
      </c>
      <c r="E506" s="42" t="s">
        <v>44</v>
      </c>
      <c r="F506" s="53" t="s">
        <v>1612</v>
      </c>
      <c r="G506" s="53" t="s">
        <v>47</v>
      </c>
      <c r="H506" s="53" t="s">
        <v>48</v>
      </c>
      <c r="I506" s="53" t="s">
        <v>485</v>
      </c>
      <c r="J506" s="53" t="s">
        <v>3225</v>
      </c>
      <c r="K506" s="53" t="s">
        <v>51</v>
      </c>
      <c r="L506" s="53" t="s">
        <v>52</v>
      </c>
      <c r="M506" s="53" t="s">
        <v>52</v>
      </c>
      <c r="N506" s="62" t="s">
        <v>3227</v>
      </c>
      <c r="O506" s="62" t="s">
        <v>44</v>
      </c>
      <c r="P506" s="62" t="s">
        <v>3262</v>
      </c>
      <c r="Q506" s="62" t="s">
        <v>3263</v>
      </c>
      <c r="R506" s="51" t="s">
        <v>56</v>
      </c>
      <c r="S506" s="51" t="s">
        <v>940</v>
      </c>
      <c r="T506" s="60">
        <v>46297.0</v>
      </c>
      <c r="U506" s="42"/>
      <c r="V506" s="62"/>
      <c r="W506" s="64"/>
      <c r="X506" s="223"/>
      <c r="Y506" s="223"/>
      <c r="Z506" s="223"/>
      <c r="AA506" s="223"/>
    </row>
    <row r="507">
      <c r="A507" s="42">
        <f t="shared" si="3"/>
        <v>506</v>
      </c>
      <c r="B507" s="51" t="s">
        <v>41</v>
      </c>
      <c r="C507" s="53" t="s">
        <v>3268</v>
      </c>
      <c r="D507" s="42" t="s">
        <v>44</v>
      </c>
      <c r="E507" s="42" t="s">
        <v>44</v>
      </c>
      <c r="F507" s="53" t="s">
        <v>1612</v>
      </c>
      <c r="G507" s="53" t="s">
        <v>197</v>
      </c>
      <c r="H507" s="53" t="s">
        <v>112</v>
      </c>
      <c r="I507" s="53" t="s">
        <v>485</v>
      </c>
      <c r="J507" s="53" t="s">
        <v>3225</v>
      </c>
      <c r="K507" s="53" t="s">
        <v>51</v>
      </c>
      <c r="L507" s="53" t="s">
        <v>52</v>
      </c>
      <c r="M507" s="53" t="s">
        <v>52</v>
      </c>
      <c r="N507" s="62" t="s">
        <v>3269</v>
      </c>
      <c r="O507" s="62" t="s">
        <v>44</v>
      </c>
      <c r="P507" s="62" t="s">
        <v>3270</v>
      </c>
      <c r="Q507" s="62" t="s">
        <v>3271</v>
      </c>
      <c r="R507" s="51" t="s">
        <v>56</v>
      </c>
      <c r="S507" s="51" t="s">
        <v>940</v>
      </c>
      <c r="T507" s="60">
        <v>46297.0</v>
      </c>
      <c r="U507" s="42"/>
      <c r="V507" s="62"/>
      <c r="W507" s="64"/>
      <c r="X507" s="223"/>
      <c r="Y507" s="223"/>
      <c r="Z507" s="223"/>
      <c r="AA507" s="223"/>
    </row>
    <row r="508">
      <c r="A508" s="42">
        <f t="shared" si="3"/>
        <v>507</v>
      </c>
      <c r="B508" s="51" t="s">
        <v>41</v>
      </c>
      <c r="C508" s="53" t="s">
        <v>3276</v>
      </c>
      <c r="D508" s="42" t="s">
        <v>44</v>
      </c>
      <c r="E508" s="42" t="s">
        <v>44</v>
      </c>
      <c r="F508" s="53" t="s">
        <v>1612</v>
      </c>
      <c r="G508" s="53" t="s">
        <v>47</v>
      </c>
      <c r="H508" s="53" t="s">
        <v>95</v>
      </c>
      <c r="I508" s="53" t="s">
        <v>485</v>
      </c>
      <c r="J508" s="53" t="s">
        <v>3225</v>
      </c>
      <c r="K508" s="53" t="s">
        <v>51</v>
      </c>
      <c r="L508" s="53" t="s">
        <v>52</v>
      </c>
      <c r="M508" s="53" t="s">
        <v>52</v>
      </c>
      <c r="N508" s="62" t="s">
        <v>3269</v>
      </c>
      <c r="O508" s="62" t="s">
        <v>44</v>
      </c>
      <c r="P508" s="62" t="s">
        <v>3278</v>
      </c>
      <c r="Q508" s="62" t="s">
        <v>3279</v>
      </c>
      <c r="R508" s="51" t="s">
        <v>56</v>
      </c>
      <c r="S508" s="51" t="s">
        <v>940</v>
      </c>
      <c r="T508" s="60">
        <v>46297.0</v>
      </c>
      <c r="U508" s="42"/>
      <c r="V508" s="62"/>
      <c r="W508" s="64"/>
      <c r="X508" s="223"/>
      <c r="Y508" s="223"/>
      <c r="Z508" s="223"/>
      <c r="AA508" s="223"/>
    </row>
    <row r="509">
      <c r="A509" s="42">
        <f t="shared" si="3"/>
        <v>508</v>
      </c>
      <c r="B509" s="51" t="s">
        <v>41</v>
      </c>
      <c r="C509" s="53" t="s">
        <v>3282</v>
      </c>
      <c r="D509" s="42" t="s">
        <v>44</v>
      </c>
      <c r="E509" s="42" t="s">
        <v>44</v>
      </c>
      <c r="F509" s="53" t="s">
        <v>1612</v>
      </c>
      <c r="G509" s="53" t="s">
        <v>47</v>
      </c>
      <c r="H509" s="53" t="s">
        <v>95</v>
      </c>
      <c r="I509" s="53" t="s">
        <v>485</v>
      </c>
      <c r="J509" s="53" t="s">
        <v>3225</v>
      </c>
      <c r="K509" s="53" t="s">
        <v>51</v>
      </c>
      <c r="L509" s="53" t="s">
        <v>52</v>
      </c>
      <c r="M509" s="53" t="s">
        <v>52</v>
      </c>
      <c r="N509" s="62" t="s">
        <v>3283</v>
      </c>
      <c r="O509" s="62" t="s">
        <v>44</v>
      </c>
      <c r="P509" s="62" t="s">
        <v>3285</v>
      </c>
      <c r="Q509" s="62" t="s">
        <v>3286</v>
      </c>
      <c r="R509" s="51" t="s">
        <v>56</v>
      </c>
      <c r="S509" s="51" t="s">
        <v>940</v>
      </c>
      <c r="T509" s="60">
        <v>46297.0</v>
      </c>
      <c r="U509" s="42"/>
      <c r="V509" s="62"/>
      <c r="W509" s="64"/>
      <c r="X509" s="223"/>
      <c r="Y509" s="223"/>
      <c r="Z509" s="223"/>
      <c r="AA509" s="223"/>
    </row>
    <row r="510">
      <c r="A510" s="42">
        <f t="shared" si="3"/>
        <v>509</v>
      </c>
      <c r="B510" s="51" t="s">
        <v>41</v>
      </c>
      <c r="C510" s="53" t="s">
        <v>3288</v>
      </c>
      <c r="D510" s="42" t="s">
        <v>44</v>
      </c>
      <c r="E510" s="42" t="s">
        <v>44</v>
      </c>
      <c r="F510" s="53" t="s">
        <v>1612</v>
      </c>
      <c r="G510" s="53" t="s">
        <v>47</v>
      </c>
      <c r="H510" s="53" t="s">
        <v>95</v>
      </c>
      <c r="I510" s="53" t="s">
        <v>485</v>
      </c>
      <c r="J510" s="53" t="s">
        <v>3225</v>
      </c>
      <c r="K510" s="53" t="s">
        <v>51</v>
      </c>
      <c r="L510" s="53" t="s">
        <v>52</v>
      </c>
      <c r="M510" s="53" t="s">
        <v>52</v>
      </c>
      <c r="N510" s="62" t="s">
        <v>3290</v>
      </c>
      <c r="O510" s="62" t="s">
        <v>44</v>
      </c>
      <c r="P510" s="62" t="s">
        <v>3291</v>
      </c>
      <c r="Q510" s="62" t="s">
        <v>3293</v>
      </c>
      <c r="R510" s="51" t="s">
        <v>56</v>
      </c>
      <c r="S510" s="51" t="s">
        <v>940</v>
      </c>
      <c r="T510" s="60">
        <v>46297.0</v>
      </c>
      <c r="U510" s="42"/>
      <c r="V510" s="62"/>
      <c r="W510" s="64"/>
      <c r="X510" s="223"/>
      <c r="Y510" s="223"/>
      <c r="Z510" s="223"/>
      <c r="AA510" s="223"/>
    </row>
    <row r="511">
      <c r="A511" s="42">
        <f t="shared" si="3"/>
        <v>510</v>
      </c>
      <c r="B511" s="51" t="s">
        <v>41</v>
      </c>
      <c r="C511" s="53" t="s">
        <v>3294</v>
      </c>
      <c r="D511" s="42" t="s">
        <v>44</v>
      </c>
      <c r="E511" s="42" t="s">
        <v>44</v>
      </c>
      <c r="F511" s="53" t="s">
        <v>1612</v>
      </c>
      <c r="G511" s="53" t="s">
        <v>47</v>
      </c>
      <c r="H511" s="53" t="s">
        <v>95</v>
      </c>
      <c r="I511" s="53" t="s">
        <v>485</v>
      </c>
      <c r="J511" s="53" t="s">
        <v>3225</v>
      </c>
      <c r="K511" s="53" t="s">
        <v>51</v>
      </c>
      <c r="L511" s="53" t="s">
        <v>52</v>
      </c>
      <c r="M511" s="53" t="s">
        <v>52</v>
      </c>
      <c r="N511" s="62" t="s">
        <v>3297</v>
      </c>
      <c r="O511" s="62" t="s">
        <v>44</v>
      </c>
      <c r="P511" s="62" t="s">
        <v>3298</v>
      </c>
      <c r="Q511" s="62" t="s">
        <v>3299</v>
      </c>
      <c r="R511" s="51" t="s">
        <v>56</v>
      </c>
      <c r="S511" s="51" t="s">
        <v>940</v>
      </c>
      <c r="T511" s="60">
        <v>46297.0</v>
      </c>
      <c r="U511" s="42"/>
      <c r="V511" s="62"/>
      <c r="W511" s="64"/>
      <c r="X511" s="223"/>
      <c r="Y511" s="223"/>
      <c r="Z511" s="223"/>
      <c r="AA511" s="223"/>
    </row>
    <row r="512">
      <c r="A512" s="42">
        <f t="shared" si="3"/>
        <v>511</v>
      </c>
      <c r="B512" s="51" t="s">
        <v>41</v>
      </c>
      <c r="C512" s="53" t="s">
        <v>3300</v>
      </c>
      <c r="D512" s="42" t="s">
        <v>44</v>
      </c>
      <c r="E512" s="42" t="s">
        <v>44</v>
      </c>
      <c r="F512" s="53" t="s">
        <v>1612</v>
      </c>
      <c r="G512" s="53" t="s">
        <v>47</v>
      </c>
      <c r="H512" s="53" t="s">
        <v>48</v>
      </c>
      <c r="I512" s="53" t="s">
        <v>485</v>
      </c>
      <c r="J512" s="53" t="s">
        <v>3225</v>
      </c>
      <c r="K512" s="53" t="s">
        <v>51</v>
      </c>
      <c r="L512" s="53" t="s">
        <v>52</v>
      </c>
      <c r="M512" s="53" t="s">
        <v>52</v>
      </c>
      <c r="N512" s="62" t="s">
        <v>3227</v>
      </c>
      <c r="O512" s="62" t="s">
        <v>44</v>
      </c>
      <c r="P512" s="62" t="s">
        <v>3303</v>
      </c>
      <c r="Q512" s="62" t="s">
        <v>3304</v>
      </c>
      <c r="R512" s="53"/>
      <c r="S512" s="53"/>
      <c r="T512" s="82"/>
      <c r="U512" s="42"/>
      <c r="V512" s="62"/>
      <c r="W512" s="64"/>
      <c r="X512" s="223"/>
      <c r="Y512" s="223"/>
      <c r="Z512" s="223"/>
      <c r="AA512" s="223"/>
    </row>
    <row r="513">
      <c r="A513" s="42">
        <f t="shared" si="3"/>
        <v>512</v>
      </c>
      <c r="B513" s="51" t="s">
        <v>41</v>
      </c>
      <c r="C513" s="53" t="s">
        <v>3305</v>
      </c>
      <c r="D513" s="42" t="s">
        <v>44</v>
      </c>
      <c r="E513" s="42" t="s">
        <v>44</v>
      </c>
      <c r="F513" s="53" t="s">
        <v>1612</v>
      </c>
      <c r="G513" s="53" t="s">
        <v>47</v>
      </c>
      <c r="H513" s="53" t="s">
        <v>48</v>
      </c>
      <c r="I513" s="53" t="s">
        <v>485</v>
      </c>
      <c r="J513" s="53" t="s">
        <v>3225</v>
      </c>
      <c r="K513" s="53" t="s">
        <v>51</v>
      </c>
      <c r="L513" s="53" t="s">
        <v>52</v>
      </c>
      <c r="M513" s="53" t="s">
        <v>52</v>
      </c>
      <c r="N513" s="62" t="s">
        <v>3308</v>
      </c>
      <c r="O513" s="62" t="s">
        <v>44</v>
      </c>
      <c r="P513" s="62" t="s">
        <v>3309</v>
      </c>
      <c r="Q513" s="62" t="s">
        <v>3310</v>
      </c>
      <c r="R513" s="53"/>
      <c r="S513" s="53"/>
      <c r="T513" s="82"/>
      <c r="U513" s="42"/>
      <c r="V513" s="62"/>
      <c r="W513" s="64"/>
      <c r="X513" s="223"/>
      <c r="Y513" s="223"/>
      <c r="Z513" s="223"/>
      <c r="AA513" s="223"/>
    </row>
    <row r="514">
      <c r="A514" s="42">
        <f t="shared" si="3"/>
        <v>513</v>
      </c>
      <c r="B514" s="51" t="s">
        <v>41</v>
      </c>
      <c r="C514" s="53" t="s">
        <v>3312</v>
      </c>
      <c r="D514" s="42" t="s">
        <v>44</v>
      </c>
      <c r="E514" s="42" t="s">
        <v>44</v>
      </c>
      <c r="F514" s="53" t="s">
        <v>1612</v>
      </c>
      <c r="G514" s="53" t="s">
        <v>47</v>
      </c>
      <c r="H514" s="53" t="s">
        <v>95</v>
      </c>
      <c r="I514" s="53" t="s">
        <v>485</v>
      </c>
      <c r="J514" s="53" t="s">
        <v>3225</v>
      </c>
      <c r="K514" s="53" t="s">
        <v>51</v>
      </c>
      <c r="L514" s="53" t="s">
        <v>52</v>
      </c>
      <c r="M514" s="53" t="s">
        <v>52</v>
      </c>
      <c r="N514" s="62" t="s">
        <v>3308</v>
      </c>
      <c r="O514" s="62" t="s">
        <v>44</v>
      </c>
      <c r="P514" s="62" t="s">
        <v>3314</v>
      </c>
      <c r="Q514" s="62" t="s">
        <v>3315</v>
      </c>
      <c r="R514" s="53"/>
      <c r="S514" s="53"/>
      <c r="T514" s="82"/>
      <c r="U514" s="42"/>
      <c r="V514" s="62"/>
      <c r="W514" s="64"/>
      <c r="X514" s="223"/>
      <c r="Y514" s="223"/>
      <c r="Z514" s="223"/>
      <c r="AA514" s="223"/>
    </row>
    <row r="515">
      <c r="A515" s="42">
        <f t="shared" si="3"/>
        <v>514</v>
      </c>
      <c r="B515" s="51" t="s">
        <v>41</v>
      </c>
      <c r="C515" s="53" t="s">
        <v>3317</v>
      </c>
      <c r="D515" s="42" t="s">
        <v>44</v>
      </c>
      <c r="E515" s="42" t="s">
        <v>44</v>
      </c>
      <c r="F515" s="53" t="s">
        <v>1612</v>
      </c>
      <c r="G515" s="53" t="s">
        <v>47</v>
      </c>
      <c r="H515" s="53" t="s">
        <v>48</v>
      </c>
      <c r="I515" s="53" t="s">
        <v>485</v>
      </c>
      <c r="J515" s="53" t="s">
        <v>3225</v>
      </c>
      <c r="K515" s="53" t="s">
        <v>51</v>
      </c>
      <c r="L515" s="53" t="s">
        <v>52</v>
      </c>
      <c r="M515" s="53" t="s">
        <v>52</v>
      </c>
      <c r="N515" s="62" t="s">
        <v>3319</v>
      </c>
      <c r="O515" s="62" t="s">
        <v>44</v>
      </c>
      <c r="P515" s="62" t="s">
        <v>3320</v>
      </c>
      <c r="Q515" s="62" t="s">
        <v>3321</v>
      </c>
      <c r="R515" s="53"/>
      <c r="S515" s="53"/>
      <c r="T515" s="82"/>
      <c r="U515" s="53"/>
      <c r="V515" s="62"/>
      <c r="W515" s="64"/>
      <c r="X515" s="223"/>
      <c r="Y515" s="223"/>
      <c r="Z515" s="223"/>
      <c r="AA515" s="223"/>
    </row>
    <row r="516">
      <c r="A516" s="42">
        <f t="shared" si="3"/>
        <v>515</v>
      </c>
      <c r="B516" s="51" t="s">
        <v>41</v>
      </c>
      <c r="C516" s="53" t="s">
        <v>3323</v>
      </c>
      <c r="D516" s="42" t="s">
        <v>44</v>
      </c>
      <c r="E516" s="42" t="s">
        <v>44</v>
      </c>
      <c r="F516" s="53" t="s">
        <v>1612</v>
      </c>
      <c r="G516" s="53" t="s">
        <v>47</v>
      </c>
      <c r="H516" s="53" t="s">
        <v>48</v>
      </c>
      <c r="I516" s="53" t="s">
        <v>485</v>
      </c>
      <c r="J516" s="53" t="s">
        <v>3225</v>
      </c>
      <c r="K516" s="53" t="s">
        <v>51</v>
      </c>
      <c r="L516" s="53" t="s">
        <v>52</v>
      </c>
      <c r="M516" s="53" t="s">
        <v>52</v>
      </c>
      <c r="N516" s="62" t="s">
        <v>3325</v>
      </c>
      <c r="O516" s="62" t="s">
        <v>44</v>
      </c>
      <c r="P516" s="62" t="s">
        <v>3320</v>
      </c>
      <c r="Q516" s="62" t="s">
        <v>3326</v>
      </c>
      <c r="R516" s="53"/>
      <c r="S516" s="53"/>
      <c r="T516" s="82"/>
      <c r="U516" s="42"/>
      <c r="V516" s="62"/>
      <c r="W516" s="64"/>
      <c r="X516" s="223"/>
      <c r="Y516" s="223"/>
      <c r="Z516" s="223"/>
      <c r="AA516" s="223"/>
    </row>
    <row r="517">
      <c r="A517" s="42">
        <f t="shared" si="3"/>
        <v>516</v>
      </c>
      <c r="B517" s="51" t="s">
        <v>41</v>
      </c>
      <c r="C517" s="53" t="s">
        <v>3328</v>
      </c>
      <c r="D517" s="42" t="s">
        <v>44</v>
      </c>
      <c r="E517" s="42" t="s">
        <v>44</v>
      </c>
      <c r="F517" s="53" t="s">
        <v>1612</v>
      </c>
      <c r="G517" s="53" t="s">
        <v>47</v>
      </c>
      <c r="H517" s="53" t="s">
        <v>95</v>
      </c>
      <c r="I517" s="53" t="s">
        <v>485</v>
      </c>
      <c r="J517" s="53" t="s">
        <v>3225</v>
      </c>
      <c r="K517" s="53" t="s">
        <v>51</v>
      </c>
      <c r="L517" s="53" t="s">
        <v>52</v>
      </c>
      <c r="M517" s="53" t="s">
        <v>52</v>
      </c>
      <c r="N517" s="62" t="s">
        <v>3330</v>
      </c>
      <c r="O517" s="62" t="s">
        <v>44</v>
      </c>
      <c r="P517" s="62" t="s">
        <v>3331</v>
      </c>
      <c r="Q517" s="62" t="s">
        <v>3332</v>
      </c>
      <c r="R517" s="53"/>
      <c r="S517" s="53"/>
      <c r="T517" s="82"/>
      <c r="U517" s="42"/>
      <c r="V517" s="62"/>
      <c r="W517" s="64"/>
      <c r="X517" s="223"/>
      <c r="Y517" s="223"/>
      <c r="Z517" s="223"/>
      <c r="AA517" s="223"/>
    </row>
    <row r="518">
      <c r="A518" s="42">
        <f t="shared" si="3"/>
        <v>517</v>
      </c>
      <c r="B518" s="51" t="s">
        <v>41</v>
      </c>
      <c r="C518" s="53" t="s">
        <v>3335</v>
      </c>
      <c r="D518" s="42" t="s">
        <v>44</v>
      </c>
      <c r="E518" s="42" t="s">
        <v>44</v>
      </c>
      <c r="F518" s="53" t="s">
        <v>1612</v>
      </c>
      <c r="G518" s="53" t="s">
        <v>197</v>
      </c>
      <c r="H518" s="53" t="s">
        <v>91</v>
      </c>
      <c r="I518" s="53" t="s">
        <v>485</v>
      </c>
      <c r="J518" s="53" t="s">
        <v>3225</v>
      </c>
      <c r="K518" s="53" t="s">
        <v>51</v>
      </c>
      <c r="L518" s="53" t="s">
        <v>52</v>
      </c>
      <c r="M518" s="53" t="s">
        <v>52</v>
      </c>
      <c r="N518" s="62" t="s">
        <v>3227</v>
      </c>
      <c r="O518" s="62" t="s">
        <v>44</v>
      </c>
      <c r="P518" s="62" t="s">
        <v>3336</v>
      </c>
      <c r="Q518" s="62" t="s">
        <v>3337</v>
      </c>
      <c r="R518" s="53"/>
      <c r="S518" s="53"/>
      <c r="T518" s="82"/>
      <c r="U518" s="42"/>
      <c r="V518" s="62"/>
      <c r="W518" s="64"/>
      <c r="X518" s="223"/>
      <c r="Y518" s="223"/>
      <c r="Z518" s="223"/>
      <c r="AA518" s="223"/>
    </row>
    <row r="519">
      <c r="A519" s="42">
        <f t="shared" si="3"/>
        <v>518</v>
      </c>
      <c r="B519" s="51" t="s">
        <v>41</v>
      </c>
      <c r="C519" s="53" t="s">
        <v>3340</v>
      </c>
      <c r="D519" s="42" t="s">
        <v>44</v>
      </c>
      <c r="E519" s="42" t="s">
        <v>44</v>
      </c>
      <c r="F519" s="53" t="s">
        <v>1612</v>
      </c>
      <c r="G519" s="53" t="s">
        <v>47</v>
      </c>
      <c r="H519" s="53" t="s">
        <v>48</v>
      </c>
      <c r="I519" s="53" t="s">
        <v>485</v>
      </c>
      <c r="J519" s="53" t="s">
        <v>3225</v>
      </c>
      <c r="K519" s="53" t="s">
        <v>51</v>
      </c>
      <c r="L519" s="53" t="s">
        <v>52</v>
      </c>
      <c r="M519" s="53" t="s">
        <v>52</v>
      </c>
      <c r="N519" s="62" t="s">
        <v>3341</v>
      </c>
      <c r="O519" s="62" t="s">
        <v>44</v>
      </c>
      <c r="P519" s="62" t="s">
        <v>3342</v>
      </c>
      <c r="Q519" s="62" t="s">
        <v>3343</v>
      </c>
      <c r="R519" s="53"/>
      <c r="S519" s="53"/>
      <c r="T519" s="82"/>
      <c r="U519" s="42"/>
      <c r="V519" s="62"/>
      <c r="W519" s="64"/>
      <c r="X519" s="223"/>
      <c r="Y519" s="223"/>
      <c r="Z519" s="223"/>
      <c r="AA519" s="223"/>
    </row>
    <row r="520">
      <c r="A520" s="42">
        <f t="shared" si="3"/>
        <v>519</v>
      </c>
      <c r="B520" s="51" t="s">
        <v>41</v>
      </c>
      <c r="C520" s="53" t="s">
        <v>3346</v>
      </c>
      <c r="D520" s="42" t="s">
        <v>44</v>
      </c>
      <c r="E520" s="42" t="s">
        <v>44</v>
      </c>
      <c r="F520" s="53" t="s">
        <v>1612</v>
      </c>
      <c r="G520" s="53" t="s">
        <v>47</v>
      </c>
      <c r="H520" s="53" t="s">
        <v>48</v>
      </c>
      <c r="I520" s="53" t="s">
        <v>485</v>
      </c>
      <c r="J520" s="53" t="s">
        <v>3225</v>
      </c>
      <c r="K520" s="53" t="s">
        <v>51</v>
      </c>
      <c r="L520" s="53" t="s">
        <v>52</v>
      </c>
      <c r="M520" s="53" t="s">
        <v>52</v>
      </c>
      <c r="N520" s="62" t="s">
        <v>3341</v>
      </c>
      <c r="O520" s="62" t="s">
        <v>44</v>
      </c>
      <c r="P520" s="62" t="s">
        <v>3347</v>
      </c>
      <c r="Q520" s="62" t="s">
        <v>3348</v>
      </c>
      <c r="R520" s="53"/>
      <c r="S520" s="53"/>
      <c r="T520" s="82"/>
      <c r="U520" s="42"/>
      <c r="V520" s="62"/>
      <c r="W520" s="64"/>
      <c r="X520" s="223"/>
      <c r="Y520" s="223"/>
      <c r="Z520" s="223"/>
      <c r="AA520" s="223"/>
    </row>
    <row r="521">
      <c r="A521" s="42">
        <f t="shared" si="3"/>
        <v>520</v>
      </c>
      <c r="B521" s="51" t="s">
        <v>41</v>
      </c>
      <c r="C521" s="53" t="s">
        <v>3351</v>
      </c>
      <c r="D521" s="42" t="s">
        <v>44</v>
      </c>
      <c r="E521" s="42" t="s">
        <v>44</v>
      </c>
      <c r="F521" s="53" t="s">
        <v>1612</v>
      </c>
      <c r="G521" s="53" t="s">
        <v>47</v>
      </c>
      <c r="H521" s="53" t="s">
        <v>48</v>
      </c>
      <c r="I521" s="53" t="s">
        <v>485</v>
      </c>
      <c r="J521" s="53" t="s">
        <v>3225</v>
      </c>
      <c r="K521" s="53" t="s">
        <v>51</v>
      </c>
      <c r="L521" s="53" t="s">
        <v>52</v>
      </c>
      <c r="M521" s="53" t="s">
        <v>52</v>
      </c>
      <c r="N521" s="62" t="s">
        <v>3227</v>
      </c>
      <c r="O521" s="62" t="s">
        <v>44</v>
      </c>
      <c r="P521" s="62" t="s">
        <v>3352</v>
      </c>
      <c r="Q521" s="62" t="s">
        <v>3353</v>
      </c>
      <c r="R521" s="53"/>
      <c r="S521" s="53"/>
      <c r="T521" s="82"/>
      <c r="U521" s="42"/>
      <c r="V521" s="62"/>
      <c r="W521" s="64"/>
      <c r="X521" s="223"/>
      <c r="Y521" s="223"/>
      <c r="Z521" s="223"/>
      <c r="AA521" s="223"/>
    </row>
    <row r="522">
      <c r="A522" s="42">
        <f t="shared" si="3"/>
        <v>521</v>
      </c>
      <c r="B522" s="51" t="s">
        <v>41</v>
      </c>
      <c r="C522" s="53" t="s">
        <v>3356</v>
      </c>
      <c r="D522" s="42" t="s">
        <v>44</v>
      </c>
      <c r="E522" s="42" t="s">
        <v>44</v>
      </c>
      <c r="F522" s="53" t="s">
        <v>1612</v>
      </c>
      <c r="G522" s="53" t="s">
        <v>47</v>
      </c>
      <c r="H522" s="53" t="s">
        <v>48</v>
      </c>
      <c r="I522" s="53" t="s">
        <v>485</v>
      </c>
      <c r="J522" s="53" t="s">
        <v>3225</v>
      </c>
      <c r="K522" s="53" t="s">
        <v>51</v>
      </c>
      <c r="L522" s="53" t="s">
        <v>52</v>
      </c>
      <c r="M522" s="53" t="s">
        <v>52</v>
      </c>
      <c r="N522" s="62" t="s">
        <v>3357</v>
      </c>
      <c r="O522" s="62" t="s">
        <v>44</v>
      </c>
      <c r="P522" s="62" t="s">
        <v>3358</v>
      </c>
      <c r="Q522" s="62" t="s">
        <v>3360</v>
      </c>
      <c r="R522" s="53"/>
      <c r="S522" s="53"/>
      <c r="T522" s="82"/>
      <c r="U522" s="42"/>
      <c r="V522" s="62"/>
      <c r="W522" s="64"/>
      <c r="X522" s="223"/>
      <c r="Y522" s="223"/>
      <c r="Z522" s="223"/>
      <c r="AA522" s="223"/>
    </row>
    <row r="523">
      <c r="A523" s="42">
        <f t="shared" si="3"/>
        <v>522</v>
      </c>
      <c r="B523" s="51" t="s">
        <v>41</v>
      </c>
      <c r="C523" s="53" t="s">
        <v>3362</v>
      </c>
      <c r="D523" s="42" t="s">
        <v>44</v>
      </c>
      <c r="E523" s="42" t="s">
        <v>44</v>
      </c>
      <c r="F523" s="53" t="s">
        <v>1612</v>
      </c>
      <c r="G523" s="53" t="s">
        <v>47</v>
      </c>
      <c r="H523" s="53" t="s">
        <v>48</v>
      </c>
      <c r="I523" s="53" t="s">
        <v>485</v>
      </c>
      <c r="J523" s="53" t="s">
        <v>3225</v>
      </c>
      <c r="K523" s="53" t="s">
        <v>51</v>
      </c>
      <c r="L523" s="53" t="s">
        <v>52</v>
      </c>
      <c r="M523" s="53" t="s">
        <v>52</v>
      </c>
      <c r="N523" s="62" t="s">
        <v>3363</v>
      </c>
      <c r="O523" s="62" t="s">
        <v>44</v>
      </c>
      <c r="P523" s="62" t="s">
        <v>3364</v>
      </c>
      <c r="Q523" s="62" t="s">
        <v>3365</v>
      </c>
      <c r="R523" s="53"/>
      <c r="S523" s="53"/>
      <c r="T523" s="82"/>
      <c r="U523" s="42"/>
      <c r="V523" s="62"/>
      <c r="W523" s="64"/>
      <c r="X523" s="223"/>
      <c r="Y523" s="223"/>
      <c r="Z523" s="223"/>
      <c r="AA523" s="223"/>
    </row>
    <row r="524">
      <c r="A524" s="42">
        <f t="shared" si="3"/>
        <v>523</v>
      </c>
      <c r="B524" s="51" t="s">
        <v>41</v>
      </c>
      <c r="C524" s="53" t="s">
        <v>3368</v>
      </c>
      <c r="D524" s="42" t="s">
        <v>44</v>
      </c>
      <c r="E524" s="42" t="s">
        <v>44</v>
      </c>
      <c r="F524" s="53" t="s">
        <v>1612</v>
      </c>
      <c r="G524" s="53" t="s">
        <v>47</v>
      </c>
      <c r="H524" s="53" t="s">
        <v>48</v>
      </c>
      <c r="I524" s="53" t="s">
        <v>485</v>
      </c>
      <c r="J524" s="53" t="s">
        <v>3225</v>
      </c>
      <c r="K524" s="53" t="s">
        <v>51</v>
      </c>
      <c r="L524" s="53" t="s">
        <v>52</v>
      </c>
      <c r="M524" s="53" t="s">
        <v>52</v>
      </c>
      <c r="N524" s="62" t="s">
        <v>3369</v>
      </c>
      <c r="O524" s="62" t="s">
        <v>44</v>
      </c>
      <c r="P524" s="62" t="s">
        <v>3370</v>
      </c>
      <c r="Q524" s="62" t="s">
        <v>3372</v>
      </c>
      <c r="R524" s="53"/>
      <c r="S524" s="53"/>
      <c r="T524" s="82"/>
      <c r="U524" s="42"/>
      <c r="V524" s="62"/>
      <c r="W524" s="64"/>
      <c r="X524" s="223"/>
      <c r="Y524" s="223"/>
      <c r="Z524" s="223"/>
      <c r="AA524" s="223"/>
    </row>
    <row r="525">
      <c r="A525" s="42">
        <f t="shared" si="3"/>
        <v>524</v>
      </c>
      <c r="B525" s="51" t="s">
        <v>41</v>
      </c>
      <c r="C525" s="53" t="s">
        <v>3374</v>
      </c>
      <c r="D525" s="42" t="s">
        <v>44</v>
      </c>
      <c r="E525" s="42" t="s">
        <v>44</v>
      </c>
      <c r="F525" s="53" t="s">
        <v>1612</v>
      </c>
      <c r="G525" s="53" t="s">
        <v>47</v>
      </c>
      <c r="H525" s="53" t="s">
        <v>95</v>
      </c>
      <c r="I525" s="53" t="s">
        <v>485</v>
      </c>
      <c r="J525" s="53" t="s">
        <v>3225</v>
      </c>
      <c r="K525" s="53" t="s">
        <v>51</v>
      </c>
      <c r="L525" s="53" t="s">
        <v>52</v>
      </c>
      <c r="M525" s="53" t="s">
        <v>52</v>
      </c>
      <c r="N525" s="62" t="s">
        <v>3376</v>
      </c>
      <c r="O525" s="62" t="s">
        <v>44</v>
      </c>
      <c r="P525" s="62" t="s">
        <v>3370</v>
      </c>
      <c r="Q525" s="62" t="s">
        <v>3377</v>
      </c>
      <c r="R525" s="53"/>
      <c r="S525" s="53"/>
      <c r="T525" s="82"/>
      <c r="U525" s="42"/>
      <c r="V525" s="62"/>
      <c r="W525" s="64"/>
      <c r="X525" s="223"/>
      <c r="Y525" s="223"/>
      <c r="Z525" s="223"/>
      <c r="AA525" s="223"/>
    </row>
    <row r="526">
      <c r="A526" s="42">
        <f t="shared" si="3"/>
        <v>525</v>
      </c>
      <c r="B526" s="51" t="s">
        <v>41</v>
      </c>
      <c r="C526" s="53" t="s">
        <v>3379</v>
      </c>
      <c r="D526" s="42" t="s">
        <v>44</v>
      </c>
      <c r="E526" s="42" t="s">
        <v>44</v>
      </c>
      <c r="F526" s="53" t="s">
        <v>1612</v>
      </c>
      <c r="G526" s="53" t="s">
        <v>85</v>
      </c>
      <c r="H526" s="53" t="s">
        <v>86</v>
      </c>
      <c r="I526" s="53" t="s">
        <v>485</v>
      </c>
      <c r="J526" s="53" t="s">
        <v>3225</v>
      </c>
      <c r="K526" s="53" t="s">
        <v>51</v>
      </c>
      <c r="L526" s="53" t="s">
        <v>52</v>
      </c>
      <c r="M526" s="53" t="s">
        <v>52</v>
      </c>
      <c r="N526" s="62" t="s">
        <v>3227</v>
      </c>
      <c r="O526" s="62" t="s">
        <v>44</v>
      </c>
      <c r="P526" s="62" t="s">
        <v>2051</v>
      </c>
      <c r="Q526" s="62" t="s">
        <v>3381</v>
      </c>
      <c r="R526" s="53"/>
      <c r="S526" s="53"/>
      <c r="T526" s="82"/>
      <c r="U526" s="42"/>
      <c r="V526" s="62"/>
      <c r="W526" s="64"/>
      <c r="X526" s="223"/>
      <c r="Y526" s="223"/>
      <c r="Z526" s="223"/>
      <c r="AA526" s="223"/>
    </row>
    <row r="527">
      <c r="A527" s="42">
        <f t="shared" si="3"/>
        <v>526</v>
      </c>
      <c r="B527" s="51" t="s">
        <v>41</v>
      </c>
      <c r="C527" s="53" t="s">
        <v>3383</v>
      </c>
      <c r="D527" s="42" t="s">
        <v>44</v>
      </c>
      <c r="E527" s="42" t="s">
        <v>44</v>
      </c>
      <c r="F527" s="53" t="s">
        <v>1612</v>
      </c>
      <c r="G527" s="53" t="s">
        <v>47</v>
      </c>
      <c r="H527" s="53" t="s">
        <v>48</v>
      </c>
      <c r="I527" s="53" t="s">
        <v>485</v>
      </c>
      <c r="J527" s="53" t="s">
        <v>3225</v>
      </c>
      <c r="K527" s="53" t="s">
        <v>51</v>
      </c>
      <c r="L527" s="53" t="s">
        <v>52</v>
      </c>
      <c r="M527" s="53" t="s">
        <v>52</v>
      </c>
      <c r="N527" s="62" t="s">
        <v>3227</v>
      </c>
      <c r="O527" s="62" t="s">
        <v>44</v>
      </c>
      <c r="P527" s="62" t="s">
        <v>2574</v>
      </c>
      <c r="Q527" s="62" t="s">
        <v>3386</v>
      </c>
      <c r="R527" s="53"/>
      <c r="S527" s="53"/>
      <c r="T527" s="82"/>
      <c r="U527" s="42"/>
      <c r="V527" s="62"/>
      <c r="W527" s="64"/>
      <c r="X527" s="223"/>
      <c r="Y527" s="223"/>
      <c r="Z527" s="223"/>
      <c r="AA527" s="223"/>
    </row>
    <row r="528">
      <c r="A528" s="42">
        <f t="shared" si="3"/>
        <v>527</v>
      </c>
      <c r="B528" s="51" t="s">
        <v>41</v>
      </c>
      <c r="C528" s="53" t="s">
        <v>3387</v>
      </c>
      <c r="D528" s="42" t="s">
        <v>44</v>
      </c>
      <c r="E528" s="42" t="s">
        <v>44</v>
      </c>
      <c r="F528" s="53" t="s">
        <v>1612</v>
      </c>
      <c r="G528" s="53" t="s">
        <v>47</v>
      </c>
      <c r="H528" s="53" t="s">
        <v>48</v>
      </c>
      <c r="I528" s="53" t="s">
        <v>485</v>
      </c>
      <c r="J528" s="53" t="s">
        <v>3225</v>
      </c>
      <c r="K528" s="53" t="s">
        <v>51</v>
      </c>
      <c r="L528" s="53" t="s">
        <v>52</v>
      </c>
      <c r="M528" s="53" t="s">
        <v>52</v>
      </c>
      <c r="N528" s="62" t="s">
        <v>3390</v>
      </c>
      <c r="O528" s="62" t="s">
        <v>44</v>
      </c>
      <c r="P528" s="62" t="s">
        <v>3391</v>
      </c>
      <c r="Q528" s="62" t="s">
        <v>3392</v>
      </c>
      <c r="R528" s="53"/>
      <c r="S528" s="53"/>
      <c r="T528" s="82"/>
      <c r="U528" s="42"/>
      <c r="V528" s="62"/>
      <c r="W528" s="64"/>
      <c r="X528" s="223"/>
      <c r="Y528" s="223"/>
      <c r="Z528" s="223"/>
      <c r="AA528" s="223"/>
    </row>
    <row r="529">
      <c r="A529" s="42">
        <f t="shared" si="3"/>
        <v>528</v>
      </c>
      <c r="B529" s="51" t="s">
        <v>41</v>
      </c>
      <c r="C529" s="53" t="s">
        <v>3393</v>
      </c>
      <c r="D529" s="42" t="s">
        <v>44</v>
      </c>
      <c r="E529" s="42" t="s">
        <v>44</v>
      </c>
      <c r="F529" s="53" t="s">
        <v>1612</v>
      </c>
      <c r="G529" s="53" t="s">
        <v>47</v>
      </c>
      <c r="H529" s="53" t="s">
        <v>95</v>
      </c>
      <c r="I529" s="53" t="s">
        <v>485</v>
      </c>
      <c r="J529" s="53" t="s">
        <v>3225</v>
      </c>
      <c r="K529" s="53" t="s">
        <v>51</v>
      </c>
      <c r="L529" s="53" t="s">
        <v>52</v>
      </c>
      <c r="M529" s="53" t="s">
        <v>52</v>
      </c>
      <c r="N529" s="62" t="s">
        <v>3396</v>
      </c>
      <c r="O529" s="62" t="s">
        <v>44</v>
      </c>
      <c r="P529" s="62" t="s">
        <v>3336</v>
      </c>
      <c r="Q529" s="62" t="s">
        <v>3397</v>
      </c>
      <c r="R529" s="53"/>
      <c r="S529" s="53"/>
      <c r="T529" s="82"/>
      <c r="U529" s="53"/>
      <c r="V529" s="62"/>
      <c r="W529" s="64"/>
      <c r="X529" s="223"/>
      <c r="Y529" s="223"/>
      <c r="Z529" s="223"/>
      <c r="AA529" s="223"/>
    </row>
    <row r="530">
      <c r="A530" s="42">
        <f t="shared" si="3"/>
        <v>529</v>
      </c>
      <c r="B530" s="51" t="s">
        <v>41</v>
      </c>
      <c r="C530" s="53" t="s">
        <v>3400</v>
      </c>
      <c r="D530" s="42" t="s">
        <v>44</v>
      </c>
      <c r="E530" s="42" t="s">
        <v>44</v>
      </c>
      <c r="F530" s="53" t="s">
        <v>1612</v>
      </c>
      <c r="G530" s="53" t="s">
        <v>197</v>
      </c>
      <c r="H530" s="53" t="s">
        <v>112</v>
      </c>
      <c r="I530" s="53" t="s">
        <v>485</v>
      </c>
      <c r="J530" s="53" t="s">
        <v>3225</v>
      </c>
      <c r="K530" s="53" t="s">
        <v>51</v>
      </c>
      <c r="L530" s="53" t="s">
        <v>52</v>
      </c>
      <c r="M530" s="53" t="s">
        <v>52</v>
      </c>
      <c r="N530" s="62" t="s">
        <v>3401</v>
      </c>
      <c r="O530" s="62" t="s">
        <v>44</v>
      </c>
      <c r="P530" s="62" t="s">
        <v>3402</v>
      </c>
      <c r="Q530" s="62" t="s">
        <v>3403</v>
      </c>
      <c r="R530" s="53"/>
      <c r="S530" s="53"/>
      <c r="T530" s="82"/>
      <c r="U530" s="42"/>
      <c r="V530" s="62"/>
      <c r="W530" s="64"/>
      <c r="X530" s="223"/>
      <c r="Y530" s="223"/>
      <c r="Z530" s="223"/>
      <c r="AA530" s="223"/>
    </row>
    <row r="531">
      <c r="A531" s="42">
        <f t="shared" si="3"/>
        <v>530</v>
      </c>
      <c r="B531" s="51" t="s">
        <v>41</v>
      </c>
      <c r="C531" s="53" t="s">
        <v>3407</v>
      </c>
      <c r="D531" s="42" t="s">
        <v>44</v>
      </c>
      <c r="E531" s="42" t="s">
        <v>44</v>
      </c>
      <c r="F531" s="53" t="s">
        <v>1612</v>
      </c>
      <c r="G531" s="53" t="s">
        <v>47</v>
      </c>
      <c r="H531" s="53" t="s">
        <v>48</v>
      </c>
      <c r="I531" s="53" t="s">
        <v>485</v>
      </c>
      <c r="J531" s="53" t="s">
        <v>1614</v>
      </c>
      <c r="K531" s="53" t="s">
        <v>1615</v>
      </c>
      <c r="L531" s="53" t="s">
        <v>52</v>
      </c>
      <c r="M531" s="53" t="s">
        <v>52</v>
      </c>
      <c r="N531" s="62" t="s">
        <v>1616</v>
      </c>
      <c r="O531" s="62" t="s">
        <v>44</v>
      </c>
      <c r="P531" s="62" t="s">
        <v>3409</v>
      </c>
      <c r="Q531" s="62" t="s">
        <v>3410</v>
      </c>
      <c r="R531" s="53"/>
      <c r="S531" s="53"/>
      <c r="T531" s="82"/>
      <c r="U531" s="53"/>
      <c r="V531" s="62"/>
      <c r="W531" s="64"/>
      <c r="X531" s="223"/>
      <c r="Y531" s="223"/>
      <c r="Z531" s="223"/>
      <c r="AA531" s="223"/>
    </row>
    <row r="532">
      <c r="A532" s="42">
        <f t="shared" si="3"/>
        <v>531</v>
      </c>
      <c r="B532" s="51" t="s">
        <v>41</v>
      </c>
      <c r="C532" s="53" t="s">
        <v>3412</v>
      </c>
      <c r="D532" s="42" t="s">
        <v>44</v>
      </c>
      <c r="E532" s="42" t="s">
        <v>44</v>
      </c>
      <c r="F532" s="53" t="s">
        <v>1612</v>
      </c>
      <c r="G532" s="53" t="s">
        <v>47</v>
      </c>
      <c r="H532" s="53" t="s">
        <v>48</v>
      </c>
      <c r="I532" s="53" t="s">
        <v>485</v>
      </c>
      <c r="J532" s="53" t="s">
        <v>1614</v>
      </c>
      <c r="K532" s="53" t="s">
        <v>1615</v>
      </c>
      <c r="L532" s="53" t="s">
        <v>52</v>
      </c>
      <c r="M532" s="53" t="s">
        <v>52</v>
      </c>
      <c r="N532" s="62" t="s">
        <v>1616</v>
      </c>
      <c r="O532" s="62" t="s">
        <v>44</v>
      </c>
      <c r="P532" s="62" t="s">
        <v>3414</v>
      </c>
      <c r="Q532" s="62" t="s">
        <v>3415</v>
      </c>
      <c r="R532" s="53"/>
      <c r="S532" s="53"/>
      <c r="T532" s="82"/>
      <c r="U532" s="42"/>
      <c r="V532" s="62"/>
      <c r="W532" s="64"/>
      <c r="X532" s="223"/>
      <c r="Y532" s="223"/>
      <c r="Z532" s="223"/>
      <c r="AA532" s="223"/>
    </row>
    <row r="533">
      <c r="A533" s="42">
        <f t="shared" si="3"/>
        <v>532</v>
      </c>
      <c r="B533" s="51" t="s">
        <v>41</v>
      </c>
      <c r="C533" s="53" t="s">
        <v>3417</v>
      </c>
      <c r="D533" s="42" t="s">
        <v>44</v>
      </c>
      <c r="E533" s="42" t="s">
        <v>44</v>
      </c>
      <c r="F533" s="53" t="s">
        <v>1612</v>
      </c>
      <c r="G533" s="53" t="s">
        <v>111</v>
      </c>
      <c r="H533" s="53" t="s">
        <v>91</v>
      </c>
      <c r="I533" s="53" t="s">
        <v>485</v>
      </c>
      <c r="J533" s="53" t="s">
        <v>1614</v>
      </c>
      <c r="K533" s="53" t="s">
        <v>1615</v>
      </c>
      <c r="L533" s="53" t="s">
        <v>52</v>
      </c>
      <c r="M533" s="53" t="s">
        <v>52</v>
      </c>
      <c r="N533" s="62" t="s">
        <v>1616</v>
      </c>
      <c r="O533" s="62" t="s">
        <v>44</v>
      </c>
      <c r="P533" s="62" t="s">
        <v>3419</v>
      </c>
      <c r="Q533" s="62" t="s">
        <v>3420</v>
      </c>
      <c r="R533" s="53"/>
      <c r="S533" s="53"/>
      <c r="T533" s="82"/>
      <c r="U533" s="42"/>
      <c r="V533" s="62"/>
      <c r="W533" s="64"/>
      <c r="X533" s="223"/>
      <c r="Y533" s="223"/>
      <c r="Z533" s="223"/>
      <c r="AA533" s="223"/>
    </row>
    <row r="534">
      <c r="A534" s="42">
        <f t="shared" si="3"/>
        <v>533</v>
      </c>
      <c r="B534" s="51" t="s">
        <v>41</v>
      </c>
      <c r="C534" s="53" t="s">
        <v>3422</v>
      </c>
      <c r="D534" s="42" t="s">
        <v>44</v>
      </c>
      <c r="E534" s="42" t="s">
        <v>44</v>
      </c>
      <c r="F534" s="53" t="s">
        <v>1612</v>
      </c>
      <c r="G534" s="53" t="s">
        <v>47</v>
      </c>
      <c r="H534" s="53" t="s">
        <v>95</v>
      </c>
      <c r="I534" s="53" t="s">
        <v>485</v>
      </c>
      <c r="J534" s="53" t="s">
        <v>1614</v>
      </c>
      <c r="K534" s="53" t="s">
        <v>1615</v>
      </c>
      <c r="L534" s="53" t="s">
        <v>52</v>
      </c>
      <c r="M534" s="53" t="s">
        <v>52</v>
      </c>
      <c r="N534" s="62" t="s">
        <v>3424</v>
      </c>
      <c r="O534" s="62" t="s">
        <v>44</v>
      </c>
      <c r="P534" s="62" t="s">
        <v>3426</v>
      </c>
      <c r="Q534" s="62" t="s">
        <v>3427</v>
      </c>
      <c r="R534" s="53"/>
      <c r="S534" s="53"/>
      <c r="T534" s="82"/>
      <c r="U534" s="42"/>
      <c r="V534" s="62"/>
      <c r="W534" s="64"/>
      <c r="X534" s="223"/>
      <c r="Y534" s="223"/>
      <c r="Z534" s="223"/>
      <c r="AA534" s="223"/>
    </row>
    <row r="535">
      <c r="A535" s="42">
        <f t="shared" si="3"/>
        <v>534</v>
      </c>
      <c r="B535" s="51" t="s">
        <v>41</v>
      </c>
      <c r="C535" s="53" t="s">
        <v>3429</v>
      </c>
      <c r="D535" s="42" t="s">
        <v>44</v>
      </c>
      <c r="E535" s="42" t="s">
        <v>44</v>
      </c>
      <c r="F535" s="53" t="s">
        <v>1612</v>
      </c>
      <c r="G535" s="53" t="s">
        <v>47</v>
      </c>
      <c r="H535" s="53" t="s">
        <v>48</v>
      </c>
      <c r="I535" s="53" t="s">
        <v>485</v>
      </c>
      <c r="J535" s="53" t="s">
        <v>1614</v>
      </c>
      <c r="K535" s="53" t="s">
        <v>1615</v>
      </c>
      <c r="L535" s="53" t="s">
        <v>52</v>
      </c>
      <c r="M535" s="53" t="s">
        <v>52</v>
      </c>
      <c r="N535" s="62" t="s">
        <v>1616</v>
      </c>
      <c r="O535" s="62" t="s">
        <v>44</v>
      </c>
      <c r="P535" s="62" t="s">
        <v>3431</v>
      </c>
      <c r="Q535" s="62" t="s">
        <v>3432</v>
      </c>
      <c r="R535" s="53"/>
      <c r="S535" s="53"/>
      <c r="T535" s="82"/>
      <c r="U535" s="42"/>
      <c r="V535" s="62"/>
      <c r="W535" s="64"/>
      <c r="X535" s="319"/>
      <c r="Y535" s="319"/>
      <c r="Z535" s="319"/>
      <c r="AA535" s="319"/>
    </row>
    <row r="536">
      <c r="A536" s="42">
        <f t="shared" si="3"/>
        <v>535</v>
      </c>
      <c r="B536" s="51" t="s">
        <v>41</v>
      </c>
      <c r="C536" s="53" t="s">
        <v>3436</v>
      </c>
      <c r="D536" s="42" t="s">
        <v>44</v>
      </c>
      <c r="E536" s="42" t="s">
        <v>44</v>
      </c>
      <c r="F536" s="53" t="s">
        <v>1612</v>
      </c>
      <c r="G536" s="53" t="s">
        <v>111</v>
      </c>
      <c r="H536" s="53" t="s">
        <v>112</v>
      </c>
      <c r="I536" s="53" t="s">
        <v>485</v>
      </c>
      <c r="J536" s="53" t="s">
        <v>1614</v>
      </c>
      <c r="K536" s="53" t="s">
        <v>1615</v>
      </c>
      <c r="L536" s="53" t="s">
        <v>52</v>
      </c>
      <c r="M536" s="53" t="s">
        <v>52</v>
      </c>
      <c r="N536" s="62" t="s">
        <v>3437</v>
      </c>
      <c r="O536" s="62" t="s">
        <v>44</v>
      </c>
      <c r="P536" s="62" t="s">
        <v>1545</v>
      </c>
      <c r="Q536" s="62" t="s">
        <v>3438</v>
      </c>
      <c r="R536" s="53"/>
      <c r="S536" s="53"/>
      <c r="T536" s="82"/>
      <c r="U536" s="42"/>
      <c r="V536" s="62"/>
      <c r="W536" s="64"/>
      <c r="X536" s="223"/>
      <c r="Y536" s="223"/>
      <c r="Z536" s="223"/>
      <c r="AA536" s="223"/>
    </row>
    <row r="537">
      <c r="A537" s="42">
        <f t="shared" si="3"/>
        <v>536</v>
      </c>
      <c r="B537" s="51" t="s">
        <v>41</v>
      </c>
      <c r="C537" s="53" t="s">
        <v>3441</v>
      </c>
      <c r="D537" s="42" t="s">
        <v>44</v>
      </c>
      <c r="E537" s="42" t="s">
        <v>44</v>
      </c>
      <c r="F537" s="53" t="s">
        <v>1612</v>
      </c>
      <c r="G537" s="53" t="s">
        <v>197</v>
      </c>
      <c r="H537" s="53" t="s">
        <v>198</v>
      </c>
      <c r="I537" s="53" t="s">
        <v>485</v>
      </c>
      <c r="J537" s="53" t="s">
        <v>1614</v>
      </c>
      <c r="K537" s="53" t="s">
        <v>1615</v>
      </c>
      <c r="L537" s="53" t="s">
        <v>52</v>
      </c>
      <c r="M537" s="53" t="s">
        <v>52</v>
      </c>
      <c r="N537" s="62" t="s">
        <v>3442</v>
      </c>
      <c r="O537" s="62" t="s">
        <v>44</v>
      </c>
      <c r="P537" s="62" t="s">
        <v>1545</v>
      </c>
      <c r="Q537" s="62" t="s">
        <v>3443</v>
      </c>
      <c r="R537" s="53"/>
      <c r="S537" s="53"/>
      <c r="T537" s="82"/>
      <c r="U537" s="42"/>
      <c r="V537" s="62"/>
      <c r="W537" s="64"/>
      <c r="X537" s="223"/>
      <c r="Y537" s="223"/>
      <c r="Z537" s="223"/>
      <c r="AA537" s="223"/>
    </row>
    <row r="538">
      <c r="A538" s="42">
        <f t="shared" si="3"/>
        <v>537</v>
      </c>
      <c r="B538" s="51" t="s">
        <v>41</v>
      </c>
      <c r="C538" s="53" t="s">
        <v>3446</v>
      </c>
      <c r="D538" s="42" t="s">
        <v>44</v>
      </c>
      <c r="E538" s="42" t="s">
        <v>44</v>
      </c>
      <c r="F538" s="53" t="s">
        <v>1612</v>
      </c>
      <c r="G538" s="53" t="s">
        <v>47</v>
      </c>
      <c r="H538" s="53" t="s">
        <v>95</v>
      </c>
      <c r="I538" s="53" t="s">
        <v>485</v>
      </c>
      <c r="J538" s="53" t="s">
        <v>1614</v>
      </c>
      <c r="K538" s="53" t="s">
        <v>1615</v>
      </c>
      <c r="L538" s="53" t="s">
        <v>52</v>
      </c>
      <c r="M538" s="53" t="s">
        <v>52</v>
      </c>
      <c r="N538" s="62" t="s">
        <v>3447</v>
      </c>
      <c r="O538" s="62" t="s">
        <v>44</v>
      </c>
      <c r="P538" s="62" t="s">
        <v>3448</v>
      </c>
      <c r="Q538" s="62" t="s">
        <v>3449</v>
      </c>
      <c r="R538" s="53"/>
      <c r="S538" s="53"/>
      <c r="T538" s="82"/>
      <c r="U538" s="42"/>
      <c r="V538" s="62"/>
      <c r="W538" s="64"/>
      <c r="X538" s="223"/>
      <c r="Y538" s="223"/>
      <c r="Z538" s="223"/>
      <c r="AA538" s="223"/>
    </row>
    <row r="539">
      <c r="A539" s="42">
        <f t="shared" si="3"/>
        <v>538</v>
      </c>
      <c r="B539" s="51" t="s">
        <v>41</v>
      </c>
      <c r="C539" s="53" t="s">
        <v>3452</v>
      </c>
      <c r="D539" s="42" t="s">
        <v>44</v>
      </c>
      <c r="E539" s="42" t="s">
        <v>44</v>
      </c>
      <c r="F539" s="53" t="s">
        <v>1612</v>
      </c>
      <c r="G539" s="53" t="s">
        <v>47</v>
      </c>
      <c r="H539" s="53" t="s">
        <v>95</v>
      </c>
      <c r="I539" s="53" t="s">
        <v>485</v>
      </c>
      <c r="J539" s="53" t="s">
        <v>1614</v>
      </c>
      <c r="K539" s="53" t="s">
        <v>1615</v>
      </c>
      <c r="L539" s="53" t="s">
        <v>52</v>
      </c>
      <c r="M539" s="53" t="s">
        <v>52</v>
      </c>
      <c r="N539" s="62" t="s">
        <v>3437</v>
      </c>
      <c r="O539" s="62" t="s">
        <v>44</v>
      </c>
      <c r="P539" s="62" t="s">
        <v>3455</v>
      </c>
      <c r="Q539" s="62" t="s">
        <v>3456</v>
      </c>
      <c r="R539" s="53"/>
      <c r="S539" s="53"/>
      <c r="T539" s="82"/>
      <c r="U539" s="42"/>
      <c r="V539" s="62"/>
      <c r="W539" s="64"/>
      <c r="X539" s="223"/>
      <c r="Y539" s="223"/>
      <c r="Z539" s="223"/>
      <c r="AA539" s="223"/>
    </row>
    <row r="540">
      <c r="A540" s="42">
        <f t="shared" si="3"/>
        <v>539</v>
      </c>
      <c r="B540" s="51" t="s">
        <v>41</v>
      </c>
      <c r="C540" s="53" t="s">
        <v>3458</v>
      </c>
      <c r="D540" s="42" t="s">
        <v>44</v>
      </c>
      <c r="E540" s="42" t="s">
        <v>44</v>
      </c>
      <c r="F540" s="53" t="s">
        <v>3459</v>
      </c>
      <c r="G540" s="53" t="s">
        <v>47</v>
      </c>
      <c r="H540" s="53" t="s">
        <v>95</v>
      </c>
      <c r="I540" s="53" t="s">
        <v>485</v>
      </c>
      <c r="J540" s="53" t="s">
        <v>3460</v>
      </c>
      <c r="K540" s="53" t="s">
        <v>1615</v>
      </c>
      <c r="L540" s="53" t="s">
        <v>52</v>
      </c>
      <c r="M540" s="53" t="s">
        <v>52</v>
      </c>
      <c r="N540" s="62" t="s">
        <v>3461</v>
      </c>
      <c r="O540" s="62" t="s">
        <v>44</v>
      </c>
      <c r="P540" s="62" t="s">
        <v>3463</v>
      </c>
      <c r="Q540" s="62" t="s">
        <v>3465</v>
      </c>
      <c r="R540" s="53"/>
      <c r="S540" s="53"/>
      <c r="T540" s="82"/>
      <c r="U540" s="53"/>
      <c r="V540" s="62"/>
      <c r="W540" s="64"/>
      <c r="X540" s="223"/>
      <c r="Y540" s="223"/>
      <c r="Z540" s="223"/>
      <c r="AA540" s="223"/>
    </row>
    <row r="541">
      <c r="A541" s="42">
        <f t="shared" si="3"/>
        <v>540</v>
      </c>
      <c r="B541" s="51" t="s">
        <v>41</v>
      </c>
      <c r="C541" s="53" t="s">
        <v>3467</v>
      </c>
      <c r="D541" s="42" t="s">
        <v>44</v>
      </c>
      <c r="E541" s="42" t="s">
        <v>44</v>
      </c>
      <c r="F541" s="53" t="s">
        <v>3459</v>
      </c>
      <c r="G541" s="53" t="s">
        <v>47</v>
      </c>
      <c r="H541" s="53" t="s">
        <v>48</v>
      </c>
      <c r="I541" s="53" t="s">
        <v>485</v>
      </c>
      <c r="J541" s="53" t="s">
        <v>3460</v>
      </c>
      <c r="K541" s="53" t="s">
        <v>1615</v>
      </c>
      <c r="L541" s="53" t="s">
        <v>52</v>
      </c>
      <c r="M541" s="53" t="s">
        <v>52</v>
      </c>
      <c r="N541" s="62" t="s">
        <v>3470</v>
      </c>
      <c r="O541" s="62" t="s">
        <v>44</v>
      </c>
      <c r="P541" s="62" t="s">
        <v>3471</v>
      </c>
      <c r="Q541" s="62" t="s">
        <v>3473</v>
      </c>
      <c r="R541" s="53"/>
      <c r="S541" s="53"/>
      <c r="T541" s="82"/>
      <c r="U541" s="42"/>
      <c r="V541" s="62"/>
      <c r="W541" s="64"/>
      <c r="X541" s="223"/>
      <c r="Y541" s="223"/>
      <c r="Z541" s="223"/>
      <c r="AA541" s="223"/>
    </row>
    <row r="542">
      <c r="A542" s="42">
        <f t="shared" si="3"/>
        <v>541</v>
      </c>
      <c r="B542" s="51" t="s">
        <v>41</v>
      </c>
      <c r="C542" s="53" t="s">
        <v>3474</v>
      </c>
      <c r="D542" s="42" t="s">
        <v>44</v>
      </c>
      <c r="E542" s="42" t="s">
        <v>44</v>
      </c>
      <c r="F542" s="53" t="s">
        <v>3459</v>
      </c>
      <c r="G542" s="53" t="s">
        <v>197</v>
      </c>
      <c r="H542" s="53" t="s">
        <v>91</v>
      </c>
      <c r="I542" s="53" t="s">
        <v>485</v>
      </c>
      <c r="J542" s="53" t="s">
        <v>3460</v>
      </c>
      <c r="K542" s="53" t="s">
        <v>1615</v>
      </c>
      <c r="L542" s="53" t="s">
        <v>52</v>
      </c>
      <c r="M542" s="53" t="s">
        <v>52</v>
      </c>
      <c r="N542" s="62" t="s">
        <v>3476</v>
      </c>
      <c r="O542" s="62" t="s">
        <v>44</v>
      </c>
      <c r="P542" s="62" t="s">
        <v>3477</v>
      </c>
      <c r="Q542" s="62" t="s">
        <v>3479</v>
      </c>
      <c r="R542" s="53"/>
      <c r="S542" s="53"/>
      <c r="T542" s="82"/>
      <c r="U542" s="42"/>
      <c r="V542" s="62"/>
      <c r="W542" s="64"/>
      <c r="X542" s="223"/>
      <c r="Y542" s="223"/>
      <c r="Z542" s="223"/>
      <c r="AA542" s="223"/>
    </row>
    <row r="543">
      <c r="A543" s="42">
        <f t="shared" si="3"/>
        <v>542</v>
      </c>
      <c r="B543" s="51" t="s">
        <v>41</v>
      </c>
      <c r="C543" s="53" t="s">
        <v>3481</v>
      </c>
      <c r="D543" s="42" t="s">
        <v>44</v>
      </c>
      <c r="E543" s="42" t="s">
        <v>44</v>
      </c>
      <c r="F543" s="53" t="s">
        <v>3459</v>
      </c>
      <c r="G543" s="53" t="s">
        <v>47</v>
      </c>
      <c r="H543" s="53" t="s">
        <v>48</v>
      </c>
      <c r="I543" s="53" t="s">
        <v>485</v>
      </c>
      <c r="J543" s="53" t="s">
        <v>3460</v>
      </c>
      <c r="K543" s="53" t="s">
        <v>1615</v>
      </c>
      <c r="L543" s="53" t="s">
        <v>52</v>
      </c>
      <c r="M543" s="53" t="s">
        <v>52</v>
      </c>
      <c r="N543" s="62" t="s">
        <v>3482</v>
      </c>
      <c r="O543" s="62" t="s">
        <v>44</v>
      </c>
      <c r="P543" s="62" t="s">
        <v>3484</v>
      </c>
      <c r="Q543" s="62" t="s">
        <v>3485</v>
      </c>
      <c r="R543" s="53"/>
      <c r="S543" s="53"/>
      <c r="T543" s="82"/>
      <c r="U543" s="42"/>
      <c r="V543" s="62"/>
      <c r="W543" s="64"/>
      <c r="X543" s="223"/>
      <c r="Y543" s="223"/>
      <c r="Z543" s="223"/>
      <c r="AA543" s="223"/>
    </row>
    <row r="544">
      <c r="A544" s="42">
        <f t="shared" si="3"/>
        <v>543</v>
      </c>
      <c r="B544" s="51" t="s">
        <v>41</v>
      </c>
      <c r="C544" s="53" t="s">
        <v>3487</v>
      </c>
      <c r="D544" s="42" t="s">
        <v>44</v>
      </c>
      <c r="E544" s="42" t="s">
        <v>44</v>
      </c>
      <c r="F544" s="53" t="s">
        <v>3459</v>
      </c>
      <c r="G544" s="53" t="s">
        <v>47</v>
      </c>
      <c r="H544" s="53" t="s">
        <v>48</v>
      </c>
      <c r="I544" s="53" t="s">
        <v>485</v>
      </c>
      <c r="J544" s="53" t="s">
        <v>3460</v>
      </c>
      <c r="K544" s="53" t="s">
        <v>1615</v>
      </c>
      <c r="L544" s="53" t="s">
        <v>52</v>
      </c>
      <c r="M544" s="53" t="s">
        <v>52</v>
      </c>
      <c r="N544" s="62" t="s">
        <v>3488</v>
      </c>
      <c r="O544" s="62" t="s">
        <v>44</v>
      </c>
      <c r="P544" s="62" t="s">
        <v>3490</v>
      </c>
      <c r="Q544" s="62" t="s">
        <v>3491</v>
      </c>
      <c r="R544" s="53"/>
      <c r="S544" s="53"/>
      <c r="T544" s="82"/>
      <c r="U544" s="42"/>
      <c r="V544" s="62"/>
      <c r="W544" s="64"/>
      <c r="X544" s="223"/>
      <c r="Y544" s="223"/>
      <c r="Z544" s="223"/>
      <c r="AA544" s="223"/>
    </row>
    <row r="545">
      <c r="A545" s="42">
        <f t="shared" si="3"/>
        <v>544</v>
      </c>
      <c r="B545" s="51" t="s">
        <v>41</v>
      </c>
      <c r="C545" s="53" t="s">
        <v>3493</v>
      </c>
      <c r="D545" s="42" t="s">
        <v>44</v>
      </c>
      <c r="E545" s="42" t="s">
        <v>44</v>
      </c>
      <c r="F545" s="53" t="s">
        <v>3459</v>
      </c>
      <c r="G545" s="53" t="s">
        <v>47</v>
      </c>
      <c r="H545" s="53" t="s">
        <v>48</v>
      </c>
      <c r="I545" s="53" t="s">
        <v>485</v>
      </c>
      <c r="J545" s="53" t="s">
        <v>3460</v>
      </c>
      <c r="K545" s="53" t="s">
        <v>1615</v>
      </c>
      <c r="L545" s="53" t="s">
        <v>52</v>
      </c>
      <c r="M545" s="53" t="s">
        <v>52</v>
      </c>
      <c r="N545" s="62" t="s">
        <v>3494</v>
      </c>
      <c r="O545" s="62" t="s">
        <v>44</v>
      </c>
      <c r="P545" s="62" t="s">
        <v>3496</v>
      </c>
      <c r="Q545" s="62" t="s">
        <v>3491</v>
      </c>
      <c r="R545" s="53"/>
      <c r="S545" s="53"/>
      <c r="T545" s="82"/>
      <c r="U545" s="42"/>
      <c r="V545" s="62"/>
      <c r="W545" s="64"/>
      <c r="X545" s="223"/>
      <c r="Y545" s="223"/>
      <c r="Z545" s="223"/>
      <c r="AA545" s="223"/>
    </row>
    <row r="546">
      <c r="A546" s="42">
        <f t="shared" si="3"/>
        <v>545</v>
      </c>
      <c r="B546" s="51" t="s">
        <v>41</v>
      </c>
      <c r="C546" s="53" t="s">
        <v>3498</v>
      </c>
      <c r="D546" s="42" t="s">
        <v>44</v>
      </c>
      <c r="E546" s="42" t="s">
        <v>44</v>
      </c>
      <c r="F546" s="53" t="s">
        <v>3459</v>
      </c>
      <c r="G546" s="53" t="s">
        <v>47</v>
      </c>
      <c r="H546" s="53" t="s">
        <v>48</v>
      </c>
      <c r="I546" s="53" t="s">
        <v>485</v>
      </c>
      <c r="J546" s="53" t="s">
        <v>2501</v>
      </c>
      <c r="K546" s="53" t="s">
        <v>51</v>
      </c>
      <c r="L546" s="53" t="s">
        <v>52</v>
      </c>
      <c r="M546" s="53" t="s">
        <v>52</v>
      </c>
      <c r="N546" s="62" t="s">
        <v>3501</v>
      </c>
      <c r="O546" s="62" t="s">
        <v>44</v>
      </c>
      <c r="P546" s="62" t="s">
        <v>3502</v>
      </c>
      <c r="Q546" s="62" t="s">
        <v>3504</v>
      </c>
      <c r="R546" s="53"/>
      <c r="S546" s="53"/>
      <c r="T546" s="82"/>
      <c r="U546" s="42"/>
      <c r="V546" s="62"/>
      <c r="W546" s="64"/>
      <c r="X546" s="223"/>
      <c r="Y546" s="223"/>
      <c r="Z546" s="223"/>
      <c r="AA546" s="223"/>
    </row>
    <row r="547">
      <c r="A547" s="42">
        <f t="shared" si="3"/>
        <v>546</v>
      </c>
      <c r="B547" s="51" t="s">
        <v>41</v>
      </c>
      <c r="C547" s="53" t="s">
        <v>3505</v>
      </c>
      <c r="D547" s="42" t="s">
        <v>44</v>
      </c>
      <c r="E547" s="42" t="s">
        <v>44</v>
      </c>
      <c r="F547" s="53" t="s">
        <v>3459</v>
      </c>
      <c r="G547" s="53" t="s">
        <v>47</v>
      </c>
      <c r="H547" s="53" t="s">
        <v>95</v>
      </c>
      <c r="I547" s="53" t="s">
        <v>485</v>
      </c>
      <c r="J547" s="53" t="s">
        <v>2501</v>
      </c>
      <c r="K547" s="53" t="s">
        <v>51</v>
      </c>
      <c r="L547" s="53" t="s">
        <v>52</v>
      </c>
      <c r="M547" s="53" t="s">
        <v>52</v>
      </c>
      <c r="N547" s="62" t="s">
        <v>3508</v>
      </c>
      <c r="O547" s="62" t="s">
        <v>44</v>
      </c>
      <c r="P547" s="62" t="s">
        <v>3510</v>
      </c>
      <c r="Q547" s="62" t="s">
        <v>3511</v>
      </c>
      <c r="R547" s="53"/>
      <c r="S547" s="53"/>
      <c r="T547" s="82"/>
      <c r="U547" s="53"/>
      <c r="V547" s="62"/>
      <c r="W547" s="64"/>
      <c r="X547" s="223"/>
      <c r="Y547" s="223"/>
      <c r="Z547" s="223"/>
      <c r="AA547" s="223"/>
    </row>
    <row r="548">
      <c r="A548" s="42">
        <f t="shared" si="3"/>
        <v>547</v>
      </c>
      <c r="B548" s="51" t="s">
        <v>41</v>
      </c>
      <c r="C548" s="53" t="s">
        <v>3512</v>
      </c>
      <c r="D548" s="42" t="s">
        <v>44</v>
      </c>
      <c r="E548" s="42" t="s">
        <v>44</v>
      </c>
      <c r="F548" s="53" t="s">
        <v>3459</v>
      </c>
      <c r="G548" s="53" t="s">
        <v>47</v>
      </c>
      <c r="H548" s="53" t="s">
        <v>48</v>
      </c>
      <c r="I548" s="53" t="s">
        <v>485</v>
      </c>
      <c r="J548" s="53" t="s">
        <v>2501</v>
      </c>
      <c r="K548" s="53" t="s">
        <v>51</v>
      </c>
      <c r="L548" s="53" t="s">
        <v>52</v>
      </c>
      <c r="M548" s="53" t="s">
        <v>52</v>
      </c>
      <c r="N548" s="62" t="s">
        <v>3514</v>
      </c>
      <c r="O548" s="62" t="s">
        <v>44</v>
      </c>
      <c r="P548" s="62" t="s">
        <v>3516</v>
      </c>
      <c r="Q548" s="62" t="s">
        <v>3517</v>
      </c>
      <c r="R548" s="53"/>
      <c r="S548" s="53"/>
      <c r="T548" s="82"/>
      <c r="U548" s="53"/>
      <c r="V548" s="62"/>
      <c r="W548" s="64"/>
      <c r="X548" s="223"/>
      <c r="Y548" s="223"/>
      <c r="Z548" s="223"/>
      <c r="AA548" s="223"/>
    </row>
    <row r="549">
      <c r="A549" s="42">
        <f t="shared" si="3"/>
        <v>548</v>
      </c>
      <c r="B549" s="51" t="s">
        <v>41</v>
      </c>
      <c r="C549" s="53" t="s">
        <v>3518</v>
      </c>
      <c r="D549" s="42" t="s">
        <v>44</v>
      </c>
      <c r="E549" s="42" t="s">
        <v>44</v>
      </c>
      <c r="F549" s="53" t="s">
        <v>3459</v>
      </c>
      <c r="G549" s="53" t="s">
        <v>47</v>
      </c>
      <c r="H549" s="53" t="s">
        <v>48</v>
      </c>
      <c r="I549" s="53" t="s">
        <v>485</v>
      </c>
      <c r="J549" s="53" t="s">
        <v>2501</v>
      </c>
      <c r="K549" s="53" t="s">
        <v>51</v>
      </c>
      <c r="L549" s="53" t="s">
        <v>52</v>
      </c>
      <c r="M549" s="53" t="s">
        <v>52</v>
      </c>
      <c r="N549" s="62" t="s">
        <v>3522</v>
      </c>
      <c r="O549" s="62" t="s">
        <v>44</v>
      </c>
      <c r="P549" s="62" t="s">
        <v>3523</v>
      </c>
      <c r="Q549" s="62" t="s">
        <v>3524</v>
      </c>
      <c r="R549" s="53"/>
      <c r="S549" s="53"/>
      <c r="T549" s="82"/>
      <c r="U549" s="42"/>
      <c r="V549" s="62"/>
      <c r="W549" s="64"/>
      <c r="X549" s="223"/>
      <c r="Y549" s="223"/>
      <c r="Z549" s="223"/>
      <c r="AA549" s="223"/>
    </row>
    <row r="550">
      <c r="A550" s="42">
        <f t="shared" si="3"/>
        <v>549</v>
      </c>
      <c r="B550" s="51" t="s">
        <v>41</v>
      </c>
      <c r="C550" s="53" t="s">
        <v>3525</v>
      </c>
      <c r="D550" s="42" t="s">
        <v>44</v>
      </c>
      <c r="E550" s="42" t="s">
        <v>44</v>
      </c>
      <c r="F550" s="53" t="s">
        <v>3459</v>
      </c>
      <c r="G550" s="53" t="s">
        <v>47</v>
      </c>
      <c r="H550" s="53" t="s">
        <v>95</v>
      </c>
      <c r="I550" s="53" t="s">
        <v>485</v>
      </c>
      <c r="J550" s="53" t="s">
        <v>2501</v>
      </c>
      <c r="K550" s="53" t="s">
        <v>51</v>
      </c>
      <c r="L550" s="53" t="s">
        <v>52</v>
      </c>
      <c r="M550" s="53" t="s">
        <v>52</v>
      </c>
      <c r="N550" s="62" t="s">
        <v>3528</v>
      </c>
      <c r="O550" s="62" t="s">
        <v>44</v>
      </c>
      <c r="P550" s="62" t="s">
        <v>3529</v>
      </c>
      <c r="Q550" s="62" t="s">
        <v>3530</v>
      </c>
      <c r="R550" s="53"/>
      <c r="S550" s="53"/>
      <c r="T550" s="82"/>
      <c r="U550" s="42"/>
      <c r="V550" s="62"/>
      <c r="W550" s="64"/>
      <c r="X550" s="223"/>
      <c r="Y550" s="223"/>
      <c r="Z550" s="223"/>
      <c r="AA550" s="223"/>
    </row>
    <row r="551">
      <c r="A551" s="42">
        <f t="shared" si="3"/>
        <v>550</v>
      </c>
      <c r="B551" s="51" t="s">
        <v>41</v>
      </c>
      <c r="C551" s="53" t="s">
        <v>3531</v>
      </c>
      <c r="D551" s="42" t="s">
        <v>44</v>
      </c>
      <c r="E551" s="42" t="s">
        <v>44</v>
      </c>
      <c r="F551" s="53" t="s">
        <v>3459</v>
      </c>
      <c r="G551" s="53" t="s">
        <v>47</v>
      </c>
      <c r="H551" s="53" t="s">
        <v>48</v>
      </c>
      <c r="I551" s="53" t="s">
        <v>485</v>
      </c>
      <c r="J551" s="53" t="s">
        <v>3460</v>
      </c>
      <c r="K551" s="53" t="s">
        <v>1615</v>
      </c>
      <c r="L551" s="53" t="s">
        <v>52</v>
      </c>
      <c r="M551" s="53" t="s">
        <v>52</v>
      </c>
      <c r="N551" s="62" t="s">
        <v>3535</v>
      </c>
      <c r="O551" s="62" t="s">
        <v>44</v>
      </c>
      <c r="P551" s="62" t="s">
        <v>3536</v>
      </c>
      <c r="Q551" s="62" t="s">
        <v>3537</v>
      </c>
      <c r="R551" s="53"/>
      <c r="S551" s="53"/>
      <c r="T551" s="82"/>
      <c r="U551" s="42"/>
      <c r="V551" s="62"/>
      <c r="W551" s="64"/>
      <c r="X551" s="223"/>
      <c r="Y551" s="223"/>
      <c r="Z551" s="223"/>
      <c r="AA551" s="223"/>
    </row>
    <row r="552">
      <c r="A552" s="42">
        <f t="shared" si="3"/>
        <v>551</v>
      </c>
      <c r="B552" s="51" t="s">
        <v>41</v>
      </c>
      <c r="C552" s="53" t="s">
        <v>3539</v>
      </c>
      <c r="D552" s="42" t="s">
        <v>44</v>
      </c>
      <c r="E552" s="42" t="s">
        <v>44</v>
      </c>
      <c r="F552" s="53" t="s">
        <v>3459</v>
      </c>
      <c r="G552" s="53" t="s">
        <v>47</v>
      </c>
      <c r="H552" s="53" t="s">
        <v>95</v>
      </c>
      <c r="I552" s="53" t="s">
        <v>485</v>
      </c>
      <c r="J552" s="53" t="s">
        <v>3460</v>
      </c>
      <c r="K552" s="53" t="s">
        <v>1615</v>
      </c>
      <c r="L552" s="53" t="s">
        <v>52</v>
      </c>
      <c r="M552" s="53" t="s">
        <v>52</v>
      </c>
      <c r="N552" s="62" t="s">
        <v>3542</v>
      </c>
      <c r="O552" s="62" t="s">
        <v>44</v>
      </c>
      <c r="P552" s="62" t="s">
        <v>3543</v>
      </c>
      <c r="Q552" s="62" t="s">
        <v>3544</v>
      </c>
      <c r="R552" s="53"/>
      <c r="S552" s="53"/>
      <c r="T552" s="82"/>
      <c r="U552" s="42"/>
      <c r="V552" s="62"/>
      <c r="W552" s="64"/>
      <c r="X552" s="223"/>
      <c r="Y552" s="223"/>
      <c r="Z552" s="223"/>
      <c r="AA552" s="223"/>
    </row>
    <row r="553">
      <c r="A553" s="42">
        <f t="shared" si="3"/>
        <v>552</v>
      </c>
      <c r="B553" s="51" t="s">
        <v>41</v>
      </c>
      <c r="C553" s="53" t="s">
        <v>3546</v>
      </c>
      <c r="D553" s="42" t="s">
        <v>44</v>
      </c>
      <c r="E553" s="42" t="s">
        <v>44</v>
      </c>
      <c r="F553" s="53" t="s">
        <v>3459</v>
      </c>
      <c r="G553" s="53" t="s">
        <v>47</v>
      </c>
      <c r="H553" s="53" t="s">
        <v>48</v>
      </c>
      <c r="I553" s="53" t="s">
        <v>485</v>
      </c>
      <c r="J553" s="53" t="s">
        <v>3460</v>
      </c>
      <c r="K553" s="53" t="s">
        <v>1615</v>
      </c>
      <c r="L553" s="53" t="s">
        <v>52</v>
      </c>
      <c r="M553" s="53" t="s">
        <v>52</v>
      </c>
      <c r="N553" s="62" t="s">
        <v>3548</v>
      </c>
      <c r="O553" s="62" t="s">
        <v>44</v>
      </c>
      <c r="P553" s="62" t="s">
        <v>3549</v>
      </c>
      <c r="Q553" s="62" t="s">
        <v>3550</v>
      </c>
      <c r="R553" s="53"/>
      <c r="S553" s="53"/>
      <c r="T553" s="82"/>
      <c r="U553" s="42"/>
      <c r="V553" s="62"/>
      <c r="W553" s="64"/>
      <c r="X553" s="223"/>
      <c r="Y553" s="223"/>
      <c r="Z553" s="223"/>
      <c r="AA553" s="223"/>
    </row>
    <row r="554">
      <c r="A554" s="42">
        <f t="shared" si="3"/>
        <v>553</v>
      </c>
      <c r="B554" s="51" t="s">
        <v>41</v>
      </c>
      <c r="C554" s="53" t="s">
        <v>3552</v>
      </c>
      <c r="D554" s="42" t="s">
        <v>44</v>
      </c>
      <c r="E554" s="42" t="s">
        <v>44</v>
      </c>
      <c r="F554" s="53" t="s">
        <v>3459</v>
      </c>
      <c r="G554" s="53" t="s">
        <v>47</v>
      </c>
      <c r="H554" s="53" t="s">
        <v>48</v>
      </c>
      <c r="I554" s="53" t="s">
        <v>485</v>
      </c>
      <c r="J554" s="53" t="s">
        <v>3460</v>
      </c>
      <c r="K554" s="53" t="s">
        <v>1615</v>
      </c>
      <c r="L554" s="53" t="s">
        <v>52</v>
      </c>
      <c r="M554" s="53" t="s">
        <v>52</v>
      </c>
      <c r="N554" s="62" t="s">
        <v>3554</v>
      </c>
      <c r="O554" s="62" t="s">
        <v>44</v>
      </c>
      <c r="P554" s="62" t="s">
        <v>3555</v>
      </c>
      <c r="Q554" s="62" t="s">
        <v>3556</v>
      </c>
      <c r="R554" s="53"/>
      <c r="S554" s="53"/>
      <c r="T554" s="82"/>
      <c r="U554" s="42"/>
      <c r="V554" s="62"/>
      <c r="W554" s="64"/>
      <c r="X554" s="223"/>
      <c r="Y554" s="223"/>
      <c r="Z554" s="223"/>
      <c r="AA554" s="223"/>
    </row>
    <row r="555">
      <c r="A555" s="42">
        <f t="shared" si="3"/>
        <v>554</v>
      </c>
      <c r="B555" s="51" t="s">
        <v>41</v>
      </c>
      <c r="C555" s="53" t="s">
        <v>3558</v>
      </c>
      <c r="D555" s="42" t="s">
        <v>44</v>
      </c>
      <c r="E555" s="42" t="s">
        <v>44</v>
      </c>
      <c r="F555" s="53" t="s">
        <v>3459</v>
      </c>
      <c r="G555" s="53" t="s">
        <v>47</v>
      </c>
      <c r="H555" s="53" t="s">
        <v>95</v>
      </c>
      <c r="I555" s="53" t="s">
        <v>485</v>
      </c>
      <c r="J555" s="53" t="s">
        <v>3460</v>
      </c>
      <c r="K555" s="53" t="s">
        <v>1615</v>
      </c>
      <c r="L555" s="53" t="s">
        <v>52</v>
      </c>
      <c r="M555" s="53" t="s">
        <v>52</v>
      </c>
      <c r="N555" s="62" t="s">
        <v>3560</v>
      </c>
      <c r="O555" s="62" t="s">
        <v>44</v>
      </c>
      <c r="P555" s="62" t="s">
        <v>3561</v>
      </c>
      <c r="Q555" s="62" t="s">
        <v>3562</v>
      </c>
      <c r="R555" s="53"/>
      <c r="S555" s="53"/>
      <c r="T555" s="82"/>
      <c r="U555" s="42"/>
      <c r="V555" s="62"/>
      <c r="W555" s="64"/>
      <c r="X555" s="223"/>
      <c r="Y555" s="223"/>
      <c r="Z555" s="223"/>
      <c r="AA555" s="223"/>
    </row>
    <row r="556">
      <c r="A556" s="42">
        <f t="shared" si="3"/>
        <v>555</v>
      </c>
      <c r="B556" s="51" t="s">
        <v>41</v>
      </c>
      <c r="C556" s="53" t="s">
        <v>3565</v>
      </c>
      <c r="D556" s="42" t="s">
        <v>44</v>
      </c>
      <c r="E556" s="42" t="s">
        <v>44</v>
      </c>
      <c r="F556" s="53" t="s">
        <v>3459</v>
      </c>
      <c r="G556" s="53" t="s">
        <v>47</v>
      </c>
      <c r="H556" s="53" t="s">
        <v>95</v>
      </c>
      <c r="I556" s="53" t="s">
        <v>485</v>
      </c>
      <c r="J556" s="53" t="s">
        <v>3460</v>
      </c>
      <c r="K556" s="53" t="s">
        <v>1615</v>
      </c>
      <c r="L556" s="53" t="s">
        <v>52</v>
      </c>
      <c r="M556" s="53" t="s">
        <v>52</v>
      </c>
      <c r="N556" s="62" t="s">
        <v>3566</v>
      </c>
      <c r="O556" s="62" t="s">
        <v>44</v>
      </c>
      <c r="P556" s="62" t="s">
        <v>3567</v>
      </c>
      <c r="Q556" s="62" t="s">
        <v>3568</v>
      </c>
      <c r="R556" s="53"/>
      <c r="S556" s="53"/>
      <c r="T556" s="82"/>
      <c r="U556" s="42"/>
      <c r="V556" s="62"/>
      <c r="W556" s="64"/>
      <c r="X556" s="223"/>
      <c r="Y556" s="223"/>
      <c r="Z556" s="223"/>
      <c r="AA556" s="223"/>
    </row>
    <row r="557">
      <c r="A557" s="42">
        <f t="shared" si="3"/>
        <v>556</v>
      </c>
      <c r="B557" s="51" t="s">
        <v>41</v>
      </c>
      <c r="C557" s="53" t="s">
        <v>3572</v>
      </c>
      <c r="D557" s="42" t="s">
        <v>44</v>
      </c>
      <c r="E557" s="42" t="s">
        <v>44</v>
      </c>
      <c r="F557" s="53" t="s">
        <v>3459</v>
      </c>
      <c r="G557" s="53" t="s">
        <v>47</v>
      </c>
      <c r="H557" s="53" t="s">
        <v>48</v>
      </c>
      <c r="I557" s="53" t="s">
        <v>485</v>
      </c>
      <c r="J557" s="53" t="s">
        <v>3460</v>
      </c>
      <c r="K557" s="53" t="s">
        <v>1615</v>
      </c>
      <c r="L557" s="53" t="s">
        <v>52</v>
      </c>
      <c r="M557" s="53" t="s">
        <v>52</v>
      </c>
      <c r="N557" s="62" t="s">
        <v>3573</v>
      </c>
      <c r="O557" s="62" t="s">
        <v>44</v>
      </c>
      <c r="P557" s="62" t="s">
        <v>3574</v>
      </c>
      <c r="Q557" s="62" t="s">
        <v>3556</v>
      </c>
      <c r="R557" s="53"/>
      <c r="S557" s="53"/>
      <c r="T557" s="82"/>
      <c r="U557" s="42"/>
      <c r="V557" s="62"/>
      <c r="W557" s="64"/>
      <c r="X557" s="223"/>
      <c r="Y557" s="223"/>
      <c r="Z557" s="223"/>
      <c r="AA557" s="223"/>
    </row>
    <row r="558">
      <c r="A558" s="42">
        <f t="shared" si="3"/>
        <v>557</v>
      </c>
      <c r="B558" s="51" t="s">
        <v>41</v>
      </c>
      <c r="C558" s="53" t="s">
        <v>3577</v>
      </c>
      <c r="D558" s="42" t="s">
        <v>44</v>
      </c>
      <c r="E558" s="42" t="s">
        <v>44</v>
      </c>
      <c r="F558" s="53" t="s">
        <v>3459</v>
      </c>
      <c r="G558" s="53" t="s">
        <v>47</v>
      </c>
      <c r="H558" s="53" t="s">
        <v>48</v>
      </c>
      <c r="I558" s="53" t="s">
        <v>485</v>
      </c>
      <c r="J558" s="53" t="s">
        <v>3460</v>
      </c>
      <c r="K558" s="53" t="s">
        <v>1615</v>
      </c>
      <c r="L558" s="53" t="s">
        <v>52</v>
      </c>
      <c r="M558" s="53" t="s">
        <v>52</v>
      </c>
      <c r="N558" s="62" t="s">
        <v>3578</v>
      </c>
      <c r="O558" s="62" t="s">
        <v>44</v>
      </c>
      <c r="P558" s="62" t="s">
        <v>3579</v>
      </c>
      <c r="Q558" s="62" t="s">
        <v>3580</v>
      </c>
      <c r="R558" s="53"/>
      <c r="S558" s="53"/>
      <c r="T558" s="82"/>
      <c r="U558" s="42"/>
      <c r="V558" s="62"/>
      <c r="W558" s="64"/>
      <c r="X558" s="223"/>
      <c r="Y558" s="223"/>
      <c r="Z558" s="223"/>
      <c r="AA558" s="223"/>
    </row>
    <row r="559">
      <c r="A559" s="42">
        <f t="shared" si="3"/>
        <v>558</v>
      </c>
      <c r="B559" s="51" t="s">
        <v>41</v>
      </c>
      <c r="C559" s="53" t="s">
        <v>3583</v>
      </c>
      <c r="D559" s="42" t="s">
        <v>44</v>
      </c>
      <c r="E559" s="42" t="s">
        <v>44</v>
      </c>
      <c r="F559" s="53" t="s">
        <v>3459</v>
      </c>
      <c r="G559" s="53" t="s">
        <v>47</v>
      </c>
      <c r="H559" s="53" t="s">
        <v>95</v>
      </c>
      <c r="I559" s="53" t="s">
        <v>485</v>
      </c>
      <c r="J559" s="53" t="s">
        <v>3460</v>
      </c>
      <c r="K559" s="53" t="s">
        <v>1615</v>
      </c>
      <c r="L559" s="53" t="s">
        <v>52</v>
      </c>
      <c r="M559" s="53" t="s">
        <v>52</v>
      </c>
      <c r="N559" s="62" t="s">
        <v>3584</v>
      </c>
      <c r="O559" s="62" t="s">
        <v>44</v>
      </c>
      <c r="P559" s="62" t="s">
        <v>3585</v>
      </c>
      <c r="Q559" s="62" t="s">
        <v>3586</v>
      </c>
      <c r="R559" s="53"/>
      <c r="S559" s="53"/>
      <c r="T559" s="82"/>
      <c r="U559" s="42"/>
      <c r="V559" s="62"/>
      <c r="W559" s="64"/>
      <c r="X559" s="223"/>
      <c r="Y559" s="223"/>
      <c r="Z559" s="223"/>
      <c r="AA559" s="223"/>
    </row>
    <row r="560">
      <c r="A560" s="42">
        <f t="shared" si="3"/>
        <v>559</v>
      </c>
      <c r="B560" s="51" t="s">
        <v>41</v>
      </c>
      <c r="C560" s="53" t="s">
        <v>3589</v>
      </c>
      <c r="D560" s="42" t="s">
        <v>44</v>
      </c>
      <c r="E560" s="42" t="s">
        <v>44</v>
      </c>
      <c r="F560" s="53" t="s">
        <v>3459</v>
      </c>
      <c r="G560" s="53" t="s">
        <v>197</v>
      </c>
      <c r="H560" s="53" t="s">
        <v>112</v>
      </c>
      <c r="I560" s="53" t="s">
        <v>485</v>
      </c>
      <c r="J560" s="53" t="s">
        <v>3460</v>
      </c>
      <c r="K560" s="53" t="s">
        <v>1615</v>
      </c>
      <c r="L560" s="53" t="s">
        <v>52</v>
      </c>
      <c r="M560" s="53" t="s">
        <v>52</v>
      </c>
      <c r="N560" s="62" t="s">
        <v>3590</v>
      </c>
      <c r="O560" s="62" t="s">
        <v>44</v>
      </c>
      <c r="P560" s="62" t="s">
        <v>3591</v>
      </c>
      <c r="Q560" s="62" t="s">
        <v>3592</v>
      </c>
      <c r="R560" s="53"/>
      <c r="S560" s="53"/>
      <c r="T560" s="82"/>
      <c r="U560" s="42"/>
      <c r="V560" s="62"/>
      <c r="W560" s="64"/>
      <c r="X560" s="223"/>
      <c r="Y560" s="223"/>
      <c r="Z560" s="223"/>
      <c r="AA560" s="223"/>
    </row>
    <row r="561">
      <c r="A561" s="42">
        <f t="shared" si="3"/>
        <v>560</v>
      </c>
      <c r="B561" s="51" t="s">
        <v>41</v>
      </c>
      <c r="C561" s="53" t="s">
        <v>3595</v>
      </c>
      <c r="D561" s="42" t="s">
        <v>44</v>
      </c>
      <c r="E561" s="42" t="s">
        <v>44</v>
      </c>
      <c r="F561" s="53" t="s">
        <v>3459</v>
      </c>
      <c r="G561" s="53" t="s">
        <v>47</v>
      </c>
      <c r="H561" s="53" t="s">
        <v>95</v>
      </c>
      <c r="I561" s="53" t="s">
        <v>485</v>
      </c>
      <c r="J561" s="53" t="s">
        <v>3460</v>
      </c>
      <c r="K561" s="53" t="s">
        <v>1615</v>
      </c>
      <c r="L561" s="53" t="s">
        <v>52</v>
      </c>
      <c r="M561" s="53" t="s">
        <v>52</v>
      </c>
      <c r="N561" s="62" t="s">
        <v>3596</v>
      </c>
      <c r="O561" s="62" t="s">
        <v>44</v>
      </c>
      <c r="P561" s="62" t="s">
        <v>3597</v>
      </c>
      <c r="Q561" s="62" t="s">
        <v>3598</v>
      </c>
      <c r="R561" s="53"/>
      <c r="S561" s="53"/>
      <c r="T561" s="82"/>
      <c r="U561" s="42"/>
      <c r="V561" s="62"/>
      <c r="W561" s="64"/>
      <c r="X561" s="223"/>
      <c r="Y561" s="223"/>
      <c r="Z561" s="223"/>
      <c r="AA561" s="223"/>
    </row>
    <row r="562">
      <c r="A562" s="42">
        <f t="shared" si="3"/>
        <v>561</v>
      </c>
      <c r="B562" s="51" t="s">
        <v>41</v>
      </c>
      <c r="C562" s="53" t="s">
        <v>3601</v>
      </c>
      <c r="D562" s="42" t="s">
        <v>44</v>
      </c>
      <c r="E562" s="42" t="s">
        <v>44</v>
      </c>
      <c r="F562" s="53" t="s">
        <v>3459</v>
      </c>
      <c r="G562" s="53" t="s">
        <v>47</v>
      </c>
      <c r="H562" s="53" t="s">
        <v>95</v>
      </c>
      <c r="I562" s="53" t="s">
        <v>485</v>
      </c>
      <c r="J562" s="53" t="s">
        <v>3460</v>
      </c>
      <c r="K562" s="53" t="s">
        <v>1615</v>
      </c>
      <c r="L562" s="53" t="s">
        <v>52</v>
      </c>
      <c r="M562" s="53" t="s">
        <v>52</v>
      </c>
      <c r="N562" s="62" t="s">
        <v>3602</v>
      </c>
      <c r="O562" s="62" t="s">
        <v>44</v>
      </c>
      <c r="P562" s="62" t="s">
        <v>3603</v>
      </c>
      <c r="Q562" s="62" t="s">
        <v>3605</v>
      </c>
      <c r="R562" s="53"/>
      <c r="S562" s="53"/>
      <c r="T562" s="82"/>
      <c r="U562" s="42"/>
      <c r="V562" s="62"/>
      <c r="W562" s="64"/>
      <c r="X562" s="223"/>
      <c r="Y562" s="223"/>
      <c r="Z562" s="223"/>
      <c r="AA562" s="223"/>
    </row>
    <row r="563">
      <c r="A563" s="42">
        <f t="shared" si="3"/>
        <v>562</v>
      </c>
      <c r="B563" s="51" t="s">
        <v>41</v>
      </c>
      <c r="C563" s="53" t="s">
        <v>3608</v>
      </c>
      <c r="D563" s="42" t="s">
        <v>44</v>
      </c>
      <c r="E563" s="42" t="s">
        <v>44</v>
      </c>
      <c r="F563" s="53" t="s">
        <v>3459</v>
      </c>
      <c r="G563" s="53" t="s">
        <v>47</v>
      </c>
      <c r="H563" s="53" t="s">
        <v>95</v>
      </c>
      <c r="I563" s="53" t="s">
        <v>485</v>
      </c>
      <c r="J563" s="53" t="s">
        <v>3460</v>
      </c>
      <c r="K563" s="53" t="s">
        <v>1615</v>
      </c>
      <c r="L563" s="53" t="s">
        <v>52</v>
      </c>
      <c r="M563" s="53" t="s">
        <v>52</v>
      </c>
      <c r="N563" s="62" t="s">
        <v>3609</v>
      </c>
      <c r="O563" s="62" t="s">
        <v>44</v>
      </c>
      <c r="P563" s="62" t="s">
        <v>3610</v>
      </c>
      <c r="Q563" s="62" t="s">
        <v>3612</v>
      </c>
      <c r="R563" s="53"/>
      <c r="S563" s="53"/>
      <c r="T563" s="82"/>
      <c r="U563" s="42"/>
      <c r="V563" s="62"/>
      <c r="W563" s="64"/>
      <c r="X563" s="223"/>
      <c r="Y563" s="223"/>
      <c r="Z563" s="223"/>
      <c r="AA563" s="223"/>
    </row>
    <row r="564">
      <c r="A564" s="42">
        <f t="shared" si="3"/>
        <v>563</v>
      </c>
      <c r="B564" s="51" t="s">
        <v>41</v>
      </c>
      <c r="C564" s="53" t="s">
        <v>3615</v>
      </c>
      <c r="D564" s="42" t="s">
        <v>44</v>
      </c>
      <c r="E564" s="42" t="s">
        <v>44</v>
      </c>
      <c r="F564" s="53" t="s">
        <v>3459</v>
      </c>
      <c r="G564" s="53" t="s">
        <v>47</v>
      </c>
      <c r="H564" s="53" t="s">
        <v>95</v>
      </c>
      <c r="I564" s="53" t="s">
        <v>485</v>
      </c>
      <c r="J564" s="53" t="s">
        <v>3460</v>
      </c>
      <c r="K564" s="53" t="s">
        <v>1615</v>
      </c>
      <c r="L564" s="53" t="s">
        <v>52</v>
      </c>
      <c r="M564" s="53" t="s">
        <v>52</v>
      </c>
      <c r="N564" s="62" t="s">
        <v>3616</v>
      </c>
      <c r="O564" s="62" t="s">
        <v>44</v>
      </c>
      <c r="P564" s="62" t="s">
        <v>3617</v>
      </c>
      <c r="Q564" s="62" t="s">
        <v>3619</v>
      </c>
      <c r="R564" s="53"/>
      <c r="S564" s="53"/>
      <c r="T564" s="82"/>
      <c r="U564" s="42"/>
      <c r="V564" s="62"/>
      <c r="W564" s="64"/>
      <c r="X564" s="223"/>
      <c r="Y564" s="223"/>
      <c r="Z564" s="223"/>
      <c r="AA564" s="223"/>
    </row>
    <row r="565">
      <c r="A565" s="42">
        <f t="shared" si="3"/>
        <v>564</v>
      </c>
      <c r="B565" s="51" t="s">
        <v>41</v>
      </c>
      <c r="C565" s="53" t="s">
        <v>3621</v>
      </c>
      <c r="D565" s="42" t="s">
        <v>44</v>
      </c>
      <c r="E565" s="42" t="s">
        <v>44</v>
      </c>
      <c r="F565" s="53" t="s">
        <v>3459</v>
      </c>
      <c r="G565" s="53" t="s">
        <v>47</v>
      </c>
      <c r="H565" s="53" t="s">
        <v>48</v>
      </c>
      <c r="I565" s="53" t="s">
        <v>485</v>
      </c>
      <c r="J565" s="53" t="s">
        <v>3460</v>
      </c>
      <c r="K565" s="53" t="s">
        <v>1615</v>
      </c>
      <c r="L565" s="53" t="s">
        <v>52</v>
      </c>
      <c r="M565" s="53" t="s">
        <v>52</v>
      </c>
      <c r="N565" s="62" t="s">
        <v>3622</v>
      </c>
      <c r="O565" s="62" t="s">
        <v>44</v>
      </c>
      <c r="P565" s="62" t="s">
        <v>3549</v>
      </c>
      <c r="Q565" s="62" t="s">
        <v>3624</v>
      </c>
      <c r="R565" s="53"/>
      <c r="S565" s="53"/>
      <c r="T565" s="82"/>
      <c r="U565" s="42"/>
      <c r="V565" s="62"/>
      <c r="W565" s="64"/>
      <c r="X565" s="223"/>
      <c r="Y565" s="223"/>
      <c r="Z565" s="223"/>
      <c r="AA565" s="223"/>
    </row>
    <row r="566">
      <c r="A566" s="42">
        <f t="shared" si="3"/>
        <v>565</v>
      </c>
      <c r="B566" s="51" t="s">
        <v>41</v>
      </c>
      <c r="C566" s="53" t="s">
        <v>3626</v>
      </c>
      <c r="D566" s="42" t="s">
        <v>44</v>
      </c>
      <c r="E566" s="42" t="s">
        <v>44</v>
      </c>
      <c r="F566" s="53" t="s">
        <v>3459</v>
      </c>
      <c r="G566" s="53" t="s">
        <v>197</v>
      </c>
      <c r="H566" s="53" t="s">
        <v>112</v>
      </c>
      <c r="I566" s="53" t="s">
        <v>485</v>
      </c>
      <c r="J566" s="53" t="s">
        <v>3460</v>
      </c>
      <c r="K566" s="53" t="s">
        <v>1615</v>
      </c>
      <c r="L566" s="53" t="s">
        <v>52</v>
      </c>
      <c r="M566" s="53" t="s">
        <v>52</v>
      </c>
      <c r="N566" s="62" t="s">
        <v>3628</v>
      </c>
      <c r="O566" s="62" t="s">
        <v>44</v>
      </c>
      <c r="P566" s="62" t="s">
        <v>3629</v>
      </c>
      <c r="Q566" s="62" t="s">
        <v>3630</v>
      </c>
      <c r="R566" s="53"/>
      <c r="S566" s="53"/>
      <c r="T566" s="82"/>
      <c r="U566" s="42"/>
      <c r="V566" s="62"/>
      <c r="W566" s="64"/>
      <c r="X566" s="223"/>
      <c r="Y566" s="223"/>
      <c r="Z566" s="223"/>
      <c r="AA566" s="223"/>
    </row>
    <row r="567">
      <c r="A567" s="42">
        <f t="shared" si="3"/>
        <v>566</v>
      </c>
      <c r="B567" s="51" t="s">
        <v>41</v>
      </c>
      <c r="C567" s="53" t="s">
        <v>3632</v>
      </c>
      <c r="D567" s="42" t="s">
        <v>44</v>
      </c>
      <c r="E567" s="42" t="s">
        <v>44</v>
      </c>
      <c r="F567" s="53" t="s">
        <v>3459</v>
      </c>
      <c r="G567" s="53" t="s">
        <v>47</v>
      </c>
      <c r="H567" s="53" t="s">
        <v>48</v>
      </c>
      <c r="I567" s="53" t="s">
        <v>485</v>
      </c>
      <c r="J567" s="53" t="s">
        <v>3460</v>
      </c>
      <c r="K567" s="53" t="s">
        <v>1615</v>
      </c>
      <c r="L567" s="53" t="s">
        <v>52</v>
      </c>
      <c r="M567" s="53" t="s">
        <v>52</v>
      </c>
      <c r="N567" s="62" t="s">
        <v>3634</v>
      </c>
      <c r="O567" s="62" t="s">
        <v>44</v>
      </c>
      <c r="P567" s="62" t="s">
        <v>3636</v>
      </c>
      <c r="Q567" s="62" t="s">
        <v>3637</v>
      </c>
      <c r="R567" s="53"/>
      <c r="S567" s="53"/>
      <c r="T567" s="82"/>
      <c r="U567" s="42"/>
      <c r="V567" s="62"/>
      <c r="W567" s="64"/>
      <c r="X567" s="223"/>
      <c r="Y567" s="223"/>
      <c r="Z567" s="223"/>
      <c r="AA567" s="223"/>
    </row>
    <row r="568">
      <c r="A568" s="42">
        <f t="shared" si="3"/>
        <v>567</v>
      </c>
      <c r="B568" s="51" t="s">
        <v>41</v>
      </c>
      <c r="C568" s="53" t="s">
        <v>3639</v>
      </c>
      <c r="D568" s="42" t="s">
        <v>44</v>
      </c>
      <c r="E568" s="42" t="s">
        <v>44</v>
      </c>
      <c r="F568" s="53" t="s">
        <v>3459</v>
      </c>
      <c r="G568" s="53" t="s">
        <v>47</v>
      </c>
      <c r="H568" s="53" t="s">
        <v>95</v>
      </c>
      <c r="I568" s="53" t="s">
        <v>485</v>
      </c>
      <c r="J568" s="53" t="s">
        <v>2501</v>
      </c>
      <c r="K568" s="53" t="s">
        <v>51</v>
      </c>
      <c r="L568" s="53" t="s">
        <v>52</v>
      </c>
      <c r="M568" s="53" t="s">
        <v>52</v>
      </c>
      <c r="N568" s="62" t="s">
        <v>3641</v>
      </c>
      <c r="O568" s="62" t="s">
        <v>44</v>
      </c>
      <c r="P568" s="62" t="s">
        <v>3643</v>
      </c>
      <c r="Q568" s="62" t="s">
        <v>3644</v>
      </c>
      <c r="R568" s="53"/>
      <c r="S568" s="53"/>
      <c r="T568" s="82"/>
      <c r="U568" s="42"/>
      <c r="V568" s="62"/>
      <c r="W568" s="64"/>
      <c r="X568" s="223"/>
      <c r="Y568" s="223"/>
      <c r="Z568" s="223"/>
      <c r="AA568" s="223"/>
    </row>
    <row r="569">
      <c r="A569" s="42">
        <f t="shared" si="3"/>
        <v>568</v>
      </c>
      <c r="B569" s="51" t="s">
        <v>41</v>
      </c>
      <c r="C569" s="53" t="s">
        <v>3646</v>
      </c>
      <c r="D569" s="42" t="s">
        <v>44</v>
      </c>
      <c r="E569" s="42" t="s">
        <v>44</v>
      </c>
      <c r="F569" s="53" t="s">
        <v>3459</v>
      </c>
      <c r="G569" s="53" t="s">
        <v>47</v>
      </c>
      <c r="H569" s="53" t="s">
        <v>95</v>
      </c>
      <c r="I569" s="53" t="s">
        <v>485</v>
      </c>
      <c r="J569" s="53" t="s">
        <v>2501</v>
      </c>
      <c r="K569" s="53" t="s">
        <v>51</v>
      </c>
      <c r="L569" s="53" t="s">
        <v>52</v>
      </c>
      <c r="M569" s="53" t="s">
        <v>52</v>
      </c>
      <c r="N569" s="62" t="s">
        <v>3649</v>
      </c>
      <c r="O569" s="62" t="s">
        <v>44</v>
      </c>
      <c r="P569" s="62" t="s">
        <v>3650</v>
      </c>
      <c r="Q569" s="62" t="s">
        <v>3652</v>
      </c>
      <c r="R569" s="53"/>
      <c r="S569" s="53"/>
      <c r="T569" s="82"/>
      <c r="U569" s="42"/>
      <c r="V569" s="62"/>
      <c r="W569" s="64"/>
      <c r="X569" s="223"/>
      <c r="Y569" s="223"/>
      <c r="Z569" s="223"/>
      <c r="AA569" s="223"/>
    </row>
    <row r="570">
      <c r="A570" s="42">
        <f t="shared" si="3"/>
        <v>569</v>
      </c>
      <c r="B570" s="51" t="s">
        <v>41</v>
      </c>
      <c r="C570" s="53" t="s">
        <v>3653</v>
      </c>
      <c r="D570" s="42" t="s">
        <v>44</v>
      </c>
      <c r="E570" s="42" t="s">
        <v>44</v>
      </c>
      <c r="F570" s="53" t="s">
        <v>3459</v>
      </c>
      <c r="G570" s="53" t="s">
        <v>47</v>
      </c>
      <c r="H570" s="53" t="s">
        <v>48</v>
      </c>
      <c r="I570" s="53" t="s">
        <v>485</v>
      </c>
      <c r="J570" s="53" t="s">
        <v>2501</v>
      </c>
      <c r="K570" s="53" t="s">
        <v>51</v>
      </c>
      <c r="L570" s="53" t="s">
        <v>52</v>
      </c>
      <c r="M570" s="53" t="s">
        <v>52</v>
      </c>
      <c r="N570" s="62" t="s">
        <v>3656</v>
      </c>
      <c r="O570" s="62" t="s">
        <v>44</v>
      </c>
      <c r="P570" s="62" t="s">
        <v>2560</v>
      </c>
      <c r="Q570" s="62" t="s">
        <v>3658</v>
      </c>
      <c r="R570" s="53"/>
      <c r="S570" s="53"/>
      <c r="T570" s="82"/>
      <c r="U570" s="42"/>
      <c r="V570" s="62"/>
      <c r="W570" s="64"/>
      <c r="X570" s="223"/>
      <c r="Y570" s="223"/>
      <c r="Z570" s="223"/>
      <c r="AA570" s="223"/>
    </row>
    <row r="571">
      <c r="A571" s="42">
        <f t="shared" si="3"/>
        <v>570</v>
      </c>
      <c r="B571" s="51" t="s">
        <v>41</v>
      </c>
      <c r="C571" s="53" t="s">
        <v>3659</v>
      </c>
      <c r="D571" s="42" t="s">
        <v>44</v>
      </c>
      <c r="E571" s="42" t="s">
        <v>44</v>
      </c>
      <c r="F571" s="53" t="s">
        <v>3459</v>
      </c>
      <c r="G571" s="53" t="s">
        <v>47</v>
      </c>
      <c r="H571" s="53" t="s">
        <v>95</v>
      </c>
      <c r="I571" s="53" t="s">
        <v>485</v>
      </c>
      <c r="J571" s="53" t="s">
        <v>2501</v>
      </c>
      <c r="K571" s="53" t="s">
        <v>51</v>
      </c>
      <c r="L571" s="53" t="s">
        <v>52</v>
      </c>
      <c r="M571" s="53" t="s">
        <v>52</v>
      </c>
      <c r="N571" s="62" t="s">
        <v>3662</v>
      </c>
      <c r="O571" s="62" t="s">
        <v>44</v>
      </c>
      <c r="P571" s="62" t="s">
        <v>3663</v>
      </c>
      <c r="Q571" s="62" t="s">
        <v>3664</v>
      </c>
      <c r="R571" s="53"/>
      <c r="S571" s="53"/>
      <c r="T571" s="82"/>
      <c r="U571" s="42"/>
      <c r="V571" s="62"/>
      <c r="W571" s="64"/>
      <c r="X571" s="223"/>
      <c r="Y571" s="223"/>
      <c r="Z571" s="223"/>
      <c r="AA571" s="223"/>
    </row>
    <row r="572">
      <c r="A572" s="42">
        <f t="shared" si="3"/>
        <v>571</v>
      </c>
      <c r="B572" s="51" t="s">
        <v>41</v>
      </c>
      <c r="C572" s="53" t="s">
        <v>3665</v>
      </c>
      <c r="D572" s="42" t="s">
        <v>44</v>
      </c>
      <c r="E572" s="42" t="s">
        <v>44</v>
      </c>
      <c r="F572" s="53" t="s">
        <v>3459</v>
      </c>
      <c r="G572" s="53" t="s">
        <v>47</v>
      </c>
      <c r="H572" s="53" t="s">
        <v>95</v>
      </c>
      <c r="I572" s="53" t="s">
        <v>485</v>
      </c>
      <c r="J572" s="53" t="s">
        <v>3460</v>
      </c>
      <c r="K572" s="53" t="s">
        <v>1615</v>
      </c>
      <c r="L572" s="53" t="s">
        <v>52</v>
      </c>
      <c r="M572" s="53" t="s">
        <v>52</v>
      </c>
      <c r="N572" s="62" t="s">
        <v>3669</v>
      </c>
      <c r="O572" s="62" t="s">
        <v>44</v>
      </c>
      <c r="P572" s="62" t="s">
        <v>3670</v>
      </c>
      <c r="Q572" s="62" t="s">
        <v>3671</v>
      </c>
      <c r="R572" s="53"/>
      <c r="S572" s="53"/>
      <c r="T572" s="82"/>
      <c r="U572" s="53"/>
      <c r="V572" s="62"/>
      <c r="W572" s="64"/>
      <c r="X572" s="223"/>
      <c r="Y572" s="223"/>
      <c r="Z572" s="223"/>
      <c r="AA572" s="223"/>
    </row>
    <row r="573">
      <c r="A573" s="42">
        <f t="shared" si="3"/>
        <v>572</v>
      </c>
      <c r="B573" s="51" t="s">
        <v>41</v>
      </c>
      <c r="C573" s="53" t="s">
        <v>3672</v>
      </c>
      <c r="D573" s="42" t="s">
        <v>44</v>
      </c>
      <c r="E573" s="42" t="s">
        <v>44</v>
      </c>
      <c r="F573" s="53" t="s">
        <v>3459</v>
      </c>
      <c r="G573" s="53" t="s">
        <v>47</v>
      </c>
      <c r="H573" s="53" t="s">
        <v>48</v>
      </c>
      <c r="I573" s="53" t="s">
        <v>485</v>
      </c>
      <c r="J573" s="53" t="s">
        <v>3460</v>
      </c>
      <c r="K573" s="53" t="s">
        <v>1615</v>
      </c>
      <c r="L573" s="53" t="s">
        <v>52</v>
      </c>
      <c r="M573" s="53" t="s">
        <v>52</v>
      </c>
      <c r="N573" s="62" t="s">
        <v>3675</v>
      </c>
      <c r="O573" s="62" t="s">
        <v>44</v>
      </c>
      <c r="P573" s="62" t="s">
        <v>3676</v>
      </c>
      <c r="Q573" s="62" t="s">
        <v>3677</v>
      </c>
      <c r="R573" s="53"/>
      <c r="S573" s="53"/>
      <c r="T573" s="82"/>
      <c r="U573" s="42"/>
      <c r="V573" s="62"/>
      <c r="W573" s="64"/>
      <c r="X573" s="223"/>
      <c r="Y573" s="223"/>
      <c r="Z573" s="223"/>
      <c r="AA573" s="223"/>
    </row>
    <row r="574">
      <c r="A574" s="42">
        <f t="shared" si="3"/>
        <v>573</v>
      </c>
      <c r="B574" s="51" t="s">
        <v>41</v>
      </c>
      <c r="C574" s="53" t="s">
        <v>3679</v>
      </c>
      <c r="D574" s="42" t="s">
        <v>44</v>
      </c>
      <c r="E574" s="42" t="s">
        <v>44</v>
      </c>
      <c r="F574" s="53" t="s">
        <v>3459</v>
      </c>
      <c r="G574" s="53" t="s">
        <v>47</v>
      </c>
      <c r="H574" s="53" t="s">
        <v>95</v>
      </c>
      <c r="I574" s="53" t="s">
        <v>485</v>
      </c>
      <c r="J574" s="53" t="s">
        <v>3460</v>
      </c>
      <c r="K574" s="53" t="s">
        <v>1615</v>
      </c>
      <c r="L574" s="53" t="s">
        <v>52</v>
      </c>
      <c r="M574" s="53" t="s">
        <v>52</v>
      </c>
      <c r="N574" s="62" t="s">
        <v>3681</v>
      </c>
      <c r="O574" s="62" t="s">
        <v>44</v>
      </c>
      <c r="P574" s="62" t="s">
        <v>3682</v>
      </c>
      <c r="Q574" s="62" t="s">
        <v>3683</v>
      </c>
      <c r="R574" s="53"/>
      <c r="S574" s="53"/>
      <c r="T574" s="82"/>
      <c r="U574" s="42"/>
      <c r="V574" s="62"/>
      <c r="W574" s="64"/>
      <c r="X574" s="223"/>
      <c r="Y574" s="223"/>
      <c r="Z574" s="223"/>
      <c r="AA574" s="223"/>
    </row>
    <row r="575">
      <c r="A575" s="42">
        <f t="shared" si="3"/>
        <v>574</v>
      </c>
      <c r="B575" s="51" t="s">
        <v>41</v>
      </c>
      <c r="C575" s="53" t="s">
        <v>3685</v>
      </c>
      <c r="D575" s="42" t="s">
        <v>44</v>
      </c>
      <c r="E575" s="42" t="s">
        <v>44</v>
      </c>
      <c r="F575" s="53" t="s">
        <v>3459</v>
      </c>
      <c r="G575" s="53" t="s">
        <v>47</v>
      </c>
      <c r="H575" s="53" t="s">
        <v>95</v>
      </c>
      <c r="I575" s="53" t="s">
        <v>485</v>
      </c>
      <c r="J575" s="53" t="s">
        <v>3460</v>
      </c>
      <c r="K575" s="53" t="s">
        <v>1615</v>
      </c>
      <c r="L575" s="53" t="s">
        <v>52</v>
      </c>
      <c r="M575" s="53" t="s">
        <v>52</v>
      </c>
      <c r="N575" s="62" t="s">
        <v>3687</v>
      </c>
      <c r="O575" s="62" t="s">
        <v>44</v>
      </c>
      <c r="P575" s="62" t="s">
        <v>3688</v>
      </c>
      <c r="Q575" s="62" t="s">
        <v>3689</v>
      </c>
      <c r="R575" s="53"/>
      <c r="S575" s="53"/>
      <c r="T575" s="82"/>
      <c r="U575" s="42"/>
      <c r="V575" s="62"/>
      <c r="W575" s="64"/>
      <c r="X575" s="223"/>
      <c r="Y575" s="223"/>
      <c r="Z575" s="223"/>
      <c r="AA575" s="223"/>
    </row>
    <row r="576">
      <c r="A576" s="42">
        <f t="shared" si="3"/>
        <v>575</v>
      </c>
      <c r="B576" s="51" t="s">
        <v>41</v>
      </c>
      <c r="C576" s="53" t="s">
        <v>3691</v>
      </c>
      <c r="D576" s="42" t="s">
        <v>44</v>
      </c>
      <c r="E576" s="42" t="s">
        <v>44</v>
      </c>
      <c r="F576" s="53" t="s">
        <v>3459</v>
      </c>
      <c r="G576" s="53" t="s">
        <v>47</v>
      </c>
      <c r="H576" s="53" t="s">
        <v>48</v>
      </c>
      <c r="I576" s="53" t="s">
        <v>485</v>
      </c>
      <c r="J576" s="53" t="s">
        <v>3460</v>
      </c>
      <c r="K576" s="53" t="s">
        <v>1615</v>
      </c>
      <c r="L576" s="53" t="s">
        <v>52</v>
      </c>
      <c r="M576" s="53" t="s">
        <v>52</v>
      </c>
      <c r="N576" s="62" t="s">
        <v>3693</v>
      </c>
      <c r="O576" s="62" t="s">
        <v>44</v>
      </c>
      <c r="P576" s="62" t="s">
        <v>3549</v>
      </c>
      <c r="Q576" s="62" t="s">
        <v>3694</v>
      </c>
      <c r="R576" s="53"/>
      <c r="S576" s="53"/>
      <c r="T576" s="82"/>
      <c r="U576" s="42"/>
      <c r="V576" s="62"/>
      <c r="W576" s="64"/>
      <c r="X576" s="223"/>
      <c r="Y576" s="223"/>
      <c r="Z576" s="223"/>
      <c r="AA576" s="223"/>
    </row>
    <row r="577">
      <c r="A577" s="42">
        <f t="shared" si="3"/>
        <v>576</v>
      </c>
      <c r="B577" s="51" t="s">
        <v>41</v>
      </c>
      <c r="C577" s="53" t="s">
        <v>3696</v>
      </c>
      <c r="D577" s="42" t="s">
        <v>44</v>
      </c>
      <c r="E577" s="42" t="s">
        <v>44</v>
      </c>
      <c r="F577" s="53" t="s">
        <v>3459</v>
      </c>
      <c r="G577" s="53" t="s">
        <v>47</v>
      </c>
      <c r="H577" s="53" t="s">
        <v>95</v>
      </c>
      <c r="I577" s="53" t="s">
        <v>485</v>
      </c>
      <c r="J577" s="53" t="s">
        <v>3460</v>
      </c>
      <c r="K577" s="53" t="s">
        <v>1615</v>
      </c>
      <c r="L577" s="53" t="s">
        <v>52</v>
      </c>
      <c r="M577" s="53" t="s">
        <v>52</v>
      </c>
      <c r="N577" s="62" t="s">
        <v>3476</v>
      </c>
      <c r="O577" s="62" t="s">
        <v>44</v>
      </c>
      <c r="P577" s="62" t="s">
        <v>3699</v>
      </c>
      <c r="Q577" s="62" t="s">
        <v>3700</v>
      </c>
      <c r="R577" s="53"/>
      <c r="S577" s="53"/>
      <c r="T577" s="82"/>
      <c r="U577" s="42"/>
      <c r="V577" s="62"/>
      <c r="W577" s="64"/>
      <c r="X577" s="223"/>
      <c r="Y577" s="223"/>
      <c r="Z577" s="223"/>
      <c r="AA577" s="223"/>
    </row>
    <row r="578">
      <c r="A578" s="42">
        <f t="shared" si="3"/>
        <v>577</v>
      </c>
      <c r="B578" s="51" t="s">
        <v>41</v>
      </c>
      <c r="C578" s="53" t="s">
        <v>3703</v>
      </c>
      <c r="D578" s="42" t="s">
        <v>44</v>
      </c>
      <c r="E578" s="42" t="s">
        <v>44</v>
      </c>
      <c r="F578" s="53" t="s">
        <v>3459</v>
      </c>
      <c r="G578" s="53" t="s">
        <v>47</v>
      </c>
      <c r="H578" s="53" t="s">
        <v>95</v>
      </c>
      <c r="I578" s="53" t="s">
        <v>485</v>
      </c>
      <c r="J578" s="53" t="s">
        <v>3460</v>
      </c>
      <c r="K578" s="53" t="s">
        <v>1615</v>
      </c>
      <c r="L578" s="53" t="s">
        <v>52</v>
      </c>
      <c r="M578" s="53" t="s">
        <v>52</v>
      </c>
      <c r="N578" s="62" t="s">
        <v>3705</v>
      </c>
      <c r="O578" s="62" t="s">
        <v>44</v>
      </c>
      <c r="P578" s="62" t="s">
        <v>3706</v>
      </c>
      <c r="Q578" s="62" t="s">
        <v>3707</v>
      </c>
      <c r="R578" s="53"/>
      <c r="S578" s="53"/>
      <c r="T578" s="82"/>
      <c r="U578" s="42"/>
      <c r="V578" s="62"/>
      <c r="W578" s="64"/>
      <c r="X578" s="223"/>
      <c r="Y578" s="223"/>
      <c r="Z578" s="223"/>
      <c r="AA578" s="223"/>
    </row>
    <row r="579">
      <c r="A579" s="42">
        <f t="shared" si="3"/>
        <v>578</v>
      </c>
      <c r="B579" s="51" t="s">
        <v>41</v>
      </c>
      <c r="C579" s="53" t="s">
        <v>3709</v>
      </c>
      <c r="D579" s="42" t="s">
        <v>44</v>
      </c>
      <c r="E579" s="42" t="s">
        <v>44</v>
      </c>
      <c r="F579" s="53" t="s">
        <v>3459</v>
      </c>
      <c r="G579" s="53" t="s">
        <v>47</v>
      </c>
      <c r="H579" s="53" t="s">
        <v>95</v>
      </c>
      <c r="I579" s="53" t="s">
        <v>485</v>
      </c>
      <c r="J579" s="53" t="s">
        <v>3460</v>
      </c>
      <c r="K579" s="53" t="s">
        <v>1615</v>
      </c>
      <c r="L579" s="53" t="s">
        <v>52</v>
      </c>
      <c r="M579" s="53" t="s">
        <v>52</v>
      </c>
      <c r="N579" s="62" t="s">
        <v>3711</v>
      </c>
      <c r="O579" s="62" t="s">
        <v>44</v>
      </c>
      <c r="P579" s="62" t="s">
        <v>3712</v>
      </c>
      <c r="Q579" s="62" t="s">
        <v>3713</v>
      </c>
      <c r="R579" s="53"/>
      <c r="S579" s="53"/>
      <c r="T579" s="82"/>
      <c r="U579" s="42"/>
      <c r="V579" s="62"/>
      <c r="W579" s="64"/>
      <c r="X579" s="223"/>
      <c r="Y579" s="223"/>
      <c r="Z579" s="223"/>
      <c r="AA579" s="223"/>
    </row>
    <row r="580">
      <c r="A580" s="42">
        <f t="shared" si="3"/>
        <v>579</v>
      </c>
      <c r="B580" s="51" t="s">
        <v>41</v>
      </c>
      <c r="C580" s="53" t="s">
        <v>3715</v>
      </c>
      <c r="D580" s="42" t="s">
        <v>44</v>
      </c>
      <c r="E580" s="42" t="s">
        <v>44</v>
      </c>
      <c r="F580" s="53" t="s">
        <v>3459</v>
      </c>
      <c r="G580" s="53" t="s">
        <v>197</v>
      </c>
      <c r="H580" s="53" t="s">
        <v>112</v>
      </c>
      <c r="I580" s="53" t="s">
        <v>485</v>
      </c>
      <c r="J580" s="53" t="s">
        <v>3460</v>
      </c>
      <c r="K580" s="53" t="s">
        <v>1615</v>
      </c>
      <c r="L580" s="53" t="s">
        <v>52</v>
      </c>
      <c r="M580" s="53" t="s">
        <v>52</v>
      </c>
      <c r="N580" s="62" t="s">
        <v>3717</v>
      </c>
      <c r="O580" s="62" t="s">
        <v>44</v>
      </c>
      <c r="P580" s="62" t="s">
        <v>3718</v>
      </c>
      <c r="Q580" s="62" t="s">
        <v>3719</v>
      </c>
      <c r="R580" s="53"/>
      <c r="S580" s="53"/>
      <c r="T580" s="82"/>
      <c r="U580" s="42"/>
      <c r="V580" s="62"/>
      <c r="W580" s="64"/>
      <c r="X580" s="223"/>
      <c r="Y580" s="223"/>
      <c r="Z580" s="223"/>
      <c r="AA580" s="223"/>
    </row>
    <row r="581">
      <c r="A581" s="42">
        <f t="shared" si="3"/>
        <v>580</v>
      </c>
      <c r="B581" s="51" t="s">
        <v>41</v>
      </c>
      <c r="C581" s="53" t="s">
        <v>3722</v>
      </c>
      <c r="D581" s="42" t="s">
        <v>44</v>
      </c>
      <c r="E581" s="42" t="s">
        <v>44</v>
      </c>
      <c r="F581" s="53" t="s">
        <v>3459</v>
      </c>
      <c r="G581" s="53" t="s">
        <v>47</v>
      </c>
      <c r="H581" s="53" t="s">
        <v>48</v>
      </c>
      <c r="I581" s="53" t="s">
        <v>485</v>
      </c>
      <c r="J581" s="53" t="s">
        <v>3460</v>
      </c>
      <c r="K581" s="53" t="s">
        <v>1615</v>
      </c>
      <c r="L581" s="53" t="s">
        <v>52</v>
      </c>
      <c r="M581" s="53" t="s">
        <v>52</v>
      </c>
      <c r="N581" s="62" t="s">
        <v>3723</v>
      </c>
      <c r="O581" s="62" t="s">
        <v>44</v>
      </c>
      <c r="P581" s="62" t="s">
        <v>3724</v>
      </c>
      <c r="Q581" s="62" t="s">
        <v>3725</v>
      </c>
      <c r="R581" s="53"/>
      <c r="S581" s="53"/>
      <c r="T581" s="82"/>
      <c r="U581" s="42"/>
      <c r="V581" s="62"/>
      <c r="W581" s="64"/>
      <c r="X581" s="223"/>
      <c r="Y581" s="223"/>
      <c r="Z581" s="223"/>
      <c r="AA581" s="223"/>
    </row>
    <row r="582">
      <c r="A582" s="42">
        <f t="shared" si="3"/>
        <v>581</v>
      </c>
      <c r="B582" s="51" t="s">
        <v>41</v>
      </c>
      <c r="C582" s="53" t="s">
        <v>3729</v>
      </c>
      <c r="D582" s="42" t="s">
        <v>44</v>
      </c>
      <c r="E582" s="42" t="s">
        <v>44</v>
      </c>
      <c r="F582" s="53" t="s">
        <v>3459</v>
      </c>
      <c r="G582" s="53" t="s">
        <v>47</v>
      </c>
      <c r="H582" s="53" t="s">
        <v>95</v>
      </c>
      <c r="I582" s="53" t="s">
        <v>485</v>
      </c>
      <c r="J582" s="53" t="s">
        <v>3460</v>
      </c>
      <c r="K582" s="53" t="s">
        <v>1615</v>
      </c>
      <c r="L582" s="53" t="s">
        <v>52</v>
      </c>
      <c r="M582" s="53" t="s">
        <v>52</v>
      </c>
      <c r="N582" s="62" t="s">
        <v>3730</v>
      </c>
      <c r="O582" s="62" t="s">
        <v>44</v>
      </c>
      <c r="P582" s="62" t="s">
        <v>3731</v>
      </c>
      <c r="Q582" s="62" t="s">
        <v>3732</v>
      </c>
      <c r="R582" s="53"/>
      <c r="S582" s="53"/>
      <c r="T582" s="82"/>
      <c r="U582" s="42"/>
      <c r="V582" s="62"/>
      <c r="W582" s="64"/>
      <c r="X582" s="223"/>
      <c r="Y582" s="223"/>
      <c r="Z582" s="223"/>
      <c r="AA582" s="223"/>
    </row>
    <row r="583">
      <c r="A583" s="42">
        <f t="shared" si="3"/>
        <v>582</v>
      </c>
      <c r="B583" s="51" t="s">
        <v>41</v>
      </c>
      <c r="C583" s="53" t="s">
        <v>3736</v>
      </c>
      <c r="D583" s="42" t="s">
        <v>44</v>
      </c>
      <c r="E583" s="42" t="s">
        <v>44</v>
      </c>
      <c r="F583" s="53" t="s">
        <v>3459</v>
      </c>
      <c r="G583" s="53" t="s">
        <v>47</v>
      </c>
      <c r="H583" s="53" t="s">
        <v>95</v>
      </c>
      <c r="I583" s="53" t="s">
        <v>485</v>
      </c>
      <c r="J583" s="53" t="s">
        <v>3460</v>
      </c>
      <c r="K583" s="53" t="s">
        <v>1615</v>
      </c>
      <c r="L583" s="53" t="s">
        <v>52</v>
      </c>
      <c r="M583" s="53" t="s">
        <v>52</v>
      </c>
      <c r="N583" s="62" t="s">
        <v>3737</v>
      </c>
      <c r="O583" s="62" t="s">
        <v>44</v>
      </c>
      <c r="P583" s="62" t="s">
        <v>3738</v>
      </c>
      <c r="Q583" s="62" t="s">
        <v>3739</v>
      </c>
      <c r="R583" s="53"/>
      <c r="S583" s="53"/>
      <c r="T583" s="82"/>
      <c r="U583" s="42"/>
      <c r="V583" s="62"/>
      <c r="W583" s="64"/>
      <c r="X583" s="223"/>
      <c r="Y583" s="223"/>
      <c r="Z583" s="223"/>
      <c r="AA583" s="223"/>
    </row>
    <row r="584">
      <c r="A584" s="42">
        <f t="shared" si="3"/>
        <v>583</v>
      </c>
      <c r="B584" s="51" t="s">
        <v>41</v>
      </c>
      <c r="C584" s="53" t="s">
        <v>3743</v>
      </c>
      <c r="D584" s="42" t="s">
        <v>44</v>
      </c>
      <c r="E584" s="42" t="s">
        <v>44</v>
      </c>
      <c r="F584" s="53" t="s">
        <v>3459</v>
      </c>
      <c r="G584" s="53" t="s">
        <v>85</v>
      </c>
      <c r="H584" s="53" t="s">
        <v>86</v>
      </c>
      <c r="I584" s="53" t="s">
        <v>485</v>
      </c>
      <c r="J584" s="53" t="s">
        <v>2501</v>
      </c>
      <c r="K584" s="53" t="s">
        <v>51</v>
      </c>
      <c r="L584" s="53" t="s">
        <v>52</v>
      </c>
      <c r="M584" s="53" t="s">
        <v>52</v>
      </c>
      <c r="N584" s="62" t="s">
        <v>3744</v>
      </c>
      <c r="O584" s="62" t="s">
        <v>44</v>
      </c>
      <c r="P584" s="62" t="s">
        <v>3745</v>
      </c>
      <c r="Q584" s="62" t="s">
        <v>3746</v>
      </c>
      <c r="R584" s="53"/>
      <c r="S584" s="53"/>
      <c r="T584" s="82"/>
      <c r="U584" s="42"/>
      <c r="V584" s="62"/>
      <c r="W584" s="64"/>
      <c r="X584" s="223"/>
      <c r="Y584" s="223"/>
      <c r="Z584" s="223"/>
      <c r="AA584" s="223"/>
    </row>
    <row r="585">
      <c r="A585" s="42">
        <f t="shared" si="3"/>
        <v>584</v>
      </c>
      <c r="B585" s="51" t="s">
        <v>41</v>
      </c>
      <c r="C585" s="53" t="s">
        <v>3750</v>
      </c>
      <c r="D585" s="42" t="s">
        <v>44</v>
      </c>
      <c r="E585" s="42" t="s">
        <v>44</v>
      </c>
      <c r="F585" s="53" t="s">
        <v>3751</v>
      </c>
      <c r="G585" s="53" t="s">
        <v>47</v>
      </c>
      <c r="H585" s="53" t="s">
        <v>48</v>
      </c>
      <c r="I585" s="53" t="s">
        <v>485</v>
      </c>
      <c r="J585" s="53" t="s">
        <v>3752</v>
      </c>
      <c r="K585" s="53" t="s">
        <v>3753</v>
      </c>
      <c r="L585" s="53" t="s">
        <v>52</v>
      </c>
      <c r="M585" s="53" t="s">
        <v>52</v>
      </c>
      <c r="N585" s="62" t="s">
        <v>3754</v>
      </c>
      <c r="O585" s="62" t="s">
        <v>44</v>
      </c>
      <c r="P585" s="62" t="s">
        <v>934</v>
      </c>
      <c r="Q585" s="62" t="s">
        <v>3755</v>
      </c>
      <c r="R585" s="53"/>
      <c r="S585" s="53"/>
      <c r="T585" s="82"/>
      <c r="U585" s="42"/>
      <c r="V585" s="62"/>
      <c r="W585" s="64"/>
      <c r="X585" s="223"/>
      <c r="Y585" s="223"/>
      <c r="Z585" s="223"/>
      <c r="AA585" s="223"/>
    </row>
    <row r="586">
      <c r="A586" s="42">
        <f t="shared" si="3"/>
        <v>585</v>
      </c>
      <c r="B586" s="51" t="s">
        <v>41</v>
      </c>
      <c r="C586" s="53" t="s">
        <v>3758</v>
      </c>
      <c r="D586" s="42" t="s">
        <v>44</v>
      </c>
      <c r="E586" s="42" t="s">
        <v>44</v>
      </c>
      <c r="F586" s="53" t="s">
        <v>3751</v>
      </c>
      <c r="G586" s="53" t="s">
        <v>47</v>
      </c>
      <c r="H586" s="53" t="s">
        <v>48</v>
      </c>
      <c r="I586" s="53" t="s">
        <v>485</v>
      </c>
      <c r="J586" s="53" t="s">
        <v>3752</v>
      </c>
      <c r="K586" s="53" t="s">
        <v>3753</v>
      </c>
      <c r="L586" s="53" t="s">
        <v>52</v>
      </c>
      <c r="M586" s="53" t="s">
        <v>52</v>
      </c>
      <c r="N586" s="62" t="s">
        <v>3754</v>
      </c>
      <c r="O586" s="62" t="s">
        <v>44</v>
      </c>
      <c r="P586" s="62" t="s">
        <v>1637</v>
      </c>
      <c r="Q586" s="62" t="s">
        <v>3759</v>
      </c>
      <c r="R586" s="53"/>
      <c r="S586" s="53"/>
      <c r="T586" s="82"/>
      <c r="U586" s="42"/>
      <c r="V586" s="62"/>
      <c r="W586" s="64"/>
      <c r="X586" s="223"/>
      <c r="Y586" s="223"/>
      <c r="Z586" s="223"/>
      <c r="AA586" s="223"/>
    </row>
    <row r="587">
      <c r="A587" s="42">
        <f t="shared" si="3"/>
        <v>586</v>
      </c>
      <c r="B587" s="51" t="s">
        <v>41</v>
      </c>
      <c r="C587" s="53" t="s">
        <v>3763</v>
      </c>
      <c r="D587" s="42" t="s">
        <v>44</v>
      </c>
      <c r="E587" s="42" t="s">
        <v>44</v>
      </c>
      <c r="F587" s="53" t="s">
        <v>3751</v>
      </c>
      <c r="G587" s="53" t="s">
        <v>47</v>
      </c>
      <c r="H587" s="53" t="s">
        <v>48</v>
      </c>
      <c r="I587" s="53" t="s">
        <v>485</v>
      </c>
      <c r="J587" s="53" t="s">
        <v>3752</v>
      </c>
      <c r="K587" s="53" t="s">
        <v>3753</v>
      </c>
      <c r="L587" s="53" t="s">
        <v>52</v>
      </c>
      <c r="M587" s="53" t="s">
        <v>52</v>
      </c>
      <c r="N587" s="62" t="s">
        <v>3754</v>
      </c>
      <c r="O587" s="62" t="s">
        <v>44</v>
      </c>
      <c r="P587" s="62" t="s">
        <v>3764</v>
      </c>
      <c r="Q587" s="62" t="s">
        <v>3765</v>
      </c>
      <c r="R587" s="53"/>
      <c r="S587" s="53"/>
      <c r="T587" s="82"/>
      <c r="U587" s="42"/>
      <c r="V587" s="62"/>
      <c r="W587" s="64"/>
      <c r="X587" s="223"/>
      <c r="Y587" s="223"/>
      <c r="Z587" s="223"/>
      <c r="AA587" s="223"/>
    </row>
    <row r="588">
      <c r="A588" s="42">
        <f t="shared" si="3"/>
        <v>587</v>
      </c>
      <c r="B588" s="51" t="s">
        <v>41</v>
      </c>
      <c r="C588" s="53" t="s">
        <v>3769</v>
      </c>
      <c r="D588" s="42" t="s">
        <v>44</v>
      </c>
      <c r="E588" s="42" t="s">
        <v>44</v>
      </c>
      <c r="F588" s="53" t="s">
        <v>3751</v>
      </c>
      <c r="G588" s="53" t="s">
        <v>197</v>
      </c>
      <c r="H588" s="53" t="s">
        <v>95</v>
      </c>
      <c r="I588" s="53" t="s">
        <v>485</v>
      </c>
      <c r="J588" s="53" t="s">
        <v>3752</v>
      </c>
      <c r="K588" s="53" t="s">
        <v>3753</v>
      </c>
      <c r="L588" s="53" t="s">
        <v>52</v>
      </c>
      <c r="M588" s="53" t="s">
        <v>52</v>
      </c>
      <c r="N588" s="62" t="s">
        <v>3754</v>
      </c>
      <c r="O588" s="62" t="s">
        <v>44</v>
      </c>
      <c r="P588" s="62" t="s">
        <v>3770</v>
      </c>
      <c r="Q588" s="62" t="s">
        <v>3771</v>
      </c>
      <c r="R588" s="53"/>
      <c r="S588" s="53"/>
      <c r="T588" s="82"/>
      <c r="U588" s="42"/>
      <c r="V588" s="62"/>
      <c r="W588" s="64"/>
      <c r="X588" s="223"/>
      <c r="Y588" s="223"/>
      <c r="Z588" s="223"/>
      <c r="AA588" s="223"/>
    </row>
    <row r="589">
      <c r="A589" s="42">
        <f t="shared" si="3"/>
        <v>588</v>
      </c>
      <c r="B589" s="51" t="s">
        <v>41</v>
      </c>
      <c r="C589" s="53" t="s">
        <v>3775</v>
      </c>
      <c r="D589" s="42" t="s">
        <v>44</v>
      </c>
      <c r="E589" s="42" t="s">
        <v>44</v>
      </c>
      <c r="F589" s="53" t="s">
        <v>3751</v>
      </c>
      <c r="G589" s="53" t="s">
        <v>47</v>
      </c>
      <c r="H589" s="53" t="s">
        <v>48</v>
      </c>
      <c r="I589" s="53" t="s">
        <v>485</v>
      </c>
      <c r="J589" s="53" t="s">
        <v>3752</v>
      </c>
      <c r="K589" s="53" t="s">
        <v>3753</v>
      </c>
      <c r="L589" s="53" t="s">
        <v>52</v>
      </c>
      <c r="M589" s="53" t="s">
        <v>52</v>
      </c>
      <c r="N589" s="62" t="s">
        <v>3754</v>
      </c>
      <c r="O589" s="62" t="s">
        <v>44</v>
      </c>
      <c r="P589" s="62" t="s">
        <v>3776</v>
      </c>
      <c r="Q589" s="62" t="s">
        <v>3777</v>
      </c>
      <c r="R589" s="53"/>
      <c r="S589" s="53"/>
      <c r="T589" s="82"/>
      <c r="U589" s="42"/>
      <c r="V589" s="62"/>
      <c r="W589" s="64"/>
      <c r="X589" s="223"/>
      <c r="Y589" s="223"/>
      <c r="Z589" s="223"/>
      <c r="AA589" s="223"/>
    </row>
    <row r="590">
      <c r="A590" s="42">
        <f t="shared" si="3"/>
        <v>589</v>
      </c>
      <c r="B590" s="51" t="s">
        <v>41</v>
      </c>
      <c r="C590" s="53" t="s">
        <v>3780</v>
      </c>
      <c r="D590" s="42" t="s">
        <v>44</v>
      </c>
      <c r="E590" s="42" t="s">
        <v>44</v>
      </c>
      <c r="F590" s="53" t="s">
        <v>3751</v>
      </c>
      <c r="G590" s="53" t="s">
        <v>47</v>
      </c>
      <c r="H590" s="53" t="s">
        <v>48</v>
      </c>
      <c r="I590" s="53" t="s">
        <v>485</v>
      </c>
      <c r="J590" s="53" t="s">
        <v>3752</v>
      </c>
      <c r="K590" s="53" t="s">
        <v>3753</v>
      </c>
      <c r="L590" s="53" t="s">
        <v>52</v>
      </c>
      <c r="M590" s="53" t="s">
        <v>52</v>
      </c>
      <c r="N590" s="62" t="s">
        <v>3754</v>
      </c>
      <c r="O590" s="62" t="s">
        <v>44</v>
      </c>
      <c r="P590" s="62" t="s">
        <v>3781</v>
      </c>
      <c r="Q590" s="62" t="s">
        <v>3782</v>
      </c>
      <c r="R590" s="53"/>
      <c r="S590" s="53"/>
      <c r="T590" s="82"/>
      <c r="U590" s="42"/>
      <c r="V590" s="62"/>
      <c r="W590" s="64"/>
      <c r="X590" s="223"/>
      <c r="Y590" s="223"/>
      <c r="Z590" s="223"/>
      <c r="AA590" s="223"/>
    </row>
    <row r="591">
      <c r="A591" s="42">
        <f t="shared" si="3"/>
        <v>590</v>
      </c>
      <c r="B591" s="51" t="s">
        <v>41</v>
      </c>
      <c r="C591" s="53" t="s">
        <v>3786</v>
      </c>
      <c r="D591" s="42" t="s">
        <v>44</v>
      </c>
      <c r="E591" s="42" t="s">
        <v>44</v>
      </c>
      <c r="F591" s="53" t="s">
        <v>3751</v>
      </c>
      <c r="G591" s="53" t="s">
        <v>47</v>
      </c>
      <c r="H591" s="53" t="s">
        <v>48</v>
      </c>
      <c r="I591" s="53" t="s">
        <v>485</v>
      </c>
      <c r="J591" s="53" t="s">
        <v>3752</v>
      </c>
      <c r="K591" s="53" t="s">
        <v>3753</v>
      </c>
      <c r="L591" s="53" t="s">
        <v>52</v>
      </c>
      <c r="M591" s="53" t="s">
        <v>52</v>
      </c>
      <c r="N591" s="62" t="s">
        <v>3754</v>
      </c>
      <c r="O591" s="62" t="s">
        <v>44</v>
      </c>
      <c r="P591" s="62" t="s">
        <v>3787</v>
      </c>
      <c r="Q591" s="62" t="s">
        <v>3788</v>
      </c>
      <c r="R591" s="53"/>
      <c r="S591" s="53"/>
      <c r="T591" s="82"/>
      <c r="U591" s="42"/>
      <c r="V591" s="62"/>
      <c r="W591" s="64"/>
      <c r="X591" s="223"/>
      <c r="Y591" s="223"/>
      <c r="Z591" s="223"/>
      <c r="AA591" s="223"/>
    </row>
    <row r="592">
      <c r="A592" s="42">
        <f t="shared" si="3"/>
        <v>591</v>
      </c>
      <c r="B592" s="51" t="s">
        <v>41</v>
      </c>
      <c r="C592" s="53" t="s">
        <v>3791</v>
      </c>
      <c r="D592" s="42" t="s">
        <v>44</v>
      </c>
      <c r="E592" s="42" t="s">
        <v>44</v>
      </c>
      <c r="F592" s="53" t="s">
        <v>3751</v>
      </c>
      <c r="G592" s="53" t="s">
        <v>47</v>
      </c>
      <c r="H592" s="53" t="s">
        <v>48</v>
      </c>
      <c r="I592" s="53" t="s">
        <v>485</v>
      </c>
      <c r="J592" s="53" t="s">
        <v>3752</v>
      </c>
      <c r="K592" s="53" t="s">
        <v>3753</v>
      </c>
      <c r="L592" s="53" t="s">
        <v>52</v>
      </c>
      <c r="M592" s="53" t="s">
        <v>52</v>
      </c>
      <c r="N592" s="62" t="s">
        <v>3754</v>
      </c>
      <c r="O592" s="62" t="s">
        <v>44</v>
      </c>
      <c r="P592" s="62" t="s">
        <v>3792</v>
      </c>
      <c r="Q592" s="62" t="s">
        <v>3793</v>
      </c>
      <c r="R592" s="53"/>
      <c r="S592" s="53"/>
      <c r="T592" s="82"/>
      <c r="U592" s="42"/>
      <c r="V592" s="62"/>
      <c r="W592" s="64"/>
      <c r="X592" s="223"/>
      <c r="Y592" s="223"/>
      <c r="Z592" s="223"/>
      <c r="AA592" s="223"/>
    </row>
    <row r="593">
      <c r="A593" s="42">
        <f t="shared" si="3"/>
        <v>592</v>
      </c>
      <c r="B593" s="51" t="s">
        <v>41</v>
      </c>
      <c r="C593" s="53" t="s">
        <v>3796</v>
      </c>
      <c r="D593" s="42" t="s">
        <v>44</v>
      </c>
      <c r="E593" s="42" t="s">
        <v>44</v>
      </c>
      <c r="F593" s="53" t="s">
        <v>3751</v>
      </c>
      <c r="G593" s="53" t="s">
        <v>47</v>
      </c>
      <c r="H593" s="53" t="s">
        <v>48</v>
      </c>
      <c r="I593" s="53" t="s">
        <v>485</v>
      </c>
      <c r="J593" s="53" t="s">
        <v>3752</v>
      </c>
      <c r="K593" s="53" t="s">
        <v>3753</v>
      </c>
      <c r="L593" s="53" t="s">
        <v>52</v>
      </c>
      <c r="M593" s="53" t="s">
        <v>52</v>
      </c>
      <c r="N593" s="62" t="s">
        <v>3797</v>
      </c>
      <c r="O593" s="62" t="s">
        <v>44</v>
      </c>
      <c r="P593" s="62" t="s">
        <v>3798</v>
      </c>
      <c r="Q593" s="62" t="s">
        <v>3799</v>
      </c>
      <c r="R593" s="53"/>
      <c r="S593" s="53"/>
      <c r="T593" s="82"/>
      <c r="U593" s="42"/>
      <c r="V593" s="62"/>
      <c r="W593" s="64"/>
      <c r="X593" s="223"/>
      <c r="Y593" s="223"/>
      <c r="Z593" s="223"/>
      <c r="AA593" s="223"/>
    </row>
    <row r="594">
      <c r="A594" s="42">
        <f t="shared" si="3"/>
        <v>593</v>
      </c>
      <c r="B594" s="51" t="s">
        <v>41</v>
      </c>
      <c r="C594" s="53" t="s">
        <v>3803</v>
      </c>
      <c r="D594" s="42" t="s">
        <v>44</v>
      </c>
      <c r="E594" s="42" t="s">
        <v>44</v>
      </c>
      <c r="F594" s="53" t="s">
        <v>3751</v>
      </c>
      <c r="G594" s="53" t="s">
        <v>47</v>
      </c>
      <c r="H594" s="53" t="s">
        <v>48</v>
      </c>
      <c r="I594" s="53" t="s">
        <v>485</v>
      </c>
      <c r="J594" s="53" t="s">
        <v>3752</v>
      </c>
      <c r="K594" s="53" t="s">
        <v>3753</v>
      </c>
      <c r="L594" s="53" t="s">
        <v>52</v>
      </c>
      <c r="M594" s="53" t="s">
        <v>52</v>
      </c>
      <c r="N594" s="62" t="s">
        <v>3754</v>
      </c>
      <c r="O594" s="62" t="s">
        <v>44</v>
      </c>
      <c r="P594" s="62" t="s">
        <v>3804</v>
      </c>
      <c r="Q594" s="62" t="s">
        <v>3805</v>
      </c>
      <c r="R594" s="53"/>
      <c r="S594" s="53"/>
      <c r="T594" s="82"/>
      <c r="U594" s="42"/>
      <c r="V594" s="62"/>
      <c r="W594" s="64"/>
      <c r="X594" s="223"/>
      <c r="Y594" s="223"/>
      <c r="Z594" s="223"/>
      <c r="AA594" s="223"/>
    </row>
    <row r="595">
      <c r="A595" s="42">
        <f t="shared" si="3"/>
        <v>594</v>
      </c>
      <c r="B595" s="51" t="s">
        <v>41</v>
      </c>
      <c r="C595" s="53" t="s">
        <v>3808</v>
      </c>
      <c r="D595" s="42" t="s">
        <v>44</v>
      </c>
      <c r="E595" s="42" t="s">
        <v>44</v>
      </c>
      <c r="F595" s="53" t="s">
        <v>3751</v>
      </c>
      <c r="G595" s="53" t="s">
        <v>47</v>
      </c>
      <c r="H595" s="53" t="s">
        <v>95</v>
      </c>
      <c r="I595" s="53" t="s">
        <v>485</v>
      </c>
      <c r="J595" s="53" t="s">
        <v>3752</v>
      </c>
      <c r="K595" s="53" t="s">
        <v>3753</v>
      </c>
      <c r="L595" s="53" t="s">
        <v>52</v>
      </c>
      <c r="M595" s="53" t="s">
        <v>52</v>
      </c>
      <c r="N595" s="62" t="s">
        <v>3809</v>
      </c>
      <c r="O595" s="62" t="s">
        <v>44</v>
      </c>
      <c r="P595" s="62" t="s">
        <v>3810</v>
      </c>
      <c r="Q595" s="62" t="s">
        <v>3811</v>
      </c>
      <c r="R595" s="53"/>
      <c r="S595" s="53"/>
      <c r="T595" s="82"/>
      <c r="U595" s="42"/>
      <c r="V595" s="62"/>
      <c r="W595" s="64"/>
      <c r="X595" s="223"/>
      <c r="Y595" s="223"/>
      <c r="Z595" s="223"/>
      <c r="AA595" s="223"/>
    </row>
    <row r="596">
      <c r="A596" s="42">
        <f t="shared" si="3"/>
        <v>595</v>
      </c>
      <c r="B596" s="51" t="s">
        <v>41</v>
      </c>
      <c r="C596" s="53" t="s">
        <v>3814</v>
      </c>
      <c r="D596" s="42" t="s">
        <v>44</v>
      </c>
      <c r="E596" s="42" t="s">
        <v>44</v>
      </c>
      <c r="F596" s="53" t="s">
        <v>3751</v>
      </c>
      <c r="G596" s="53" t="s">
        <v>47</v>
      </c>
      <c r="H596" s="53" t="s">
        <v>48</v>
      </c>
      <c r="I596" s="53" t="s">
        <v>485</v>
      </c>
      <c r="J596" s="53" t="s">
        <v>3752</v>
      </c>
      <c r="K596" s="53" t="s">
        <v>3753</v>
      </c>
      <c r="L596" s="53" t="s">
        <v>52</v>
      </c>
      <c r="M596" s="53" t="s">
        <v>52</v>
      </c>
      <c r="N596" s="62" t="s">
        <v>3754</v>
      </c>
      <c r="O596" s="62" t="s">
        <v>44</v>
      </c>
      <c r="P596" s="62" t="s">
        <v>3815</v>
      </c>
      <c r="Q596" s="62" t="s">
        <v>3816</v>
      </c>
      <c r="R596" s="53"/>
      <c r="S596" s="53"/>
      <c r="T596" s="82"/>
      <c r="U596" s="42"/>
      <c r="V596" s="62"/>
      <c r="W596" s="64"/>
      <c r="X596" s="223"/>
      <c r="Y596" s="223"/>
      <c r="Z596" s="223"/>
      <c r="AA596" s="223"/>
    </row>
    <row r="597">
      <c r="A597" s="42">
        <f t="shared" si="3"/>
        <v>596</v>
      </c>
      <c r="B597" s="51" t="s">
        <v>41</v>
      </c>
      <c r="C597" s="53" t="s">
        <v>3819</v>
      </c>
      <c r="D597" s="42" t="s">
        <v>44</v>
      </c>
      <c r="E597" s="42" t="s">
        <v>44</v>
      </c>
      <c r="F597" s="53" t="s">
        <v>3751</v>
      </c>
      <c r="G597" s="53" t="s">
        <v>47</v>
      </c>
      <c r="H597" s="53" t="s">
        <v>48</v>
      </c>
      <c r="I597" s="53" t="s">
        <v>485</v>
      </c>
      <c r="J597" s="53" t="s">
        <v>3752</v>
      </c>
      <c r="K597" s="53" t="s">
        <v>3753</v>
      </c>
      <c r="L597" s="53" t="s">
        <v>52</v>
      </c>
      <c r="M597" s="53" t="s">
        <v>52</v>
      </c>
      <c r="N597" s="62" t="s">
        <v>3754</v>
      </c>
      <c r="O597" s="62" t="s">
        <v>44</v>
      </c>
      <c r="P597" s="62" t="s">
        <v>3820</v>
      </c>
      <c r="Q597" s="62" t="s">
        <v>3793</v>
      </c>
      <c r="R597" s="53"/>
      <c r="S597" s="53"/>
      <c r="T597" s="82"/>
      <c r="U597" s="42"/>
      <c r="V597" s="62"/>
      <c r="W597" s="64"/>
      <c r="X597" s="223"/>
      <c r="Y597" s="223"/>
      <c r="Z597" s="223"/>
      <c r="AA597" s="223"/>
    </row>
    <row r="598">
      <c r="A598" s="42">
        <f t="shared" si="3"/>
        <v>597</v>
      </c>
      <c r="B598" s="51" t="s">
        <v>41</v>
      </c>
      <c r="C598" s="53" t="s">
        <v>3823</v>
      </c>
      <c r="D598" s="42" t="s">
        <v>44</v>
      </c>
      <c r="E598" s="42" t="s">
        <v>44</v>
      </c>
      <c r="F598" s="53" t="s">
        <v>3751</v>
      </c>
      <c r="G598" s="53" t="s">
        <v>47</v>
      </c>
      <c r="H598" s="53" t="s">
        <v>48</v>
      </c>
      <c r="I598" s="53" t="s">
        <v>485</v>
      </c>
      <c r="J598" s="53" t="s">
        <v>3752</v>
      </c>
      <c r="K598" s="53" t="s">
        <v>3753</v>
      </c>
      <c r="L598" s="53" t="s">
        <v>52</v>
      </c>
      <c r="M598" s="53" t="s">
        <v>52</v>
      </c>
      <c r="N598" s="62" t="s">
        <v>3797</v>
      </c>
      <c r="O598" s="62" t="s">
        <v>44</v>
      </c>
      <c r="P598" s="62" t="s">
        <v>3824</v>
      </c>
      <c r="Q598" s="62" t="s">
        <v>3799</v>
      </c>
      <c r="R598" s="53"/>
      <c r="S598" s="53"/>
      <c r="T598" s="82"/>
      <c r="U598" s="42"/>
      <c r="V598" s="62"/>
      <c r="W598" s="64"/>
      <c r="X598" s="223"/>
      <c r="Y598" s="223"/>
      <c r="Z598" s="223"/>
      <c r="AA598" s="223"/>
    </row>
    <row r="599">
      <c r="A599" s="42">
        <f t="shared" si="3"/>
        <v>598</v>
      </c>
      <c r="B599" s="51" t="s">
        <v>41</v>
      </c>
      <c r="C599" s="53" t="s">
        <v>3827</v>
      </c>
      <c r="D599" s="42" t="s">
        <v>44</v>
      </c>
      <c r="E599" s="42" t="s">
        <v>44</v>
      </c>
      <c r="F599" s="53" t="s">
        <v>3751</v>
      </c>
      <c r="G599" s="53" t="s">
        <v>47</v>
      </c>
      <c r="H599" s="53" t="s">
        <v>95</v>
      </c>
      <c r="I599" s="53" t="s">
        <v>485</v>
      </c>
      <c r="J599" s="53" t="s">
        <v>3752</v>
      </c>
      <c r="K599" s="53" t="s">
        <v>3753</v>
      </c>
      <c r="L599" s="53" t="s">
        <v>52</v>
      </c>
      <c r="M599" s="53" t="s">
        <v>52</v>
      </c>
      <c r="N599" s="62" t="s">
        <v>3809</v>
      </c>
      <c r="O599" s="62" t="s">
        <v>44</v>
      </c>
      <c r="P599" s="62" t="s">
        <v>3828</v>
      </c>
      <c r="Q599" s="62" t="s">
        <v>3829</v>
      </c>
      <c r="R599" s="53"/>
      <c r="S599" s="53"/>
      <c r="T599" s="82"/>
      <c r="U599" s="42"/>
      <c r="V599" s="62"/>
      <c r="W599" s="64"/>
      <c r="X599" s="223"/>
      <c r="Y599" s="223"/>
      <c r="Z599" s="223"/>
      <c r="AA599" s="223"/>
    </row>
    <row r="600">
      <c r="A600" s="42">
        <f t="shared" si="3"/>
        <v>599</v>
      </c>
      <c r="B600" s="51" t="s">
        <v>41</v>
      </c>
      <c r="C600" s="53" t="s">
        <v>3832</v>
      </c>
      <c r="D600" s="42" t="s">
        <v>44</v>
      </c>
      <c r="E600" s="42" t="s">
        <v>44</v>
      </c>
      <c r="F600" s="53" t="s">
        <v>3751</v>
      </c>
      <c r="G600" s="53" t="s">
        <v>47</v>
      </c>
      <c r="H600" s="53" t="s">
        <v>95</v>
      </c>
      <c r="I600" s="53" t="s">
        <v>485</v>
      </c>
      <c r="J600" s="53" t="s">
        <v>3752</v>
      </c>
      <c r="K600" s="53" t="s">
        <v>3753</v>
      </c>
      <c r="L600" s="53" t="s">
        <v>52</v>
      </c>
      <c r="M600" s="53" t="s">
        <v>52</v>
      </c>
      <c r="N600" s="62" t="s">
        <v>3833</v>
      </c>
      <c r="O600" s="62" t="s">
        <v>44</v>
      </c>
      <c r="P600" s="62" t="s">
        <v>3834</v>
      </c>
      <c r="Q600" s="62" t="s">
        <v>3835</v>
      </c>
      <c r="R600" s="53"/>
      <c r="S600" s="53"/>
      <c r="T600" s="82"/>
      <c r="U600" s="42"/>
      <c r="V600" s="62"/>
      <c r="W600" s="64"/>
      <c r="X600" s="223"/>
      <c r="Y600" s="223"/>
      <c r="Z600" s="223"/>
      <c r="AA600" s="223"/>
    </row>
    <row r="601">
      <c r="A601" s="42">
        <f t="shared" si="3"/>
        <v>600</v>
      </c>
      <c r="B601" s="51" t="s">
        <v>41</v>
      </c>
      <c r="C601" s="53" t="s">
        <v>3838</v>
      </c>
      <c r="D601" s="42" t="s">
        <v>44</v>
      </c>
      <c r="E601" s="42" t="s">
        <v>44</v>
      </c>
      <c r="F601" s="53" t="s">
        <v>3751</v>
      </c>
      <c r="G601" s="53" t="s">
        <v>197</v>
      </c>
      <c r="H601" s="53" t="s">
        <v>95</v>
      </c>
      <c r="I601" s="53" t="s">
        <v>485</v>
      </c>
      <c r="J601" s="53" t="s">
        <v>3752</v>
      </c>
      <c r="K601" s="53" t="s">
        <v>3753</v>
      </c>
      <c r="L601" s="53" t="s">
        <v>52</v>
      </c>
      <c r="M601" s="53" t="s">
        <v>52</v>
      </c>
      <c r="N601" s="62" t="s">
        <v>3754</v>
      </c>
      <c r="O601" s="62" t="s">
        <v>44</v>
      </c>
      <c r="P601" s="62" t="s">
        <v>3839</v>
      </c>
      <c r="Q601" s="62" t="s">
        <v>3840</v>
      </c>
      <c r="R601" s="53"/>
      <c r="S601" s="53"/>
      <c r="T601" s="82"/>
      <c r="U601" s="42"/>
      <c r="V601" s="62"/>
      <c r="W601" s="64"/>
      <c r="X601" s="223"/>
      <c r="Y601" s="223"/>
      <c r="Z601" s="223"/>
      <c r="AA601" s="223"/>
    </row>
    <row r="602">
      <c r="A602" s="42">
        <f t="shared" si="3"/>
        <v>601</v>
      </c>
      <c r="B602" s="51" t="s">
        <v>41</v>
      </c>
      <c r="C602" s="53" t="s">
        <v>3843</v>
      </c>
      <c r="D602" s="42" t="s">
        <v>44</v>
      </c>
      <c r="E602" s="42" t="s">
        <v>44</v>
      </c>
      <c r="F602" s="53" t="s">
        <v>3751</v>
      </c>
      <c r="G602" s="53" t="s">
        <v>47</v>
      </c>
      <c r="H602" s="53" t="s">
        <v>95</v>
      </c>
      <c r="I602" s="53" t="s">
        <v>485</v>
      </c>
      <c r="J602" s="53" t="s">
        <v>3752</v>
      </c>
      <c r="K602" s="53" t="s">
        <v>3753</v>
      </c>
      <c r="L602" s="53" t="s">
        <v>52</v>
      </c>
      <c r="M602" s="53" t="s">
        <v>52</v>
      </c>
      <c r="N602" s="62" t="s">
        <v>3754</v>
      </c>
      <c r="O602" s="62" t="s">
        <v>44</v>
      </c>
      <c r="P602" s="62" t="s">
        <v>3844</v>
      </c>
      <c r="Q602" s="62" t="s">
        <v>3845</v>
      </c>
      <c r="R602" s="53"/>
      <c r="S602" s="53"/>
      <c r="T602" s="82"/>
      <c r="U602" s="42"/>
      <c r="V602" s="62"/>
      <c r="W602" s="64"/>
      <c r="X602" s="223"/>
      <c r="Y602" s="223"/>
      <c r="Z602" s="223"/>
      <c r="AA602" s="223"/>
    </row>
    <row r="603">
      <c r="A603" s="42">
        <f t="shared" si="3"/>
        <v>602</v>
      </c>
      <c r="B603" s="51" t="s">
        <v>41</v>
      </c>
      <c r="C603" s="53" t="s">
        <v>3848</v>
      </c>
      <c r="D603" s="42" t="s">
        <v>44</v>
      </c>
      <c r="E603" s="42" t="s">
        <v>44</v>
      </c>
      <c r="F603" s="53" t="s">
        <v>3751</v>
      </c>
      <c r="G603" s="53" t="s">
        <v>47</v>
      </c>
      <c r="H603" s="53" t="s">
        <v>95</v>
      </c>
      <c r="I603" s="53" t="s">
        <v>485</v>
      </c>
      <c r="J603" s="53" t="s">
        <v>3752</v>
      </c>
      <c r="K603" s="53" t="s">
        <v>3753</v>
      </c>
      <c r="L603" s="53" t="s">
        <v>52</v>
      </c>
      <c r="M603" s="53" t="s">
        <v>52</v>
      </c>
      <c r="N603" s="62" t="s">
        <v>3754</v>
      </c>
      <c r="O603" s="62" t="s">
        <v>44</v>
      </c>
      <c r="P603" s="62" t="s">
        <v>3849</v>
      </c>
      <c r="Q603" s="62" t="s">
        <v>3850</v>
      </c>
      <c r="R603" s="53"/>
      <c r="S603" s="53"/>
      <c r="T603" s="82"/>
      <c r="U603" s="42"/>
      <c r="V603" s="62"/>
      <c r="W603" s="64"/>
      <c r="X603" s="223"/>
      <c r="Y603" s="223"/>
      <c r="Z603" s="223"/>
      <c r="AA603" s="223"/>
    </row>
    <row r="604">
      <c r="A604" s="42">
        <f t="shared" si="3"/>
        <v>603</v>
      </c>
      <c r="B604" s="51" t="s">
        <v>41</v>
      </c>
      <c r="C604" s="53" t="s">
        <v>3853</v>
      </c>
      <c r="D604" s="42" t="s">
        <v>44</v>
      </c>
      <c r="E604" s="42" t="s">
        <v>44</v>
      </c>
      <c r="F604" s="53" t="s">
        <v>3751</v>
      </c>
      <c r="G604" s="53" t="s">
        <v>47</v>
      </c>
      <c r="H604" s="53" t="s">
        <v>95</v>
      </c>
      <c r="I604" s="53" t="s">
        <v>485</v>
      </c>
      <c r="J604" s="53" t="s">
        <v>3752</v>
      </c>
      <c r="K604" s="53" t="s">
        <v>3753</v>
      </c>
      <c r="L604" s="53" t="s">
        <v>52</v>
      </c>
      <c r="M604" s="53" t="s">
        <v>52</v>
      </c>
      <c r="N604" s="62" t="s">
        <v>3754</v>
      </c>
      <c r="O604" s="62" t="s">
        <v>44</v>
      </c>
      <c r="P604" s="62" t="s">
        <v>3854</v>
      </c>
      <c r="Q604" s="62" t="s">
        <v>3855</v>
      </c>
      <c r="R604" s="53"/>
      <c r="S604" s="53"/>
      <c r="T604" s="82"/>
      <c r="U604" s="42"/>
      <c r="V604" s="62"/>
      <c r="W604" s="64"/>
      <c r="X604" s="223"/>
      <c r="Y604" s="223"/>
      <c r="Z604" s="223"/>
      <c r="AA604" s="223"/>
    </row>
    <row r="605">
      <c r="A605" s="42">
        <f t="shared" si="3"/>
        <v>604</v>
      </c>
      <c r="B605" s="51" t="s">
        <v>41</v>
      </c>
      <c r="C605" s="53" t="s">
        <v>3858</v>
      </c>
      <c r="D605" s="42" t="s">
        <v>44</v>
      </c>
      <c r="E605" s="42" t="s">
        <v>44</v>
      </c>
      <c r="F605" s="53" t="s">
        <v>3751</v>
      </c>
      <c r="G605" s="53" t="s">
        <v>47</v>
      </c>
      <c r="H605" s="53" t="s">
        <v>95</v>
      </c>
      <c r="I605" s="53" t="s">
        <v>485</v>
      </c>
      <c r="J605" s="53" t="s">
        <v>3752</v>
      </c>
      <c r="K605" s="53" t="s">
        <v>3753</v>
      </c>
      <c r="L605" s="53" t="s">
        <v>52</v>
      </c>
      <c r="M605" s="53" t="s">
        <v>52</v>
      </c>
      <c r="N605" s="62" t="s">
        <v>3754</v>
      </c>
      <c r="O605" s="62" t="s">
        <v>44</v>
      </c>
      <c r="P605" s="62" t="s">
        <v>3859</v>
      </c>
      <c r="Q605" s="62" t="s">
        <v>3860</v>
      </c>
      <c r="R605" s="53"/>
      <c r="S605" s="53"/>
      <c r="T605" s="82"/>
      <c r="U605" s="42"/>
      <c r="V605" s="62"/>
      <c r="W605" s="64"/>
      <c r="X605" s="223"/>
      <c r="Y605" s="223"/>
      <c r="Z605" s="223"/>
      <c r="AA605" s="223"/>
    </row>
    <row r="606">
      <c r="A606" s="42">
        <f t="shared" si="3"/>
        <v>605</v>
      </c>
      <c r="B606" s="51" t="s">
        <v>41</v>
      </c>
      <c r="C606" s="53" t="s">
        <v>3863</v>
      </c>
      <c r="D606" s="42" t="s">
        <v>44</v>
      </c>
      <c r="E606" s="42" t="s">
        <v>44</v>
      </c>
      <c r="F606" s="53" t="s">
        <v>3751</v>
      </c>
      <c r="G606" s="53" t="s">
        <v>47</v>
      </c>
      <c r="H606" s="53" t="s">
        <v>48</v>
      </c>
      <c r="I606" s="53" t="s">
        <v>485</v>
      </c>
      <c r="J606" s="53" t="s">
        <v>3752</v>
      </c>
      <c r="K606" s="53" t="s">
        <v>3753</v>
      </c>
      <c r="L606" s="53" t="s">
        <v>52</v>
      </c>
      <c r="M606" s="53" t="s">
        <v>52</v>
      </c>
      <c r="N606" s="62" t="s">
        <v>3797</v>
      </c>
      <c r="O606" s="62" t="s">
        <v>44</v>
      </c>
      <c r="P606" s="62" t="s">
        <v>3864</v>
      </c>
      <c r="Q606" s="62" t="s">
        <v>3865</v>
      </c>
      <c r="R606" s="53"/>
      <c r="S606" s="53"/>
      <c r="T606" s="82"/>
      <c r="U606" s="53"/>
      <c r="V606" s="62"/>
      <c r="W606" s="64"/>
      <c r="X606" s="223"/>
      <c r="Y606" s="223"/>
      <c r="Z606" s="223"/>
      <c r="AA606" s="223"/>
    </row>
    <row r="607">
      <c r="A607" s="42">
        <f t="shared" si="3"/>
        <v>606</v>
      </c>
      <c r="B607" s="51" t="s">
        <v>41</v>
      </c>
      <c r="C607" s="53" t="s">
        <v>3869</v>
      </c>
      <c r="D607" s="42" t="s">
        <v>44</v>
      </c>
      <c r="E607" s="42" t="s">
        <v>44</v>
      </c>
      <c r="F607" s="53" t="s">
        <v>3751</v>
      </c>
      <c r="G607" s="53" t="s">
        <v>47</v>
      </c>
      <c r="H607" s="53" t="s">
        <v>48</v>
      </c>
      <c r="I607" s="53" t="s">
        <v>485</v>
      </c>
      <c r="J607" s="53" t="s">
        <v>3752</v>
      </c>
      <c r="K607" s="53" t="s">
        <v>3753</v>
      </c>
      <c r="L607" s="53" t="s">
        <v>52</v>
      </c>
      <c r="M607" s="53" t="s">
        <v>52</v>
      </c>
      <c r="N607" s="62" t="s">
        <v>3797</v>
      </c>
      <c r="O607" s="62" t="s">
        <v>44</v>
      </c>
      <c r="P607" s="62" t="s">
        <v>3870</v>
      </c>
      <c r="Q607" s="62" t="s">
        <v>3871</v>
      </c>
      <c r="R607" s="53"/>
      <c r="S607" s="53"/>
      <c r="T607" s="82"/>
      <c r="U607" s="53"/>
      <c r="V607" s="62"/>
      <c r="W607" s="64"/>
      <c r="X607" s="223"/>
      <c r="Y607" s="223"/>
      <c r="Z607" s="223"/>
      <c r="AA607" s="223"/>
    </row>
    <row r="608">
      <c r="A608" s="42">
        <f t="shared" si="3"/>
        <v>607</v>
      </c>
      <c r="B608" s="51" t="s">
        <v>41</v>
      </c>
      <c r="C608" s="53" t="s">
        <v>3874</v>
      </c>
      <c r="D608" s="42" t="s">
        <v>44</v>
      </c>
      <c r="E608" s="42" t="s">
        <v>44</v>
      </c>
      <c r="F608" s="53" t="s">
        <v>3751</v>
      </c>
      <c r="G608" s="53" t="s">
        <v>47</v>
      </c>
      <c r="H608" s="53" t="s">
        <v>48</v>
      </c>
      <c r="I608" s="53" t="s">
        <v>485</v>
      </c>
      <c r="J608" s="53" t="s">
        <v>3752</v>
      </c>
      <c r="K608" s="53" t="s">
        <v>3753</v>
      </c>
      <c r="L608" s="53" t="s">
        <v>52</v>
      </c>
      <c r="M608" s="53" t="s">
        <v>52</v>
      </c>
      <c r="N608" s="62" t="s">
        <v>3797</v>
      </c>
      <c r="O608" s="62" t="s">
        <v>44</v>
      </c>
      <c r="P608" s="62" t="s">
        <v>3875</v>
      </c>
      <c r="Q608" s="62" t="s">
        <v>3876</v>
      </c>
      <c r="R608" s="53"/>
      <c r="S608" s="53"/>
      <c r="T608" s="82"/>
      <c r="U608" s="53"/>
      <c r="V608" s="62"/>
      <c r="W608" s="64"/>
      <c r="X608" s="223"/>
      <c r="Y608" s="223"/>
      <c r="Z608" s="223"/>
      <c r="AA608" s="223"/>
    </row>
    <row r="609">
      <c r="A609" s="42">
        <f t="shared" si="3"/>
        <v>608</v>
      </c>
      <c r="B609" s="51" t="s">
        <v>41</v>
      </c>
      <c r="C609" s="53" t="s">
        <v>3880</v>
      </c>
      <c r="D609" s="42" t="s">
        <v>44</v>
      </c>
      <c r="E609" s="42" t="s">
        <v>44</v>
      </c>
      <c r="F609" s="53" t="s">
        <v>3751</v>
      </c>
      <c r="G609" s="53" t="s">
        <v>47</v>
      </c>
      <c r="H609" s="53" t="s">
        <v>48</v>
      </c>
      <c r="I609" s="53" t="s">
        <v>485</v>
      </c>
      <c r="J609" s="53" t="s">
        <v>3752</v>
      </c>
      <c r="K609" s="53" t="s">
        <v>3753</v>
      </c>
      <c r="L609" s="53" t="s">
        <v>52</v>
      </c>
      <c r="M609" s="53" t="s">
        <v>52</v>
      </c>
      <c r="N609" s="62" t="s">
        <v>3797</v>
      </c>
      <c r="O609" s="62" t="s">
        <v>44</v>
      </c>
      <c r="P609" s="62" t="s">
        <v>3881</v>
      </c>
      <c r="Q609" s="62" t="s">
        <v>3882</v>
      </c>
      <c r="R609" s="53"/>
      <c r="S609" s="53"/>
      <c r="T609" s="82"/>
      <c r="U609" s="42"/>
      <c r="V609" s="62"/>
      <c r="W609" s="64"/>
      <c r="X609" s="223"/>
      <c r="Y609" s="223"/>
      <c r="Z609" s="223"/>
      <c r="AA609" s="223"/>
    </row>
    <row r="610">
      <c r="A610" s="42">
        <f t="shared" si="3"/>
        <v>609</v>
      </c>
      <c r="B610" s="51" t="s">
        <v>41</v>
      </c>
      <c r="C610" s="53" t="s">
        <v>3886</v>
      </c>
      <c r="D610" s="42" t="s">
        <v>44</v>
      </c>
      <c r="E610" s="42" t="s">
        <v>44</v>
      </c>
      <c r="F610" s="53" t="s">
        <v>3751</v>
      </c>
      <c r="G610" s="53" t="s">
        <v>47</v>
      </c>
      <c r="H610" s="53" t="s">
        <v>48</v>
      </c>
      <c r="I610" s="53" t="s">
        <v>485</v>
      </c>
      <c r="J610" s="53" t="s">
        <v>3752</v>
      </c>
      <c r="K610" s="53" t="s">
        <v>3753</v>
      </c>
      <c r="L610" s="53" t="s">
        <v>52</v>
      </c>
      <c r="M610" s="53" t="s">
        <v>52</v>
      </c>
      <c r="N610" s="62" t="s">
        <v>3754</v>
      </c>
      <c r="O610" s="62" t="s">
        <v>44</v>
      </c>
      <c r="P610" s="62" t="s">
        <v>3409</v>
      </c>
      <c r="Q610" s="62" t="s">
        <v>3887</v>
      </c>
      <c r="R610" s="53"/>
      <c r="S610" s="53"/>
      <c r="T610" s="82"/>
      <c r="U610" s="53"/>
      <c r="V610" s="62"/>
      <c r="W610" s="64"/>
      <c r="X610" s="223"/>
      <c r="Y610" s="223"/>
      <c r="Z610" s="223"/>
      <c r="AA610" s="223"/>
    </row>
    <row r="611">
      <c r="A611" s="42">
        <f t="shared" si="3"/>
        <v>610</v>
      </c>
      <c r="B611" s="51" t="s">
        <v>41</v>
      </c>
      <c r="C611" s="53" t="s">
        <v>3891</v>
      </c>
      <c r="D611" s="42" t="s">
        <v>44</v>
      </c>
      <c r="E611" s="42" t="s">
        <v>44</v>
      </c>
      <c r="F611" s="53" t="s">
        <v>3751</v>
      </c>
      <c r="G611" s="53" t="s">
        <v>47</v>
      </c>
      <c r="H611" s="53" t="s">
        <v>95</v>
      </c>
      <c r="I611" s="53" t="s">
        <v>485</v>
      </c>
      <c r="J611" s="53" t="s">
        <v>3752</v>
      </c>
      <c r="K611" s="53" t="s">
        <v>3753</v>
      </c>
      <c r="L611" s="53" t="s">
        <v>52</v>
      </c>
      <c r="M611" s="53" t="s">
        <v>52</v>
      </c>
      <c r="N611" s="62" t="s">
        <v>3892</v>
      </c>
      <c r="O611" s="62" t="s">
        <v>44</v>
      </c>
      <c r="P611" s="62" t="s">
        <v>3893</v>
      </c>
      <c r="Q611" s="62" t="s">
        <v>3894</v>
      </c>
      <c r="R611" s="53"/>
      <c r="S611" s="53"/>
      <c r="T611" s="82"/>
      <c r="U611" s="53"/>
      <c r="V611" s="62"/>
      <c r="W611" s="64"/>
      <c r="X611" s="223"/>
      <c r="Y611" s="223"/>
      <c r="Z611" s="223"/>
      <c r="AA611" s="223"/>
    </row>
    <row r="612">
      <c r="A612" s="42">
        <f t="shared" si="3"/>
        <v>611</v>
      </c>
      <c r="B612" s="51" t="s">
        <v>41</v>
      </c>
      <c r="C612" s="53" t="s">
        <v>3898</v>
      </c>
      <c r="D612" s="42" t="s">
        <v>44</v>
      </c>
      <c r="E612" s="42" t="s">
        <v>44</v>
      </c>
      <c r="F612" s="53" t="s">
        <v>3751</v>
      </c>
      <c r="G612" s="53" t="s">
        <v>85</v>
      </c>
      <c r="H612" s="53" t="s">
        <v>86</v>
      </c>
      <c r="I612" s="53" t="s">
        <v>485</v>
      </c>
      <c r="J612" s="53" t="s">
        <v>3752</v>
      </c>
      <c r="K612" s="53" t="s">
        <v>3753</v>
      </c>
      <c r="L612" s="53" t="s">
        <v>52</v>
      </c>
      <c r="M612" s="53" t="s">
        <v>52</v>
      </c>
      <c r="N612" s="62" t="s">
        <v>3754</v>
      </c>
      <c r="O612" s="62" t="s">
        <v>44</v>
      </c>
      <c r="P612" s="62" t="s">
        <v>3419</v>
      </c>
      <c r="Q612" s="62" t="s">
        <v>3899</v>
      </c>
      <c r="R612" s="53"/>
      <c r="S612" s="53"/>
      <c r="T612" s="82"/>
      <c r="U612" s="42"/>
      <c r="V612" s="62"/>
      <c r="W612" s="64"/>
      <c r="X612" s="223"/>
      <c r="Y612" s="223"/>
      <c r="Z612" s="223"/>
      <c r="AA612" s="223"/>
    </row>
    <row r="613">
      <c r="A613" s="42">
        <f t="shared" si="3"/>
        <v>612</v>
      </c>
      <c r="B613" s="51" t="s">
        <v>41</v>
      </c>
      <c r="C613" s="53" t="s">
        <v>3903</v>
      </c>
      <c r="D613" s="42" t="s">
        <v>44</v>
      </c>
      <c r="E613" s="42" t="s">
        <v>44</v>
      </c>
      <c r="F613" s="53" t="s">
        <v>3751</v>
      </c>
      <c r="G613" s="53" t="s">
        <v>47</v>
      </c>
      <c r="H613" s="53" t="s">
        <v>91</v>
      </c>
      <c r="I613" s="53" t="s">
        <v>485</v>
      </c>
      <c r="J613" s="53" t="s">
        <v>3752</v>
      </c>
      <c r="K613" s="53" t="s">
        <v>3753</v>
      </c>
      <c r="L613" s="53" t="s">
        <v>52</v>
      </c>
      <c r="M613" s="53" t="s">
        <v>52</v>
      </c>
      <c r="N613" s="62" t="s">
        <v>3754</v>
      </c>
      <c r="O613" s="62" t="s">
        <v>44</v>
      </c>
      <c r="P613" s="62" t="s">
        <v>3904</v>
      </c>
      <c r="Q613" s="62" t="s">
        <v>3905</v>
      </c>
      <c r="R613" s="53"/>
      <c r="S613" s="53"/>
      <c r="T613" s="82"/>
      <c r="U613" s="42"/>
      <c r="V613" s="62"/>
      <c r="W613" s="64"/>
      <c r="X613" s="223"/>
      <c r="Y613" s="223"/>
      <c r="Z613" s="223"/>
      <c r="AA613" s="223"/>
    </row>
    <row r="614">
      <c r="A614" s="42">
        <f t="shared" si="3"/>
        <v>613</v>
      </c>
      <c r="B614" s="51" t="s">
        <v>41</v>
      </c>
      <c r="C614" s="53" t="s">
        <v>3909</v>
      </c>
      <c r="D614" s="42" t="s">
        <v>44</v>
      </c>
      <c r="E614" s="42" t="s">
        <v>44</v>
      </c>
      <c r="F614" s="53" t="s">
        <v>3910</v>
      </c>
      <c r="G614" s="53" t="s">
        <v>47</v>
      </c>
      <c r="H614" s="53" t="s">
        <v>48</v>
      </c>
      <c r="I614" s="53" t="s">
        <v>485</v>
      </c>
      <c r="J614" s="53" t="s">
        <v>3911</v>
      </c>
      <c r="K614" s="53" t="s">
        <v>51</v>
      </c>
      <c r="L614" s="53" t="s">
        <v>52</v>
      </c>
      <c r="M614" s="53" t="s">
        <v>52</v>
      </c>
      <c r="N614" s="62" t="s">
        <v>3912</v>
      </c>
      <c r="O614" s="62" t="s">
        <v>44</v>
      </c>
      <c r="P614" s="62" t="s">
        <v>934</v>
      </c>
      <c r="Q614" s="62" t="s">
        <v>3913</v>
      </c>
      <c r="R614" s="53"/>
      <c r="S614" s="53"/>
      <c r="T614" s="82"/>
      <c r="U614" s="42"/>
      <c r="V614" s="62"/>
      <c r="W614" s="64"/>
      <c r="X614" s="223"/>
      <c r="Y614" s="223"/>
      <c r="Z614" s="223"/>
      <c r="AA614" s="223"/>
    </row>
    <row r="615">
      <c r="A615" s="42">
        <f t="shared" si="3"/>
        <v>614</v>
      </c>
      <c r="B615" s="51" t="s">
        <v>41</v>
      </c>
      <c r="C615" s="53" t="s">
        <v>3916</v>
      </c>
      <c r="D615" s="42" t="s">
        <v>44</v>
      </c>
      <c r="E615" s="42" t="s">
        <v>44</v>
      </c>
      <c r="F615" s="53" t="s">
        <v>3910</v>
      </c>
      <c r="G615" s="53" t="s">
        <v>47</v>
      </c>
      <c r="H615" s="53" t="s">
        <v>48</v>
      </c>
      <c r="I615" s="53" t="s">
        <v>485</v>
      </c>
      <c r="J615" s="53" t="s">
        <v>3911</v>
      </c>
      <c r="K615" s="53" t="s">
        <v>51</v>
      </c>
      <c r="L615" s="53" t="s">
        <v>52</v>
      </c>
      <c r="M615" s="53" t="s">
        <v>52</v>
      </c>
      <c r="N615" s="62" t="s">
        <v>3912</v>
      </c>
      <c r="O615" s="62" t="s">
        <v>44</v>
      </c>
      <c r="P615" s="62" t="s">
        <v>3917</v>
      </c>
      <c r="Q615" s="62" t="s">
        <v>3918</v>
      </c>
      <c r="R615" s="53"/>
      <c r="S615" s="53"/>
      <c r="T615" s="82"/>
      <c r="U615" s="42"/>
      <c r="V615" s="62"/>
      <c r="W615" s="64"/>
      <c r="X615" s="223"/>
      <c r="Y615" s="223"/>
      <c r="Z615" s="223"/>
      <c r="AA615" s="223"/>
    </row>
    <row r="616">
      <c r="A616" s="42">
        <f t="shared" si="3"/>
        <v>615</v>
      </c>
      <c r="B616" s="51" t="s">
        <v>41</v>
      </c>
      <c r="C616" s="53" t="s">
        <v>3921</v>
      </c>
      <c r="D616" s="42" t="s">
        <v>44</v>
      </c>
      <c r="E616" s="42" t="s">
        <v>44</v>
      </c>
      <c r="F616" s="53" t="s">
        <v>3910</v>
      </c>
      <c r="G616" s="53" t="s">
        <v>47</v>
      </c>
      <c r="H616" s="53" t="s">
        <v>48</v>
      </c>
      <c r="I616" s="53" t="s">
        <v>485</v>
      </c>
      <c r="J616" s="53" t="s">
        <v>3911</v>
      </c>
      <c r="K616" s="53" t="s">
        <v>51</v>
      </c>
      <c r="L616" s="53" t="s">
        <v>52</v>
      </c>
      <c r="M616" s="53" t="s">
        <v>52</v>
      </c>
      <c r="N616" s="62" t="s">
        <v>3912</v>
      </c>
      <c r="O616" s="62" t="s">
        <v>44</v>
      </c>
      <c r="P616" s="62" t="s">
        <v>1002</v>
      </c>
      <c r="Q616" s="62" t="s">
        <v>3922</v>
      </c>
      <c r="R616" s="53"/>
      <c r="S616" s="53"/>
      <c r="T616" s="82"/>
      <c r="U616" s="42"/>
      <c r="V616" s="62"/>
      <c r="W616" s="64"/>
      <c r="X616" s="223"/>
      <c r="Y616" s="223"/>
      <c r="Z616" s="223"/>
      <c r="AA616" s="223"/>
    </row>
    <row r="617">
      <c r="A617" s="42">
        <f t="shared" si="3"/>
        <v>616</v>
      </c>
      <c r="B617" s="51" t="s">
        <v>41</v>
      </c>
      <c r="C617" s="53" t="s">
        <v>3926</v>
      </c>
      <c r="D617" s="42" t="s">
        <v>44</v>
      </c>
      <c r="E617" s="42" t="s">
        <v>44</v>
      </c>
      <c r="F617" s="53" t="s">
        <v>3910</v>
      </c>
      <c r="G617" s="53" t="s">
        <v>47</v>
      </c>
      <c r="H617" s="53" t="s">
        <v>48</v>
      </c>
      <c r="I617" s="53" t="s">
        <v>485</v>
      </c>
      <c r="J617" s="53" t="s">
        <v>3911</v>
      </c>
      <c r="K617" s="53" t="s">
        <v>51</v>
      </c>
      <c r="L617" s="53" t="s">
        <v>52</v>
      </c>
      <c r="M617" s="53" t="s">
        <v>52</v>
      </c>
      <c r="N617" s="62" t="s">
        <v>3912</v>
      </c>
      <c r="O617" s="62" t="s">
        <v>44</v>
      </c>
      <c r="P617" s="62" t="s">
        <v>1009</v>
      </c>
      <c r="Q617" s="62" t="s">
        <v>1648</v>
      </c>
      <c r="R617" s="53"/>
      <c r="S617" s="53"/>
      <c r="T617" s="82"/>
      <c r="U617" s="42"/>
      <c r="V617" s="62"/>
      <c r="W617" s="64"/>
      <c r="X617" s="223"/>
      <c r="Y617" s="223"/>
      <c r="Z617" s="223"/>
      <c r="AA617" s="223"/>
    </row>
    <row r="618">
      <c r="A618" s="42">
        <f t="shared" si="3"/>
        <v>617</v>
      </c>
      <c r="B618" s="51" t="s">
        <v>41</v>
      </c>
      <c r="C618" s="53" t="s">
        <v>3930</v>
      </c>
      <c r="D618" s="42" t="s">
        <v>44</v>
      </c>
      <c r="E618" s="42" t="s">
        <v>44</v>
      </c>
      <c r="F618" s="53" t="s">
        <v>3910</v>
      </c>
      <c r="G618" s="53" t="s">
        <v>47</v>
      </c>
      <c r="H618" s="53" t="s">
        <v>48</v>
      </c>
      <c r="I618" s="53" t="s">
        <v>485</v>
      </c>
      <c r="J618" s="53" t="s">
        <v>3911</v>
      </c>
      <c r="K618" s="53" t="s">
        <v>51</v>
      </c>
      <c r="L618" s="53" t="s">
        <v>52</v>
      </c>
      <c r="M618" s="53" t="s">
        <v>52</v>
      </c>
      <c r="N618" s="62" t="s">
        <v>3912</v>
      </c>
      <c r="O618" s="62" t="s">
        <v>44</v>
      </c>
      <c r="P618" s="62" t="s">
        <v>3931</v>
      </c>
      <c r="Q618" s="62" t="s">
        <v>3932</v>
      </c>
      <c r="R618" s="53"/>
      <c r="S618" s="53"/>
      <c r="T618" s="82"/>
      <c r="U618" s="42"/>
      <c r="V618" s="62"/>
      <c r="W618" s="64"/>
      <c r="X618" s="223"/>
      <c r="Y618" s="223"/>
      <c r="Z618" s="223"/>
      <c r="AA618" s="223"/>
    </row>
    <row r="619">
      <c r="A619" s="42">
        <f t="shared" si="3"/>
        <v>618</v>
      </c>
      <c r="B619" s="51" t="s">
        <v>41</v>
      </c>
      <c r="C619" s="53" t="s">
        <v>3936</v>
      </c>
      <c r="D619" s="42" t="s">
        <v>44</v>
      </c>
      <c r="E619" s="42" t="s">
        <v>44</v>
      </c>
      <c r="F619" s="53" t="s">
        <v>3910</v>
      </c>
      <c r="G619" s="53" t="s">
        <v>47</v>
      </c>
      <c r="H619" s="53" t="s">
        <v>48</v>
      </c>
      <c r="I619" s="53" t="s">
        <v>485</v>
      </c>
      <c r="J619" s="53" t="s">
        <v>3911</v>
      </c>
      <c r="K619" s="53" t="s">
        <v>51</v>
      </c>
      <c r="L619" s="53" t="s">
        <v>52</v>
      </c>
      <c r="M619" s="53" t="s">
        <v>52</v>
      </c>
      <c r="N619" s="62" t="s">
        <v>3912</v>
      </c>
      <c r="O619" s="62" t="s">
        <v>44</v>
      </c>
      <c r="P619" s="62" t="s">
        <v>3937</v>
      </c>
      <c r="Q619" s="62" t="s">
        <v>3938</v>
      </c>
      <c r="R619" s="53"/>
      <c r="S619" s="53"/>
      <c r="T619" s="82"/>
      <c r="U619" s="53"/>
      <c r="V619" s="62"/>
      <c r="W619" s="64"/>
      <c r="X619" s="223"/>
      <c r="Y619" s="223"/>
      <c r="Z619" s="223"/>
      <c r="AA619" s="223"/>
    </row>
    <row r="620">
      <c r="A620" s="42">
        <f t="shared" si="3"/>
        <v>619</v>
      </c>
      <c r="B620" s="51" t="s">
        <v>41</v>
      </c>
      <c r="C620" s="53" t="s">
        <v>3941</v>
      </c>
      <c r="D620" s="42" t="s">
        <v>44</v>
      </c>
      <c r="E620" s="42" t="s">
        <v>44</v>
      </c>
      <c r="F620" s="53" t="s">
        <v>3910</v>
      </c>
      <c r="G620" s="53" t="s">
        <v>47</v>
      </c>
      <c r="H620" s="53" t="s">
        <v>91</v>
      </c>
      <c r="I620" s="53" t="s">
        <v>485</v>
      </c>
      <c r="J620" s="53" t="s">
        <v>3911</v>
      </c>
      <c r="K620" s="53" t="s">
        <v>51</v>
      </c>
      <c r="L620" s="53" t="s">
        <v>52</v>
      </c>
      <c r="M620" s="53" t="s">
        <v>52</v>
      </c>
      <c r="N620" s="62" t="s">
        <v>3912</v>
      </c>
      <c r="O620" s="62" t="s">
        <v>44</v>
      </c>
      <c r="P620" s="62" t="s">
        <v>3904</v>
      </c>
      <c r="Q620" s="62" t="s">
        <v>3905</v>
      </c>
      <c r="R620" s="53"/>
      <c r="S620" s="53"/>
      <c r="T620" s="82"/>
      <c r="U620" s="42"/>
      <c r="V620" s="62"/>
      <c r="W620" s="64"/>
      <c r="X620" s="223"/>
      <c r="Y620" s="223"/>
      <c r="Z620" s="223"/>
      <c r="AA620" s="223"/>
    </row>
    <row r="621">
      <c r="A621" s="42">
        <f t="shared" si="3"/>
        <v>620</v>
      </c>
      <c r="B621" s="51" t="s">
        <v>41</v>
      </c>
      <c r="C621" s="53" t="s">
        <v>3945</v>
      </c>
      <c r="D621" s="42" t="s">
        <v>44</v>
      </c>
      <c r="E621" s="42" t="s">
        <v>44</v>
      </c>
      <c r="F621" s="53" t="s">
        <v>3910</v>
      </c>
      <c r="G621" s="53" t="s">
        <v>47</v>
      </c>
      <c r="H621" s="53" t="s">
        <v>48</v>
      </c>
      <c r="I621" s="53" t="s">
        <v>485</v>
      </c>
      <c r="J621" s="53" t="s">
        <v>3911</v>
      </c>
      <c r="K621" s="53" t="s">
        <v>51</v>
      </c>
      <c r="L621" s="53" t="s">
        <v>52</v>
      </c>
      <c r="M621" s="53" t="s">
        <v>52</v>
      </c>
      <c r="N621" s="62" t="s">
        <v>3912</v>
      </c>
      <c r="O621" s="62" t="s">
        <v>44</v>
      </c>
      <c r="P621" s="62" t="s">
        <v>3946</v>
      </c>
      <c r="Q621" s="62" t="s">
        <v>3947</v>
      </c>
      <c r="R621" s="53"/>
      <c r="S621" s="53"/>
      <c r="T621" s="82"/>
      <c r="U621" s="42"/>
      <c r="V621" s="62"/>
      <c r="W621" s="64"/>
      <c r="X621" s="223"/>
      <c r="Y621" s="223"/>
      <c r="Z621" s="223"/>
      <c r="AA621" s="223"/>
    </row>
    <row r="622">
      <c r="A622" s="42">
        <f t="shared" si="3"/>
        <v>621</v>
      </c>
      <c r="B622" s="51" t="s">
        <v>41</v>
      </c>
      <c r="C622" s="53" t="s">
        <v>3950</v>
      </c>
      <c r="D622" s="42" t="s">
        <v>44</v>
      </c>
      <c r="E622" s="42" t="s">
        <v>44</v>
      </c>
      <c r="F622" s="53" t="s">
        <v>3910</v>
      </c>
      <c r="G622" s="53" t="s">
        <v>47</v>
      </c>
      <c r="H622" s="53" t="s">
        <v>95</v>
      </c>
      <c r="I622" s="53" t="s">
        <v>485</v>
      </c>
      <c r="J622" s="53" t="s">
        <v>3911</v>
      </c>
      <c r="K622" s="53" t="s">
        <v>51</v>
      </c>
      <c r="L622" s="53" t="s">
        <v>52</v>
      </c>
      <c r="M622" s="53" t="s">
        <v>52</v>
      </c>
      <c r="N622" s="62" t="s">
        <v>3912</v>
      </c>
      <c r="O622" s="62" t="s">
        <v>44</v>
      </c>
      <c r="P622" s="62" t="s">
        <v>3951</v>
      </c>
      <c r="Q622" s="62" t="s">
        <v>3952</v>
      </c>
      <c r="R622" s="53"/>
      <c r="S622" s="53"/>
      <c r="T622" s="82"/>
      <c r="U622" s="53"/>
      <c r="V622" s="62"/>
      <c r="W622" s="64"/>
      <c r="X622" s="223"/>
      <c r="Y622" s="223"/>
      <c r="Z622" s="223"/>
      <c r="AA622" s="223"/>
    </row>
    <row r="623">
      <c r="A623" s="42">
        <f t="shared" si="3"/>
        <v>622</v>
      </c>
      <c r="B623" s="51" t="s">
        <v>41</v>
      </c>
      <c r="C623" s="53" t="s">
        <v>3956</v>
      </c>
      <c r="D623" s="42" t="s">
        <v>44</v>
      </c>
      <c r="E623" s="42" t="s">
        <v>44</v>
      </c>
      <c r="F623" s="53" t="s">
        <v>3910</v>
      </c>
      <c r="G623" s="53" t="s">
        <v>47</v>
      </c>
      <c r="H623" s="53" t="s">
        <v>48</v>
      </c>
      <c r="I623" s="53" t="s">
        <v>485</v>
      </c>
      <c r="J623" s="53" t="s">
        <v>3911</v>
      </c>
      <c r="K623" s="53" t="s">
        <v>51</v>
      </c>
      <c r="L623" s="53" t="s">
        <v>52</v>
      </c>
      <c r="M623" s="53" t="s">
        <v>52</v>
      </c>
      <c r="N623" s="62" t="s">
        <v>3912</v>
      </c>
      <c r="O623" s="62" t="s">
        <v>44</v>
      </c>
      <c r="P623" s="62" t="s">
        <v>3957</v>
      </c>
      <c r="Q623" s="62" t="s">
        <v>3958</v>
      </c>
      <c r="R623" s="53"/>
      <c r="S623" s="53"/>
      <c r="T623" s="82"/>
      <c r="U623" s="42"/>
      <c r="V623" s="62"/>
      <c r="W623" s="64"/>
      <c r="X623" s="223"/>
      <c r="Y623" s="223"/>
      <c r="Z623" s="223"/>
      <c r="AA623" s="223"/>
    </row>
    <row r="624">
      <c r="A624" s="42">
        <f t="shared" si="3"/>
        <v>623</v>
      </c>
      <c r="B624" s="51" t="s">
        <v>41</v>
      </c>
      <c r="C624" s="53" t="s">
        <v>3962</v>
      </c>
      <c r="D624" s="42" t="s">
        <v>44</v>
      </c>
      <c r="E624" s="42" t="s">
        <v>44</v>
      </c>
      <c r="F624" s="53" t="s">
        <v>3910</v>
      </c>
      <c r="G624" s="53" t="s">
        <v>47</v>
      </c>
      <c r="H624" s="53" t="s">
        <v>48</v>
      </c>
      <c r="I624" s="53" t="s">
        <v>485</v>
      </c>
      <c r="J624" s="53" t="s">
        <v>3911</v>
      </c>
      <c r="K624" s="53" t="s">
        <v>51</v>
      </c>
      <c r="L624" s="53" t="s">
        <v>52</v>
      </c>
      <c r="M624" s="53" t="s">
        <v>52</v>
      </c>
      <c r="N624" s="62" t="s">
        <v>3912</v>
      </c>
      <c r="O624" s="62" t="s">
        <v>44</v>
      </c>
      <c r="P624" s="62" t="s">
        <v>3963</v>
      </c>
      <c r="Q624" s="62" t="s">
        <v>3964</v>
      </c>
      <c r="R624" s="53"/>
      <c r="S624" s="53"/>
      <c r="T624" s="82"/>
      <c r="U624" s="42"/>
      <c r="V624" s="62"/>
      <c r="W624" s="64"/>
      <c r="X624" s="223"/>
      <c r="Y624" s="223"/>
      <c r="Z624" s="223"/>
      <c r="AA624" s="223"/>
    </row>
    <row r="625">
      <c r="A625" s="42">
        <f t="shared" si="3"/>
        <v>624</v>
      </c>
      <c r="B625" s="51" t="s">
        <v>41</v>
      </c>
      <c r="C625" s="53" t="s">
        <v>3967</v>
      </c>
      <c r="D625" s="42" t="s">
        <v>44</v>
      </c>
      <c r="E625" s="42" t="s">
        <v>44</v>
      </c>
      <c r="F625" s="53" t="s">
        <v>3910</v>
      </c>
      <c r="G625" s="53" t="s">
        <v>111</v>
      </c>
      <c r="H625" s="53" t="s">
        <v>91</v>
      </c>
      <c r="I625" s="53" t="s">
        <v>485</v>
      </c>
      <c r="J625" s="53" t="s">
        <v>3911</v>
      </c>
      <c r="K625" s="53" t="s">
        <v>51</v>
      </c>
      <c r="L625" s="53" t="s">
        <v>52</v>
      </c>
      <c r="M625" s="53" t="s">
        <v>52</v>
      </c>
      <c r="N625" s="62" t="s">
        <v>3912</v>
      </c>
      <c r="O625" s="62" t="s">
        <v>44</v>
      </c>
      <c r="P625" s="62" t="s">
        <v>3893</v>
      </c>
      <c r="Q625" s="62" t="s">
        <v>1400</v>
      </c>
      <c r="R625" s="53"/>
      <c r="S625" s="53"/>
      <c r="T625" s="82"/>
      <c r="U625" s="42"/>
      <c r="V625" s="62"/>
      <c r="W625" s="64"/>
      <c r="X625" s="223"/>
      <c r="Y625" s="223"/>
      <c r="Z625" s="223"/>
      <c r="AA625" s="223"/>
    </row>
    <row r="626">
      <c r="A626" s="42">
        <f t="shared" si="3"/>
        <v>625</v>
      </c>
      <c r="B626" s="51" t="s">
        <v>41</v>
      </c>
      <c r="C626" s="53" t="s">
        <v>3971</v>
      </c>
      <c r="D626" s="42" t="s">
        <v>44</v>
      </c>
      <c r="E626" s="42" t="s">
        <v>44</v>
      </c>
      <c r="F626" s="53" t="s">
        <v>3910</v>
      </c>
      <c r="G626" s="53" t="s">
        <v>47</v>
      </c>
      <c r="H626" s="53" t="s">
        <v>48</v>
      </c>
      <c r="I626" s="53" t="s">
        <v>485</v>
      </c>
      <c r="J626" s="53" t="s">
        <v>3911</v>
      </c>
      <c r="K626" s="53" t="s">
        <v>51</v>
      </c>
      <c r="L626" s="53" t="s">
        <v>52</v>
      </c>
      <c r="M626" s="53" t="s">
        <v>52</v>
      </c>
      <c r="N626" s="62" t="s">
        <v>3912</v>
      </c>
      <c r="O626" s="62" t="s">
        <v>44</v>
      </c>
      <c r="P626" s="62" t="s">
        <v>3972</v>
      </c>
      <c r="Q626" s="62" t="s">
        <v>3973</v>
      </c>
      <c r="R626" s="53"/>
      <c r="S626" s="53"/>
      <c r="T626" s="82"/>
      <c r="U626" s="42"/>
      <c r="V626" s="62"/>
      <c r="W626" s="64"/>
      <c r="X626" s="223"/>
      <c r="Y626" s="223"/>
      <c r="Z626" s="223"/>
      <c r="AA626" s="223"/>
    </row>
    <row r="627">
      <c r="A627" s="42">
        <f t="shared" si="3"/>
        <v>626</v>
      </c>
      <c r="B627" s="51" t="s">
        <v>41</v>
      </c>
      <c r="C627" s="53" t="s">
        <v>3976</v>
      </c>
      <c r="D627" s="42" t="s">
        <v>44</v>
      </c>
      <c r="E627" s="42" t="s">
        <v>44</v>
      </c>
      <c r="F627" s="53" t="s">
        <v>3910</v>
      </c>
      <c r="G627" s="53" t="s">
        <v>111</v>
      </c>
      <c r="H627" s="53" t="s">
        <v>91</v>
      </c>
      <c r="I627" s="53" t="s">
        <v>485</v>
      </c>
      <c r="J627" s="53" t="s">
        <v>3911</v>
      </c>
      <c r="K627" s="53" t="s">
        <v>51</v>
      </c>
      <c r="L627" s="53" t="s">
        <v>52</v>
      </c>
      <c r="M627" s="53" t="s">
        <v>52</v>
      </c>
      <c r="N627" s="62" t="s">
        <v>3912</v>
      </c>
      <c r="O627" s="62" t="s">
        <v>44</v>
      </c>
      <c r="P627" s="62" t="s">
        <v>3977</v>
      </c>
      <c r="Q627" s="62" t="s">
        <v>1407</v>
      </c>
      <c r="R627" s="53"/>
      <c r="S627" s="53"/>
      <c r="T627" s="82"/>
      <c r="U627" s="42"/>
      <c r="V627" s="62"/>
      <c r="W627" s="64"/>
      <c r="X627" s="223"/>
      <c r="Y627" s="223"/>
      <c r="Z627" s="223"/>
      <c r="AA627" s="223"/>
    </row>
    <row r="628">
      <c r="A628" s="42">
        <f t="shared" si="3"/>
        <v>627</v>
      </c>
      <c r="B628" s="51" t="s">
        <v>41</v>
      </c>
      <c r="C628" s="53" t="s">
        <v>3981</v>
      </c>
      <c r="D628" s="42" t="s">
        <v>44</v>
      </c>
      <c r="E628" s="42" t="s">
        <v>44</v>
      </c>
      <c r="F628" s="53" t="s">
        <v>3910</v>
      </c>
      <c r="G628" s="53" t="s">
        <v>47</v>
      </c>
      <c r="H628" s="53" t="s">
        <v>48</v>
      </c>
      <c r="I628" s="53" t="s">
        <v>485</v>
      </c>
      <c r="J628" s="53" t="s">
        <v>3911</v>
      </c>
      <c r="K628" s="53" t="s">
        <v>51</v>
      </c>
      <c r="L628" s="53" t="s">
        <v>52</v>
      </c>
      <c r="M628" s="53" t="s">
        <v>52</v>
      </c>
      <c r="N628" s="62" t="s">
        <v>3912</v>
      </c>
      <c r="O628" s="62" t="s">
        <v>44</v>
      </c>
      <c r="P628" s="62" t="s">
        <v>3982</v>
      </c>
      <c r="Q628" s="62" t="s">
        <v>3983</v>
      </c>
      <c r="R628" s="53"/>
      <c r="S628" s="53"/>
      <c r="T628" s="82"/>
      <c r="U628" s="42"/>
      <c r="V628" s="62"/>
      <c r="W628" s="64"/>
      <c r="X628" s="223"/>
      <c r="Y628" s="223"/>
      <c r="Z628" s="223"/>
      <c r="AA628" s="223"/>
    </row>
    <row r="629">
      <c r="A629" s="42">
        <f t="shared" si="3"/>
        <v>628</v>
      </c>
      <c r="B629" s="51" t="s">
        <v>41</v>
      </c>
      <c r="C629" s="53" t="s">
        <v>3986</v>
      </c>
      <c r="D629" s="42" t="s">
        <v>44</v>
      </c>
      <c r="E629" s="42" t="s">
        <v>44</v>
      </c>
      <c r="F629" s="53" t="s">
        <v>3910</v>
      </c>
      <c r="G629" s="53" t="s">
        <v>47</v>
      </c>
      <c r="H629" s="53" t="s">
        <v>48</v>
      </c>
      <c r="I629" s="53" t="s">
        <v>485</v>
      </c>
      <c r="J629" s="53" t="s">
        <v>3911</v>
      </c>
      <c r="K629" s="53" t="s">
        <v>51</v>
      </c>
      <c r="L629" s="53" t="s">
        <v>52</v>
      </c>
      <c r="M629" s="53" t="s">
        <v>52</v>
      </c>
      <c r="N629" s="62" t="s">
        <v>3912</v>
      </c>
      <c r="O629" s="62" t="s">
        <v>44</v>
      </c>
      <c r="P629" s="62" t="s">
        <v>3987</v>
      </c>
      <c r="Q629" s="62" t="s">
        <v>3988</v>
      </c>
      <c r="R629" s="53"/>
      <c r="S629" s="53"/>
      <c r="T629" s="82"/>
      <c r="U629" s="42"/>
      <c r="V629" s="62"/>
      <c r="W629" s="64"/>
      <c r="X629" s="223"/>
      <c r="Y629" s="223"/>
      <c r="Z629" s="223"/>
      <c r="AA629" s="223"/>
    </row>
    <row r="630">
      <c r="A630" s="42">
        <f t="shared" si="3"/>
        <v>629</v>
      </c>
      <c r="B630" s="51" t="s">
        <v>41</v>
      </c>
      <c r="C630" s="53" t="s">
        <v>3991</v>
      </c>
      <c r="D630" s="42" t="s">
        <v>44</v>
      </c>
      <c r="E630" s="42" t="s">
        <v>44</v>
      </c>
      <c r="F630" s="53" t="s">
        <v>3910</v>
      </c>
      <c r="G630" s="53" t="s">
        <v>47</v>
      </c>
      <c r="H630" s="53" t="s">
        <v>91</v>
      </c>
      <c r="I630" s="53" t="s">
        <v>485</v>
      </c>
      <c r="J630" s="53" t="s">
        <v>3911</v>
      </c>
      <c r="K630" s="53" t="s">
        <v>51</v>
      </c>
      <c r="L630" s="53" t="s">
        <v>52</v>
      </c>
      <c r="M630" s="53" t="s">
        <v>52</v>
      </c>
      <c r="N630" s="62" t="s">
        <v>3912</v>
      </c>
      <c r="O630" s="62" t="s">
        <v>44</v>
      </c>
      <c r="P630" s="62" t="s">
        <v>3992</v>
      </c>
      <c r="Q630" s="62" t="s">
        <v>3993</v>
      </c>
      <c r="R630" s="53"/>
      <c r="S630" s="53"/>
      <c r="T630" s="82"/>
      <c r="U630" s="53"/>
      <c r="V630" s="62"/>
      <c r="W630" s="64"/>
      <c r="X630" s="223"/>
      <c r="Y630" s="223"/>
      <c r="Z630" s="223"/>
      <c r="AA630" s="223"/>
    </row>
    <row r="631">
      <c r="A631" s="42">
        <f t="shared" si="3"/>
        <v>630</v>
      </c>
      <c r="B631" s="51" t="s">
        <v>41</v>
      </c>
      <c r="C631" s="53" t="s">
        <v>3997</v>
      </c>
      <c r="D631" s="42" t="s">
        <v>44</v>
      </c>
      <c r="E631" s="42" t="s">
        <v>44</v>
      </c>
      <c r="F631" s="53" t="s">
        <v>3910</v>
      </c>
      <c r="G631" s="53" t="s">
        <v>47</v>
      </c>
      <c r="H631" s="53" t="s">
        <v>48</v>
      </c>
      <c r="I631" s="53" t="s">
        <v>485</v>
      </c>
      <c r="J631" s="53" t="s">
        <v>3911</v>
      </c>
      <c r="K631" s="53" t="s">
        <v>51</v>
      </c>
      <c r="L631" s="53" t="s">
        <v>52</v>
      </c>
      <c r="M631" s="53" t="s">
        <v>52</v>
      </c>
      <c r="N631" s="62" t="s">
        <v>3912</v>
      </c>
      <c r="O631" s="62" t="s">
        <v>44</v>
      </c>
      <c r="P631" s="62" t="s">
        <v>3998</v>
      </c>
      <c r="Q631" s="62" t="s">
        <v>3999</v>
      </c>
      <c r="R631" s="53"/>
      <c r="S631" s="53"/>
      <c r="T631" s="82"/>
      <c r="U631" s="42"/>
      <c r="V631" s="62"/>
      <c r="W631" s="64"/>
      <c r="X631" s="223"/>
      <c r="Y631" s="223"/>
      <c r="Z631" s="223"/>
      <c r="AA631" s="223"/>
    </row>
    <row r="632">
      <c r="A632" s="42">
        <f t="shared" si="3"/>
        <v>631</v>
      </c>
      <c r="B632" s="51" t="s">
        <v>41</v>
      </c>
      <c r="C632" s="53" t="s">
        <v>4002</v>
      </c>
      <c r="D632" s="42" t="s">
        <v>44</v>
      </c>
      <c r="E632" s="42" t="s">
        <v>44</v>
      </c>
      <c r="F632" s="53" t="s">
        <v>3910</v>
      </c>
      <c r="G632" s="53" t="s">
        <v>47</v>
      </c>
      <c r="H632" s="53" t="s">
        <v>95</v>
      </c>
      <c r="I632" s="53" t="s">
        <v>485</v>
      </c>
      <c r="J632" s="53" t="s">
        <v>3911</v>
      </c>
      <c r="K632" s="53" t="s">
        <v>51</v>
      </c>
      <c r="L632" s="53" t="s">
        <v>52</v>
      </c>
      <c r="M632" s="53" t="s">
        <v>52</v>
      </c>
      <c r="N632" s="62" t="s">
        <v>4003</v>
      </c>
      <c r="O632" s="62" t="s">
        <v>44</v>
      </c>
      <c r="P632" s="62" t="s">
        <v>4004</v>
      </c>
      <c r="Q632" s="62" t="s">
        <v>4005</v>
      </c>
      <c r="R632" s="53"/>
      <c r="S632" s="53"/>
      <c r="T632" s="82"/>
      <c r="U632" s="42"/>
      <c r="V632" s="62"/>
      <c r="W632" s="64"/>
      <c r="X632" s="223"/>
      <c r="Y632" s="223"/>
      <c r="Z632" s="223"/>
      <c r="AA632" s="223"/>
    </row>
    <row r="633">
      <c r="A633" s="42">
        <f t="shared" si="3"/>
        <v>632</v>
      </c>
      <c r="B633" s="51" t="s">
        <v>41</v>
      </c>
      <c r="C633" s="53" t="s">
        <v>4009</v>
      </c>
      <c r="D633" s="42" t="s">
        <v>44</v>
      </c>
      <c r="E633" s="42" t="s">
        <v>44</v>
      </c>
      <c r="F633" s="53" t="s">
        <v>3910</v>
      </c>
      <c r="G633" s="53" t="s">
        <v>47</v>
      </c>
      <c r="H633" s="53" t="s">
        <v>48</v>
      </c>
      <c r="I633" s="53" t="s">
        <v>485</v>
      </c>
      <c r="J633" s="53" t="s">
        <v>3911</v>
      </c>
      <c r="K633" s="53" t="s">
        <v>51</v>
      </c>
      <c r="L633" s="53" t="s">
        <v>52</v>
      </c>
      <c r="M633" s="53" t="s">
        <v>52</v>
      </c>
      <c r="N633" s="62" t="s">
        <v>3912</v>
      </c>
      <c r="O633" s="62" t="s">
        <v>44</v>
      </c>
      <c r="P633" s="62" t="s">
        <v>4010</v>
      </c>
      <c r="Q633" s="62" t="s">
        <v>4011</v>
      </c>
      <c r="R633" s="53"/>
      <c r="S633" s="53"/>
      <c r="T633" s="82"/>
      <c r="U633" s="42"/>
      <c r="V633" s="62"/>
      <c r="W633" s="64"/>
      <c r="X633" s="223"/>
      <c r="Y633" s="223"/>
      <c r="Z633" s="223"/>
      <c r="AA633" s="223"/>
    </row>
    <row r="634">
      <c r="A634" s="42">
        <f t="shared" si="3"/>
        <v>633</v>
      </c>
      <c r="B634" s="51" t="s">
        <v>41</v>
      </c>
      <c r="C634" s="53" t="s">
        <v>4014</v>
      </c>
      <c r="D634" s="42" t="s">
        <v>44</v>
      </c>
      <c r="E634" s="42" t="s">
        <v>44</v>
      </c>
      <c r="F634" s="53" t="s">
        <v>3910</v>
      </c>
      <c r="G634" s="53" t="s">
        <v>47</v>
      </c>
      <c r="H634" s="53" t="s">
        <v>48</v>
      </c>
      <c r="I634" s="53" t="s">
        <v>485</v>
      </c>
      <c r="J634" s="53" t="s">
        <v>3911</v>
      </c>
      <c r="K634" s="53" t="s">
        <v>51</v>
      </c>
      <c r="L634" s="53" t="s">
        <v>52</v>
      </c>
      <c r="M634" s="53" t="s">
        <v>52</v>
      </c>
      <c r="N634" s="62" t="s">
        <v>3912</v>
      </c>
      <c r="O634" s="62" t="s">
        <v>44</v>
      </c>
      <c r="P634" s="62" t="s">
        <v>4015</v>
      </c>
      <c r="Q634" s="62" t="s">
        <v>4016</v>
      </c>
      <c r="R634" s="53"/>
      <c r="S634" s="53"/>
      <c r="T634" s="82"/>
      <c r="U634" s="42"/>
      <c r="V634" s="62"/>
      <c r="W634" s="64"/>
      <c r="X634" s="223"/>
      <c r="Y634" s="223"/>
      <c r="Z634" s="223"/>
      <c r="AA634" s="223"/>
    </row>
    <row r="635">
      <c r="A635" s="42">
        <f t="shared" si="3"/>
        <v>634</v>
      </c>
      <c r="B635" s="51" t="s">
        <v>41</v>
      </c>
      <c r="C635" s="53" t="s">
        <v>4019</v>
      </c>
      <c r="D635" s="42" t="s">
        <v>44</v>
      </c>
      <c r="E635" s="42" t="s">
        <v>44</v>
      </c>
      <c r="F635" s="53" t="s">
        <v>3910</v>
      </c>
      <c r="G635" s="53" t="s">
        <v>47</v>
      </c>
      <c r="H635" s="53" t="s">
        <v>95</v>
      </c>
      <c r="I635" s="53" t="s">
        <v>485</v>
      </c>
      <c r="J635" s="53" t="s">
        <v>3911</v>
      </c>
      <c r="K635" s="53" t="s">
        <v>51</v>
      </c>
      <c r="L635" s="53" t="s">
        <v>52</v>
      </c>
      <c r="M635" s="53" t="s">
        <v>52</v>
      </c>
      <c r="N635" s="62" t="s">
        <v>4003</v>
      </c>
      <c r="O635" s="62" t="s">
        <v>44</v>
      </c>
      <c r="P635" s="62" t="s">
        <v>4020</v>
      </c>
      <c r="Q635" s="62" t="s">
        <v>4021</v>
      </c>
      <c r="R635" s="53"/>
      <c r="S635" s="53"/>
      <c r="T635" s="82"/>
      <c r="U635" s="42"/>
      <c r="V635" s="62"/>
      <c r="W635" s="64"/>
      <c r="X635" s="223"/>
      <c r="Y635" s="223"/>
      <c r="Z635" s="223"/>
      <c r="AA635" s="223"/>
    </row>
    <row r="636">
      <c r="A636" s="42">
        <f t="shared" si="3"/>
        <v>635</v>
      </c>
      <c r="B636" s="51" t="s">
        <v>41</v>
      </c>
      <c r="C636" s="53" t="s">
        <v>4025</v>
      </c>
      <c r="D636" s="42" t="s">
        <v>44</v>
      </c>
      <c r="E636" s="42" t="s">
        <v>44</v>
      </c>
      <c r="F636" s="53" t="s">
        <v>3910</v>
      </c>
      <c r="G636" s="53" t="s">
        <v>47</v>
      </c>
      <c r="H636" s="53" t="s">
        <v>48</v>
      </c>
      <c r="I636" s="53" t="s">
        <v>485</v>
      </c>
      <c r="J636" s="53" t="s">
        <v>3911</v>
      </c>
      <c r="K636" s="53" t="s">
        <v>51</v>
      </c>
      <c r="L636" s="53" t="s">
        <v>52</v>
      </c>
      <c r="M636" s="53" t="s">
        <v>52</v>
      </c>
      <c r="N636" s="62" t="s">
        <v>3912</v>
      </c>
      <c r="O636" s="62" t="s">
        <v>44</v>
      </c>
      <c r="P636" s="62" t="s">
        <v>4026</v>
      </c>
      <c r="Q636" s="62" t="s">
        <v>4027</v>
      </c>
      <c r="R636" s="53"/>
      <c r="S636" s="53"/>
      <c r="T636" s="82"/>
      <c r="U636" s="42"/>
      <c r="V636" s="62"/>
      <c r="W636" s="64"/>
      <c r="X636" s="223"/>
      <c r="Y636" s="223"/>
      <c r="Z636" s="223"/>
      <c r="AA636" s="223"/>
    </row>
    <row r="637">
      <c r="A637" s="42">
        <f t="shared" si="3"/>
        <v>636</v>
      </c>
      <c r="B637" s="51" t="s">
        <v>41</v>
      </c>
      <c r="C637" s="53" t="s">
        <v>4030</v>
      </c>
      <c r="D637" s="42" t="s">
        <v>44</v>
      </c>
      <c r="E637" s="42" t="s">
        <v>44</v>
      </c>
      <c r="F637" s="53" t="s">
        <v>3910</v>
      </c>
      <c r="G637" s="53" t="s">
        <v>47</v>
      </c>
      <c r="H637" s="53" t="s">
        <v>48</v>
      </c>
      <c r="I637" s="53" t="s">
        <v>485</v>
      </c>
      <c r="J637" s="53" t="s">
        <v>3911</v>
      </c>
      <c r="K637" s="53" t="s">
        <v>51</v>
      </c>
      <c r="L637" s="53" t="s">
        <v>52</v>
      </c>
      <c r="M637" s="53" t="s">
        <v>52</v>
      </c>
      <c r="N637" s="62" t="s">
        <v>4031</v>
      </c>
      <c r="O637" s="62" t="s">
        <v>44</v>
      </c>
      <c r="P637" s="62" t="s">
        <v>4032</v>
      </c>
      <c r="Q637" s="62" t="s">
        <v>4033</v>
      </c>
      <c r="R637" s="53"/>
      <c r="S637" s="53"/>
      <c r="T637" s="82"/>
      <c r="U637" s="42"/>
      <c r="V637" s="62"/>
      <c r="W637" s="64"/>
      <c r="X637" s="223"/>
      <c r="Y637" s="223"/>
      <c r="Z637" s="223"/>
      <c r="AA637" s="223"/>
    </row>
    <row r="638">
      <c r="A638" s="42">
        <f t="shared" si="3"/>
        <v>637</v>
      </c>
      <c r="B638" s="51" t="s">
        <v>41</v>
      </c>
      <c r="C638" s="53" t="s">
        <v>4037</v>
      </c>
      <c r="D638" s="42" t="s">
        <v>44</v>
      </c>
      <c r="E638" s="42" t="s">
        <v>44</v>
      </c>
      <c r="F638" s="53" t="s">
        <v>3910</v>
      </c>
      <c r="G638" s="53" t="s">
        <v>47</v>
      </c>
      <c r="H638" s="53" t="s">
        <v>48</v>
      </c>
      <c r="I638" s="53" t="s">
        <v>485</v>
      </c>
      <c r="J638" s="53" t="s">
        <v>3911</v>
      </c>
      <c r="K638" s="53" t="s">
        <v>51</v>
      </c>
      <c r="L638" s="53" t="s">
        <v>52</v>
      </c>
      <c r="M638" s="53" t="s">
        <v>52</v>
      </c>
      <c r="N638" s="62" t="s">
        <v>3912</v>
      </c>
      <c r="O638" s="62" t="s">
        <v>44</v>
      </c>
      <c r="P638" s="62" t="s">
        <v>4038</v>
      </c>
      <c r="Q638" s="62" t="s">
        <v>4039</v>
      </c>
      <c r="R638" s="53"/>
      <c r="S638" s="53"/>
      <c r="T638" s="82"/>
      <c r="U638" s="53"/>
      <c r="V638" s="62"/>
      <c r="W638" s="64"/>
      <c r="X638" s="223"/>
      <c r="Y638" s="223"/>
      <c r="Z638" s="223"/>
      <c r="AA638" s="223"/>
    </row>
    <row r="639">
      <c r="A639" s="42">
        <f t="shared" si="3"/>
        <v>638</v>
      </c>
      <c r="B639" s="51" t="s">
        <v>41</v>
      </c>
      <c r="C639" s="53" t="s">
        <v>4042</v>
      </c>
      <c r="D639" s="42" t="s">
        <v>44</v>
      </c>
      <c r="E639" s="42" t="s">
        <v>44</v>
      </c>
      <c r="F639" s="53" t="s">
        <v>3910</v>
      </c>
      <c r="G639" s="53" t="s">
        <v>47</v>
      </c>
      <c r="H639" s="53" t="s">
        <v>48</v>
      </c>
      <c r="I639" s="53" t="s">
        <v>485</v>
      </c>
      <c r="J639" s="53" t="s">
        <v>3911</v>
      </c>
      <c r="K639" s="53" t="s">
        <v>51</v>
      </c>
      <c r="L639" s="53" t="s">
        <v>52</v>
      </c>
      <c r="M639" s="53" t="s">
        <v>52</v>
      </c>
      <c r="N639" s="62" t="s">
        <v>4043</v>
      </c>
      <c r="O639" s="62" t="s">
        <v>44</v>
      </c>
      <c r="P639" s="62" t="s">
        <v>4044</v>
      </c>
      <c r="Q639" s="62" t="s">
        <v>4045</v>
      </c>
      <c r="R639" s="53"/>
      <c r="S639" s="53"/>
      <c r="T639" s="82"/>
      <c r="U639" s="42"/>
      <c r="V639" s="62"/>
      <c r="W639" s="64"/>
      <c r="X639" s="223"/>
      <c r="Y639" s="223"/>
      <c r="Z639" s="223"/>
      <c r="AA639" s="223"/>
    </row>
    <row r="640">
      <c r="A640" s="42">
        <f t="shared" si="3"/>
        <v>639</v>
      </c>
      <c r="B640" s="51" t="s">
        <v>41</v>
      </c>
      <c r="C640" s="53" t="s">
        <v>4049</v>
      </c>
      <c r="D640" s="42" t="s">
        <v>44</v>
      </c>
      <c r="E640" s="42" t="s">
        <v>44</v>
      </c>
      <c r="F640" s="53" t="s">
        <v>3910</v>
      </c>
      <c r="G640" s="53" t="s">
        <v>47</v>
      </c>
      <c r="H640" s="53" t="s">
        <v>48</v>
      </c>
      <c r="I640" s="53" t="s">
        <v>485</v>
      </c>
      <c r="J640" s="53" t="s">
        <v>3911</v>
      </c>
      <c r="K640" s="53" t="s">
        <v>51</v>
      </c>
      <c r="L640" s="53" t="s">
        <v>52</v>
      </c>
      <c r="M640" s="53" t="s">
        <v>52</v>
      </c>
      <c r="N640" s="62" t="s">
        <v>3912</v>
      </c>
      <c r="O640" s="62" t="s">
        <v>44</v>
      </c>
      <c r="P640" s="62" t="s">
        <v>4050</v>
      </c>
      <c r="Q640" s="62" t="s">
        <v>4051</v>
      </c>
      <c r="R640" s="53"/>
      <c r="S640" s="53"/>
      <c r="T640" s="82"/>
      <c r="U640" s="53"/>
      <c r="V640" s="62"/>
      <c r="W640" s="64"/>
      <c r="X640" s="223"/>
      <c r="Y640" s="223"/>
      <c r="Z640" s="223"/>
      <c r="AA640" s="223"/>
    </row>
    <row r="641">
      <c r="A641" s="42">
        <f t="shared" si="3"/>
        <v>640</v>
      </c>
      <c r="B641" s="51" t="s">
        <v>41</v>
      </c>
      <c r="C641" s="53" t="s">
        <v>4054</v>
      </c>
      <c r="D641" s="42" t="s">
        <v>44</v>
      </c>
      <c r="E641" s="42" t="s">
        <v>44</v>
      </c>
      <c r="F641" s="53" t="s">
        <v>3910</v>
      </c>
      <c r="G641" s="53" t="s">
        <v>47</v>
      </c>
      <c r="H641" s="53" t="s">
        <v>48</v>
      </c>
      <c r="I641" s="53" t="s">
        <v>485</v>
      </c>
      <c r="J641" s="53" t="s">
        <v>3911</v>
      </c>
      <c r="K641" s="53" t="s">
        <v>51</v>
      </c>
      <c r="L641" s="53" t="s">
        <v>52</v>
      </c>
      <c r="M641" s="53" t="s">
        <v>52</v>
      </c>
      <c r="N641" s="62" t="s">
        <v>4003</v>
      </c>
      <c r="O641" s="62" t="s">
        <v>44</v>
      </c>
      <c r="P641" s="62" t="s">
        <v>4055</v>
      </c>
      <c r="Q641" s="62" t="s">
        <v>4045</v>
      </c>
      <c r="R641" s="53"/>
      <c r="S641" s="53"/>
      <c r="T641" s="82"/>
      <c r="U641" s="42"/>
      <c r="V641" s="62"/>
      <c r="W641" s="64"/>
      <c r="X641" s="223"/>
      <c r="Y641" s="223"/>
      <c r="Z641" s="223"/>
      <c r="AA641" s="223"/>
    </row>
    <row r="642">
      <c r="A642" s="42">
        <f t="shared" si="3"/>
        <v>641</v>
      </c>
      <c r="B642" s="51" t="s">
        <v>41</v>
      </c>
      <c r="C642" s="53" t="s">
        <v>4059</v>
      </c>
      <c r="D642" s="42" t="s">
        <v>44</v>
      </c>
      <c r="E642" s="42" t="s">
        <v>44</v>
      </c>
      <c r="F642" s="53" t="s">
        <v>3910</v>
      </c>
      <c r="G642" s="53" t="s">
        <v>47</v>
      </c>
      <c r="H642" s="53" t="s">
        <v>48</v>
      </c>
      <c r="I642" s="53" t="s">
        <v>485</v>
      </c>
      <c r="J642" s="53" t="s">
        <v>3911</v>
      </c>
      <c r="K642" s="53" t="s">
        <v>51</v>
      </c>
      <c r="L642" s="53" t="s">
        <v>52</v>
      </c>
      <c r="M642" s="53" t="s">
        <v>52</v>
      </c>
      <c r="N642" s="62" t="s">
        <v>3912</v>
      </c>
      <c r="O642" s="62" t="s">
        <v>44</v>
      </c>
      <c r="P642" s="62" t="s">
        <v>4060</v>
      </c>
      <c r="Q642" s="62" t="s">
        <v>4061</v>
      </c>
      <c r="R642" s="53"/>
      <c r="S642" s="53"/>
      <c r="T642" s="82"/>
      <c r="U642" s="42"/>
      <c r="V642" s="62"/>
      <c r="W642" s="64"/>
      <c r="X642" s="223"/>
      <c r="Y642" s="223"/>
      <c r="Z642" s="223"/>
      <c r="AA642" s="223"/>
    </row>
    <row r="643">
      <c r="A643" s="42">
        <f t="shared" si="3"/>
        <v>642</v>
      </c>
      <c r="B643" s="51" t="s">
        <v>41</v>
      </c>
      <c r="C643" s="53" t="s">
        <v>4064</v>
      </c>
      <c r="D643" s="42" t="s">
        <v>44</v>
      </c>
      <c r="E643" s="42" t="s">
        <v>44</v>
      </c>
      <c r="F643" s="53" t="s">
        <v>3910</v>
      </c>
      <c r="G643" s="53" t="s">
        <v>47</v>
      </c>
      <c r="H643" s="53" t="s">
        <v>48</v>
      </c>
      <c r="I643" s="53" t="s">
        <v>485</v>
      </c>
      <c r="J643" s="53" t="s">
        <v>3911</v>
      </c>
      <c r="K643" s="53" t="s">
        <v>51</v>
      </c>
      <c r="L643" s="53" t="s">
        <v>52</v>
      </c>
      <c r="M643" s="53" t="s">
        <v>52</v>
      </c>
      <c r="N643" s="62" t="s">
        <v>3912</v>
      </c>
      <c r="O643" s="62" t="s">
        <v>44</v>
      </c>
      <c r="P643" s="62" t="s">
        <v>4065</v>
      </c>
      <c r="Q643" s="62" t="s">
        <v>4066</v>
      </c>
      <c r="R643" s="53"/>
      <c r="S643" s="53"/>
      <c r="T643" s="82"/>
      <c r="U643" s="42"/>
      <c r="V643" s="62"/>
      <c r="W643" s="64"/>
      <c r="X643" s="223"/>
      <c r="Y643" s="223"/>
      <c r="Z643" s="223"/>
      <c r="AA643" s="223"/>
    </row>
    <row r="644">
      <c r="A644" s="42">
        <f t="shared" si="3"/>
        <v>643</v>
      </c>
      <c r="B644" s="51" t="s">
        <v>41</v>
      </c>
      <c r="C644" s="53" t="s">
        <v>4069</v>
      </c>
      <c r="D644" s="42" t="s">
        <v>44</v>
      </c>
      <c r="E644" s="42" t="s">
        <v>44</v>
      </c>
      <c r="F644" s="53" t="s">
        <v>3910</v>
      </c>
      <c r="G644" s="53" t="s">
        <v>197</v>
      </c>
      <c r="H644" s="53" t="s">
        <v>48</v>
      </c>
      <c r="I644" s="53" t="s">
        <v>485</v>
      </c>
      <c r="J644" s="53" t="s">
        <v>3911</v>
      </c>
      <c r="K644" s="53" t="s">
        <v>51</v>
      </c>
      <c r="L644" s="53" t="s">
        <v>52</v>
      </c>
      <c r="M644" s="53" t="s">
        <v>52</v>
      </c>
      <c r="N644" s="62" t="s">
        <v>4070</v>
      </c>
      <c r="O644" s="62" t="s">
        <v>44</v>
      </c>
      <c r="P644" s="62" t="s">
        <v>4071</v>
      </c>
      <c r="Q644" s="62" t="s">
        <v>4072</v>
      </c>
      <c r="R644" s="53"/>
      <c r="S644" s="53"/>
      <c r="T644" s="82"/>
      <c r="U644" s="42"/>
      <c r="V644" s="62"/>
      <c r="W644" s="64"/>
      <c r="X644" s="223"/>
      <c r="Y644" s="223"/>
      <c r="Z644" s="223"/>
      <c r="AA644" s="223"/>
    </row>
    <row r="645">
      <c r="A645" s="42">
        <f t="shared" si="3"/>
        <v>644</v>
      </c>
      <c r="B645" s="51" t="s">
        <v>41</v>
      </c>
      <c r="C645" s="53" t="s">
        <v>4075</v>
      </c>
      <c r="D645" s="42" t="s">
        <v>44</v>
      </c>
      <c r="E645" s="42" t="s">
        <v>44</v>
      </c>
      <c r="F645" s="53" t="s">
        <v>3910</v>
      </c>
      <c r="G645" s="53" t="s">
        <v>47</v>
      </c>
      <c r="H645" s="53" t="s">
        <v>48</v>
      </c>
      <c r="I645" s="53" t="s">
        <v>485</v>
      </c>
      <c r="J645" s="53" t="s">
        <v>3911</v>
      </c>
      <c r="K645" s="53" t="s">
        <v>51</v>
      </c>
      <c r="L645" s="53" t="s">
        <v>52</v>
      </c>
      <c r="M645" s="53" t="s">
        <v>52</v>
      </c>
      <c r="N645" s="62" t="s">
        <v>4076</v>
      </c>
      <c r="O645" s="62" t="s">
        <v>44</v>
      </c>
      <c r="P645" s="62" t="s">
        <v>4077</v>
      </c>
      <c r="Q645" s="62" t="s">
        <v>4078</v>
      </c>
      <c r="R645" s="53"/>
      <c r="S645" s="53"/>
      <c r="T645" s="82"/>
      <c r="U645" s="42"/>
      <c r="V645" s="62"/>
      <c r="W645" s="64"/>
      <c r="X645" s="223"/>
      <c r="Y645" s="223"/>
      <c r="Z645" s="223"/>
      <c r="AA645" s="223"/>
    </row>
    <row r="646">
      <c r="A646" s="42">
        <f t="shared" si="3"/>
        <v>645</v>
      </c>
      <c r="B646" s="51" t="s">
        <v>41</v>
      </c>
      <c r="C646" s="53" t="s">
        <v>4081</v>
      </c>
      <c r="D646" s="42" t="s">
        <v>44</v>
      </c>
      <c r="E646" s="42" t="s">
        <v>44</v>
      </c>
      <c r="F646" s="53" t="s">
        <v>3910</v>
      </c>
      <c r="G646" s="53" t="s">
        <v>197</v>
      </c>
      <c r="H646" s="53" t="s">
        <v>91</v>
      </c>
      <c r="I646" s="53" t="s">
        <v>485</v>
      </c>
      <c r="J646" s="53" t="s">
        <v>3911</v>
      </c>
      <c r="K646" s="53" t="s">
        <v>51</v>
      </c>
      <c r="L646" s="53" t="s">
        <v>52</v>
      </c>
      <c r="M646" s="53" t="s">
        <v>52</v>
      </c>
      <c r="N646" s="62" t="s">
        <v>3912</v>
      </c>
      <c r="O646" s="62" t="s">
        <v>44</v>
      </c>
      <c r="P646" s="62" t="s">
        <v>4082</v>
      </c>
      <c r="Q646" s="62" t="s">
        <v>4083</v>
      </c>
      <c r="R646" s="53"/>
      <c r="S646" s="53"/>
      <c r="T646" s="82"/>
      <c r="U646" s="42"/>
      <c r="V646" s="62"/>
      <c r="W646" s="64"/>
      <c r="X646" s="223"/>
      <c r="Y646" s="223"/>
      <c r="Z646" s="223"/>
      <c r="AA646" s="223"/>
    </row>
    <row r="647">
      <c r="A647" s="42">
        <f t="shared" si="3"/>
        <v>646</v>
      </c>
      <c r="B647" s="51" t="s">
        <v>41</v>
      </c>
      <c r="C647" s="53" t="s">
        <v>4087</v>
      </c>
      <c r="D647" s="42" t="s">
        <v>44</v>
      </c>
      <c r="E647" s="42" t="s">
        <v>44</v>
      </c>
      <c r="F647" s="53" t="s">
        <v>3910</v>
      </c>
      <c r="G647" s="53" t="s">
        <v>47</v>
      </c>
      <c r="H647" s="53" t="s">
        <v>95</v>
      </c>
      <c r="I647" s="53" t="s">
        <v>485</v>
      </c>
      <c r="J647" s="53" t="s">
        <v>3911</v>
      </c>
      <c r="K647" s="53" t="s">
        <v>51</v>
      </c>
      <c r="L647" s="53" t="s">
        <v>52</v>
      </c>
      <c r="M647" s="53" t="s">
        <v>52</v>
      </c>
      <c r="N647" s="62" t="s">
        <v>3912</v>
      </c>
      <c r="O647" s="62" t="s">
        <v>44</v>
      </c>
      <c r="P647" s="62" t="s">
        <v>4088</v>
      </c>
      <c r="Q647" s="62" t="s">
        <v>4089</v>
      </c>
      <c r="R647" s="53"/>
      <c r="S647" s="53"/>
      <c r="T647" s="82"/>
      <c r="U647" s="42"/>
      <c r="V647" s="62"/>
      <c r="W647" s="64"/>
      <c r="X647" s="223"/>
      <c r="Y647" s="223"/>
      <c r="Z647" s="223"/>
      <c r="AA647" s="223"/>
    </row>
    <row r="648">
      <c r="A648" s="42">
        <f t="shared" si="3"/>
        <v>647</v>
      </c>
      <c r="B648" s="51" t="s">
        <v>41</v>
      </c>
      <c r="C648" s="53" t="s">
        <v>4092</v>
      </c>
      <c r="D648" s="42" t="s">
        <v>44</v>
      </c>
      <c r="E648" s="42" t="s">
        <v>44</v>
      </c>
      <c r="F648" s="53" t="s">
        <v>3910</v>
      </c>
      <c r="G648" s="53" t="s">
        <v>47</v>
      </c>
      <c r="H648" s="53" t="s">
        <v>48</v>
      </c>
      <c r="I648" s="53" t="s">
        <v>485</v>
      </c>
      <c r="J648" s="53" t="s">
        <v>3911</v>
      </c>
      <c r="K648" s="53" t="s">
        <v>51</v>
      </c>
      <c r="L648" s="53" t="s">
        <v>52</v>
      </c>
      <c r="M648" s="53" t="s">
        <v>52</v>
      </c>
      <c r="N648" s="62" t="s">
        <v>4093</v>
      </c>
      <c r="O648" s="62" t="s">
        <v>44</v>
      </c>
      <c r="P648" s="62" t="s">
        <v>4094</v>
      </c>
      <c r="Q648" s="62" t="s">
        <v>4095</v>
      </c>
      <c r="R648" s="53"/>
      <c r="S648" s="53"/>
      <c r="T648" s="82"/>
      <c r="U648" s="42"/>
      <c r="V648" s="62"/>
      <c r="W648" s="64"/>
      <c r="X648" s="223"/>
      <c r="Y648" s="223"/>
      <c r="Z648" s="223"/>
      <c r="AA648" s="223"/>
    </row>
    <row r="649">
      <c r="A649" s="42">
        <f t="shared" si="3"/>
        <v>648</v>
      </c>
      <c r="B649" s="51" t="s">
        <v>41</v>
      </c>
      <c r="C649" s="53" t="s">
        <v>4099</v>
      </c>
      <c r="D649" s="42" t="s">
        <v>44</v>
      </c>
      <c r="E649" s="42" t="s">
        <v>44</v>
      </c>
      <c r="F649" s="53" t="s">
        <v>3910</v>
      </c>
      <c r="G649" s="53" t="s">
        <v>47</v>
      </c>
      <c r="H649" s="53" t="s">
        <v>91</v>
      </c>
      <c r="I649" s="53" t="s">
        <v>485</v>
      </c>
      <c r="J649" s="53" t="s">
        <v>3911</v>
      </c>
      <c r="K649" s="53" t="s">
        <v>51</v>
      </c>
      <c r="L649" s="53" t="s">
        <v>52</v>
      </c>
      <c r="M649" s="53" t="s">
        <v>52</v>
      </c>
      <c r="N649" s="62" t="s">
        <v>4093</v>
      </c>
      <c r="O649" s="62" t="s">
        <v>44</v>
      </c>
      <c r="P649" s="62" t="s">
        <v>4100</v>
      </c>
      <c r="Q649" s="62" t="s">
        <v>4101</v>
      </c>
      <c r="R649" s="53"/>
      <c r="S649" s="53"/>
      <c r="T649" s="82"/>
      <c r="U649" s="42"/>
      <c r="V649" s="62"/>
      <c r="W649" s="64"/>
      <c r="X649" s="223"/>
      <c r="Y649" s="223"/>
      <c r="Z649" s="223"/>
      <c r="AA649" s="223"/>
    </row>
    <row r="650">
      <c r="A650" s="42">
        <f t="shared" si="3"/>
        <v>649</v>
      </c>
      <c r="B650" s="51" t="s">
        <v>41</v>
      </c>
      <c r="C650" s="53" t="s">
        <v>4105</v>
      </c>
      <c r="D650" s="42" t="s">
        <v>44</v>
      </c>
      <c r="E650" s="42" t="s">
        <v>44</v>
      </c>
      <c r="F650" s="53" t="s">
        <v>3910</v>
      </c>
      <c r="G650" s="53" t="s">
        <v>47</v>
      </c>
      <c r="H650" s="53" t="s">
        <v>91</v>
      </c>
      <c r="I650" s="53" t="s">
        <v>485</v>
      </c>
      <c r="J650" s="53" t="s">
        <v>3911</v>
      </c>
      <c r="K650" s="53" t="s">
        <v>51</v>
      </c>
      <c r="L650" s="53" t="s">
        <v>52</v>
      </c>
      <c r="M650" s="53" t="s">
        <v>52</v>
      </c>
      <c r="N650" s="62" t="s">
        <v>4093</v>
      </c>
      <c r="O650" s="62" t="s">
        <v>44</v>
      </c>
      <c r="P650" s="62" t="s">
        <v>4106</v>
      </c>
      <c r="Q650" s="62" t="s">
        <v>4107</v>
      </c>
      <c r="R650" s="53"/>
      <c r="S650" s="53"/>
      <c r="T650" s="82"/>
      <c r="U650" s="42"/>
      <c r="V650" s="62"/>
      <c r="W650" s="64"/>
      <c r="X650" s="223"/>
      <c r="Y650" s="223"/>
      <c r="Z650" s="223"/>
      <c r="AA650" s="223"/>
    </row>
    <row r="651">
      <c r="A651" s="42">
        <f t="shared" si="3"/>
        <v>650</v>
      </c>
      <c r="B651" s="51" t="s">
        <v>41</v>
      </c>
      <c r="C651" s="53" t="s">
        <v>4111</v>
      </c>
      <c r="D651" s="42" t="s">
        <v>44</v>
      </c>
      <c r="E651" s="42" t="s">
        <v>44</v>
      </c>
      <c r="F651" s="53" t="s">
        <v>3910</v>
      </c>
      <c r="G651" s="53" t="s">
        <v>47</v>
      </c>
      <c r="H651" s="53" t="s">
        <v>48</v>
      </c>
      <c r="I651" s="53" t="s">
        <v>485</v>
      </c>
      <c r="J651" s="53" t="s">
        <v>3911</v>
      </c>
      <c r="K651" s="53" t="s">
        <v>51</v>
      </c>
      <c r="L651" s="53" t="s">
        <v>52</v>
      </c>
      <c r="M651" s="53" t="s">
        <v>52</v>
      </c>
      <c r="N651" s="62" t="s">
        <v>4093</v>
      </c>
      <c r="O651" s="62" t="s">
        <v>44</v>
      </c>
      <c r="P651" s="62" t="s">
        <v>4112</v>
      </c>
      <c r="Q651" s="62" t="s">
        <v>4113</v>
      </c>
      <c r="R651" s="53"/>
      <c r="S651" s="53"/>
      <c r="T651" s="82"/>
      <c r="U651" s="42"/>
      <c r="V651" s="62"/>
      <c r="W651" s="64"/>
      <c r="X651" s="223"/>
      <c r="Y651" s="223"/>
      <c r="Z651" s="223"/>
      <c r="AA651" s="223"/>
    </row>
    <row r="652">
      <c r="A652" s="42">
        <f t="shared" si="3"/>
        <v>651</v>
      </c>
      <c r="B652" s="51" t="s">
        <v>41</v>
      </c>
      <c r="C652" s="53" t="s">
        <v>4116</v>
      </c>
      <c r="D652" s="42" t="s">
        <v>44</v>
      </c>
      <c r="E652" s="42" t="s">
        <v>44</v>
      </c>
      <c r="F652" s="53" t="s">
        <v>3910</v>
      </c>
      <c r="G652" s="53" t="s">
        <v>47</v>
      </c>
      <c r="H652" s="53" t="s">
        <v>95</v>
      </c>
      <c r="I652" s="53" t="s">
        <v>485</v>
      </c>
      <c r="J652" s="53" t="s">
        <v>3911</v>
      </c>
      <c r="K652" s="53" t="s">
        <v>51</v>
      </c>
      <c r="L652" s="53" t="s">
        <v>52</v>
      </c>
      <c r="M652" s="53" t="s">
        <v>52</v>
      </c>
      <c r="N652" s="62" t="s">
        <v>4093</v>
      </c>
      <c r="O652" s="62" t="s">
        <v>44</v>
      </c>
      <c r="P652" s="62" t="s">
        <v>4117</v>
      </c>
      <c r="Q652" s="62" t="s">
        <v>4118</v>
      </c>
      <c r="R652" s="53"/>
      <c r="S652" s="53"/>
      <c r="T652" s="82"/>
      <c r="U652" s="42"/>
      <c r="V652" s="62"/>
      <c r="W652" s="64"/>
      <c r="X652" s="223"/>
      <c r="Y652" s="223"/>
      <c r="Z652" s="223"/>
      <c r="AA652" s="223"/>
    </row>
    <row r="653">
      <c r="A653" s="42">
        <f t="shared" si="3"/>
        <v>652</v>
      </c>
      <c r="B653" s="51" t="s">
        <v>41</v>
      </c>
      <c r="C653" s="53" t="s">
        <v>4122</v>
      </c>
      <c r="D653" s="42" t="s">
        <v>44</v>
      </c>
      <c r="E653" s="42" t="s">
        <v>44</v>
      </c>
      <c r="F653" s="53" t="s">
        <v>3910</v>
      </c>
      <c r="G653" s="53" t="s">
        <v>47</v>
      </c>
      <c r="H653" s="53" t="s">
        <v>48</v>
      </c>
      <c r="I653" s="53" t="s">
        <v>485</v>
      </c>
      <c r="J653" s="53" t="s">
        <v>3911</v>
      </c>
      <c r="K653" s="53" t="s">
        <v>51</v>
      </c>
      <c r="L653" s="53" t="s">
        <v>52</v>
      </c>
      <c r="M653" s="53" t="s">
        <v>52</v>
      </c>
      <c r="N653" s="62" t="s">
        <v>4093</v>
      </c>
      <c r="O653" s="62" t="s">
        <v>44</v>
      </c>
      <c r="P653" s="62" t="s">
        <v>4123</v>
      </c>
      <c r="Q653" s="62" t="s">
        <v>4124</v>
      </c>
      <c r="R653" s="53"/>
      <c r="S653" s="53"/>
      <c r="T653" s="82"/>
      <c r="U653" s="42"/>
      <c r="V653" s="62"/>
      <c r="W653" s="64"/>
      <c r="X653" s="223"/>
      <c r="Y653" s="223"/>
      <c r="Z653" s="223"/>
      <c r="AA653" s="223"/>
    </row>
    <row r="654">
      <c r="A654" s="42">
        <f t="shared" si="3"/>
        <v>653</v>
      </c>
      <c r="B654" s="51" t="s">
        <v>41</v>
      </c>
      <c r="C654" s="53" t="s">
        <v>4127</v>
      </c>
      <c r="D654" s="42" t="s">
        <v>44</v>
      </c>
      <c r="E654" s="42" t="s">
        <v>44</v>
      </c>
      <c r="F654" s="53" t="s">
        <v>3910</v>
      </c>
      <c r="G654" s="53" t="s">
        <v>47</v>
      </c>
      <c r="H654" s="53" t="s">
        <v>48</v>
      </c>
      <c r="I654" s="53" t="s">
        <v>485</v>
      </c>
      <c r="J654" s="53" t="s">
        <v>3911</v>
      </c>
      <c r="K654" s="53" t="s">
        <v>51</v>
      </c>
      <c r="L654" s="53" t="s">
        <v>52</v>
      </c>
      <c r="M654" s="53" t="s">
        <v>52</v>
      </c>
      <c r="N654" s="62" t="s">
        <v>4128</v>
      </c>
      <c r="O654" s="62" t="s">
        <v>44</v>
      </c>
      <c r="P654" s="62" t="s">
        <v>4129</v>
      </c>
      <c r="Q654" s="62" t="s">
        <v>4130</v>
      </c>
      <c r="R654" s="53"/>
      <c r="S654" s="53"/>
      <c r="T654" s="82"/>
      <c r="U654" s="53"/>
      <c r="V654" s="62"/>
      <c r="W654" s="64"/>
      <c r="X654" s="223"/>
      <c r="Y654" s="223"/>
      <c r="Z654" s="223"/>
      <c r="AA654" s="223"/>
    </row>
    <row r="655">
      <c r="A655" s="42">
        <f t="shared" si="3"/>
        <v>654</v>
      </c>
      <c r="B655" s="51" t="s">
        <v>41</v>
      </c>
      <c r="C655" s="53" t="s">
        <v>4133</v>
      </c>
      <c r="D655" s="42" t="s">
        <v>44</v>
      </c>
      <c r="E655" s="42" t="s">
        <v>44</v>
      </c>
      <c r="F655" s="53" t="s">
        <v>3910</v>
      </c>
      <c r="G655" s="53" t="s">
        <v>47</v>
      </c>
      <c r="H655" s="53" t="s">
        <v>48</v>
      </c>
      <c r="I655" s="53" t="s">
        <v>485</v>
      </c>
      <c r="J655" s="53" t="s">
        <v>3911</v>
      </c>
      <c r="K655" s="53" t="s">
        <v>51</v>
      </c>
      <c r="L655" s="53" t="s">
        <v>52</v>
      </c>
      <c r="M655" s="53" t="s">
        <v>52</v>
      </c>
      <c r="N655" s="62" t="s">
        <v>4134</v>
      </c>
      <c r="O655" s="62" t="s">
        <v>44</v>
      </c>
      <c r="P655" s="62" t="s">
        <v>4129</v>
      </c>
      <c r="Q655" s="62" t="s">
        <v>4135</v>
      </c>
      <c r="R655" s="53"/>
      <c r="S655" s="53"/>
      <c r="T655" s="82"/>
      <c r="U655" s="42"/>
      <c r="V655" s="62"/>
      <c r="W655" s="64"/>
      <c r="X655" s="223"/>
      <c r="Y655" s="223"/>
      <c r="Z655" s="223"/>
      <c r="AA655" s="223"/>
    </row>
    <row r="656">
      <c r="A656" s="42">
        <f t="shared" si="3"/>
        <v>655</v>
      </c>
      <c r="B656" s="51" t="s">
        <v>41</v>
      </c>
      <c r="C656" s="53" t="s">
        <v>4138</v>
      </c>
      <c r="D656" s="42" t="s">
        <v>44</v>
      </c>
      <c r="E656" s="42" t="s">
        <v>44</v>
      </c>
      <c r="F656" s="53" t="s">
        <v>3910</v>
      </c>
      <c r="G656" s="53" t="s">
        <v>47</v>
      </c>
      <c r="H656" s="53" t="s">
        <v>48</v>
      </c>
      <c r="I656" s="53" t="s">
        <v>485</v>
      </c>
      <c r="J656" s="53" t="s">
        <v>3911</v>
      </c>
      <c r="K656" s="53" t="s">
        <v>51</v>
      </c>
      <c r="L656" s="53" t="s">
        <v>52</v>
      </c>
      <c r="M656" s="53" t="s">
        <v>52</v>
      </c>
      <c r="N656" s="62" t="s">
        <v>4139</v>
      </c>
      <c r="O656" s="62" t="s">
        <v>44</v>
      </c>
      <c r="P656" s="62" t="s">
        <v>4129</v>
      </c>
      <c r="Q656" s="62" t="s">
        <v>4140</v>
      </c>
      <c r="R656" s="53"/>
      <c r="S656" s="53"/>
      <c r="T656" s="82"/>
      <c r="U656" s="42"/>
      <c r="V656" s="62"/>
      <c r="W656" s="64"/>
      <c r="X656" s="76"/>
      <c r="Y656" s="76"/>
      <c r="Z656" s="76"/>
      <c r="AA656" s="76"/>
    </row>
    <row r="657">
      <c r="A657" s="42">
        <f t="shared" si="3"/>
        <v>656</v>
      </c>
      <c r="B657" s="51" t="s">
        <v>41</v>
      </c>
      <c r="C657" s="53" t="s">
        <v>4143</v>
      </c>
      <c r="D657" s="42" t="s">
        <v>44</v>
      </c>
      <c r="E657" s="42" t="s">
        <v>44</v>
      </c>
      <c r="F657" s="53" t="s">
        <v>3910</v>
      </c>
      <c r="G657" s="53" t="s">
        <v>47</v>
      </c>
      <c r="H657" s="53" t="s">
        <v>48</v>
      </c>
      <c r="I657" s="53" t="s">
        <v>485</v>
      </c>
      <c r="J657" s="53" t="s">
        <v>3911</v>
      </c>
      <c r="K657" s="53" t="s">
        <v>51</v>
      </c>
      <c r="L657" s="53" t="s">
        <v>52</v>
      </c>
      <c r="M657" s="53" t="s">
        <v>52</v>
      </c>
      <c r="N657" s="62" t="s">
        <v>4144</v>
      </c>
      <c r="O657" s="62" t="s">
        <v>44</v>
      </c>
      <c r="P657" s="62" t="s">
        <v>4129</v>
      </c>
      <c r="Q657" s="62" t="s">
        <v>4145</v>
      </c>
      <c r="R657" s="53"/>
      <c r="S657" s="53"/>
      <c r="T657" s="82"/>
      <c r="U657" s="42"/>
      <c r="V657" s="62"/>
      <c r="W657" s="64"/>
      <c r="X657" s="76"/>
      <c r="Y657" s="76"/>
      <c r="Z657" s="76"/>
      <c r="AA657" s="76"/>
    </row>
    <row r="658">
      <c r="A658" s="42">
        <f t="shared" si="3"/>
        <v>657</v>
      </c>
      <c r="B658" s="51" t="s">
        <v>41</v>
      </c>
      <c r="C658" s="53" t="s">
        <v>4148</v>
      </c>
      <c r="D658" s="42" t="s">
        <v>44</v>
      </c>
      <c r="E658" s="42" t="s">
        <v>44</v>
      </c>
      <c r="F658" s="53" t="s">
        <v>3910</v>
      </c>
      <c r="G658" s="53" t="s">
        <v>47</v>
      </c>
      <c r="H658" s="53" t="s">
        <v>48</v>
      </c>
      <c r="I658" s="53" t="s">
        <v>485</v>
      </c>
      <c r="J658" s="53" t="s">
        <v>3911</v>
      </c>
      <c r="K658" s="53" t="s">
        <v>51</v>
      </c>
      <c r="L658" s="53" t="s">
        <v>52</v>
      </c>
      <c r="M658" s="53" t="s">
        <v>52</v>
      </c>
      <c r="N658" s="62" t="s">
        <v>4149</v>
      </c>
      <c r="O658" s="62" t="s">
        <v>44</v>
      </c>
      <c r="P658" s="62" t="s">
        <v>4150</v>
      </c>
      <c r="Q658" s="62" t="s">
        <v>4151</v>
      </c>
      <c r="R658" s="53"/>
      <c r="S658" s="53"/>
      <c r="T658" s="82"/>
      <c r="U658" s="42"/>
      <c r="V658" s="62"/>
      <c r="W658" s="64"/>
      <c r="X658" s="76"/>
      <c r="Y658" s="76"/>
      <c r="Z658" s="76"/>
      <c r="AA658" s="76"/>
    </row>
    <row r="659">
      <c r="A659" s="42">
        <f t="shared" si="3"/>
        <v>658</v>
      </c>
      <c r="B659" s="51" t="s">
        <v>41</v>
      </c>
      <c r="C659" s="53" t="s">
        <v>4154</v>
      </c>
      <c r="D659" s="42" t="s">
        <v>44</v>
      </c>
      <c r="E659" s="42" t="s">
        <v>44</v>
      </c>
      <c r="F659" s="53" t="s">
        <v>3910</v>
      </c>
      <c r="G659" s="53" t="s">
        <v>47</v>
      </c>
      <c r="H659" s="53" t="s">
        <v>48</v>
      </c>
      <c r="I659" s="53" t="s">
        <v>485</v>
      </c>
      <c r="J659" s="53" t="s">
        <v>3911</v>
      </c>
      <c r="K659" s="53" t="s">
        <v>51</v>
      </c>
      <c r="L659" s="53" t="s">
        <v>52</v>
      </c>
      <c r="M659" s="53" t="s">
        <v>52</v>
      </c>
      <c r="N659" s="62" t="s">
        <v>4093</v>
      </c>
      <c r="O659" s="62" t="s">
        <v>44</v>
      </c>
      <c r="P659" s="62" t="s">
        <v>4155</v>
      </c>
      <c r="Q659" s="62" t="s">
        <v>4156</v>
      </c>
      <c r="R659" s="53"/>
      <c r="S659" s="53"/>
      <c r="T659" s="82"/>
      <c r="U659" s="42"/>
      <c r="V659" s="62"/>
      <c r="W659" s="140"/>
      <c r="X659" s="317"/>
      <c r="Y659" s="317"/>
      <c r="Z659" s="76"/>
      <c r="AA659" s="76"/>
    </row>
    <row r="660">
      <c r="A660" s="42">
        <f t="shared" si="3"/>
        <v>659</v>
      </c>
      <c r="B660" s="51" t="s">
        <v>41</v>
      </c>
      <c r="C660" s="53" t="s">
        <v>4160</v>
      </c>
      <c r="D660" s="42" t="s">
        <v>44</v>
      </c>
      <c r="E660" s="42" t="s">
        <v>44</v>
      </c>
      <c r="F660" s="53" t="s">
        <v>3910</v>
      </c>
      <c r="G660" s="53" t="s">
        <v>47</v>
      </c>
      <c r="H660" s="53" t="s">
        <v>48</v>
      </c>
      <c r="I660" s="53" t="s">
        <v>485</v>
      </c>
      <c r="J660" s="53" t="s">
        <v>3911</v>
      </c>
      <c r="K660" s="53" t="s">
        <v>51</v>
      </c>
      <c r="L660" s="53" t="s">
        <v>52</v>
      </c>
      <c r="M660" s="53" t="s">
        <v>52</v>
      </c>
      <c r="N660" s="62" t="s">
        <v>4093</v>
      </c>
      <c r="O660" s="62" t="s">
        <v>44</v>
      </c>
      <c r="P660" s="62" t="s">
        <v>4161</v>
      </c>
      <c r="Q660" s="62" t="s">
        <v>4162</v>
      </c>
      <c r="R660" s="53"/>
      <c r="S660" s="53"/>
      <c r="T660" s="82"/>
      <c r="U660" s="42"/>
      <c r="V660" s="62"/>
      <c r="W660" s="64"/>
      <c r="X660" s="223"/>
      <c r="Y660" s="223"/>
      <c r="Z660" s="223"/>
      <c r="AA660" s="223"/>
    </row>
    <row r="661">
      <c r="A661" s="42">
        <f t="shared" si="3"/>
        <v>660</v>
      </c>
      <c r="B661" s="51" t="s">
        <v>41</v>
      </c>
      <c r="C661" s="53" t="s">
        <v>4165</v>
      </c>
      <c r="D661" s="42" t="s">
        <v>44</v>
      </c>
      <c r="E661" s="42" t="s">
        <v>44</v>
      </c>
      <c r="F661" s="53" t="s">
        <v>3910</v>
      </c>
      <c r="G661" s="53" t="s">
        <v>85</v>
      </c>
      <c r="H661" s="53" t="s">
        <v>86</v>
      </c>
      <c r="I661" s="53" t="s">
        <v>485</v>
      </c>
      <c r="J661" s="53" t="s">
        <v>3911</v>
      </c>
      <c r="K661" s="53" t="s">
        <v>51</v>
      </c>
      <c r="L661" s="53" t="s">
        <v>52</v>
      </c>
      <c r="M661" s="53" t="s">
        <v>52</v>
      </c>
      <c r="N661" s="62" t="s">
        <v>4166</v>
      </c>
      <c r="O661" s="62" t="s">
        <v>44</v>
      </c>
      <c r="P661" s="62" t="s">
        <v>4167</v>
      </c>
      <c r="Q661" s="62" t="s">
        <v>4168</v>
      </c>
      <c r="R661" s="53"/>
      <c r="S661" s="53"/>
      <c r="T661" s="82"/>
      <c r="U661" s="42"/>
      <c r="V661" s="62"/>
      <c r="W661" s="64"/>
      <c r="X661" s="223"/>
      <c r="Y661" s="223"/>
      <c r="Z661" s="223"/>
      <c r="AA661" s="223"/>
    </row>
    <row r="662">
      <c r="A662" s="42">
        <f t="shared" si="3"/>
        <v>661</v>
      </c>
      <c r="B662" s="51" t="s">
        <v>41</v>
      </c>
      <c r="C662" s="53" t="s">
        <v>4171</v>
      </c>
      <c r="D662" s="42" t="s">
        <v>44</v>
      </c>
      <c r="E662" s="42" t="s">
        <v>44</v>
      </c>
      <c r="F662" s="53" t="s">
        <v>3910</v>
      </c>
      <c r="G662" s="53" t="s">
        <v>47</v>
      </c>
      <c r="H662" s="53" t="s">
        <v>48</v>
      </c>
      <c r="I662" s="53" t="s">
        <v>485</v>
      </c>
      <c r="J662" s="53" t="s">
        <v>3911</v>
      </c>
      <c r="K662" s="53" t="s">
        <v>51</v>
      </c>
      <c r="L662" s="53" t="s">
        <v>52</v>
      </c>
      <c r="M662" s="53" t="s">
        <v>52</v>
      </c>
      <c r="N662" s="62" t="s">
        <v>4093</v>
      </c>
      <c r="O662" s="62" t="s">
        <v>44</v>
      </c>
      <c r="P662" s="62" t="s">
        <v>4172</v>
      </c>
      <c r="Q662" s="62" t="s">
        <v>4173</v>
      </c>
      <c r="R662" s="53"/>
      <c r="S662" s="53"/>
      <c r="T662" s="82"/>
      <c r="U662" s="42"/>
      <c r="V662" s="62"/>
      <c r="W662" s="64"/>
      <c r="X662" s="223"/>
      <c r="Y662" s="223"/>
      <c r="Z662" s="223"/>
      <c r="AA662" s="223"/>
    </row>
    <row r="663">
      <c r="A663" s="42">
        <f t="shared" si="3"/>
        <v>662</v>
      </c>
      <c r="B663" s="51" t="s">
        <v>41</v>
      </c>
      <c r="C663" s="53" t="s">
        <v>4176</v>
      </c>
      <c r="D663" s="42" t="s">
        <v>44</v>
      </c>
      <c r="E663" s="42" t="s">
        <v>44</v>
      </c>
      <c r="F663" s="53" t="s">
        <v>3910</v>
      </c>
      <c r="G663" s="53" t="s">
        <v>47</v>
      </c>
      <c r="H663" s="53" t="s">
        <v>95</v>
      </c>
      <c r="I663" s="53" t="s">
        <v>485</v>
      </c>
      <c r="J663" s="53" t="s">
        <v>3911</v>
      </c>
      <c r="K663" s="53" t="s">
        <v>51</v>
      </c>
      <c r="L663" s="53" t="s">
        <v>52</v>
      </c>
      <c r="M663" s="53" t="s">
        <v>52</v>
      </c>
      <c r="N663" s="62" t="s">
        <v>4177</v>
      </c>
      <c r="O663" s="62" t="s">
        <v>44</v>
      </c>
      <c r="P663" s="62" t="s">
        <v>4178</v>
      </c>
      <c r="Q663" s="62" t="s">
        <v>4179</v>
      </c>
      <c r="R663" s="53"/>
      <c r="S663" s="53"/>
      <c r="T663" s="82"/>
      <c r="U663" s="42"/>
      <c r="V663" s="62"/>
      <c r="W663" s="64"/>
      <c r="X663" s="223"/>
      <c r="Y663" s="223"/>
      <c r="Z663" s="223"/>
      <c r="AA663" s="223"/>
    </row>
    <row r="664">
      <c r="A664" s="42">
        <f t="shared" si="3"/>
        <v>663</v>
      </c>
      <c r="B664" s="51" t="s">
        <v>41</v>
      </c>
      <c r="C664" s="53" t="s">
        <v>4183</v>
      </c>
      <c r="D664" s="42" t="s">
        <v>44</v>
      </c>
      <c r="E664" s="42" t="s">
        <v>44</v>
      </c>
      <c r="F664" s="53" t="s">
        <v>3910</v>
      </c>
      <c r="G664" s="53" t="s">
        <v>47</v>
      </c>
      <c r="H664" s="53" t="s">
        <v>48</v>
      </c>
      <c r="I664" s="53" t="s">
        <v>485</v>
      </c>
      <c r="J664" s="53" t="s">
        <v>3911</v>
      </c>
      <c r="K664" s="53" t="s">
        <v>51</v>
      </c>
      <c r="L664" s="53" t="s">
        <v>52</v>
      </c>
      <c r="M664" s="53" t="s">
        <v>52</v>
      </c>
      <c r="N664" s="62" t="s">
        <v>4093</v>
      </c>
      <c r="O664" s="62" t="s">
        <v>44</v>
      </c>
      <c r="P664" s="62" t="s">
        <v>4184</v>
      </c>
      <c r="Q664" s="62" t="s">
        <v>4185</v>
      </c>
      <c r="R664" s="53"/>
      <c r="S664" s="53"/>
      <c r="T664" s="82"/>
      <c r="U664" s="42"/>
      <c r="V664" s="62"/>
      <c r="W664" s="64"/>
      <c r="X664" s="223"/>
      <c r="Y664" s="223"/>
      <c r="Z664" s="223"/>
      <c r="AA664" s="223"/>
    </row>
    <row r="665">
      <c r="A665" s="42">
        <f t="shared" si="3"/>
        <v>664</v>
      </c>
      <c r="B665" s="51" t="s">
        <v>41</v>
      </c>
      <c r="C665" s="53" t="s">
        <v>4188</v>
      </c>
      <c r="D665" s="42" t="s">
        <v>44</v>
      </c>
      <c r="E665" s="42" t="s">
        <v>44</v>
      </c>
      <c r="F665" s="53" t="s">
        <v>3910</v>
      </c>
      <c r="G665" s="53" t="s">
        <v>47</v>
      </c>
      <c r="H665" s="53" t="s">
        <v>95</v>
      </c>
      <c r="I665" s="53" t="s">
        <v>485</v>
      </c>
      <c r="J665" s="53" t="s">
        <v>3911</v>
      </c>
      <c r="K665" s="53" t="s">
        <v>51</v>
      </c>
      <c r="L665" s="53" t="s">
        <v>52</v>
      </c>
      <c r="M665" s="53" t="s">
        <v>52</v>
      </c>
      <c r="N665" s="62" t="s">
        <v>4189</v>
      </c>
      <c r="O665" s="62" t="s">
        <v>44</v>
      </c>
      <c r="P665" s="62" t="s">
        <v>4190</v>
      </c>
      <c r="Q665" s="62" t="s">
        <v>4191</v>
      </c>
      <c r="R665" s="53"/>
      <c r="S665" s="53"/>
      <c r="T665" s="82"/>
      <c r="U665" s="53"/>
      <c r="V665" s="62"/>
      <c r="W665" s="64"/>
      <c r="X665" s="223"/>
      <c r="Y665" s="223"/>
      <c r="Z665" s="223"/>
      <c r="AA665" s="223"/>
    </row>
    <row r="666">
      <c r="A666" s="42">
        <f t="shared" si="3"/>
        <v>665</v>
      </c>
      <c r="B666" s="51" t="s">
        <v>41</v>
      </c>
      <c r="C666" s="53" t="s">
        <v>4195</v>
      </c>
      <c r="D666" s="42" t="s">
        <v>44</v>
      </c>
      <c r="E666" s="42" t="s">
        <v>44</v>
      </c>
      <c r="F666" s="53" t="s">
        <v>3910</v>
      </c>
      <c r="G666" s="53" t="s">
        <v>47</v>
      </c>
      <c r="H666" s="53" t="s">
        <v>48</v>
      </c>
      <c r="I666" s="53" t="s">
        <v>485</v>
      </c>
      <c r="J666" s="53" t="s">
        <v>3911</v>
      </c>
      <c r="K666" s="53" t="s">
        <v>51</v>
      </c>
      <c r="L666" s="53" t="s">
        <v>52</v>
      </c>
      <c r="M666" s="53" t="s">
        <v>52</v>
      </c>
      <c r="N666" s="62" t="s">
        <v>4093</v>
      </c>
      <c r="O666" s="62" t="s">
        <v>44</v>
      </c>
      <c r="P666" s="62" t="s">
        <v>4196</v>
      </c>
      <c r="Q666" s="62" t="s">
        <v>4197</v>
      </c>
      <c r="R666" s="53"/>
      <c r="S666" s="53"/>
      <c r="T666" s="82"/>
      <c r="U666" s="42"/>
      <c r="V666" s="62"/>
      <c r="W666" s="64"/>
      <c r="X666" s="223"/>
      <c r="Y666" s="223"/>
      <c r="Z666" s="223"/>
      <c r="AA666" s="223"/>
    </row>
    <row r="667">
      <c r="A667" s="42">
        <f t="shared" si="3"/>
        <v>666</v>
      </c>
      <c r="B667" s="51" t="s">
        <v>41</v>
      </c>
      <c r="C667" s="53" t="s">
        <v>4200</v>
      </c>
      <c r="D667" s="42" t="s">
        <v>44</v>
      </c>
      <c r="E667" s="42" t="s">
        <v>44</v>
      </c>
      <c r="F667" s="53" t="s">
        <v>3910</v>
      </c>
      <c r="G667" s="53" t="s">
        <v>47</v>
      </c>
      <c r="H667" s="53" t="s">
        <v>48</v>
      </c>
      <c r="I667" s="53" t="s">
        <v>485</v>
      </c>
      <c r="J667" s="53" t="s">
        <v>3911</v>
      </c>
      <c r="K667" s="53" t="s">
        <v>51</v>
      </c>
      <c r="L667" s="53" t="s">
        <v>52</v>
      </c>
      <c r="M667" s="53" t="s">
        <v>52</v>
      </c>
      <c r="N667" s="62" t="s">
        <v>4189</v>
      </c>
      <c r="O667" s="62" t="s">
        <v>44</v>
      </c>
      <c r="P667" s="62" t="s">
        <v>4201</v>
      </c>
      <c r="Q667" s="62" t="s">
        <v>4202</v>
      </c>
      <c r="R667" s="53"/>
      <c r="S667" s="53"/>
      <c r="T667" s="82"/>
      <c r="U667" s="42"/>
      <c r="V667" s="62"/>
      <c r="W667" s="64"/>
      <c r="X667" s="223"/>
      <c r="Y667" s="223"/>
      <c r="Z667" s="223"/>
      <c r="AA667" s="223"/>
    </row>
    <row r="668">
      <c r="A668" s="42">
        <f t="shared" si="3"/>
        <v>667</v>
      </c>
      <c r="B668" s="51" t="s">
        <v>41</v>
      </c>
      <c r="C668" s="53" t="s">
        <v>4206</v>
      </c>
      <c r="D668" s="42" t="s">
        <v>44</v>
      </c>
      <c r="E668" s="42" t="s">
        <v>44</v>
      </c>
      <c r="F668" s="53" t="s">
        <v>3910</v>
      </c>
      <c r="G668" s="53" t="s">
        <v>47</v>
      </c>
      <c r="H668" s="53" t="s">
        <v>48</v>
      </c>
      <c r="I668" s="53" t="s">
        <v>485</v>
      </c>
      <c r="J668" s="53" t="s">
        <v>3911</v>
      </c>
      <c r="K668" s="53" t="s">
        <v>51</v>
      </c>
      <c r="L668" s="53" t="s">
        <v>52</v>
      </c>
      <c r="M668" s="53" t="s">
        <v>52</v>
      </c>
      <c r="N668" s="62" t="s">
        <v>4093</v>
      </c>
      <c r="O668" s="62" t="s">
        <v>44</v>
      </c>
      <c r="P668" s="62" t="s">
        <v>4207</v>
      </c>
      <c r="Q668" s="62" t="s">
        <v>4208</v>
      </c>
      <c r="R668" s="53"/>
      <c r="S668" s="53"/>
      <c r="T668" s="82"/>
      <c r="U668" s="42"/>
      <c r="V668" s="62"/>
      <c r="W668" s="64"/>
      <c r="X668" s="223"/>
      <c r="Y668" s="223"/>
      <c r="Z668" s="223"/>
      <c r="AA668" s="223"/>
    </row>
    <row r="669">
      <c r="A669" s="42">
        <f t="shared" si="3"/>
        <v>668</v>
      </c>
      <c r="B669" s="51" t="s">
        <v>41</v>
      </c>
      <c r="C669" s="53" t="s">
        <v>4211</v>
      </c>
      <c r="D669" s="42" t="s">
        <v>44</v>
      </c>
      <c r="E669" s="42" t="s">
        <v>44</v>
      </c>
      <c r="F669" s="53" t="s">
        <v>3910</v>
      </c>
      <c r="G669" s="53" t="s">
        <v>47</v>
      </c>
      <c r="H669" s="53" t="s">
        <v>48</v>
      </c>
      <c r="I669" s="53" t="s">
        <v>485</v>
      </c>
      <c r="J669" s="53" t="s">
        <v>3911</v>
      </c>
      <c r="K669" s="53" t="s">
        <v>51</v>
      </c>
      <c r="L669" s="53" t="s">
        <v>52</v>
      </c>
      <c r="M669" s="53" t="s">
        <v>52</v>
      </c>
      <c r="N669" s="62" t="s">
        <v>4212</v>
      </c>
      <c r="O669" s="62" t="s">
        <v>44</v>
      </c>
      <c r="P669" s="62" t="s">
        <v>4213</v>
      </c>
      <c r="Q669" s="62" t="s">
        <v>4214</v>
      </c>
      <c r="R669" s="53"/>
      <c r="S669" s="53"/>
      <c r="T669" s="82"/>
      <c r="U669" s="42"/>
      <c r="V669" s="62"/>
      <c r="W669" s="64"/>
      <c r="X669" s="223"/>
      <c r="Y669" s="223"/>
      <c r="Z669" s="223"/>
      <c r="AA669" s="223"/>
    </row>
    <row r="670">
      <c r="A670" s="42">
        <f t="shared" si="3"/>
        <v>669</v>
      </c>
      <c r="B670" s="51" t="s">
        <v>41</v>
      </c>
      <c r="C670" s="53" t="s">
        <v>4217</v>
      </c>
      <c r="D670" s="42" t="s">
        <v>44</v>
      </c>
      <c r="E670" s="42" t="s">
        <v>44</v>
      </c>
      <c r="F670" s="53" t="s">
        <v>3910</v>
      </c>
      <c r="G670" s="53" t="s">
        <v>47</v>
      </c>
      <c r="H670" s="53" t="s">
        <v>48</v>
      </c>
      <c r="I670" s="53" t="s">
        <v>485</v>
      </c>
      <c r="J670" s="53" t="s">
        <v>3911</v>
      </c>
      <c r="K670" s="53" t="s">
        <v>51</v>
      </c>
      <c r="L670" s="53" t="s">
        <v>52</v>
      </c>
      <c r="M670" s="53" t="s">
        <v>52</v>
      </c>
      <c r="N670" s="62" t="s">
        <v>4218</v>
      </c>
      <c r="O670" s="62" t="s">
        <v>44</v>
      </c>
      <c r="P670" s="62" t="s">
        <v>4219</v>
      </c>
      <c r="Q670" s="62" t="s">
        <v>4220</v>
      </c>
      <c r="R670" s="53"/>
      <c r="S670" s="53"/>
      <c r="T670" s="82"/>
      <c r="U670" s="42"/>
      <c r="V670" s="62"/>
      <c r="W670" s="64"/>
      <c r="X670" s="223"/>
      <c r="Y670" s="223"/>
      <c r="Z670" s="223"/>
      <c r="AA670" s="223"/>
    </row>
    <row r="671">
      <c r="A671" s="42">
        <f t="shared" si="3"/>
        <v>670</v>
      </c>
      <c r="B671" s="51" t="s">
        <v>41</v>
      </c>
      <c r="C671" s="53" t="s">
        <v>4224</v>
      </c>
      <c r="D671" s="42" t="s">
        <v>44</v>
      </c>
      <c r="E671" s="42" t="s">
        <v>44</v>
      </c>
      <c r="F671" s="53" t="s">
        <v>3910</v>
      </c>
      <c r="G671" s="53" t="s">
        <v>47</v>
      </c>
      <c r="H671" s="53" t="s">
        <v>95</v>
      </c>
      <c r="I671" s="53" t="s">
        <v>485</v>
      </c>
      <c r="J671" s="53" t="s">
        <v>3911</v>
      </c>
      <c r="K671" s="53" t="s">
        <v>51</v>
      </c>
      <c r="L671" s="53" t="s">
        <v>52</v>
      </c>
      <c r="M671" s="53" t="s">
        <v>52</v>
      </c>
      <c r="N671" s="62" t="s">
        <v>4225</v>
      </c>
      <c r="O671" s="62" t="s">
        <v>44</v>
      </c>
      <c r="P671" s="62" t="s">
        <v>4226</v>
      </c>
      <c r="Q671" s="62" t="s">
        <v>4227</v>
      </c>
      <c r="R671" s="53"/>
      <c r="S671" s="53"/>
      <c r="T671" s="82"/>
      <c r="U671" s="42"/>
      <c r="V671" s="62"/>
      <c r="W671" s="64"/>
      <c r="X671" s="223"/>
      <c r="Y671" s="223"/>
      <c r="Z671" s="223"/>
      <c r="AA671" s="223"/>
    </row>
    <row r="672">
      <c r="A672" s="42">
        <f t="shared" si="3"/>
        <v>671</v>
      </c>
      <c r="B672" s="51" t="s">
        <v>41</v>
      </c>
      <c r="C672" s="53" t="s">
        <v>4230</v>
      </c>
      <c r="D672" s="42" t="s">
        <v>44</v>
      </c>
      <c r="E672" s="42" t="s">
        <v>44</v>
      </c>
      <c r="F672" s="53" t="s">
        <v>3910</v>
      </c>
      <c r="G672" s="53" t="s">
        <v>47</v>
      </c>
      <c r="H672" s="53" t="s">
        <v>95</v>
      </c>
      <c r="I672" s="53" t="s">
        <v>485</v>
      </c>
      <c r="J672" s="53" t="s">
        <v>3911</v>
      </c>
      <c r="K672" s="53" t="s">
        <v>51</v>
      </c>
      <c r="L672" s="53" t="s">
        <v>52</v>
      </c>
      <c r="M672" s="53" t="s">
        <v>52</v>
      </c>
      <c r="N672" s="62" t="s">
        <v>4225</v>
      </c>
      <c r="O672" s="62" t="s">
        <v>44</v>
      </c>
      <c r="P672" s="62" t="s">
        <v>4231</v>
      </c>
      <c r="Q672" s="62" t="s">
        <v>4232</v>
      </c>
      <c r="R672" s="53"/>
      <c r="S672" s="53"/>
      <c r="T672" s="82"/>
      <c r="U672" s="53"/>
      <c r="V672" s="62"/>
      <c r="W672" s="64"/>
      <c r="X672" s="223"/>
      <c r="Y672" s="223"/>
      <c r="Z672" s="223"/>
      <c r="AA672" s="223"/>
    </row>
    <row r="673">
      <c r="A673" s="42">
        <f t="shared" si="3"/>
        <v>672</v>
      </c>
      <c r="B673" s="51" t="s">
        <v>41</v>
      </c>
      <c r="C673" s="53" t="s">
        <v>4235</v>
      </c>
      <c r="D673" s="42" t="s">
        <v>44</v>
      </c>
      <c r="E673" s="42" t="s">
        <v>44</v>
      </c>
      <c r="F673" s="53" t="s">
        <v>3910</v>
      </c>
      <c r="G673" s="53" t="s">
        <v>47</v>
      </c>
      <c r="H673" s="53" t="s">
        <v>48</v>
      </c>
      <c r="I673" s="53" t="s">
        <v>485</v>
      </c>
      <c r="J673" s="53" t="s">
        <v>3911</v>
      </c>
      <c r="K673" s="53" t="s">
        <v>51</v>
      </c>
      <c r="L673" s="53" t="s">
        <v>52</v>
      </c>
      <c r="M673" s="53" t="s">
        <v>52</v>
      </c>
      <c r="N673" s="62" t="s">
        <v>4236</v>
      </c>
      <c r="O673" s="62" t="s">
        <v>44</v>
      </c>
      <c r="P673" s="62" t="s">
        <v>4237</v>
      </c>
      <c r="Q673" s="62" t="s">
        <v>4238</v>
      </c>
      <c r="R673" s="53"/>
      <c r="S673" s="53"/>
      <c r="T673" s="82"/>
      <c r="U673" s="42"/>
      <c r="V673" s="62"/>
      <c r="W673" s="64"/>
      <c r="X673" s="223"/>
      <c r="Y673" s="223"/>
      <c r="Z673" s="223"/>
      <c r="AA673" s="223"/>
    </row>
    <row r="674">
      <c r="A674" s="42">
        <f t="shared" si="3"/>
        <v>673</v>
      </c>
      <c r="B674" s="51" t="s">
        <v>41</v>
      </c>
      <c r="C674" s="53" t="s">
        <v>4241</v>
      </c>
      <c r="D674" s="42" t="s">
        <v>44</v>
      </c>
      <c r="E674" s="42" t="s">
        <v>44</v>
      </c>
      <c r="F674" s="53" t="s">
        <v>3910</v>
      </c>
      <c r="G674" s="53" t="s">
        <v>47</v>
      </c>
      <c r="H674" s="53" t="s">
        <v>95</v>
      </c>
      <c r="I674" s="53" t="s">
        <v>485</v>
      </c>
      <c r="J674" s="53" t="s">
        <v>3911</v>
      </c>
      <c r="K674" s="53" t="s">
        <v>51</v>
      </c>
      <c r="L674" s="53" t="s">
        <v>52</v>
      </c>
      <c r="M674" s="53" t="s">
        <v>52</v>
      </c>
      <c r="N674" s="62" t="s">
        <v>4242</v>
      </c>
      <c r="O674" s="62" t="s">
        <v>44</v>
      </c>
      <c r="P674" s="62" t="s">
        <v>4237</v>
      </c>
      <c r="Q674" s="62" t="s">
        <v>4243</v>
      </c>
      <c r="R674" s="53"/>
      <c r="S674" s="53"/>
      <c r="T674" s="82"/>
      <c r="U674" s="42"/>
      <c r="V674" s="62"/>
      <c r="W674" s="64"/>
      <c r="X674" s="223"/>
      <c r="Y674" s="223"/>
      <c r="Z674" s="223"/>
      <c r="AA674" s="223"/>
    </row>
    <row r="675">
      <c r="A675" s="42">
        <f t="shared" si="3"/>
        <v>674</v>
      </c>
      <c r="B675" s="51" t="s">
        <v>41</v>
      </c>
      <c r="C675" s="53" t="s">
        <v>4246</v>
      </c>
      <c r="D675" s="42" t="s">
        <v>44</v>
      </c>
      <c r="E675" s="42" t="s">
        <v>44</v>
      </c>
      <c r="F675" s="53" t="s">
        <v>3910</v>
      </c>
      <c r="G675" s="53" t="s">
        <v>47</v>
      </c>
      <c r="H675" s="53" t="s">
        <v>48</v>
      </c>
      <c r="I675" s="53" t="s">
        <v>485</v>
      </c>
      <c r="J675" s="53" t="s">
        <v>3911</v>
      </c>
      <c r="K675" s="53" t="s">
        <v>51</v>
      </c>
      <c r="L675" s="53" t="s">
        <v>52</v>
      </c>
      <c r="M675" s="53" t="s">
        <v>52</v>
      </c>
      <c r="N675" s="62" t="s">
        <v>4247</v>
      </c>
      <c r="O675" s="62" t="s">
        <v>44</v>
      </c>
      <c r="P675" s="62" t="s">
        <v>4219</v>
      </c>
      <c r="Q675" s="62" t="s">
        <v>4248</v>
      </c>
      <c r="R675" s="53"/>
      <c r="S675" s="53"/>
      <c r="T675" s="82"/>
      <c r="U675" s="53"/>
      <c r="V675" s="62"/>
      <c r="W675" s="64"/>
      <c r="X675" s="223"/>
      <c r="Y675" s="223"/>
      <c r="Z675" s="223"/>
      <c r="AA675" s="223"/>
    </row>
    <row r="676">
      <c r="A676" s="42">
        <f t="shared" si="3"/>
        <v>675</v>
      </c>
      <c r="B676" s="51" t="s">
        <v>41</v>
      </c>
      <c r="C676" s="53" t="s">
        <v>4252</v>
      </c>
      <c r="D676" s="42" t="s">
        <v>44</v>
      </c>
      <c r="E676" s="42" t="s">
        <v>44</v>
      </c>
      <c r="F676" s="53" t="s">
        <v>3910</v>
      </c>
      <c r="G676" s="53" t="s">
        <v>47</v>
      </c>
      <c r="H676" s="53" t="s">
        <v>95</v>
      </c>
      <c r="I676" s="53" t="s">
        <v>485</v>
      </c>
      <c r="J676" s="53" t="s">
        <v>3911</v>
      </c>
      <c r="K676" s="53" t="s">
        <v>51</v>
      </c>
      <c r="L676" s="53" t="s">
        <v>52</v>
      </c>
      <c r="M676" s="53" t="s">
        <v>52</v>
      </c>
      <c r="N676" s="62" t="s">
        <v>4253</v>
      </c>
      <c r="O676" s="62" t="s">
        <v>44</v>
      </c>
      <c r="P676" s="62" t="s">
        <v>4219</v>
      </c>
      <c r="Q676" s="62" t="s">
        <v>4254</v>
      </c>
      <c r="R676" s="53"/>
      <c r="S676" s="53"/>
      <c r="T676" s="82"/>
      <c r="U676" s="42"/>
      <c r="V676" s="62"/>
      <c r="W676" s="64"/>
      <c r="X676" s="223"/>
      <c r="Y676" s="223"/>
      <c r="Z676" s="223"/>
      <c r="AA676" s="223"/>
    </row>
    <row r="677">
      <c r="A677" s="42">
        <f t="shared" si="3"/>
        <v>676</v>
      </c>
      <c r="B677" s="51" t="s">
        <v>41</v>
      </c>
      <c r="C677" s="53" t="s">
        <v>4257</v>
      </c>
      <c r="D677" s="42" t="s">
        <v>44</v>
      </c>
      <c r="E677" s="42" t="s">
        <v>44</v>
      </c>
      <c r="F677" s="53" t="s">
        <v>3910</v>
      </c>
      <c r="G677" s="53" t="s">
        <v>47</v>
      </c>
      <c r="H677" s="53" t="s">
        <v>48</v>
      </c>
      <c r="I677" s="53" t="s">
        <v>485</v>
      </c>
      <c r="J677" s="53" t="s">
        <v>3911</v>
      </c>
      <c r="K677" s="53" t="s">
        <v>51</v>
      </c>
      <c r="L677" s="53" t="s">
        <v>52</v>
      </c>
      <c r="M677" s="53" t="s">
        <v>52</v>
      </c>
      <c r="N677" s="62" t="s">
        <v>4258</v>
      </c>
      <c r="O677" s="62" t="s">
        <v>44</v>
      </c>
      <c r="P677" s="62" t="s">
        <v>4219</v>
      </c>
      <c r="Q677" s="62" t="s">
        <v>4259</v>
      </c>
      <c r="R677" s="53"/>
      <c r="S677" s="53"/>
      <c r="T677" s="82"/>
      <c r="U677" s="42"/>
      <c r="V677" s="62"/>
      <c r="W677" s="64"/>
      <c r="X677" s="223"/>
      <c r="Y677" s="223"/>
      <c r="Z677" s="223"/>
      <c r="AA677" s="223"/>
    </row>
    <row r="678">
      <c r="A678" s="42">
        <f t="shared" si="3"/>
        <v>677</v>
      </c>
      <c r="B678" s="51" t="s">
        <v>41</v>
      </c>
      <c r="C678" s="53" t="s">
        <v>4262</v>
      </c>
      <c r="D678" s="42" t="s">
        <v>44</v>
      </c>
      <c r="E678" s="42" t="s">
        <v>44</v>
      </c>
      <c r="F678" s="53" t="s">
        <v>3910</v>
      </c>
      <c r="G678" s="53" t="s">
        <v>47</v>
      </c>
      <c r="H678" s="53" t="s">
        <v>95</v>
      </c>
      <c r="I678" s="53" t="s">
        <v>485</v>
      </c>
      <c r="J678" s="53" t="s">
        <v>3911</v>
      </c>
      <c r="K678" s="53" t="s">
        <v>51</v>
      </c>
      <c r="L678" s="53" t="s">
        <v>52</v>
      </c>
      <c r="M678" s="53" t="s">
        <v>52</v>
      </c>
      <c r="N678" s="62" t="s">
        <v>4263</v>
      </c>
      <c r="O678" s="62" t="s">
        <v>44</v>
      </c>
      <c r="P678" s="62" t="s">
        <v>4264</v>
      </c>
      <c r="Q678" s="62" t="s">
        <v>4265</v>
      </c>
      <c r="R678" s="53"/>
      <c r="S678" s="53"/>
      <c r="T678" s="82"/>
      <c r="U678" s="42"/>
      <c r="V678" s="62"/>
      <c r="W678" s="64"/>
      <c r="X678" s="223"/>
      <c r="Y678" s="223"/>
      <c r="Z678" s="223"/>
      <c r="AA678" s="223"/>
    </row>
    <row r="679">
      <c r="A679" s="42">
        <f t="shared" si="3"/>
        <v>678</v>
      </c>
      <c r="B679" s="51" t="s">
        <v>41</v>
      </c>
      <c r="C679" s="53" t="s">
        <v>4269</v>
      </c>
      <c r="D679" s="42" t="s">
        <v>44</v>
      </c>
      <c r="E679" s="42" t="s">
        <v>44</v>
      </c>
      <c r="F679" s="53" t="s">
        <v>3910</v>
      </c>
      <c r="G679" s="53" t="s">
        <v>47</v>
      </c>
      <c r="H679" s="53" t="s">
        <v>95</v>
      </c>
      <c r="I679" s="53" t="s">
        <v>485</v>
      </c>
      <c r="J679" s="53" t="s">
        <v>3911</v>
      </c>
      <c r="K679" s="53" t="s">
        <v>51</v>
      </c>
      <c r="L679" s="53" t="s">
        <v>52</v>
      </c>
      <c r="M679" s="53" t="s">
        <v>52</v>
      </c>
      <c r="N679" s="62" t="s">
        <v>4263</v>
      </c>
      <c r="O679" s="62" t="s">
        <v>44</v>
      </c>
      <c r="P679" s="62" t="s">
        <v>4270</v>
      </c>
      <c r="Q679" s="62" t="s">
        <v>4271</v>
      </c>
      <c r="R679" s="53"/>
      <c r="S679" s="53"/>
      <c r="T679" s="82"/>
      <c r="U679" s="42"/>
      <c r="V679" s="62"/>
      <c r="W679" s="64"/>
      <c r="X679" s="223"/>
      <c r="Y679" s="223"/>
      <c r="Z679" s="223"/>
      <c r="AA679" s="223"/>
    </row>
    <row r="680">
      <c r="A680" s="42">
        <f t="shared" si="3"/>
        <v>679</v>
      </c>
      <c r="B680" s="51" t="s">
        <v>41</v>
      </c>
      <c r="C680" s="53" t="s">
        <v>4274</v>
      </c>
      <c r="D680" s="42" t="s">
        <v>44</v>
      </c>
      <c r="E680" s="42" t="s">
        <v>44</v>
      </c>
      <c r="F680" s="53" t="s">
        <v>3910</v>
      </c>
      <c r="G680" s="53" t="s">
        <v>47</v>
      </c>
      <c r="H680" s="53" t="s">
        <v>95</v>
      </c>
      <c r="I680" s="53" t="s">
        <v>485</v>
      </c>
      <c r="J680" s="53" t="s">
        <v>3911</v>
      </c>
      <c r="K680" s="53" t="s">
        <v>51</v>
      </c>
      <c r="L680" s="53" t="s">
        <v>52</v>
      </c>
      <c r="M680" s="53" t="s">
        <v>52</v>
      </c>
      <c r="N680" s="62" t="s">
        <v>4275</v>
      </c>
      <c r="O680" s="62" t="s">
        <v>44</v>
      </c>
      <c r="P680" s="62" t="s">
        <v>4219</v>
      </c>
      <c r="Q680" s="62" t="s">
        <v>4276</v>
      </c>
      <c r="R680" s="53"/>
      <c r="S680" s="53"/>
      <c r="T680" s="82"/>
      <c r="U680" s="42"/>
      <c r="V680" s="62"/>
      <c r="W680" s="64"/>
      <c r="X680" s="223"/>
      <c r="Y680" s="223"/>
      <c r="Z680" s="223"/>
      <c r="AA680" s="223"/>
    </row>
    <row r="681">
      <c r="A681" s="42">
        <f t="shared" si="3"/>
        <v>680</v>
      </c>
      <c r="B681" s="51" t="s">
        <v>41</v>
      </c>
      <c r="C681" s="53" t="s">
        <v>4279</v>
      </c>
      <c r="D681" s="42" t="s">
        <v>44</v>
      </c>
      <c r="E681" s="42" t="s">
        <v>44</v>
      </c>
      <c r="F681" s="53" t="s">
        <v>3910</v>
      </c>
      <c r="G681" s="53" t="s">
        <v>47</v>
      </c>
      <c r="H681" s="53" t="s">
        <v>48</v>
      </c>
      <c r="I681" s="53" t="s">
        <v>485</v>
      </c>
      <c r="J681" s="53" t="s">
        <v>3911</v>
      </c>
      <c r="K681" s="53" t="s">
        <v>51</v>
      </c>
      <c r="L681" s="53" t="s">
        <v>52</v>
      </c>
      <c r="M681" s="53" t="s">
        <v>52</v>
      </c>
      <c r="N681" s="62" t="s">
        <v>4280</v>
      </c>
      <c r="O681" s="62" t="s">
        <v>44</v>
      </c>
      <c r="P681" s="62" t="s">
        <v>4219</v>
      </c>
      <c r="Q681" s="62" t="s">
        <v>4281</v>
      </c>
      <c r="R681" s="53"/>
      <c r="S681" s="53"/>
      <c r="T681" s="82"/>
      <c r="U681" s="42"/>
      <c r="V681" s="62"/>
      <c r="W681" s="64"/>
      <c r="X681" s="223"/>
      <c r="Y681" s="223"/>
      <c r="Z681" s="223"/>
      <c r="AA681" s="223"/>
    </row>
    <row r="682">
      <c r="A682" s="42">
        <f t="shared" si="3"/>
        <v>681</v>
      </c>
      <c r="B682" s="51" t="s">
        <v>41</v>
      </c>
      <c r="C682" s="53" t="s">
        <v>4284</v>
      </c>
      <c r="D682" s="42" t="s">
        <v>44</v>
      </c>
      <c r="E682" s="42" t="s">
        <v>44</v>
      </c>
      <c r="F682" s="53" t="s">
        <v>3910</v>
      </c>
      <c r="G682" s="53" t="s">
        <v>47</v>
      </c>
      <c r="H682" s="53" t="s">
        <v>95</v>
      </c>
      <c r="I682" s="53" t="s">
        <v>485</v>
      </c>
      <c r="J682" s="53" t="s">
        <v>3911</v>
      </c>
      <c r="K682" s="53" t="s">
        <v>51</v>
      </c>
      <c r="L682" s="53" t="s">
        <v>52</v>
      </c>
      <c r="M682" s="53" t="s">
        <v>52</v>
      </c>
      <c r="N682" s="62" t="s">
        <v>4285</v>
      </c>
      <c r="O682" s="62" t="s">
        <v>44</v>
      </c>
      <c r="P682" s="62" t="s">
        <v>4286</v>
      </c>
      <c r="Q682" s="62" t="s">
        <v>4287</v>
      </c>
      <c r="R682" s="53"/>
      <c r="S682" s="53"/>
      <c r="T682" s="82"/>
      <c r="U682" s="42"/>
      <c r="V682" s="62"/>
      <c r="W682" s="64"/>
      <c r="X682" s="223"/>
      <c r="Y682" s="223"/>
      <c r="Z682" s="223"/>
      <c r="AA682" s="223"/>
    </row>
    <row r="683">
      <c r="A683" s="42">
        <f t="shared" si="3"/>
        <v>682</v>
      </c>
      <c r="B683" s="51" t="s">
        <v>41</v>
      </c>
      <c r="C683" s="53" t="s">
        <v>4290</v>
      </c>
      <c r="D683" s="42" t="s">
        <v>44</v>
      </c>
      <c r="E683" s="42" t="s">
        <v>44</v>
      </c>
      <c r="F683" s="53" t="s">
        <v>3910</v>
      </c>
      <c r="G683" s="53" t="s">
        <v>47</v>
      </c>
      <c r="H683" s="53" t="s">
        <v>48</v>
      </c>
      <c r="I683" s="53" t="s">
        <v>485</v>
      </c>
      <c r="J683" s="53" t="s">
        <v>3911</v>
      </c>
      <c r="K683" s="53" t="s">
        <v>51</v>
      </c>
      <c r="L683" s="53" t="s">
        <v>52</v>
      </c>
      <c r="M683" s="53" t="s">
        <v>52</v>
      </c>
      <c r="N683" s="62" t="s">
        <v>4280</v>
      </c>
      <c r="O683" s="62" t="s">
        <v>44</v>
      </c>
      <c r="P683" s="62" t="s">
        <v>4291</v>
      </c>
      <c r="Q683" s="62" t="s">
        <v>4292</v>
      </c>
      <c r="R683" s="53"/>
      <c r="S683" s="53"/>
      <c r="T683" s="82"/>
      <c r="U683" s="42"/>
      <c r="V683" s="62"/>
      <c r="W683" s="64"/>
      <c r="X683" s="223"/>
      <c r="Y683" s="223"/>
      <c r="Z683" s="223"/>
      <c r="AA683" s="223"/>
    </row>
    <row r="684">
      <c r="A684" s="42">
        <f t="shared" si="3"/>
        <v>683</v>
      </c>
      <c r="B684" s="51" t="s">
        <v>41</v>
      </c>
      <c r="C684" s="53" t="s">
        <v>4295</v>
      </c>
      <c r="D684" s="42" t="s">
        <v>44</v>
      </c>
      <c r="E684" s="42" t="s">
        <v>44</v>
      </c>
      <c r="F684" s="53" t="s">
        <v>3910</v>
      </c>
      <c r="G684" s="53" t="s">
        <v>47</v>
      </c>
      <c r="H684" s="53" t="s">
        <v>48</v>
      </c>
      <c r="I684" s="53" t="s">
        <v>485</v>
      </c>
      <c r="J684" s="53" t="s">
        <v>3911</v>
      </c>
      <c r="K684" s="53" t="s">
        <v>51</v>
      </c>
      <c r="L684" s="53" t="s">
        <v>52</v>
      </c>
      <c r="M684" s="53" t="s">
        <v>52</v>
      </c>
      <c r="N684" s="62" t="s">
        <v>4296</v>
      </c>
      <c r="O684" s="62" t="s">
        <v>44</v>
      </c>
      <c r="P684" s="62" t="s">
        <v>4297</v>
      </c>
      <c r="Q684" s="62" t="s">
        <v>4298</v>
      </c>
      <c r="R684" s="53"/>
      <c r="S684" s="53"/>
      <c r="T684" s="82"/>
      <c r="U684" s="42"/>
      <c r="V684" s="62"/>
      <c r="W684" s="64"/>
      <c r="X684" s="223"/>
      <c r="Y684" s="223"/>
      <c r="Z684" s="223"/>
      <c r="AA684" s="223"/>
    </row>
    <row r="685">
      <c r="A685" s="42">
        <f t="shared" si="3"/>
        <v>684</v>
      </c>
      <c r="B685" s="51" t="s">
        <v>41</v>
      </c>
      <c r="C685" s="53" t="s">
        <v>4301</v>
      </c>
      <c r="D685" s="42" t="s">
        <v>44</v>
      </c>
      <c r="E685" s="42" t="s">
        <v>44</v>
      </c>
      <c r="F685" s="53" t="s">
        <v>3910</v>
      </c>
      <c r="G685" s="53" t="s">
        <v>47</v>
      </c>
      <c r="H685" s="53" t="s">
        <v>48</v>
      </c>
      <c r="I685" s="53" t="s">
        <v>485</v>
      </c>
      <c r="J685" s="53" t="s">
        <v>3911</v>
      </c>
      <c r="K685" s="53" t="s">
        <v>51</v>
      </c>
      <c r="L685" s="53" t="s">
        <v>52</v>
      </c>
      <c r="M685" s="53" t="s">
        <v>52</v>
      </c>
      <c r="N685" s="62" t="s">
        <v>4302</v>
      </c>
      <c r="O685" s="62" t="s">
        <v>44</v>
      </c>
      <c r="P685" s="62" t="s">
        <v>4297</v>
      </c>
      <c r="Q685" s="62" t="s">
        <v>4303</v>
      </c>
      <c r="R685" s="53"/>
      <c r="S685" s="53"/>
      <c r="T685" s="82"/>
      <c r="U685" s="42"/>
      <c r="V685" s="62"/>
      <c r="W685" s="64"/>
      <c r="X685" s="223"/>
      <c r="Y685" s="223"/>
      <c r="Z685" s="223"/>
      <c r="AA685" s="223"/>
    </row>
    <row r="686">
      <c r="A686" s="42">
        <f t="shared" si="3"/>
        <v>685</v>
      </c>
      <c r="B686" s="51" t="s">
        <v>41</v>
      </c>
      <c r="C686" s="53" t="s">
        <v>4306</v>
      </c>
      <c r="D686" s="42" t="s">
        <v>44</v>
      </c>
      <c r="E686" s="42" t="s">
        <v>44</v>
      </c>
      <c r="F686" s="53" t="s">
        <v>3910</v>
      </c>
      <c r="G686" s="53" t="s">
        <v>47</v>
      </c>
      <c r="H686" s="53" t="s">
        <v>48</v>
      </c>
      <c r="I686" s="53" t="s">
        <v>485</v>
      </c>
      <c r="J686" s="53" t="s">
        <v>3911</v>
      </c>
      <c r="K686" s="53" t="s">
        <v>51</v>
      </c>
      <c r="L686" s="53" t="s">
        <v>52</v>
      </c>
      <c r="M686" s="53" t="s">
        <v>52</v>
      </c>
      <c r="N686" s="62" t="s">
        <v>4093</v>
      </c>
      <c r="O686" s="62" t="s">
        <v>44</v>
      </c>
      <c r="P686" s="62" t="s">
        <v>4307</v>
      </c>
      <c r="Q686" s="62" t="s">
        <v>4308</v>
      </c>
      <c r="R686" s="53"/>
      <c r="S686" s="53"/>
      <c r="T686" s="82"/>
      <c r="U686" s="42"/>
      <c r="V686" s="62"/>
      <c r="W686" s="64"/>
      <c r="X686" s="223"/>
      <c r="Y686" s="223"/>
      <c r="Z686" s="223"/>
      <c r="AA686" s="223"/>
    </row>
    <row r="687">
      <c r="A687" s="42">
        <f t="shared" si="3"/>
        <v>686</v>
      </c>
      <c r="B687" s="51" t="s">
        <v>41</v>
      </c>
      <c r="C687" s="53" t="s">
        <v>4311</v>
      </c>
      <c r="D687" s="42" t="s">
        <v>44</v>
      </c>
      <c r="E687" s="42" t="s">
        <v>44</v>
      </c>
      <c r="F687" s="53" t="s">
        <v>3910</v>
      </c>
      <c r="G687" s="53" t="s">
        <v>47</v>
      </c>
      <c r="H687" s="53" t="s">
        <v>95</v>
      </c>
      <c r="I687" s="53" t="s">
        <v>485</v>
      </c>
      <c r="J687" s="53" t="s">
        <v>3911</v>
      </c>
      <c r="K687" s="53" t="s">
        <v>51</v>
      </c>
      <c r="L687" s="53" t="s">
        <v>52</v>
      </c>
      <c r="M687" s="53" t="s">
        <v>52</v>
      </c>
      <c r="N687" s="62" t="s">
        <v>4189</v>
      </c>
      <c r="O687" s="62" t="s">
        <v>44</v>
      </c>
      <c r="P687" s="62" t="s">
        <v>4312</v>
      </c>
      <c r="Q687" s="62" t="s">
        <v>4313</v>
      </c>
      <c r="R687" s="53"/>
      <c r="S687" s="53"/>
      <c r="T687" s="82"/>
      <c r="U687" s="42"/>
      <c r="V687" s="62"/>
      <c r="W687" s="64"/>
      <c r="X687" s="223"/>
      <c r="Y687" s="223"/>
      <c r="Z687" s="223"/>
      <c r="AA687" s="223"/>
    </row>
    <row r="688">
      <c r="A688" s="42">
        <f t="shared" si="3"/>
        <v>687</v>
      </c>
      <c r="B688" s="51" t="s">
        <v>41</v>
      </c>
      <c r="C688" s="53" t="s">
        <v>4317</v>
      </c>
      <c r="D688" s="42" t="s">
        <v>44</v>
      </c>
      <c r="E688" s="42" t="s">
        <v>44</v>
      </c>
      <c r="F688" s="53" t="s">
        <v>3910</v>
      </c>
      <c r="G688" s="53" t="s">
        <v>47</v>
      </c>
      <c r="H688" s="53" t="s">
        <v>95</v>
      </c>
      <c r="I688" s="53" t="s">
        <v>485</v>
      </c>
      <c r="J688" s="53" t="s">
        <v>3911</v>
      </c>
      <c r="K688" s="53" t="s">
        <v>51</v>
      </c>
      <c r="L688" s="53" t="s">
        <v>52</v>
      </c>
      <c r="M688" s="53" t="s">
        <v>52</v>
      </c>
      <c r="N688" s="62" t="s">
        <v>4318</v>
      </c>
      <c r="O688" s="62" t="s">
        <v>44</v>
      </c>
      <c r="P688" s="62" t="s">
        <v>4319</v>
      </c>
      <c r="Q688" s="62" t="s">
        <v>4320</v>
      </c>
      <c r="R688" s="53"/>
      <c r="S688" s="53"/>
      <c r="T688" s="82"/>
      <c r="U688" s="42"/>
      <c r="V688" s="62"/>
      <c r="W688" s="64"/>
      <c r="X688" s="223"/>
      <c r="Y688" s="223"/>
      <c r="Z688" s="223"/>
      <c r="AA688" s="223"/>
    </row>
    <row r="689">
      <c r="A689" s="42">
        <f t="shared" si="3"/>
        <v>688</v>
      </c>
      <c r="B689" s="51" t="s">
        <v>41</v>
      </c>
      <c r="C689" s="53" t="s">
        <v>4324</v>
      </c>
      <c r="D689" s="42" t="s">
        <v>44</v>
      </c>
      <c r="E689" s="42" t="s">
        <v>44</v>
      </c>
      <c r="F689" s="53" t="s">
        <v>3910</v>
      </c>
      <c r="G689" s="53" t="s">
        <v>47</v>
      </c>
      <c r="H689" s="53" t="s">
        <v>95</v>
      </c>
      <c r="I689" s="53" t="s">
        <v>485</v>
      </c>
      <c r="J689" s="53" t="s">
        <v>3911</v>
      </c>
      <c r="K689" s="53" t="s">
        <v>51</v>
      </c>
      <c r="L689" s="53" t="s">
        <v>52</v>
      </c>
      <c r="M689" s="53" t="s">
        <v>52</v>
      </c>
      <c r="N689" s="62" t="s">
        <v>4189</v>
      </c>
      <c r="O689" s="62" t="s">
        <v>44</v>
      </c>
      <c r="P689" s="62" t="s">
        <v>4325</v>
      </c>
      <c r="Q689" s="62" t="s">
        <v>4326</v>
      </c>
      <c r="R689" s="53"/>
      <c r="S689" s="53"/>
      <c r="T689" s="82"/>
      <c r="U689" s="42"/>
      <c r="V689" s="62"/>
      <c r="W689" s="64"/>
      <c r="X689" s="223"/>
      <c r="Y689" s="223"/>
      <c r="Z689" s="223"/>
      <c r="AA689" s="223"/>
    </row>
    <row r="690">
      <c r="A690" s="42">
        <f t="shared" si="3"/>
        <v>689</v>
      </c>
      <c r="B690" s="51" t="s">
        <v>41</v>
      </c>
      <c r="C690" s="53" t="s">
        <v>4330</v>
      </c>
      <c r="D690" s="42" t="s">
        <v>44</v>
      </c>
      <c r="E690" s="42" t="s">
        <v>44</v>
      </c>
      <c r="F690" s="53" t="s">
        <v>4331</v>
      </c>
      <c r="G690" s="53" t="s">
        <v>47</v>
      </c>
      <c r="H690" s="53" t="s">
        <v>48</v>
      </c>
      <c r="I690" s="53" t="s">
        <v>485</v>
      </c>
      <c r="J690" s="53" t="s">
        <v>4332</v>
      </c>
      <c r="K690" s="53" t="s">
        <v>51</v>
      </c>
      <c r="L690" s="53" t="s">
        <v>52</v>
      </c>
      <c r="M690" s="53" t="s">
        <v>52</v>
      </c>
      <c r="N690" s="62" t="s">
        <v>4333</v>
      </c>
      <c r="O690" s="62" t="s">
        <v>44</v>
      </c>
      <c r="P690" s="62" t="s">
        <v>934</v>
      </c>
      <c r="Q690" s="62" t="s">
        <v>3913</v>
      </c>
      <c r="R690" s="53"/>
      <c r="S690" s="53"/>
      <c r="T690" s="82"/>
      <c r="U690" s="42"/>
      <c r="V690" s="62"/>
      <c r="W690" s="64"/>
      <c r="X690" s="223"/>
      <c r="Y690" s="223"/>
      <c r="Z690" s="223"/>
      <c r="AA690" s="223"/>
    </row>
    <row r="691">
      <c r="A691" s="42">
        <f t="shared" si="3"/>
        <v>690</v>
      </c>
      <c r="B691" s="51" t="s">
        <v>41</v>
      </c>
      <c r="C691" s="53" t="s">
        <v>4336</v>
      </c>
      <c r="D691" s="42" t="s">
        <v>44</v>
      </c>
      <c r="E691" s="42" t="s">
        <v>44</v>
      </c>
      <c r="F691" s="53" t="s">
        <v>4331</v>
      </c>
      <c r="G691" s="53" t="s">
        <v>47</v>
      </c>
      <c r="H691" s="53" t="s">
        <v>48</v>
      </c>
      <c r="I691" s="53" t="s">
        <v>485</v>
      </c>
      <c r="J691" s="53" t="s">
        <v>4332</v>
      </c>
      <c r="K691" s="53" t="s">
        <v>51</v>
      </c>
      <c r="L691" s="53" t="s">
        <v>52</v>
      </c>
      <c r="M691" s="53" t="s">
        <v>52</v>
      </c>
      <c r="N691" s="62" t="s">
        <v>4333</v>
      </c>
      <c r="O691" s="62" t="s">
        <v>44</v>
      </c>
      <c r="P691" s="62" t="s">
        <v>3917</v>
      </c>
      <c r="Q691" s="62" t="s">
        <v>4337</v>
      </c>
      <c r="R691" s="53"/>
      <c r="S691" s="53"/>
      <c r="T691" s="82"/>
      <c r="U691" s="42"/>
      <c r="V691" s="62"/>
      <c r="W691" s="64"/>
      <c r="X691" s="223"/>
      <c r="Y691" s="223"/>
      <c r="Z691" s="223"/>
      <c r="AA691" s="223"/>
    </row>
    <row r="692">
      <c r="A692" s="42">
        <f t="shared" si="3"/>
        <v>691</v>
      </c>
      <c r="B692" s="51" t="s">
        <v>41</v>
      </c>
      <c r="C692" s="53" t="s">
        <v>4340</v>
      </c>
      <c r="D692" s="42" t="s">
        <v>44</v>
      </c>
      <c r="E692" s="42" t="s">
        <v>44</v>
      </c>
      <c r="F692" s="53" t="s">
        <v>4331</v>
      </c>
      <c r="G692" s="53" t="s">
        <v>47</v>
      </c>
      <c r="H692" s="53" t="s">
        <v>48</v>
      </c>
      <c r="I692" s="53" t="s">
        <v>485</v>
      </c>
      <c r="J692" s="53" t="s">
        <v>4332</v>
      </c>
      <c r="K692" s="53" t="s">
        <v>51</v>
      </c>
      <c r="L692" s="53" t="s">
        <v>52</v>
      </c>
      <c r="M692" s="53" t="s">
        <v>52</v>
      </c>
      <c r="N692" s="62" t="s">
        <v>4333</v>
      </c>
      <c r="O692" s="62" t="s">
        <v>44</v>
      </c>
      <c r="P692" s="62" t="s">
        <v>1002</v>
      </c>
      <c r="Q692" s="62" t="s">
        <v>3922</v>
      </c>
      <c r="R692" s="53"/>
      <c r="S692" s="53"/>
      <c r="T692" s="82"/>
      <c r="U692" s="42"/>
      <c r="V692" s="62"/>
      <c r="W692" s="64"/>
      <c r="X692" s="223"/>
      <c r="Y692" s="223"/>
      <c r="Z692" s="223"/>
      <c r="AA692" s="223"/>
    </row>
    <row r="693">
      <c r="A693" s="42">
        <f t="shared" si="3"/>
        <v>692</v>
      </c>
      <c r="B693" s="51" t="s">
        <v>41</v>
      </c>
      <c r="C693" s="53" t="s">
        <v>4344</v>
      </c>
      <c r="D693" s="42" t="s">
        <v>44</v>
      </c>
      <c r="E693" s="42" t="s">
        <v>44</v>
      </c>
      <c r="F693" s="53" t="s">
        <v>4331</v>
      </c>
      <c r="G693" s="53" t="s">
        <v>47</v>
      </c>
      <c r="H693" s="53" t="s">
        <v>48</v>
      </c>
      <c r="I693" s="53" t="s">
        <v>485</v>
      </c>
      <c r="J693" s="53" t="s">
        <v>4332</v>
      </c>
      <c r="K693" s="53" t="s">
        <v>51</v>
      </c>
      <c r="L693" s="53" t="s">
        <v>52</v>
      </c>
      <c r="M693" s="53" t="s">
        <v>52</v>
      </c>
      <c r="N693" s="62" t="s">
        <v>4333</v>
      </c>
      <c r="O693" s="62" t="s">
        <v>44</v>
      </c>
      <c r="P693" s="62" t="s">
        <v>1009</v>
      </c>
      <c r="Q693" s="62" t="s">
        <v>1648</v>
      </c>
      <c r="R693" s="53"/>
      <c r="S693" s="53"/>
      <c r="T693" s="82"/>
      <c r="U693" s="42"/>
      <c r="V693" s="62"/>
      <c r="W693" s="64"/>
      <c r="X693" s="223"/>
      <c r="Y693" s="223"/>
      <c r="Z693" s="223"/>
      <c r="AA693" s="223"/>
    </row>
    <row r="694">
      <c r="A694" s="42">
        <f t="shared" si="3"/>
        <v>693</v>
      </c>
      <c r="B694" s="51" t="s">
        <v>41</v>
      </c>
      <c r="C694" s="53" t="s">
        <v>4347</v>
      </c>
      <c r="D694" s="42" t="s">
        <v>44</v>
      </c>
      <c r="E694" s="42" t="s">
        <v>44</v>
      </c>
      <c r="F694" s="53" t="s">
        <v>4331</v>
      </c>
      <c r="G694" s="53" t="s">
        <v>47</v>
      </c>
      <c r="H694" s="53" t="s">
        <v>48</v>
      </c>
      <c r="I694" s="53" t="s">
        <v>485</v>
      </c>
      <c r="J694" s="53" t="s">
        <v>4332</v>
      </c>
      <c r="K694" s="53" t="s">
        <v>51</v>
      </c>
      <c r="L694" s="53" t="s">
        <v>52</v>
      </c>
      <c r="M694" s="53" t="s">
        <v>52</v>
      </c>
      <c r="N694" s="62" t="s">
        <v>4333</v>
      </c>
      <c r="O694" s="62" t="s">
        <v>44</v>
      </c>
      <c r="P694" s="62" t="s">
        <v>1637</v>
      </c>
      <c r="Q694" s="62" t="s">
        <v>4348</v>
      </c>
      <c r="R694" s="53"/>
      <c r="S694" s="53"/>
      <c r="T694" s="82"/>
      <c r="U694" s="42"/>
      <c r="V694" s="62"/>
      <c r="W694" s="64"/>
      <c r="X694" s="223"/>
      <c r="Y694" s="223"/>
      <c r="Z694" s="223"/>
      <c r="AA694" s="223"/>
    </row>
    <row r="695">
      <c r="A695" s="42">
        <f t="shared" si="3"/>
        <v>694</v>
      </c>
      <c r="B695" s="51" t="s">
        <v>41</v>
      </c>
      <c r="C695" s="53" t="s">
        <v>4352</v>
      </c>
      <c r="D695" s="42" t="s">
        <v>44</v>
      </c>
      <c r="E695" s="42" t="s">
        <v>44</v>
      </c>
      <c r="F695" s="53" t="s">
        <v>4331</v>
      </c>
      <c r="G695" s="53" t="s">
        <v>47</v>
      </c>
      <c r="H695" s="53" t="s">
        <v>48</v>
      </c>
      <c r="I695" s="53" t="s">
        <v>485</v>
      </c>
      <c r="J695" s="53" t="s">
        <v>4332</v>
      </c>
      <c r="K695" s="53" t="s">
        <v>51</v>
      </c>
      <c r="L695" s="53" t="s">
        <v>52</v>
      </c>
      <c r="M695" s="53" t="s">
        <v>52</v>
      </c>
      <c r="N695" s="62" t="s">
        <v>4333</v>
      </c>
      <c r="O695" s="62" t="s">
        <v>44</v>
      </c>
      <c r="P695" s="62" t="s">
        <v>4353</v>
      </c>
      <c r="Q695" s="62" t="s">
        <v>4354</v>
      </c>
      <c r="R695" s="53"/>
      <c r="S695" s="53"/>
      <c r="T695" s="82"/>
      <c r="U695" s="42"/>
      <c r="V695" s="62"/>
      <c r="W695" s="64"/>
      <c r="X695" s="223"/>
      <c r="Y695" s="223"/>
      <c r="Z695" s="223"/>
      <c r="AA695" s="223"/>
    </row>
    <row r="696">
      <c r="A696" s="42">
        <f t="shared" si="3"/>
        <v>695</v>
      </c>
      <c r="B696" s="51" t="s">
        <v>41</v>
      </c>
      <c r="C696" s="53" t="s">
        <v>4358</v>
      </c>
      <c r="D696" s="42" t="s">
        <v>44</v>
      </c>
      <c r="E696" s="42" t="s">
        <v>44</v>
      </c>
      <c r="F696" s="53" t="s">
        <v>4331</v>
      </c>
      <c r="G696" s="53" t="s">
        <v>47</v>
      </c>
      <c r="H696" s="53" t="s">
        <v>48</v>
      </c>
      <c r="I696" s="53" t="s">
        <v>485</v>
      </c>
      <c r="J696" s="53" t="s">
        <v>4332</v>
      </c>
      <c r="K696" s="53" t="s">
        <v>51</v>
      </c>
      <c r="L696" s="53" t="s">
        <v>52</v>
      </c>
      <c r="M696" s="53" t="s">
        <v>52</v>
      </c>
      <c r="N696" s="62" t="s">
        <v>4333</v>
      </c>
      <c r="O696" s="62" t="s">
        <v>44</v>
      </c>
      <c r="P696" s="62" t="s">
        <v>4359</v>
      </c>
      <c r="Q696" s="62" t="s">
        <v>4360</v>
      </c>
      <c r="R696" s="53"/>
      <c r="S696" s="53"/>
      <c r="T696" s="82"/>
      <c r="U696" s="42"/>
      <c r="V696" s="62"/>
      <c r="W696" s="64"/>
      <c r="X696" s="223"/>
      <c r="Y696" s="223"/>
      <c r="Z696" s="223"/>
      <c r="AA696" s="223"/>
    </row>
    <row r="697">
      <c r="A697" s="42">
        <f t="shared" si="3"/>
        <v>696</v>
      </c>
      <c r="B697" s="51" t="s">
        <v>41</v>
      </c>
      <c r="C697" s="53" t="s">
        <v>4364</v>
      </c>
      <c r="D697" s="42" t="s">
        <v>44</v>
      </c>
      <c r="E697" s="42" t="s">
        <v>44</v>
      </c>
      <c r="F697" s="53" t="s">
        <v>4331</v>
      </c>
      <c r="G697" s="53" t="s">
        <v>47</v>
      </c>
      <c r="H697" s="53" t="s">
        <v>48</v>
      </c>
      <c r="I697" s="53" t="s">
        <v>485</v>
      </c>
      <c r="J697" s="53" t="s">
        <v>4332</v>
      </c>
      <c r="K697" s="53" t="s">
        <v>51</v>
      </c>
      <c r="L697" s="53" t="s">
        <v>52</v>
      </c>
      <c r="M697" s="53" t="s">
        <v>52</v>
      </c>
      <c r="N697" s="62" t="s">
        <v>4333</v>
      </c>
      <c r="O697" s="62" t="s">
        <v>44</v>
      </c>
      <c r="P697" s="62" t="s">
        <v>4365</v>
      </c>
      <c r="Q697" s="62" t="s">
        <v>4366</v>
      </c>
      <c r="R697" s="53"/>
      <c r="S697" s="53"/>
      <c r="T697" s="82"/>
      <c r="U697" s="42"/>
      <c r="V697" s="62"/>
      <c r="W697" s="64"/>
      <c r="X697" s="223"/>
      <c r="Y697" s="223"/>
      <c r="Z697" s="223"/>
      <c r="AA697" s="223"/>
    </row>
    <row r="698">
      <c r="A698" s="42">
        <f t="shared" si="3"/>
        <v>697</v>
      </c>
      <c r="B698" s="51" t="s">
        <v>41</v>
      </c>
      <c r="C698" s="53" t="s">
        <v>4369</v>
      </c>
      <c r="D698" s="42" t="s">
        <v>44</v>
      </c>
      <c r="E698" s="42" t="s">
        <v>44</v>
      </c>
      <c r="F698" s="53" t="s">
        <v>4331</v>
      </c>
      <c r="G698" s="53" t="s">
        <v>47</v>
      </c>
      <c r="H698" s="53" t="s">
        <v>48</v>
      </c>
      <c r="I698" s="53" t="s">
        <v>485</v>
      </c>
      <c r="J698" s="53" t="s">
        <v>4332</v>
      </c>
      <c r="K698" s="53" t="s">
        <v>51</v>
      </c>
      <c r="L698" s="53" t="s">
        <v>52</v>
      </c>
      <c r="M698" s="53" t="s">
        <v>52</v>
      </c>
      <c r="N698" s="62" t="s">
        <v>4333</v>
      </c>
      <c r="O698" s="62" t="s">
        <v>44</v>
      </c>
      <c r="P698" s="62" t="s">
        <v>4370</v>
      </c>
      <c r="Q698" s="62" t="s">
        <v>4371</v>
      </c>
      <c r="R698" s="53"/>
      <c r="S698" s="53"/>
      <c r="T698" s="82"/>
      <c r="U698" s="42"/>
      <c r="V698" s="62"/>
      <c r="W698" s="64"/>
      <c r="X698" s="223"/>
      <c r="Y698" s="223"/>
      <c r="Z698" s="223"/>
      <c r="AA698" s="223"/>
    </row>
    <row r="699">
      <c r="A699" s="42">
        <f t="shared" si="3"/>
        <v>698</v>
      </c>
      <c r="B699" s="51" t="s">
        <v>41</v>
      </c>
      <c r="C699" s="53" t="s">
        <v>4374</v>
      </c>
      <c r="D699" s="42" t="s">
        <v>44</v>
      </c>
      <c r="E699" s="42" t="s">
        <v>44</v>
      </c>
      <c r="F699" s="53" t="s">
        <v>4331</v>
      </c>
      <c r="G699" s="53" t="s">
        <v>47</v>
      </c>
      <c r="H699" s="53" t="s">
        <v>48</v>
      </c>
      <c r="I699" s="53" t="s">
        <v>485</v>
      </c>
      <c r="J699" s="53" t="s">
        <v>4332</v>
      </c>
      <c r="K699" s="53" t="s">
        <v>51</v>
      </c>
      <c r="L699" s="53" t="s">
        <v>52</v>
      </c>
      <c r="M699" s="53" t="s">
        <v>52</v>
      </c>
      <c r="N699" s="62" t="s">
        <v>4333</v>
      </c>
      <c r="O699" s="62" t="s">
        <v>44</v>
      </c>
      <c r="P699" s="62" t="s">
        <v>4375</v>
      </c>
      <c r="Q699" s="62" t="s">
        <v>4376</v>
      </c>
      <c r="R699" s="53"/>
      <c r="S699" s="53"/>
      <c r="T699" s="82"/>
      <c r="U699" s="42"/>
      <c r="V699" s="62"/>
      <c r="W699" s="64"/>
      <c r="X699" s="223"/>
      <c r="Y699" s="223"/>
      <c r="Z699" s="223"/>
      <c r="AA699" s="223"/>
    </row>
    <row r="700">
      <c r="A700" s="42">
        <f t="shared" si="3"/>
        <v>699</v>
      </c>
      <c r="B700" s="51" t="s">
        <v>41</v>
      </c>
      <c r="C700" s="53" t="s">
        <v>4379</v>
      </c>
      <c r="D700" s="42" t="s">
        <v>44</v>
      </c>
      <c r="E700" s="42" t="s">
        <v>44</v>
      </c>
      <c r="F700" s="53" t="s">
        <v>4331</v>
      </c>
      <c r="G700" s="53" t="s">
        <v>47</v>
      </c>
      <c r="H700" s="53" t="s">
        <v>48</v>
      </c>
      <c r="I700" s="53" t="s">
        <v>485</v>
      </c>
      <c r="J700" s="53" t="s">
        <v>4332</v>
      </c>
      <c r="K700" s="53" t="s">
        <v>51</v>
      </c>
      <c r="L700" s="53" t="s">
        <v>52</v>
      </c>
      <c r="M700" s="53" t="s">
        <v>52</v>
      </c>
      <c r="N700" s="62" t="s">
        <v>4333</v>
      </c>
      <c r="O700" s="62" t="s">
        <v>44</v>
      </c>
      <c r="P700" s="62" t="s">
        <v>4380</v>
      </c>
      <c r="Q700" s="62" t="s">
        <v>4381</v>
      </c>
      <c r="R700" s="53"/>
      <c r="S700" s="53"/>
      <c r="T700" s="82"/>
      <c r="U700" s="53"/>
      <c r="V700" s="62"/>
      <c r="W700" s="64"/>
      <c r="X700" s="264"/>
      <c r="Y700" s="223"/>
      <c r="Z700" s="223"/>
      <c r="AA700" s="223"/>
    </row>
    <row r="701">
      <c r="A701" s="42">
        <f t="shared" si="3"/>
        <v>700</v>
      </c>
      <c r="B701" s="51" t="s">
        <v>41</v>
      </c>
      <c r="C701" s="53" t="s">
        <v>4385</v>
      </c>
      <c r="D701" s="42" t="s">
        <v>44</v>
      </c>
      <c r="E701" s="42" t="s">
        <v>44</v>
      </c>
      <c r="F701" s="53" t="s">
        <v>4331</v>
      </c>
      <c r="G701" s="53" t="s">
        <v>47</v>
      </c>
      <c r="H701" s="53" t="s">
        <v>48</v>
      </c>
      <c r="I701" s="53" t="s">
        <v>485</v>
      </c>
      <c r="J701" s="53" t="s">
        <v>4332</v>
      </c>
      <c r="K701" s="53" t="s">
        <v>51</v>
      </c>
      <c r="L701" s="53" t="s">
        <v>52</v>
      </c>
      <c r="M701" s="53" t="s">
        <v>52</v>
      </c>
      <c r="N701" s="62" t="s">
        <v>4333</v>
      </c>
      <c r="O701" s="62" t="s">
        <v>44</v>
      </c>
      <c r="P701" s="62" t="s">
        <v>4386</v>
      </c>
      <c r="Q701" s="62" t="s">
        <v>4387</v>
      </c>
      <c r="R701" s="53"/>
      <c r="S701" s="53"/>
      <c r="T701" s="82"/>
      <c r="U701" s="42"/>
      <c r="V701" s="62"/>
      <c r="W701" s="64"/>
      <c r="X701" s="264"/>
      <c r="Y701" s="223"/>
      <c r="Z701" s="223"/>
      <c r="AA701" s="223"/>
    </row>
    <row r="702">
      <c r="A702" s="42">
        <f t="shared" si="3"/>
        <v>701</v>
      </c>
      <c r="B702" s="51" t="s">
        <v>41</v>
      </c>
      <c r="C702" s="53" t="s">
        <v>4390</v>
      </c>
      <c r="D702" s="42" t="s">
        <v>44</v>
      </c>
      <c r="E702" s="42" t="s">
        <v>44</v>
      </c>
      <c r="F702" s="53" t="s">
        <v>4331</v>
      </c>
      <c r="G702" s="53" t="s">
        <v>47</v>
      </c>
      <c r="H702" s="53" t="s">
        <v>48</v>
      </c>
      <c r="I702" s="53" t="s">
        <v>485</v>
      </c>
      <c r="J702" s="53" t="s">
        <v>4332</v>
      </c>
      <c r="K702" s="53" t="s">
        <v>51</v>
      </c>
      <c r="L702" s="53" t="s">
        <v>52</v>
      </c>
      <c r="M702" s="53" t="s">
        <v>52</v>
      </c>
      <c r="N702" s="62" t="s">
        <v>4333</v>
      </c>
      <c r="O702" s="62" t="s">
        <v>44</v>
      </c>
      <c r="P702" s="62" t="s">
        <v>4391</v>
      </c>
      <c r="Q702" s="62" t="s">
        <v>4392</v>
      </c>
      <c r="R702" s="53"/>
      <c r="S702" s="53"/>
      <c r="T702" s="82"/>
      <c r="U702" s="42"/>
      <c r="V702" s="62"/>
      <c r="W702" s="64"/>
      <c r="X702" s="264"/>
      <c r="Y702" s="223"/>
      <c r="Z702" s="223"/>
      <c r="AA702" s="223"/>
    </row>
    <row r="703">
      <c r="A703" s="42">
        <f t="shared" si="3"/>
        <v>702</v>
      </c>
      <c r="B703" s="51" t="s">
        <v>41</v>
      </c>
      <c r="C703" s="53" t="s">
        <v>4395</v>
      </c>
      <c r="D703" s="42" t="s">
        <v>44</v>
      </c>
      <c r="E703" s="42" t="s">
        <v>44</v>
      </c>
      <c r="F703" s="53" t="s">
        <v>4331</v>
      </c>
      <c r="G703" s="53" t="s">
        <v>47</v>
      </c>
      <c r="H703" s="53" t="s">
        <v>48</v>
      </c>
      <c r="I703" s="53" t="s">
        <v>485</v>
      </c>
      <c r="J703" s="53" t="s">
        <v>4332</v>
      </c>
      <c r="K703" s="53" t="s">
        <v>51</v>
      </c>
      <c r="L703" s="53" t="s">
        <v>52</v>
      </c>
      <c r="M703" s="53" t="s">
        <v>52</v>
      </c>
      <c r="N703" s="62" t="s">
        <v>4333</v>
      </c>
      <c r="O703" s="62" t="s">
        <v>44</v>
      </c>
      <c r="P703" s="62" t="s">
        <v>4396</v>
      </c>
      <c r="Q703" s="62" t="s">
        <v>4397</v>
      </c>
      <c r="R703" s="53"/>
      <c r="S703" s="53"/>
      <c r="T703" s="82"/>
      <c r="U703" s="42"/>
      <c r="V703" s="62"/>
      <c r="W703" s="64"/>
      <c r="X703" s="223"/>
      <c r="Y703" s="223"/>
      <c r="Z703" s="223"/>
      <c r="AA703" s="223"/>
    </row>
    <row r="704">
      <c r="A704" s="42">
        <f t="shared" si="3"/>
        <v>703</v>
      </c>
      <c r="B704" s="51" t="s">
        <v>41</v>
      </c>
      <c r="C704" s="53" t="s">
        <v>4400</v>
      </c>
      <c r="D704" s="42" t="s">
        <v>44</v>
      </c>
      <c r="E704" s="42" t="s">
        <v>44</v>
      </c>
      <c r="F704" s="53" t="s">
        <v>4331</v>
      </c>
      <c r="G704" s="53" t="s">
        <v>47</v>
      </c>
      <c r="H704" s="53" t="s">
        <v>95</v>
      </c>
      <c r="I704" s="53" t="s">
        <v>485</v>
      </c>
      <c r="J704" s="53" t="s">
        <v>4332</v>
      </c>
      <c r="K704" s="53" t="s">
        <v>51</v>
      </c>
      <c r="L704" s="53" t="s">
        <v>52</v>
      </c>
      <c r="M704" s="53" t="s">
        <v>52</v>
      </c>
      <c r="N704" s="62" t="s">
        <v>4401</v>
      </c>
      <c r="O704" s="62" t="s">
        <v>44</v>
      </c>
      <c r="P704" s="62" t="s">
        <v>4402</v>
      </c>
      <c r="Q704" s="62" t="s">
        <v>4168</v>
      </c>
      <c r="R704" s="53"/>
      <c r="S704" s="53"/>
      <c r="T704" s="82"/>
      <c r="U704" s="42"/>
      <c r="V704" s="62"/>
      <c r="W704" s="64"/>
      <c r="X704" s="223"/>
      <c r="Y704" s="223"/>
      <c r="Z704" s="223"/>
      <c r="AA704" s="223"/>
    </row>
    <row r="705">
      <c r="A705" s="42">
        <f t="shared" si="3"/>
        <v>704</v>
      </c>
      <c r="B705" s="51" t="s">
        <v>41</v>
      </c>
      <c r="C705" s="53" t="s">
        <v>4405</v>
      </c>
      <c r="D705" s="42" t="s">
        <v>44</v>
      </c>
      <c r="E705" s="42" t="s">
        <v>44</v>
      </c>
      <c r="F705" s="53" t="s">
        <v>4331</v>
      </c>
      <c r="G705" s="53" t="s">
        <v>47</v>
      </c>
      <c r="H705" s="53" t="s">
        <v>95</v>
      </c>
      <c r="I705" s="53" t="s">
        <v>485</v>
      </c>
      <c r="J705" s="53" t="s">
        <v>4332</v>
      </c>
      <c r="K705" s="53" t="s">
        <v>51</v>
      </c>
      <c r="L705" s="53" t="s">
        <v>52</v>
      </c>
      <c r="M705" s="53" t="s">
        <v>52</v>
      </c>
      <c r="N705" s="62" t="s">
        <v>4401</v>
      </c>
      <c r="O705" s="62" t="s">
        <v>44</v>
      </c>
      <c r="P705" s="62" t="s">
        <v>4406</v>
      </c>
      <c r="Q705" s="62" t="s">
        <v>4168</v>
      </c>
      <c r="R705" s="53"/>
      <c r="S705" s="53"/>
      <c r="T705" s="82"/>
      <c r="U705" s="42"/>
      <c r="V705" s="62"/>
      <c r="W705" s="64"/>
      <c r="X705" s="223"/>
      <c r="Y705" s="223"/>
      <c r="Z705" s="223"/>
      <c r="AA705" s="223"/>
    </row>
    <row r="706">
      <c r="A706" s="42">
        <f t="shared" si="3"/>
        <v>705</v>
      </c>
      <c r="B706" s="51" t="s">
        <v>41</v>
      </c>
      <c r="C706" s="53" t="s">
        <v>4409</v>
      </c>
      <c r="D706" s="42" t="s">
        <v>44</v>
      </c>
      <c r="E706" s="42" t="s">
        <v>44</v>
      </c>
      <c r="F706" s="53" t="s">
        <v>4331</v>
      </c>
      <c r="G706" s="53" t="s">
        <v>47</v>
      </c>
      <c r="H706" s="53" t="s">
        <v>48</v>
      </c>
      <c r="I706" s="53" t="s">
        <v>485</v>
      </c>
      <c r="J706" s="53" t="s">
        <v>4332</v>
      </c>
      <c r="K706" s="53" t="s">
        <v>51</v>
      </c>
      <c r="L706" s="53" t="s">
        <v>52</v>
      </c>
      <c r="M706" s="53" t="s">
        <v>52</v>
      </c>
      <c r="N706" s="62" t="s">
        <v>4333</v>
      </c>
      <c r="O706" s="62" t="s">
        <v>44</v>
      </c>
      <c r="P706" s="62" t="s">
        <v>4410</v>
      </c>
      <c r="Q706" s="62" t="s">
        <v>4411</v>
      </c>
      <c r="R706" s="53"/>
      <c r="S706" s="53"/>
      <c r="T706" s="82"/>
      <c r="U706" s="42"/>
      <c r="V706" s="62"/>
      <c r="W706" s="64"/>
      <c r="X706" s="223"/>
      <c r="Y706" s="223"/>
      <c r="Z706" s="223"/>
      <c r="AA706" s="223"/>
    </row>
    <row r="707">
      <c r="A707" s="42">
        <f t="shared" si="3"/>
        <v>706</v>
      </c>
      <c r="B707" s="51" t="s">
        <v>41</v>
      </c>
      <c r="C707" s="53" t="s">
        <v>4415</v>
      </c>
      <c r="D707" s="42" t="s">
        <v>44</v>
      </c>
      <c r="E707" s="42" t="s">
        <v>44</v>
      </c>
      <c r="F707" s="53" t="s">
        <v>4331</v>
      </c>
      <c r="G707" s="53" t="s">
        <v>47</v>
      </c>
      <c r="H707" s="53" t="s">
        <v>48</v>
      </c>
      <c r="I707" s="53" t="s">
        <v>485</v>
      </c>
      <c r="J707" s="53" t="s">
        <v>4332</v>
      </c>
      <c r="K707" s="53" t="s">
        <v>51</v>
      </c>
      <c r="L707" s="53" t="s">
        <v>52</v>
      </c>
      <c r="M707" s="53" t="s">
        <v>52</v>
      </c>
      <c r="N707" s="62" t="s">
        <v>4333</v>
      </c>
      <c r="O707" s="62" t="s">
        <v>44</v>
      </c>
      <c r="P707" s="62" t="s">
        <v>4416</v>
      </c>
      <c r="Q707" s="62" t="s">
        <v>4417</v>
      </c>
      <c r="R707" s="53"/>
      <c r="S707" s="53"/>
      <c r="T707" s="82"/>
      <c r="U707" s="42"/>
      <c r="V707" s="62"/>
      <c r="W707" s="64"/>
      <c r="X707" s="223"/>
      <c r="Y707" s="223"/>
      <c r="Z707" s="223"/>
      <c r="AA707" s="223"/>
    </row>
    <row r="708">
      <c r="A708" s="42">
        <f t="shared" si="3"/>
        <v>707</v>
      </c>
      <c r="B708" s="51" t="s">
        <v>41</v>
      </c>
      <c r="C708" s="53" t="s">
        <v>4420</v>
      </c>
      <c r="D708" s="42" t="s">
        <v>44</v>
      </c>
      <c r="E708" s="42" t="s">
        <v>44</v>
      </c>
      <c r="F708" s="53" t="s">
        <v>4331</v>
      </c>
      <c r="G708" s="53" t="s">
        <v>47</v>
      </c>
      <c r="H708" s="53" t="s">
        <v>48</v>
      </c>
      <c r="I708" s="53" t="s">
        <v>485</v>
      </c>
      <c r="J708" s="53" t="s">
        <v>4332</v>
      </c>
      <c r="K708" s="53" t="s">
        <v>51</v>
      </c>
      <c r="L708" s="53" t="s">
        <v>52</v>
      </c>
      <c r="M708" s="53" t="s">
        <v>52</v>
      </c>
      <c r="N708" s="62" t="s">
        <v>4333</v>
      </c>
      <c r="O708" s="62" t="s">
        <v>44</v>
      </c>
      <c r="P708" s="62" t="s">
        <v>4421</v>
      </c>
      <c r="Q708" s="62" t="s">
        <v>4422</v>
      </c>
      <c r="R708" s="53"/>
      <c r="S708" s="53"/>
      <c r="T708" s="82"/>
      <c r="U708" s="42"/>
      <c r="V708" s="62"/>
      <c r="W708" s="64"/>
      <c r="X708" s="223"/>
      <c r="Y708" s="223"/>
      <c r="Z708" s="223"/>
      <c r="AA708" s="223"/>
    </row>
    <row r="709">
      <c r="A709" s="42">
        <f t="shared" si="3"/>
        <v>708</v>
      </c>
      <c r="B709" s="51" t="s">
        <v>41</v>
      </c>
      <c r="C709" s="53" t="s">
        <v>4425</v>
      </c>
      <c r="D709" s="42" t="s">
        <v>44</v>
      </c>
      <c r="E709" s="42" t="s">
        <v>44</v>
      </c>
      <c r="F709" s="53" t="s">
        <v>4331</v>
      </c>
      <c r="G709" s="53" t="s">
        <v>47</v>
      </c>
      <c r="H709" s="53" t="s">
        <v>95</v>
      </c>
      <c r="I709" s="53" t="s">
        <v>485</v>
      </c>
      <c r="J709" s="53" t="s">
        <v>4332</v>
      </c>
      <c r="K709" s="53" t="s">
        <v>51</v>
      </c>
      <c r="L709" s="53" t="s">
        <v>52</v>
      </c>
      <c r="M709" s="53" t="s">
        <v>52</v>
      </c>
      <c r="N709" s="62" t="s">
        <v>4426</v>
      </c>
      <c r="O709" s="62" t="s">
        <v>44</v>
      </c>
      <c r="P709" s="62" t="s">
        <v>4427</v>
      </c>
      <c r="Q709" s="62" t="s">
        <v>4428</v>
      </c>
      <c r="R709" s="53"/>
      <c r="S709" s="53"/>
      <c r="T709" s="82"/>
      <c r="U709" s="42"/>
      <c r="V709" s="62"/>
      <c r="W709" s="64"/>
      <c r="X709" s="223"/>
      <c r="Y709" s="223"/>
      <c r="Z709" s="223"/>
      <c r="AA709" s="223"/>
    </row>
    <row r="710">
      <c r="A710" s="42">
        <f t="shared" si="3"/>
        <v>709</v>
      </c>
      <c r="B710" s="51" t="s">
        <v>41</v>
      </c>
      <c r="C710" s="53" t="s">
        <v>4431</v>
      </c>
      <c r="D710" s="42" t="s">
        <v>44</v>
      </c>
      <c r="E710" s="42" t="s">
        <v>44</v>
      </c>
      <c r="F710" s="53" t="s">
        <v>4331</v>
      </c>
      <c r="G710" s="53" t="s">
        <v>85</v>
      </c>
      <c r="H710" s="53" t="s">
        <v>86</v>
      </c>
      <c r="I710" s="53" t="s">
        <v>485</v>
      </c>
      <c r="J710" s="53" t="s">
        <v>4332</v>
      </c>
      <c r="K710" s="53" t="s">
        <v>51</v>
      </c>
      <c r="L710" s="53" t="s">
        <v>52</v>
      </c>
      <c r="M710" s="53" t="s">
        <v>52</v>
      </c>
      <c r="N710" s="62" t="s">
        <v>4432</v>
      </c>
      <c r="O710" s="62" t="s">
        <v>44</v>
      </c>
      <c r="P710" s="62" t="s">
        <v>4433</v>
      </c>
      <c r="Q710" s="62" t="s">
        <v>4434</v>
      </c>
      <c r="R710" s="53"/>
      <c r="S710" s="53"/>
      <c r="T710" s="82"/>
      <c r="U710" s="42"/>
      <c r="V710" s="62"/>
      <c r="W710" s="64"/>
      <c r="X710" s="223"/>
      <c r="Y710" s="223"/>
      <c r="Z710" s="223"/>
      <c r="AA710" s="223"/>
    </row>
    <row r="711">
      <c r="A711" s="42">
        <f t="shared" si="3"/>
        <v>710</v>
      </c>
      <c r="B711" s="51" t="s">
        <v>41</v>
      </c>
      <c r="C711" s="53" t="s">
        <v>4438</v>
      </c>
      <c r="D711" s="42" t="s">
        <v>44</v>
      </c>
      <c r="E711" s="42" t="s">
        <v>44</v>
      </c>
      <c r="F711" s="53" t="s">
        <v>4331</v>
      </c>
      <c r="G711" s="53" t="s">
        <v>197</v>
      </c>
      <c r="H711" s="53" t="s">
        <v>91</v>
      </c>
      <c r="I711" s="53" t="s">
        <v>485</v>
      </c>
      <c r="J711" s="53" t="s">
        <v>4332</v>
      </c>
      <c r="K711" s="53" t="s">
        <v>51</v>
      </c>
      <c r="L711" s="53" t="s">
        <v>52</v>
      </c>
      <c r="M711" s="53" t="s">
        <v>52</v>
      </c>
      <c r="N711" s="62" t="s">
        <v>4439</v>
      </c>
      <c r="O711" s="62" t="s">
        <v>44</v>
      </c>
      <c r="P711" s="62" t="s">
        <v>4440</v>
      </c>
      <c r="Q711" s="62" t="s">
        <v>4441</v>
      </c>
      <c r="R711" s="53"/>
      <c r="S711" s="53"/>
      <c r="T711" s="82"/>
      <c r="U711" s="42"/>
      <c r="V711" s="62"/>
      <c r="W711" s="64"/>
      <c r="X711" s="223"/>
      <c r="Y711" s="223"/>
      <c r="Z711" s="223"/>
      <c r="AA711" s="223"/>
    </row>
    <row r="712">
      <c r="A712" s="42">
        <f t="shared" si="3"/>
        <v>711</v>
      </c>
      <c r="B712" s="51" t="s">
        <v>41</v>
      </c>
      <c r="C712" s="53" t="s">
        <v>4445</v>
      </c>
      <c r="D712" s="42" t="s">
        <v>44</v>
      </c>
      <c r="E712" s="42" t="s">
        <v>44</v>
      </c>
      <c r="F712" s="53" t="s">
        <v>4331</v>
      </c>
      <c r="G712" s="53" t="s">
        <v>47</v>
      </c>
      <c r="H712" s="53" t="s">
        <v>95</v>
      </c>
      <c r="I712" s="53" t="s">
        <v>485</v>
      </c>
      <c r="J712" s="53" t="s">
        <v>4332</v>
      </c>
      <c r="K712" s="53" t="s">
        <v>51</v>
      </c>
      <c r="L712" s="53" t="s">
        <v>52</v>
      </c>
      <c r="M712" s="53" t="s">
        <v>52</v>
      </c>
      <c r="N712" s="62" t="s">
        <v>4446</v>
      </c>
      <c r="O712" s="62" t="s">
        <v>44</v>
      </c>
      <c r="P712" s="62" t="s">
        <v>4447</v>
      </c>
      <c r="Q712" s="62" t="s">
        <v>4448</v>
      </c>
      <c r="R712" s="53"/>
      <c r="S712" s="53"/>
      <c r="T712" s="82"/>
      <c r="U712" s="53"/>
      <c r="V712" s="62"/>
      <c r="W712" s="64"/>
      <c r="X712" s="223"/>
      <c r="Y712" s="223"/>
      <c r="Z712" s="223"/>
      <c r="AA712" s="223"/>
    </row>
    <row r="713">
      <c r="A713" s="42">
        <f t="shared" si="3"/>
        <v>712</v>
      </c>
      <c r="B713" s="51" t="s">
        <v>41</v>
      </c>
      <c r="C713" s="53" t="s">
        <v>4452</v>
      </c>
      <c r="D713" s="42" t="s">
        <v>44</v>
      </c>
      <c r="E713" s="42" t="s">
        <v>44</v>
      </c>
      <c r="F713" s="53" t="s">
        <v>4331</v>
      </c>
      <c r="G713" s="53" t="s">
        <v>47</v>
      </c>
      <c r="H713" s="53" t="s">
        <v>95</v>
      </c>
      <c r="I713" s="53" t="s">
        <v>485</v>
      </c>
      <c r="J713" s="53" t="s">
        <v>4332</v>
      </c>
      <c r="K713" s="53" t="s">
        <v>51</v>
      </c>
      <c r="L713" s="53" t="s">
        <v>52</v>
      </c>
      <c r="M713" s="53" t="s">
        <v>52</v>
      </c>
      <c r="N713" s="62" t="s">
        <v>4453</v>
      </c>
      <c r="O713" s="62" t="s">
        <v>44</v>
      </c>
      <c r="P713" s="62" t="s">
        <v>4454</v>
      </c>
      <c r="Q713" s="62" t="s">
        <v>4455</v>
      </c>
      <c r="R713" s="53"/>
      <c r="S713" s="53"/>
      <c r="T713" s="82"/>
      <c r="U713" s="42"/>
      <c r="V713" s="62"/>
      <c r="W713" s="64"/>
      <c r="X713" s="223"/>
      <c r="Y713" s="223"/>
      <c r="Z713" s="223"/>
      <c r="AA713" s="223"/>
    </row>
    <row r="714">
      <c r="A714" s="42">
        <f t="shared" si="3"/>
        <v>713</v>
      </c>
      <c r="B714" s="51" t="s">
        <v>41</v>
      </c>
      <c r="C714" s="53" t="s">
        <v>4459</v>
      </c>
      <c r="D714" s="42" t="s">
        <v>44</v>
      </c>
      <c r="E714" s="42" t="s">
        <v>44</v>
      </c>
      <c r="F714" s="53" t="s">
        <v>4331</v>
      </c>
      <c r="G714" s="53" t="s">
        <v>47</v>
      </c>
      <c r="H714" s="53" t="s">
        <v>48</v>
      </c>
      <c r="I714" s="53" t="s">
        <v>485</v>
      </c>
      <c r="J714" s="53" t="s">
        <v>4332</v>
      </c>
      <c r="K714" s="53" t="s">
        <v>51</v>
      </c>
      <c r="L714" s="53" t="s">
        <v>52</v>
      </c>
      <c r="M714" s="53" t="s">
        <v>52</v>
      </c>
      <c r="N714" s="62" t="s">
        <v>4333</v>
      </c>
      <c r="O714" s="62" t="s">
        <v>44</v>
      </c>
      <c r="P714" s="62" t="s">
        <v>4460</v>
      </c>
      <c r="Q714" s="62" t="s">
        <v>4461</v>
      </c>
      <c r="R714" s="53"/>
      <c r="S714" s="53"/>
      <c r="T714" s="82"/>
      <c r="U714" s="42"/>
      <c r="V714" s="62"/>
      <c r="W714" s="64"/>
      <c r="X714" s="223"/>
      <c r="Y714" s="223"/>
      <c r="Z714" s="223"/>
      <c r="AA714" s="223"/>
    </row>
    <row r="715">
      <c r="A715" s="42">
        <f t="shared" si="3"/>
        <v>714</v>
      </c>
      <c r="B715" s="51" t="s">
        <v>41</v>
      </c>
      <c r="C715" s="53" t="s">
        <v>4464</v>
      </c>
      <c r="D715" s="42" t="s">
        <v>44</v>
      </c>
      <c r="E715" s="42" t="s">
        <v>44</v>
      </c>
      <c r="F715" s="53" t="s">
        <v>4331</v>
      </c>
      <c r="G715" s="53" t="s">
        <v>47</v>
      </c>
      <c r="H715" s="53" t="s">
        <v>48</v>
      </c>
      <c r="I715" s="53" t="s">
        <v>485</v>
      </c>
      <c r="J715" s="53" t="s">
        <v>4332</v>
      </c>
      <c r="K715" s="53" t="s">
        <v>51</v>
      </c>
      <c r="L715" s="53" t="s">
        <v>52</v>
      </c>
      <c r="M715" s="53" t="s">
        <v>52</v>
      </c>
      <c r="N715" s="62" t="s">
        <v>4333</v>
      </c>
      <c r="O715" s="62" t="s">
        <v>44</v>
      </c>
      <c r="P715" s="62" t="s">
        <v>4465</v>
      </c>
      <c r="Q715" s="62" t="s">
        <v>4466</v>
      </c>
      <c r="R715" s="53"/>
      <c r="S715" s="53"/>
      <c r="T715" s="82"/>
      <c r="U715" s="53"/>
      <c r="V715" s="62"/>
      <c r="W715" s="64"/>
      <c r="X715" s="223"/>
      <c r="Y715" s="223"/>
      <c r="Z715" s="223"/>
      <c r="AA715" s="223"/>
    </row>
    <row r="716">
      <c r="A716" s="42">
        <f t="shared" si="3"/>
        <v>715</v>
      </c>
      <c r="B716" s="51" t="s">
        <v>41</v>
      </c>
      <c r="C716" s="53" t="s">
        <v>4469</v>
      </c>
      <c r="D716" s="42" t="s">
        <v>44</v>
      </c>
      <c r="E716" s="42" t="s">
        <v>44</v>
      </c>
      <c r="F716" s="53" t="s">
        <v>4331</v>
      </c>
      <c r="G716" s="53" t="s">
        <v>47</v>
      </c>
      <c r="H716" s="53" t="s">
        <v>48</v>
      </c>
      <c r="I716" s="53" t="s">
        <v>485</v>
      </c>
      <c r="J716" s="53" t="s">
        <v>4332</v>
      </c>
      <c r="K716" s="53" t="s">
        <v>51</v>
      </c>
      <c r="L716" s="53" t="s">
        <v>52</v>
      </c>
      <c r="M716" s="53" t="s">
        <v>52</v>
      </c>
      <c r="N716" s="62" t="s">
        <v>4333</v>
      </c>
      <c r="O716" s="62" t="s">
        <v>44</v>
      </c>
      <c r="P716" s="62" t="s">
        <v>4470</v>
      </c>
      <c r="Q716" s="62" t="s">
        <v>4471</v>
      </c>
      <c r="R716" s="53"/>
      <c r="S716" s="53"/>
      <c r="T716" s="82"/>
      <c r="U716" s="42"/>
      <c r="V716" s="62"/>
      <c r="W716" s="64"/>
      <c r="X716" s="223"/>
      <c r="Y716" s="223"/>
      <c r="Z716" s="223"/>
      <c r="AA716" s="223"/>
    </row>
    <row r="717">
      <c r="A717" s="42">
        <f t="shared" si="3"/>
        <v>716</v>
      </c>
      <c r="B717" s="51" t="s">
        <v>41</v>
      </c>
      <c r="C717" s="53" t="s">
        <v>4474</v>
      </c>
      <c r="D717" s="42" t="s">
        <v>44</v>
      </c>
      <c r="E717" s="42" t="s">
        <v>44</v>
      </c>
      <c r="F717" s="53" t="s">
        <v>4331</v>
      </c>
      <c r="G717" s="53" t="s">
        <v>47</v>
      </c>
      <c r="H717" s="53" t="s">
        <v>48</v>
      </c>
      <c r="I717" s="53" t="s">
        <v>485</v>
      </c>
      <c r="J717" s="53" t="s">
        <v>4332</v>
      </c>
      <c r="K717" s="53" t="s">
        <v>51</v>
      </c>
      <c r="L717" s="53" t="s">
        <v>52</v>
      </c>
      <c r="M717" s="53" t="s">
        <v>52</v>
      </c>
      <c r="N717" s="62" t="s">
        <v>4333</v>
      </c>
      <c r="O717" s="62" t="s">
        <v>44</v>
      </c>
      <c r="P717" s="62" t="s">
        <v>4475</v>
      </c>
      <c r="Q717" s="62" t="s">
        <v>4476</v>
      </c>
      <c r="R717" s="53"/>
      <c r="S717" s="53"/>
      <c r="T717" s="82"/>
      <c r="U717" s="42"/>
      <c r="V717" s="62"/>
      <c r="W717" s="64"/>
      <c r="X717" s="223"/>
      <c r="Y717" s="223"/>
      <c r="Z717" s="223"/>
      <c r="AA717" s="223"/>
    </row>
    <row r="718">
      <c r="A718" s="42">
        <f t="shared" si="3"/>
        <v>717</v>
      </c>
      <c r="B718" s="51" t="s">
        <v>41</v>
      </c>
      <c r="C718" s="53" t="s">
        <v>4479</v>
      </c>
      <c r="D718" s="42" t="s">
        <v>44</v>
      </c>
      <c r="E718" s="42" t="s">
        <v>44</v>
      </c>
      <c r="F718" s="53" t="s">
        <v>4331</v>
      </c>
      <c r="G718" s="53" t="s">
        <v>47</v>
      </c>
      <c r="H718" s="53" t="s">
        <v>48</v>
      </c>
      <c r="I718" s="53" t="s">
        <v>485</v>
      </c>
      <c r="J718" s="53" t="s">
        <v>4332</v>
      </c>
      <c r="K718" s="53" t="s">
        <v>51</v>
      </c>
      <c r="L718" s="53" t="s">
        <v>52</v>
      </c>
      <c r="M718" s="53" t="s">
        <v>52</v>
      </c>
      <c r="N718" s="62" t="s">
        <v>4480</v>
      </c>
      <c r="O718" s="62" t="s">
        <v>44</v>
      </c>
      <c r="P718" s="62" t="s">
        <v>4481</v>
      </c>
      <c r="Q718" s="62" t="s">
        <v>4482</v>
      </c>
      <c r="R718" s="53"/>
      <c r="S718" s="53"/>
      <c r="T718" s="82"/>
      <c r="U718" s="42"/>
      <c r="V718" s="62"/>
      <c r="W718" s="64"/>
      <c r="X718" s="223"/>
      <c r="Y718" s="223"/>
      <c r="Z718" s="223"/>
      <c r="AA718" s="223"/>
    </row>
    <row r="719">
      <c r="A719" s="42">
        <f t="shared" si="3"/>
        <v>718</v>
      </c>
      <c r="B719" s="51" t="s">
        <v>41</v>
      </c>
      <c r="C719" s="53" t="s">
        <v>4485</v>
      </c>
      <c r="D719" s="42" t="s">
        <v>44</v>
      </c>
      <c r="E719" s="42" t="s">
        <v>44</v>
      </c>
      <c r="F719" s="53" t="s">
        <v>4331</v>
      </c>
      <c r="G719" s="53" t="s">
        <v>47</v>
      </c>
      <c r="H719" s="53" t="s">
        <v>48</v>
      </c>
      <c r="I719" s="53" t="s">
        <v>485</v>
      </c>
      <c r="J719" s="53" t="s">
        <v>4332</v>
      </c>
      <c r="K719" s="53" t="s">
        <v>51</v>
      </c>
      <c r="L719" s="53" t="s">
        <v>52</v>
      </c>
      <c r="M719" s="53" t="s">
        <v>52</v>
      </c>
      <c r="N719" s="62" t="s">
        <v>4333</v>
      </c>
      <c r="O719" s="62" t="s">
        <v>44</v>
      </c>
      <c r="P719" s="62" t="s">
        <v>4486</v>
      </c>
      <c r="Q719" s="62" t="s">
        <v>4487</v>
      </c>
      <c r="R719" s="53"/>
      <c r="S719" s="53"/>
      <c r="T719" s="82"/>
      <c r="U719" s="53"/>
      <c r="V719" s="62"/>
      <c r="W719" s="64"/>
      <c r="X719" s="223"/>
      <c r="Y719" s="223"/>
      <c r="Z719" s="223"/>
      <c r="AA719" s="223"/>
    </row>
    <row r="720">
      <c r="A720" s="42">
        <f t="shared" si="3"/>
        <v>719</v>
      </c>
      <c r="B720" s="51" t="s">
        <v>41</v>
      </c>
      <c r="C720" s="53" t="s">
        <v>4490</v>
      </c>
      <c r="D720" s="42" t="s">
        <v>44</v>
      </c>
      <c r="E720" s="42" t="s">
        <v>44</v>
      </c>
      <c r="F720" s="53" t="s">
        <v>4331</v>
      </c>
      <c r="G720" s="53" t="s">
        <v>47</v>
      </c>
      <c r="H720" s="53" t="s">
        <v>95</v>
      </c>
      <c r="I720" s="53" t="s">
        <v>485</v>
      </c>
      <c r="J720" s="53" t="s">
        <v>4332</v>
      </c>
      <c r="K720" s="53" t="s">
        <v>51</v>
      </c>
      <c r="L720" s="53" t="s">
        <v>52</v>
      </c>
      <c r="M720" s="53" t="s">
        <v>52</v>
      </c>
      <c r="N720" s="62" t="s">
        <v>4491</v>
      </c>
      <c r="O720" s="62" t="s">
        <v>44</v>
      </c>
      <c r="P720" s="62" t="s">
        <v>4492</v>
      </c>
      <c r="Q720" s="62" t="s">
        <v>4493</v>
      </c>
      <c r="R720" s="53"/>
      <c r="S720" s="53"/>
      <c r="T720" s="82"/>
      <c r="U720" s="42"/>
      <c r="V720" s="62"/>
      <c r="W720" s="64"/>
      <c r="X720" s="223"/>
      <c r="Y720" s="223"/>
      <c r="Z720" s="223"/>
      <c r="AA720" s="223"/>
    </row>
    <row r="721">
      <c r="A721" s="42">
        <f t="shared" si="3"/>
        <v>720</v>
      </c>
      <c r="B721" s="51" t="s">
        <v>41</v>
      </c>
      <c r="C721" s="53" t="s">
        <v>4497</v>
      </c>
      <c r="D721" s="42" t="s">
        <v>44</v>
      </c>
      <c r="E721" s="42" t="s">
        <v>44</v>
      </c>
      <c r="F721" s="53" t="s">
        <v>4331</v>
      </c>
      <c r="G721" s="53" t="s">
        <v>47</v>
      </c>
      <c r="H721" s="53" t="s">
        <v>48</v>
      </c>
      <c r="I721" s="53" t="s">
        <v>485</v>
      </c>
      <c r="J721" s="53" t="s">
        <v>4332</v>
      </c>
      <c r="K721" s="53" t="s">
        <v>51</v>
      </c>
      <c r="L721" s="53" t="s">
        <v>52</v>
      </c>
      <c r="M721" s="53" t="s">
        <v>52</v>
      </c>
      <c r="N721" s="62" t="s">
        <v>4333</v>
      </c>
      <c r="O721" s="62" t="s">
        <v>44</v>
      </c>
      <c r="P721" s="62" t="s">
        <v>4498</v>
      </c>
      <c r="Q721" s="62" t="s">
        <v>4499</v>
      </c>
      <c r="R721" s="53"/>
      <c r="S721" s="53"/>
      <c r="T721" s="82"/>
      <c r="U721" s="42"/>
      <c r="V721" s="62"/>
      <c r="W721" s="64"/>
      <c r="X721" s="223"/>
      <c r="Y721" s="223"/>
      <c r="Z721" s="223"/>
      <c r="AA721" s="223"/>
    </row>
    <row r="722">
      <c r="A722" s="42">
        <f t="shared" si="3"/>
        <v>721</v>
      </c>
      <c r="B722" s="51" t="s">
        <v>41</v>
      </c>
      <c r="C722" s="53" t="s">
        <v>4503</v>
      </c>
      <c r="D722" s="42" t="s">
        <v>44</v>
      </c>
      <c r="E722" s="42" t="s">
        <v>44</v>
      </c>
      <c r="F722" s="53" t="s">
        <v>4331</v>
      </c>
      <c r="G722" s="53" t="s">
        <v>47</v>
      </c>
      <c r="H722" s="53" t="s">
        <v>48</v>
      </c>
      <c r="I722" s="53" t="s">
        <v>485</v>
      </c>
      <c r="J722" s="53" t="s">
        <v>4332</v>
      </c>
      <c r="K722" s="53" t="s">
        <v>51</v>
      </c>
      <c r="L722" s="53" t="s">
        <v>52</v>
      </c>
      <c r="M722" s="53" t="s">
        <v>52</v>
      </c>
      <c r="N722" s="62" t="s">
        <v>4426</v>
      </c>
      <c r="O722" s="62" t="s">
        <v>44</v>
      </c>
      <c r="P722" s="62" t="s">
        <v>4504</v>
      </c>
      <c r="Q722" s="62" t="s">
        <v>4505</v>
      </c>
      <c r="R722" s="53"/>
      <c r="S722" s="53"/>
      <c r="T722" s="82"/>
      <c r="U722" s="42"/>
      <c r="V722" s="62"/>
      <c r="W722" s="64"/>
      <c r="X722" s="223"/>
      <c r="Y722" s="223"/>
      <c r="Z722" s="223"/>
      <c r="AA722" s="223"/>
    </row>
    <row r="723">
      <c r="A723" s="42">
        <f t="shared" si="3"/>
        <v>722</v>
      </c>
      <c r="B723" s="51" t="s">
        <v>41</v>
      </c>
      <c r="C723" s="53" t="s">
        <v>4509</v>
      </c>
      <c r="D723" s="42" t="s">
        <v>44</v>
      </c>
      <c r="E723" s="42" t="s">
        <v>44</v>
      </c>
      <c r="F723" s="53" t="s">
        <v>4331</v>
      </c>
      <c r="G723" s="53" t="s">
        <v>47</v>
      </c>
      <c r="H723" s="53" t="s">
        <v>48</v>
      </c>
      <c r="I723" s="53" t="s">
        <v>485</v>
      </c>
      <c r="J723" s="53" t="s">
        <v>4332</v>
      </c>
      <c r="K723" s="53" t="s">
        <v>51</v>
      </c>
      <c r="L723" s="53" t="s">
        <v>52</v>
      </c>
      <c r="M723" s="53" t="s">
        <v>52</v>
      </c>
      <c r="N723" s="62" t="s">
        <v>4510</v>
      </c>
      <c r="O723" s="62" t="s">
        <v>44</v>
      </c>
      <c r="P723" s="62" t="s">
        <v>4511</v>
      </c>
      <c r="Q723" s="62" t="s">
        <v>4512</v>
      </c>
      <c r="R723" s="53"/>
      <c r="S723" s="53"/>
      <c r="T723" s="82"/>
      <c r="U723" s="42"/>
      <c r="V723" s="62"/>
      <c r="W723" s="64"/>
      <c r="X723" s="223"/>
      <c r="Y723" s="223"/>
      <c r="Z723" s="223"/>
      <c r="AA723" s="223"/>
    </row>
    <row r="724">
      <c r="A724" s="42">
        <f t="shared" si="3"/>
        <v>723</v>
      </c>
      <c r="B724" s="51" t="s">
        <v>41</v>
      </c>
      <c r="C724" s="53" t="s">
        <v>4516</v>
      </c>
      <c r="D724" s="42" t="s">
        <v>44</v>
      </c>
      <c r="E724" s="42" t="s">
        <v>44</v>
      </c>
      <c r="F724" s="53" t="s">
        <v>4331</v>
      </c>
      <c r="G724" s="53" t="s">
        <v>47</v>
      </c>
      <c r="H724" s="53" t="s">
        <v>48</v>
      </c>
      <c r="I724" s="53" t="s">
        <v>485</v>
      </c>
      <c r="J724" s="53" t="s">
        <v>4332</v>
      </c>
      <c r="K724" s="53" t="s">
        <v>51</v>
      </c>
      <c r="L724" s="53" t="s">
        <v>52</v>
      </c>
      <c r="M724" s="53" t="s">
        <v>52</v>
      </c>
      <c r="N724" s="62" t="s">
        <v>4333</v>
      </c>
      <c r="O724" s="62" t="s">
        <v>44</v>
      </c>
      <c r="P724" s="62" t="s">
        <v>4517</v>
      </c>
      <c r="Q724" s="62" t="s">
        <v>4518</v>
      </c>
      <c r="R724" s="53"/>
      <c r="S724" s="53"/>
      <c r="T724" s="82"/>
      <c r="U724" s="42"/>
      <c r="V724" s="62"/>
      <c r="W724" s="64"/>
      <c r="X724" s="223"/>
      <c r="Y724" s="223"/>
      <c r="Z724" s="223"/>
      <c r="AA724" s="223"/>
    </row>
    <row r="725">
      <c r="A725" s="42">
        <f t="shared" si="3"/>
        <v>724</v>
      </c>
      <c r="B725" s="51" t="s">
        <v>41</v>
      </c>
      <c r="C725" s="53" t="s">
        <v>4522</v>
      </c>
      <c r="D725" s="42" t="s">
        <v>44</v>
      </c>
      <c r="E725" s="42" t="s">
        <v>44</v>
      </c>
      <c r="F725" s="53" t="s">
        <v>4331</v>
      </c>
      <c r="G725" s="53" t="s">
        <v>47</v>
      </c>
      <c r="H725" s="53" t="s">
        <v>48</v>
      </c>
      <c r="I725" s="53" t="s">
        <v>485</v>
      </c>
      <c r="J725" s="53" t="s">
        <v>4332</v>
      </c>
      <c r="K725" s="53" t="s">
        <v>51</v>
      </c>
      <c r="L725" s="53" t="s">
        <v>52</v>
      </c>
      <c r="M725" s="53" t="s">
        <v>52</v>
      </c>
      <c r="N725" s="62" t="s">
        <v>4333</v>
      </c>
      <c r="O725" s="62" t="s">
        <v>44</v>
      </c>
      <c r="P725" s="62" t="s">
        <v>4523</v>
      </c>
      <c r="Q725" s="62" t="s">
        <v>4524</v>
      </c>
      <c r="R725" s="53"/>
      <c r="S725" s="53"/>
      <c r="T725" s="82"/>
      <c r="U725" s="53"/>
      <c r="V725" s="62"/>
      <c r="W725" s="64"/>
      <c r="X725" s="223"/>
      <c r="Y725" s="223"/>
      <c r="Z725" s="223"/>
      <c r="AA725" s="223"/>
    </row>
    <row r="726">
      <c r="A726" s="42">
        <f t="shared" si="3"/>
        <v>725</v>
      </c>
      <c r="B726" s="51" t="s">
        <v>41</v>
      </c>
      <c r="C726" s="53" t="s">
        <v>4528</v>
      </c>
      <c r="D726" s="42" t="s">
        <v>44</v>
      </c>
      <c r="E726" s="42" t="s">
        <v>44</v>
      </c>
      <c r="F726" s="53" t="s">
        <v>4331</v>
      </c>
      <c r="G726" s="53" t="s">
        <v>47</v>
      </c>
      <c r="H726" s="53" t="s">
        <v>48</v>
      </c>
      <c r="I726" s="53" t="s">
        <v>485</v>
      </c>
      <c r="J726" s="53" t="s">
        <v>4332</v>
      </c>
      <c r="K726" s="53" t="s">
        <v>51</v>
      </c>
      <c r="L726" s="53" t="s">
        <v>52</v>
      </c>
      <c r="M726" s="53" t="s">
        <v>52</v>
      </c>
      <c r="N726" s="62" t="s">
        <v>4333</v>
      </c>
      <c r="O726" s="62" t="s">
        <v>44</v>
      </c>
      <c r="P726" s="62" t="s">
        <v>4529</v>
      </c>
      <c r="Q726" s="62" t="s">
        <v>4530</v>
      </c>
      <c r="R726" s="53"/>
      <c r="S726" s="53"/>
      <c r="T726" s="82"/>
      <c r="U726" s="42"/>
      <c r="V726" s="62"/>
      <c r="W726" s="64"/>
      <c r="X726" s="223"/>
      <c r="Y726" s="223"/>
      <c r="Z726" s="223"/>
      <c r="AA726" s="223"/>
    </row>
    <row r="727">
      <c r="A727" s="42">
        <f t="shared" si="3"/>
        <v>726</v>
      </c>
      <c r="B727" s="51" t="s">
        <v>41</v>
      </c>
      <c r="C727" s="53" t="s">
        <v>4534</v>
      </c>
      <c r="D727" s="42" t="s">
        <v>44</v>
      </c>
      <c r="E727" s="42" t="s">
        <v>44</v>
      </c>
      <c r="F727" s="53" t="s">
        <v>4331</v>
      </c>
      <c r="G727" s="53" t="s">
        <v>47</v>
      </c>
      <c r="H727" s="53" t="s">
        <v>95</v>
      </c>
      <c r="I727" s="53" t="s">
        <v>485</v>
      </c>
      <c r="J727" s="53" t="s">
        <v>4332</v>
      </c>
      <c r="K727" s="53" t="s">
        <v>51</v>
      </c>
      <c r="L727" s="53" t="s">
        <v>52</v>
      </c>
      <c r="M727" s="53" t="s">
        <v>52</v>
      </c>
      <c r="N727" s="62" t="s">
        <v>4535</v>
      </c>
      <c r="O727" s="62" t="s">
        <v>44</v>
      </c>
      <c r="P727" s="62" t="s">
        <v>4536</v>
      </c>
      <c r="Q727" s="62" t="s">
        <v>4537</v>
      </c>
      <c r="R727" s="53"/>
      <c r="S727" s="53"/>
      <c r="T727" s="82"/>
      <c r="U727" s="42"/>
      <c r="V727" s="62"/>
      <c r="W727" s="64"/>
      <c r="X727" s="223"/>
      <c r="Y727" s="223"/>
      <c r="Z727" s="223"/>
      <c r="AA727" s="223"/>
    </row>
    <row r="728">
      <c r="A728" s="42">
        <f t="shared" si="3"/>
        <v>727</v>
      </c>
      <c r="B728" s="51" t="s">
        <v>41</v>
      </c>
      <c r="C728" s="53" t="s">
        <v>4541</v>
      </c>
      <c r="D728" s="42" t="s">
        <v>44</v>
      </c>
      <c r="E728" s="42" t="s">
        <v>44</v>
      </c>
      <c r="F728" s="53" t="s">
        <v>4331</v>
      </c>
      <c r="G728" s="53" t="s">
        <v>47</v>
      </c>
      <c r="H728" s="53" t="s">
        <v>48</v>
      </c>
      <c r="I728" s="53" t="s">
        <v>485</v>
      </c>
      <c r="J728" s="53" t="s">
        <v>4332</v>
      </c>
      <c r="K728" s="53" t="s">
        <v>51</v>
      </c>
      <c r="L728" s="53" t="s">
        <v>52</v>
      </c>
      <c r="M728" s="53" t="s">
        <v>52</v>
      </c>
      <c r="N728" s="62" t="s">
        <v>4446</v>
      </c>
      <c r="O728" s="62" t="s">
        <v>44</v>
      </c>
      <c r="P728" s="62" t="s">
        <v>4542</v>
      </c>
      <c r="Q728" s="62" t="s">
        <v>4543</v>
      </c>
      <c r="R728" s="53"/>
      <c r="S728" s="53"/>
      <c r="T728" s="82"/>
      <c r="U728" s="42"/>
      <c r="V728" s="62"/>
      <c r="W728" s="64"/>
      <c r="X728" s="223"/>
      <c r="Y728" s="223"/>
      <c r="Z728" s="223"/>
      <c r="AA728" s="223"/>
    </row>
    <row r="729">
      <c r="A729" s="42">
        <f t="shared" si="3"/>
        <v>728</v>
      </c>
      <c r="B729" s="51" t="s">
        <v>41</v>
      </c>
      <c r="C729" s="53" t="s">
        <v>4546</v>
      </c>
      <c r="D729" s="42" t="s">
        <v>44</v>
      </c>
      <c r="E729" s="42" t="s">
        <v>44</v>
      </c>
      <c r="F729" s="53" t="s">
        <v>4331</v>
      </c>
      <c r="G729" s="53" t="s">
        <v>47</v>
      </c>
      <c r="H729" s="53" t="s">
        <v>48</v>
      </c>
      <c r="I729" s="53" t="s">
        <v>485</v>
      </c>
      <c r="J729" s="53" t="s">
        <v>4332</v>
      </c>
      <c r="K729" s="53" t="s">
        <v>51</v>
      </c>
      <c r="L729" s="53" t="s">
        <v>52</v>
      </c>
      <c r="M729" s="53" t="s">
        <v>52</v>
      </c>
      <c r="N729" s="62" t="s">
        <v>4446</v>
      </c>
      <c r="O729" s="62" t="s">
        <v>44</v>
      </c>
      <c r="P729" s="62" t="s">
        <v>4547</v>
      </c>
      <c r="Q729" s="62" t="s">
        <v>4548</v>
      </c>
      <c r="R729" s="53"/>
      <c r="S729" s="53"/>
      <c r="T729" s="82"/>
      <c r="U729" s="42"/>
      <c r="V729" s="62"/>
      <c r="W729" s="64"/>
      <c r="X729" s="223"/>
      <c r="Y729" s="223"/>
      <c r="Z729" s="223"/>
      <c r="AA729" s="223"/>
    </row>
    <row r="730">
      <c r="A730" s="42">
        <f t="shared" si="3"/>
        <v>729</v>
      </c>
      <c r="B730" s="51" t="s">
        <v>41</v>
      </c>
      <c r="C730" s="53" t="s">
        <v>4551</v>
      </c>
      <c r="D730" s="42" t="s">
        <v>44</v>
      </c>
      <c r="E730" s="42" t="s">
        <v>44</v>
      </c>
      <c r="F730" s="53" t="s">
        <v>4331</v>
      </c>
      <c r="G730" s="53" t="s">
        <v>47</v>
      </c>
      <c r="H730" s="53" t="s">
        <v>48</v>
      </c>
      <c r="I730" s="53" t="s">
        <v>485</v>
      </c>
      <c r="J730" s="53" t="s">
        <v>4332</v>
      </c>
      <c r="K730" s="53" t="s">
        <v>51</v>
      </c>
      <c r="L730" s="53" t="s">
        <v>52</v>
      </c>
      <c r="M730" s="53" t="s">
        <v>52</v>
      </c>
      <c r="N730" s="62" t="s">
        <v>4552</v>
      </c>
      <c r="O730" s="62" t="s">
        <v>44</v>
      </c>
      <c r="P730" s="62" t="s">
        <v>4553</v>
      </c>
      <c r="Q730" s="62" t="s">
        <v>4554</v>
      </c>
      <c r="R730" s="53"/>
      <c r="S730" s="53"/>
      <c r="T730" s="82"/>
      <c r="U730" s="42"/>
      <c r="V730" s="62"/>
      <c r="W730" s="64"/>
      <c r="X730" s="223"/>
      <c r="Y730" s="223"/>
      <c r="Z730" s="223"/>
      <c r="AA730" s="223"/>
    </row>
    <row r="731">
      <c r="A731" s="42">
        <f t="shared" si="3"/>
        <v>730</v>
      </c>
      <c r="B731" s="51" t="s">
        <v>41</v>
      </c>
      <c r="C731" s="53" t="s">
        <v>4557</v>
      </c>
      <c r="D731" s="42" t="s">
        <v>44</v>
      </c>
      <c r="E731" s="42" t="s">
        <v>44</v>
      </c>
      <c r="F731" s="53" t="s">
        <v>4331</v>
      </c>
      <c r="G731" s="53" t="s">
        <v>47</v>
      </c>
      <c r="H731" s="53" t="s">
        <v>48</v>
      </c>
      <c r="I731" s="53" t="s">
        <v>485</v>
      </c>
      <c r="J731" s="53" t="s">
        <v>4332</v>
      </c>
      <c r="K731" s="53" t="s">
        <v>51</v>
      </c>
      <c r="L731" s="53" t="s">
        <v>52</v>
      </c>
      <c r="M731" s="53" t="s">
        <v>52</v>
      </c>
      <c r="N731" s="62" t="s">
        <v>4558</v>
      </c>
      <c r="O731" s="62" t="s">
        <v>44</v>
      </c>
      <c r="P731" s="62" t="s">
        <v>4559</v>
      </c>
      <c r="Q731" s="62" t="s">
        <v>4560</v>
      </c>
      <c r="R731" s="53"/>
      <c r="S731" s="53"/>
      <c r="T731" s="82"/>
      <c r="U731" s="42"/>
      <c r="V731" s="62"/>
      <c r="W731" s="64"/>
      <c r="X731" s="223"/>
      <c r="Y731" s="223"/>
      <c r="Z731" s="223"/>
      <c r="AA731" s="223"/>
    </row>
    <row r="732">
      <c r="A732" s="42">
        <f t="shared" si="3"/>
        <v>731</v>
      </c>
      <c r="B732" s="51" t="s">
        <v>41</v>
      </c>
      <c r="C732" s="53" t="s">
        <v>4563</v>
      </c>
      <c r="D732" s="42" t="s">
        <v>44</v>
      </c>
      <c r="E732" s="42" t="s">
        <v>44</v>
      </c>
      <c r="F732" s="53" t="s">
        <v>4331</v>
      </c>
      <c r="G732" s="53" t="s">
        <v>47</v>
      </c>
      <c r="H732" s="53" t="s">
        <v>95</v>
      </c>
      <c r="I732" s="53" t="s">
        <v>485</v>
      </c>
      <c r="J732" s="53" t="s">
        <v>4332</v>
      </c>
      <c r="K732" s="53" t="s">
        <v>51</v>
      </c>
      <c r="L732" s="53" t="s">
        <v>52</v>
      </c>
      <c r="M732" s="53" t="s">
        <v>52</v>
      </c>
      <c r="N732" s="62" t="s">
        <v>4564</v>
      </c>
      <c r="O732" s="62" t="s">
        <v>44</v>
      </c>
      <c r="P732" s="62" t="s">
        <v>4565</v>
      </c>
      <c r="Q732" s="62" t="s">
        <v>4566</v>
      </c>
      <c r="R732" s="53"/>
      <c r="S732" s="53"/>
      <c r="T732" s="82"/>
      <c r="U732" s="42"/>
      <c r="V732" s="62"/>
      <c r="W732" s="64"/>
      <c r="X732" s="223"/>
      <c r="Y732" s="223"/>
      <c r="Z732" s="223"/>
      <c r="AA732" s="223"/>
    </row>
    <row r="733">
      <c r="A733" s="42">
        <f t="shared" si="3"/>
        <v>732</v>
      </c>
      <c r="B733" s="51" t="s">
        <v>41</v>
      </c>
      <c r="C733" s="53" t="s">
        <v>4569</v>
      </c>
      <c r="D733" s="42" t="s">
        <v>44</v>
      </c>
      <c r="E733" s="42" t="s">
        <v>44</v>
      </c>
      <c r="F733" s="53" t="s">
        <v>4331</v>
      </c>
      <c r="G733" s="53" t="s">
        <v>47</v>
      </c>
      <c r="H733" s="53" t="s">
        <v>48</v>
      </c>
      <c r="I733" s="53" t="s">
        <v>485</v>
      </c>
      <c r="J733" s="53" t="s">
        <v>4332</v>
      </c>
      <c r="K733" s="53" t="s">
        <v>51</v>
      </c>
      <c r="L733" s="53" t="s">
        <v>52</v>
      </c>
      <c r="M733" s="53" t="s">
        <v>52</v>
      </c>
      <c r="N733" s="62" t="s">
        <v>4446</v>
      </c>
      <c r="O733" s="62" t="s">
        <v>44</v>
      </c>
      <c r="P733" s="62" t="s">
        <v>4570</v>
      </c>
      <c r="Q733" s="62" t="s">
        <v>4571</v>
      </c>
      <c r="R733" s="53"/>
      <c r="S733" s="53"/>
      <c r="T733" s="82"/>
      <c r="U733" s="53"/>
      <c r="V733" s="62"/>
      <c r="W733" s="64"/>
      <c r="X733" s="223"/>
      <c r="Y733" s="223"/>
      <c r="Z733" s="223"/>
      <c r="AA733" s="223"/>
    </row>
    <row r="734">
      <c r="A734" s="42">
        <f t="shared" si="3"/>
        <v>733</v>
      </c>
      <c r="B734" s="51" t="s">
        <v>41</v>
      </c>
      <c r="C734" s="53" t="s">
        <v>4574</v>
      </c>
      <c r="D734" s="42" t="s">
        <v>44</v>
      </c>
      <c r="E734" s="42" t="s">
        <v>44</v>
      </c>
      <c r="F734" s="53" t="s">
        <v>4331</v>
      </c>
      <c r="G734" s="53" t="s">
        <v>47</v>
      </c>
      <c r="H734" s="53" t="s">
        <v>48</v>
      </c>
      <c r="I734" s="53" t="s">
        <v>485</v>
      </c>
      <c r="J734" s="53" t="s">
        <v>4332</v>
      </c>
      <c r="K734" s="53" t="s">
        <v>51</v>
      </c>
      <c r="L734" s="53" t="s">
        <v>52</v>
      </c>
      <c r="M734" s="53" t="s">
        <v>52</v>
      </c>
      <c r="N734" s="62" t="s">
        <v>4575</v>
      </c>
      <c r="O734" s="62" t="s">
        <v>44</v>
      </c>
      <c r="P734" s="62" t="s">
        <v>4576</v>
      </c>
      <c r="Q734" s="62" t="s">
        <v>4577</v>
      </c>
      <c r="R734" s="53"/>
      <c r="S734" s="53"/>
      <c r="T734" s="82"/>
      <c r="U734" s="42"/>
      <c r="V734" s="62"/>
      <c r="W734" s="64"/>
      <c r="X734" s="223"/>
      <c r="Y734" s="223"/>
      <c r="Z734" s="223"/>
      <c r="AA734" s="223"/>
    </row>
    <row r="735">
      <c r="A735" s="42">
        <f t="shared" si="3"/>
        <v>734</v>
      </c>
      <c r="B735" s="51" t="s">
        <v>41</v>
      </c>
      <c r="C735" s="53" t="s">
        <v>4580</v>
      </c>
      <c r="D735" s="42" t="s">
        <v>44</v>
      </c>
      <c r="E735" s="42" t="s">
        <v>44</v>
      </c>
      <c r="F735" s="53" t="s">
        <v>4331</v>
      </c>
      <c r="G735" s="53" t="s">
        <v>47</v>
      </c>
      <c r="H735" s="53" t="s">
        <v>48</v>
      </c>
      <c r="I735" s="53" t="s">
        <v>485</v>
      </c>
      <c r="J735" s="53" t="s">
        <v>4332</v>
      </c>
      <c r="K735" s="53" t="s">
        <v>51</v>
      </c>
      <c r="L735" s="53" t="s">
        <v>52</v>
      </c>
      <c r="M735" s="53" t="s">
        <v>52</v>
      </c>
      <c r="N735" s="62" t="s">
        <v>4581</v>
      </c>
      <c r="O735" s="62" t="s">
        <v>44</v>
      </c>
      <c r="P735" s="62" t="s">
        <v>4582</v>
      </c>
      <c r="Q735" s="62" t="s">
        <v>4583</v>
      </c>
      <c r="R735" s="53"/>
      <c r="S735" s="53"/>
      <c r="T735" s="82"/>
      <c r="U735" s="42"/>
      <c r="V735" s="62"/>
      <c r="W735" s="64"/>
      <c r="X735" s="223"/>
      <c r="Y735" s="223"/>
      <c r="Z735" s="223"/>
      <c r="AA735" s="223"/>
    </row>
    <row r="736">
      <c r="A736" s="42">
        <f t="shared" si="3"/>
        <v>735</v>
      </c>
      <c r="B736" s="51" t="s">
        <v>41</v>
      </c>
      <c r="C736" s="53" t="s">
        <v>4586</v>
      </c>
      <c r="D736" s="42" t="s">
        <v>44</v>
      </c>
      <c r="E736" s="42" t="s">
        <v>44</v>
      </c>
      <c r="F736" s="53" t="s">
        <v>4331</v>
      </c>
      <c r="G736" s="53" t="s">
        <v>47</v>
      </c>
      <c r="H736" s="53" t="s">
        <v>48</v>
      </c>
      <c r="I736" s="53" t="s">
        <v>485</v>
      </c>
      <c r="J736" s="53" t="s">
        <v>4332</v>
      </c>
      <c r="K736" s="53" t="s">
        <v>51</v>
      </c>
      <c r="L736" s="53" t="s">
        <v>52</v>
      </c>
      <c r="M736" s="53" t="s">
        <v>52</v>
      </c>
      <c r="N736" s="62" t="s">
        <v>4446</v>
      </c>
      <c r="O736" s="62" t="s">
        <v>44</v>
      </c>
      <c r="P736" s="62" t="s">
        <v>4587</v>
      </c>
      <c r="Q736" s="62" t="s">
        <v>4588</v>
      </c>
      <c r="R736" s="53"/>
      <c r="S736" s="53"/>
      <c r="T736" s="82"/>
      <c r="U736" s="42"/>
      <c r="V736" s="62"/>
      <c r="W736" s="64"/>
      <c r="X736" s="223"/>
      <c r="Y736" s="223"/>
      <c r="Z736" s="223"/>
      <c r="AA736" s="223"/>
    </row>
    <row r="737">
      <c r="A737" s="42">
        <f t="shared" si="3"/>
        <v>736</v>
      </c>
      <c r="B737" s="51" t="s">
        <v>41</v>
      </c>
      <c r="C737" s="53" t="s">
        <v>4592</v>
      </c>
      <c r="D737" s="42" t="s">
        <v>44</v>
      </c>
      <c r="E737" s="42" t="s">
        <v>44</v>
      </c>
      <c r="F737" s="53" t="s">
        <v>4331</v>
      </c>
      <c r="G737" s="53" t="s">
        <v>47</v>
      </c>
      <c r="H737" s="53" t="s">
        <v>48</v>
      </c>
      <c r="I737" s="53" t="s">
        <v>485</v>
      </c>
      <c r="J737" s="53" t="s">
        <v>4332</v>
      </c>
      <c r="K737" s="53" t="s">
        <v>51</v>
      </c>
      <c r="L737" s="53" t="s">
        <v>52</v>
      </c>
      <c r="M737" s="53" t="s">
        <v>52</v>
      </c>
      <c r="N737" s="62" t="s">
        <v>4593</v>
      </c>
      <c r="O737" s="62" t="s">
        <v>44</v>
      </c>
      <c r="P737" s="62" t="s">
        <v>4594</v>
      </c>
      <c r="Q737" s="62" t="s">
        <v>4595</v>
      </c>
      <c r="R737" s="53"/>
      <c r="S737" s="53"/>
      <c r="T737" s="82"/>
      <c r="U737" s="42"/>
      <c r="V737" s="62"/>
      <c r="W737" s="64"/>
      <c r="X737" s="223"/>
      <c r="Y737" s="223"/>
      <c r="Z737" s="223"/>
      <c r="AA737" s="223"/>
    </row>
    <row r="738">
      <c r="A738" s="42">
        <f t="shared" si="3"/>
        <v>737</v>
      </c>
      <c r="B738" s="51" t="s">
        <v>41</v>
      </c>
      <c r="C738" s="53" t="s">
        <v>4599</v>
      </c>
      <c r="D738" s="42" t="s">
        <v>44</v>
      </c>
      <c r="E738" s="42" t="s">
        <v>44</v>
      </c>
      <c r="F738" s="53" t="s">
        <v>4331</v>
      </c>
      <c r="G738" s="53" t="s">
        <v>47</v>
      </c>
      <c r="H738" s="53" t="s">
        <v>48</v>
      </c>
      <c r="I738" s="53" t="s">
        <v>485</v>
      </c>
      <c r="J738" s="53" t="s">
        <v>4332</v>
      </c>
      <c r="K738" s="53" t="s">
        <v>51</v>
      </c>
      <c r="L738" s="53" t="s">
        <v>52</v>
      </c>
      <c r="M738" s="53" t="s">
        <v>52</v>
      </c>
      <c r="N738" s="62" t="s">
        <v>4446</v>
      </c>
      <c r="O738" s="62" t="s">
        <v>44</v>
      </c>
      <c r="P738" s="62" t="s">
        <v>4600</v>
      </c>
      <c r="Q738" s="62" t="s">
        <v>4601</v>
      </c>
      <c r="R738" s="53"/>
      <c r="S738" s="53"/>
      <c r="T738" s="82"/>
      <c r="U738" s="42"/>
      <c r="V738" s="62"/>
      <c r="W738" s="64"/>
      <c r="X738" s="223"/>
      <c r="Y738" s="223"/>
      <c r="Z738" s="223"/>
      <c r="AA738" s="223"/>
    </row>
    <row r="739">
      <c r="A739" s="42">
        <f t="shared" si="3"/>
        <v>738</v>
      </c>
      <c r="B739" s="51" t="s">
        <v>41</v>
      </c>
      <c r="C739" s="53" t="s">
        <v>4604</v>
      </c>
      <c r="D739" s="42" t="s">
        <v>44</v>
      </c>
      <c r="E739" s="42" t="s">
        <v>44</v>
      </c>
      <c r="F739" s="53" t="s">
        <v>4331</v>
      </c>
      <c r="G739" s="53" t="s">
        <v>47</v>
      </c>
      <c r="H739" s="53" t="s">
        <v>48</v>
      </c>
      <c r="I739" s="53" t="s">
        <v>485</v>
      </c>
      <c r="J739" s="53" t="s">
        <v>4332</v>
      </c>
      <c r="K739" s="53" t="s">
        <v>51</v>
      </c>
      <c r="L739" s="53" t="s">
        <v>52</v>
      </c>
      <c r="M739" s="53" t="s">
        <v>52</v>
      </c>
      <c r="N739" s="62" t="s">
        <v>4446</v>
      </c>
      <c r="O739" s="62" t="s">
        <v>44</v>
      </c>
      <c r="P739" s="62" t="s">
        <v>4605</v>
      </c>
      <c r="Q739" s="62" t="s">
        <v>4606</v>
      </c>
      <c r="R739" s="53"/>
      <c r="S739" s="53"/>
      <c r="T739" s="82"/>
      <c r="U739" s="42"/>
      <c r="V739" s="62"/>
      <c r="W739" s="64"/>
      <c r="X739" s="223"/>
      <c r="Y739" s="223"/>
      <c r="Z739" s="223"/>
      <c r="AA739" s="223"/>
    </row>
    <row r="740">
      <c r="A740" s="42">
        <f t="shared" si="3"/>
        <v>739</v>
      </c>
      <c r="B740" s="51" t="s">
        <v>41</v>
      </c>
      <c r="C740" s="53" t="s">
        <v>4610</v>
      </c>
      <c r="D740" s="42" t="s">
        <v>44</v>
      </c>
      <c r="E740" s="42" t="s">
        <v>44</v>
      </c>
      <c r="F740" s="53" t="s">
        <v>4331</v>
      </c>
      <c r="G740" s="53" t="s">
        <v>47</v>
      </c>
      <c r="H740" s="53" t="s">
        <v>48</v>
      </c>
      <c r="I740" s="53" t="s">
        <v>485</v>
      </c>
      <c r="J740" s="53" t="s">
        <v>4332</v>
      </c>
      <c r="K740" s="53" t="s">
        <v>51</v>
      </c>
      <c r="L740" s="53" t="s">
        <v>52</v>
      </c>
      <c r="M740" s="53" t="s">
        <v>52</v>
      </c>
      <c r="N740" s="62" t="s">
        <v>4611</v>
      </c>
      <c r="O740" s="62" t="s">
        <v>44</v>
      </c>
      <c r="P740" s="62" t="s">
        <v>4612</v>
      </c>
      <c r="Q740" s="62" t="s">
        <v>4613</v>
      </c>
      <c r="R740" s="53"/>
      <c r="S740" s="53"/>
      <c r="T740" s="82"/>
      <c r="U740" s="42"/>
      <c r="V740" s="62"/>
      <c r="W740" s="64"/>
      <c r="X740" s="223"/>
      <c r="Y740" s="223"/>
      <c r="Z740" s="223"/>
      <c r="AA740" s="223"/>
    </row>
    <row r="741">
      <c r="A741" s="42">
        <f t="shared" si="3"/>
        <v>740</v>
      </c>
      <c r="B741" s="51" t="s">
        <v>41</v>
      </c>
      <c r="C741" s="53" t="s">
        <v>4617</v>
      </c>
      <c r="D741" s="42" t="s">
        <v>44</v>
      </c>
      <c r="E741" s="42" t="s">
        <v>44</v>
      </c>
      <c r="F741" s="53" t="s">
        <v>4331</v>
      </c>
      <c r="G741" s="53" t="s">
        <v>47</v>
      </c>
      <c r="H741" s="53" t="s">
        <v>48</v>
      </c>
      <c r="I741" s="53" t="s">
        <v>485</v>
      </c>
      <c r="J741" s="53" t="s">
        <v>4332</v>
      </c>
      <c r="K741" s="53" t="s">
        <v>51</v>
      </c>
      <c r="L741" s="53" t="s">
        <v>52</v>
      </c>
      <c r="M741" s="53" t="s">
        <v>52</v>
      </c>
      <c r="N741" s="62" t="s">
        <v>4593</v>
      </c>
      <c r="O741" s="62" t="s">
        <v>44</v>
      </c>
      <c r="P741" s="62" t="s">
        <v>4618</v>
      </c>
      <c r="Q741" s="62" t="s">
        <v>4619</v>
      </c>
      <c r="R741" s="53"/>
      <c r="S741" s="53"/>
      <c r="T741" s="82"/>
      <c r="U741" s="53"/>
      <c r="V741" s="62"/>
      <c r="W741" s="64"/>
      <c r="X741" s="223"/>
      <c r="Y741" s="223"/>
      <c r="Z741" s="223"/>
      <c r="AA741" s="223"/>
    </row>
    <row r="742">
      <c r="A742" s="42">
        <f t="shared" si="3"/>
        <v>741</v>
      </c>
      <c r="B742" s="51" t="s">
        <v>41</v>
      </c>
      <c r="C742" s="53" t="s">
        <v>4623</v>
      </c>
      <c r="D742" s="42" t="s">
        <v>44</v>
      </c>
      <c r="E742" s="42" t="s">
        <v>44</v>
      </c>
      <c r="F742" s="53" t="s">
        <v>4331</v>
      </c>
      <c r="G742" s="53" t="s">
        <v>47</v>
      </c>
      <c r="H742" s="53" t="s">
        <v>95</v>
      </c>
      <c r="I742" s="53" t="s">
        <v>485</v>
      </c>
      <c r="J742" s="53" t="s">
        <v>4332</v>
      </c>
      <c r="K742" s="53" t="s">
        <v>51</v>
      </c>
      <c r="L742" s="53" t="s">
        <v>52</v>
      </c>
      <c r="M742" s="53" t="s">
        <v>52</v>
      </c>
      <c r="N742" s="62" t="s">
        <v>4624</v>
      </c>
      <c r="O742" s="62" t="s">
        <v>44</v>
      </c>
      <c r="P742" s="62" t="s">
        <v>4625</v>
      </c>
      <c r="Q742" s="62" t="s">
        <v>4626</v>
      </c>
      <c r="R742" s="53"/>
      <c r="S742" s="53"/>
      <c r="T742" s="82"/>
      <c r="U742" s="42"/>
      <c r="V742" s="62"/>
      <c r="W742" s="64"/>
      <c r="X742" s="223"/>
      <c r="Y742" s="223"/>
      <c r="Z742" s="223"/>
      <c r="AA742" s="223"/>
    </row>
    <row r="743">
      <c r="A743" s="42">
        <f t="shared" si="3"/>
        <v>742</v>
      </c>
      <c r="B743" s="51" t="s">
        <v>41</v>
      </c>
      <c r="C743" s="53" t="s">
        <v>4630</v>
      </c>
      <c r="D743" s="42" t="s">
        <v>44</v>
      </c>
      <c r="E743" s="42" t="s">
        <v>44</v>
      </c>
      <c r="F743" s="53" t="s">
        <v>4331</v>
      </c>
      <c r="G743" s="53" t="s">
        <v>47</v>
      </c>
      <c r="H743" s="53" t="s">
        <v>48</v>
      </c>
      <c r="I743" s="53" t="s">
        <v>485</v>
      </c>
      <c r="J743" s="53" t="s">
        <v>4332</v>
      </c>
      <c r="K743" s="53" t="s">
        <v>51</v>
      </c>
      <c r="L743" s="53" t="s">
        <v>52</v>
      </c>
      <c r="M743" s="53" t="s">
        <v>52</v>
      </c>
      <c r="N743" s="62" t="s">
        <v>4631</v>
      </c>
      <c r="O743" s="62" t="s">
        <v>44</v>
      </c>
      <c r="P743" s="62" t="s">
        <v>4632</v>
      </c>
      <c r="Q743" s="62" t="s">
        <v>4633</v>
      </c>
      <c r="R743" s="53"/>
      <c r="S743" s="53"/>
      <c r="T743" s="82"/>
      <c r="U743" s="42"/>
      <c r="V743" s="62"/>
      <c r="W743" s="64"/>
      <c r="X743" s="223"/>
      <c r="Y743" s="223"/>
      <c r="Z743" s="223"/>
      <c r="AA743" s="223"/>
    </row>
    <row r="744">
      <c r="A744" s="42">
        <f t="shared" si="3"/>
        <v>743</v>
      </c>
      <c r="B744" s="51" t="s">
        <v>41</v>
      </c>
      <c r="C744" s="53" t="s">
        <v>4637</v>
      </c>
      <c r="D744" s="42" t="s">
        <v>44</v>
      </c>
      <c r="E744" s="42" t="s">
        <v>44</v>
      </c>
      <c r="F744" s="53" t="s">
        <v>4331</v>
      </c>
      <c r="G744" s="53" t="s">
        <v>47</v>
      </c>
      <c r="H744" s="53" t="s">
        <v>48</v>
      </c>
      <c r="I744" s="53" t="s">
        <v>485</v>
      </c>
      <c r="J744" s="53" t="s">
        <v>4332</v>
      </c>
      <c r="K744" s="53" t="s">
        <v>51</v>
      </c>
      <c r="L744" s="53" t="s">
        <v>52</v>
      </c>
      <c r="M744" s="53" t="s">
        <v>52</v>
      </c>
      <c r="N744" s="62" t="s">
        <v>4631</v>
      </c>
      <c r="O744" s="62" t="s">
        <v>44</v>
      </c>
      <c r="P744" s="62" t="s">
        <v>4638</v>
      </c>
      <c r="Q744" s="62" t="s">
        <v>4639</v>
      </c>
      <c r="R744" s="53"/>
      <c r="S744" s="53"/>
      <c r="T744" s="82"/>
      <c r="U744" s="42"/>
      <c r="V744" s="62"/>
      <c r="W744" s="64"/>
      <c r="X744" s="223"/>
      <c r="Y744" s="223"/>
      <c r="Z744" s="223"/>
      <c r="AA744" s="223"/>
    </row>
    <row r="745">
      <c r="A745" s="42">
        <f t="shared" si="3"/>
        <v>744</v>
      </c>
      <c r="B745" s="51" t="s">
        <v>41</v>
      </c>
      <c r="C745" s="53" t="s">
        <v>4642</v>
      </c>
      <c r="D745" s="42" t="s">
        <v>44</v>
      </c>
      <c r="E745" s="42" t="s">
        <v>44</v>
      </c>
      <c r="F745" s="53" t="s">
        <v>4331</v>
      </c>
      <c r="G745" s="53" t="s">
        <v>85</v>
      </c>
      <c r="H745" s="53" t="s">
        <v>86</v>
      </c>
      <c r="I745" s="53" t="s">
        <v>485</v>
      </c>
      <c r="J745" s="53" t="s">
        <v>4332</v>
      </c>
      <c r="K745" s="53" t="s">
        <v>51</v>
      </c>
      <c r="L745" s="53" t="s">
        <v>52</v>
      </c>
      <c r="M745" s="53" t="s">
        <v>52</v>
      </c>
      <c r="N745" s="62" t="s">
        <v>4643</v>
      </c>
      <c r="O745" s="62" t="s">
        <v>44</v>
      </c>
      <c r="P745" s="62" t="s">
        <v>4632</v>
      </c>
      <c r="Q745" s="62" t="s">
        <v>4644</v>
      </c>
      <c r="R745" s="53"/>
      <c r="S745" s="53"/>
      <c r="T745" s="82"/>
      <c r="U745" s="42"/>
      <c r="V745" s="62"/>
      <c r="W745" s="64"/>
      <c r="X745" s="223"/>
      <c r="Y745" s="223"/>
      <c r="Z745" s="223"/>
      <c r="AA745" s="223"/>
    </row>
    <row r="746">
      <c r="A746" s="42">
        <f t="shared" si="3"/>
        <v>745</v>
      </c>
      <c r="B746" s="51" t="s">
        <v>41</v>
      </c>
      <c r="C746" s="53" t="s">
        <v>4648</v>
      </c>
      <c r="D746" s="42" t="s">
        <v>44</v>
      </c>
      <c r="E746" s="42" t="s">
        <v>44</v>
      </c>
      <c r="F746" s="53" t="s">
        <v>4331</v>
      </c>
      <c r="G746" s="53" t="s">
        <v>197</v>
      </c>
      <c r="H746" s="53" t="s">
        <v>91</v>
      </c>
      <c r="I746" s="53" t="s">
        <v>485</v>
      </c>
      <c r="J746" s="53" t="s">
        <v>4332</v>
      </c>
      <c r="K746" s="53" t="s">
        <v>51</v>
      </c>
      <c r="L746" s="53" t="s">
        <v>52</v>
      </c>
      <c r="M746" s="53" t="s">
        <v>52</v>
      </c>
      <c r="N746" s="62" t="s">
        <v>4649</v>
      </c>
      <c r="O746" s="62" t="s">
        <v>44</v>
      </c>
      <c r="P746" s="62" t="s">
        <v>3252</v>
      </c>
      <c r="Q746" s="62" t="s">
        <v>4650</v>
      </c>
      <c r="R746" s="53"/>
      <c r="S746" s="53"/>
      <c r="T746" s="82"/>
      <c r="U746" s="42"/>
      <c r="V746" s="62"/>
      <c r="W746" s="64"/>
      <c r="X746" s="223"/>
      <c r="Y746" s="223"/>
      <c r="Z746" s="223"/>
      <c r="AA746" s="223"/>
    </row>
    <row r="747">
      <c r="A747" s="42">
        <f t="shared" si="3"/>
        <v>746</v>
      </c>
      <c r="B747" s="51" t="s">
        <v>41</v>
      </c>
      <c r="C747" s="53" t="s">
        <v>4654</v>
      </c>
      <c r="D747" s="42" t="s">
        <v>44</v>
      </c>
      <c r="E747" s="42" t="s">
        <v>44</v>
      </c>
      <c r="F747" s="53" t="s">
        <v>4331</v>
      </c>
      <c r="G747" s="53" t="s">
        <v>47</v>
      </c>
      <c r="H747" s="53" t="s">
        <v>48</v>
      </c>
      <c r="I747" s="53" t="s">
        <v>485</v>
      </c>
      <c r="J747" s="53" t="s">
        <v>4332</v>
      </c>
      <c r="K747" s="53" t="s">
        <v>51</v>
      </c>
      <c r="L747" s="53" t="s">
        <v>52</v>
      </c>
      <c r="M747" s="53" t="s">
        <v>52</v>
      </c>
      <c r="N747" s="62" t="s">
        <v>4649</v>
      </c>
      <c r="O747" s="62" t="s">
        <v>44</v>
      </c>
      <c r="P747" s="62" t="s">
        <v>4655</v>
      </c>
      <c r="Q747" s="62" t="s">
        <v>4656</v>
      </c>
      <c r="R747" s="53"/>
      <c r="S747" s="53"/>
      <c r="T747" s="82"/>
      <c r="U747" s="42"/>
      <c r="V747" s="62"/>
      <c r="W747" s="64"/>
      <c r="X747" s="223"/>
      <c r="Y747" s="223"/>
      <c r="Z747" s="223"/>
      <c r="AA747" s="223"/>
    </row>
    <row r="748">
      <c r="A748" s="42">
        <f t="shared" si="3"/>
        <v>747</v>
      </c>
      <c r="B748" s="51" t="s">
        <v>41</v>
      </c>
      <c r="C748" s="53" t="s">
        <v>4660</v>
      </c>
      <c r="D748" s="42" t="s">
        <v>44</v>
      </c>
      <c r="E748" s="42" t="s">
        <v>44</v>
      </c>
      <c r="F748" s="53" t="s">
        <v>4331</v>
      </c>
      <c r="G748" s="53" t="s">
        <v>47</v>
      </c>
      <c r="H748" s="53" t="s">
        <v>48</v>
      </c>
      <c r="I748" s="53" t="s">
        <v>485</v>
      </c>
      <c r="J748" s="53" t="s">
        <v>4332</v>
      </c>
      <c r="K748" s="53" t="s">
        <v>51</v>
      </c>
      <c r="L748" s="53" t="s">
        <v>52</v>
      </c>
      <c r="M748" s="53" t="s">
        <v>52</v>
      </c>
      <c r="N748" s="62" t="s">
        <v>4333</v>
      </c>
      <c r="O748" s="62" t="s">
        <v>44</v>
      </c>
      <c r="P748" s="62" t="s">
        <v>4661</v>
      </c>
      <c r="Q748" s="62" t="s">
        <v>4662</v>
      </c>
      <c r="R748" s="53"/>
      <c r="S748" s="53"/>
      <c r="T748" s="82"/>
      <c r="U748" s="42"/>
      <c r="V748" s="62"/>
      <c r="W748" s="64"/>
      <c r="X748" s="223"/>
      <c r="Y748" s="223"/>
      <c r="Z748" s="223"/>
      <c r="AA748" s="223"/>
    </row>
    <row r="749">
      <c r="A749" s="42">
        <f t="shared" si="3"/>
        <v>748</v>
      </c>
      <c r="B749" s="51" t="s">
        <v>41</v>
      </c>
      <c r="C749" s="53" t="s">
        <v>4666</v>
      </c>
      <c r="D749" s="42" t="s">
        <v>44</v>
      </c>
      <c r="E749" s="42" t="s">
        <v>44</v>
      </c>
      <c r="F749" s="53" t="s">
        <v>4331</v>
      </c>
      <c r="G749" s="53" t="s">
        <v>47</v>
      </c>
      <c r="H749" s="53" t="s">
        <v>48</v>
      </c>
      <c r="I749" s="53" t="s">
        <v>485</v>
      </c>
      <c r="J749" s="53" t="s">
        <v>4332</v>
      </c>
      <c r="K749" s="53" t="s">
        <v>51</v>
      </c>
      <c r="L749" s="53" t="s">
        <v>52</v>
      </c>
      <c r="M749" s="53" t="s">
        <v>52</v>
      </c>
      <c r="N749" s="62" t="s">
        <v>4333</v>
      </c>
      <c r="O749" s="62" t="s">
        <v>44</v>
      </c>
      <c r="P749" s="62" t="s">
        <v>4667</v>
      </c>
      <c r="Q749" s="62" t="s">
        <v>4668</v>
      </c>
      <c r="R749" s="53"/>
      <c r="S749" s="53"/>
      <c r="T749" s="82"/>
      <c r="U749" s="42"/>
      <c r="V749" s="62"/>
      <c r="W749" s="64"/>
      <c r="X749" s="223"/>
      <c r="Y749" s="223"/>
      <c r="Z749" s="223"/>
      <c r="AA749" s="223"/>
    </row>
    <row r="750">
      <c r="A750" s="42">
        <f t="shared" si="3"/>
        <v>749</v>
      </c>
      <c r="B750" s="51" t="s">
        <v>41</v>
      </c>
      <c r="C750" s="53" t="s">
        <v>4672</v>
      </c>
      <c r="D750" s="42" t="s">
        <v>44</v>
      </c>
      <c r="E750" s="42" t="s">
        <v>44</v>
      </c>
      <c r="F750" s="53" t="s">
        <v>4331</v>
      </c>
      <c r="G750" s="53" t="s">
        <v>47</v>
      </c>
      <c r="H750" s="53" t="s">
        <v>48</v>
      </c>
      <c r="I750" s="53" t="s">
        <v>485</v>
      </c>
      <c r="J750" s="53" t="s">
        <v>4332</v>
      </c>
      <c r="K750" s="53" t="s">
        <v>51</v>
      </c>
      <c r="L750" s="53" t="s">
        <v>52</v>
      </c>
      <c r="M750" s="53" t="s">
        <v>52</v>
      </c>
      <c r="N750" s="62" t="s">
        <v>4333</v>
      </c>
      <c r="O750" s="62" t="s">
        <v>44</v>
      </c>
      <c r="P750" s="62" t="s">
        <v>4673</v>
      </c>
      <c r="Q750" s="62" t="s">
        <v>4674</v>
      </c>
      <c r="R750" s="53"/>
      <c r="S750" s="53"/>
      <c r="T750" s="82"/>
      <c r="U750" s="42"/>
      <c r="V750" s="62"/>
      <c r="W750" s="64"/>
      <c r="X750" s="223"/>
      <c r="Y750" s="223"/>
      <c r="Z750" s="223"/>
      <c r="AA750" s="223"/>
    </row>
    <row r="751">
      <c r="A751" s="42">
        <f t="shared" si="3"/>
        <v>750</v>
      </c>
      <c r="B751" s="51" t="s">
        <v>41</v>
      </c>
      <c r="C751" s="53" t="s">
        <v>4678</v>
      </c>
      <c r="D751" s="42" t="s">
        <v>44</v>
      </c>
      <c r="E751" s="42" t="s">
        <v>44</v>
      </c>
      <c r="F751" s="53" t="s">
        <v>4679</v>
      </c>
      <c r="G751" s="53" t="s">
        <v>47</v>
      </c>
      <c r="H751" s="53" t="s">
        <v>48</v>
      </c>
      <c r="I751" s="53" t="s">
        <v>485</v>
      </c>
      <c r="J751" s="53" t="s">
        <v>4680</v>
      </c>
      <c r="K751" s="53" t="s">
        <v>51</v>
      </c>
      <c r="L751" s="53" t="s">
        <v>52</v>
      </c>
      <c r="M751" s="53" t="s">
        <v>52</v>
      </c>
      <c r="N751" s="62" t="s">
        <v>4681</v>
      </c>
      <c r="O751" s="62" t="s">
        <v>44</v>
      </c>
      <c r="P751" s="62" t="s">
        <v>934</v>
      </c>
      <c r="Q751" s="62" t="s">
        <v>3913</v>
      </c>
      <c r="R751" s="53"/>
      <c r="S751" s="53"/>
      <c r="T751" s="82"/>
      <c r="U751" s="42"/>
      <c r="V751" s="62"/>
      <c r="W751" s="64"/>
      <c r="X751" s="223"/>
      <c r="Y751" s="223"/>
      <c r="Z751" s="223"/>
      <c r="AA751" s="223"/>
    </row>
    <row r="752">
      <c r="A752" s="42">
        <f t="shared" si="3"/>
        <v>751</v>
      </c>
      <c r="B752" s="51" t="s">
        <v>41</v>
      </c>
      <c r="C752" s="53" t="s">
        <v>4684</v>
      </c>
      <c r="D752" s="42" t="s">
        <v>44</v>
      </c>
      <c r="E752" s="42" t="s">
        <v>44</v>
      </c>
      <c r="F752" s="53" t="s">
        <v>4679</v>
      </c>
      <c r="G752" s="53" t="s">
        <v>47</v>
      </c>
      <c r="H752" s="53" t="s">
        <v>48</v>
      </c>
      <c r="I752" s="53" t="s">
        <v>485</v>
      </c>
      <c r="J752" s="53" t="s">
        <v>4680</v>
      </c>
      <c r="K752" s="53" t="s">
        <v>51</v>
      </c>
      <c r="L752" s="53" t="s">
        <v>52</v>
      </c>
      <c r="M752" s="53" t="s">
        <v>52</v>
      </c>
      <c r="N752" s="62" t="s">
        <v>4681</v>
      </c>
      <c r="O752" s="62" t="s">
        <v>44</v>
      </c>
      <c r="P752" s="62" t="s">
        <v>3917</v>
      </c>
      <c r="Q752" s="62" t="s">
        <v>3918</v>
      </c>
      <c r="R752" s="53"/>
      <c r="S752" s="53"/>
      <c r="T752" s="82"/>
      <c r="U752" s="42"/>
      <c r="V752" s="62"/>
      <c r="W752" s="64"/>
      <c r="X752" s="223"/>
      <c r="Y752" s="223"/>
      <c r="Z752" s="223"/>
      <c r="AA752" s="223"/>
    </row>
    <row r="753">
      <c r="A753" s="42">
        <f t="shared" si="3"/>
        <v>752</v>
      </c>
      <c r="B753" s="51" t="s">
        <v>41</v>
      </c>
      <c r="C753" s="53" t="s">
        <v>4687</v>
      </c>
      <c r="D753" s="42" t="s">
        <v>44</v>
      </c>
      <c r="E753" s="42" t="s">
        <v>44</v>
      </c>
      <c r="F753" s="53" t="s">
        <v>4679</v>
      </c>
      <c r="G753" s="53" t="s">
        <v>47</v>
      </c>
      <c r="H753" s="53" t="s">
        <v>48</v>
      </c>
      <c r="I753" s="53" t="s">
        <v>485</v>
      </c>
      <c r="J753" s="53" t="s">
        <v>4680</v>
      </c>
      <c r="K753" s="53" t="s">
        <v>51</v>
      </c>
      <c r="L753" s="53" t="s">
        <v>52</v>
      </c>
      <c r="M753" s="53" t="s">
        <v>52</v>
      </c>
      <c r="N753" s="62" t="s">
        <v>4681</v>
      </c>
      <c r="O753" s="62" t="s">
        <v>44</v>
      </c>
      <c r="P753" s="62" t="s">
        <v>1002</v>
      </c>
      <c r="Q753" s="62" t="s">
        <v>3922</v>
      </c>
      <c r="R753" s="53"/>
      <c r="S753" s="53"/>
      <c r="T753" s="82"/>
      <c r="U753" s="42"/>
      <c r="V753" s="62"/>
      <c r="W753" s="64"/>
      <c r="X753" s="223"/>
      <c r="Y753" s="223"/>
      <c r="Z753" s="223"/>
      <c r="AA753" s="223"/>
    </row>
    <row r="754">
      <c r="A754" s="42">
        <f t="shared" si="3"/>
        <v>753</v>
      </c>
      <c r="B754" s="51" t="s">
        <v>41</v>
      </c>
      <c r="C754" s="53" t="s">
        <v>4690</v>
      </c>
      <c r="D754" s="42" t="s">
        <v>44</v>
      </c>
      <c r="E754" s="42" t="s">
        <v>44</v>
      </c>
      <c r="F754" s="53" t="s">
        <v>4679</v>
      </c>
      <c r="G754" s="53" t="s">
        <v>47</v>
      </c>
      <c r="H754" s="53" t="s">
        <v>48</v>
      </c>
      <c r="I754" s="53" t="s">
        <v>485</v>
      </c>
      <c r="J754" s="53" t="s">
        <v>4680</v>
      </c>
      <c r="K754" s="53" t="s">
        <v>51</v>
      </c>
      <c r="L754" s="53" t="s">
        <v>52</v>
      </c>
      <c r="M754" s="53" t="s">
        <v>52</v>
      </c>
      <c r="N754" s="62" t="s">
        <v>4681</v>
      </c>
      <c r="O754" s="62" t="s">
        <v>44</v>
      </c>
      <c r="P754" s="62" t="s">
        <v>1009</v>
      </c>
      <c r="Q754" s="62" t="s">
        <v>4691</v>
      </c>
      <c r="R754" s="53"/>
      <c r="S754" s="53"/>
      <c r="T754" s="82"/>
      <c r="U754" s="53"/>
      <c r="V754" s="62"/>
      <c r="W754" s="64"/>
      <c r="X754" s="223"/>
      <c r="Y754" s="223"/>
      <c r="Z754" s="223"/>
      <c r="AA754" s="223"/>
    </row>
    <row r="755">
      <c r="A755" s="42">
        <f t="shared" si="3"/>
        <v>754</v>
      </c>
      <c r="B755" s="51" t="s">
        <v>41</v>
      </c>
      <c r="C755" s="53" t="s">
        <v>4694</v>
      </c>
      <c r="D755" s="42" t="s">
        <v>44</v>
      </c>
      <c r="E755" s="42" t="s">
        <v>44</v>
      </c>
      <c r="F755" s="53" t="s">
        <v>4679</v>
      </c>
      <c r="G755" s="53" t="s">
        <v>47</v>
      </c>
      <c r="H755" s="53" t="s">
        <v>48</v>
      </c>
      <c r="I755" s="53" t="s">
        <v>485</v>
      </c>
      <c r="J755" s="53" t="s">
        <v>4680</v>
      </c>
      <c r="K755" s="53" t="s">
        <v>51</v>
      </c>
      <c r="L755" s="53" t="s">
        <v>52</v>
      </c>
      <c r="M755" s="53" t="s">
        <v>52</v>
      </c>
      <c r="N755" s="62" t="s">
        <v>4681</v>
      </c>
      <c r="O755" s="62" t="s">
        <v>44</v>
      </c>
      <c r="P755" s="62" t="s">
        <v>1637</v>
      </c>
      <c r="Q755" s="62" t="s">
        <v>4348</v>
      </c>
      <c r="R755" s="53"/>
      <c r="S755" s="53"/>
      <c r="T755" s="82"/>
      <c r="U755" s="42"/>
      <c r="V755" s="62"/>
      <c r="W755" s="64"/>
      <c r="X755" s="223"/>
      <c r="Y755" s="223"/>
      <c r="Z755" s="223"/>
      <c r="AA755" s="223"/>
    </row>
    <row r="756">
      <c r="A756" s="42">
        <f t="shared" si="3"/>
        <v>755</v>
      </c>
      <c r="B756" s="51" t="s">
        <v>41</v>
      </c>
      <c r="C756" s="53" t="s">
        <v>4697</v>
      </c>
      <c r="D756" s="42" t="s">
        <v>44</v>
      </c>
      <c r="E756" s="42" t="s">
        <v>44</v>
      </c>
      <c r="F756" s="53" t="s">
        <v>4679</v>
      </c>
      <c r="G756" s="53" t="s">
        <v>47</v>
      </c>
      <c r="H756" s="53" t="s">
        <v>48</v>
      </c>
      <c r="I756" s="53" t="s">
        <v>485</v>
      </c>
      <c r="J756" s="53" t="s">
        <v>4680</v>
      </c>
      <c r="K756" s="53" t="s">
        <v>51</v>
      </c>
      <c r="L756" s="53" t="s">
        <v>52</v>
      </c>
      <c r="M756" s="53" t="s">
        <v>52</v>
      </c>
      <c r="N756" s="62" t="s">
        <v>4681</v>
      </c>
      <c r="O756" s="62" t="s">
        <v>44</v>
      </c>
      <c r="P756" s="62" t="s">
        <v>4353</v>
      </c>
      <c r="Q756" s="62" t="s">
        <v>4354</v>
      </c>
      <c r="R756" s="53"/>
      <c r="S756" s="53"/>
      <c r="T756" s="82"/>
      <c r="U756" s="42"/>
      <c r="V756" s="62"/>
      <c r="W756" s="64"/>
      <c r="X756" s="223"/>
      <c r="Y756" s="223"/>
      <c r="Z756" s="223"/>
      <c r="AA756" s="223"/>
    </row>
    <row r="757">
      <c r="A757" s="42">
        <f t="shared" si="3"/>
        <v>756</v>
      </c>
      <c r="B757" s="51" t="s">
        <v>41</v>
      </c>
      <c r="C757" s="53" t="s">
        <v>4700</v>
      </c>
      <c r="D757" s="42" t="s">
        <v>44</v>
      </c>
      <c r="E757" s="42" t="s">
        <v>44</v>
      </c>
      <c r="F757" s="53" t="s">
        <v>4679</v>
      </c>
      <c r="G757" s="53" t="s">
        <v>47</v>
      </c>
      <c r="H757" s="53" t="s">
        <v>48</v>
      </c>
      <c r="I757" s="53" t="s">
        <v>485</v>
      </c>
      <c r="J757" s="53" t="s">
        <v>4680</v>
      </c>
      <c r="K757" s="53" t="s">
        <v>51</v>
      </c>
      <c r="L757" s="53" t="s">
        <v>52</v>
      </c>
      <c r="M757" s="53" t="s">
        <v>52</v>
      </c>
      <c r="N757" s="62" t="s">
        <v>4681</v>
      </c>
      <c r="O757" s="62" t="s">
        <v>44</v>
      </c>
      <c r="P757" s="62" t="s">
        <v>4359</v>
      </c>
      <c r="Q757" s="62" t="s">
        <v>4701</v>
      </c>
      <c r="R757" s="53"/>
      <c r="S757" s="53"/>
      <c r="T757" s="82"/>
      <c r="U757" s="42"/>
      <c r="V757" s="62"/>
      <c r="W757" s="64"/>
      <c r="X757" s="223"/>
      <c r="Y757" s="223"/>
      <c r="Z757" s="223"/>
      <c r="AA757" s="223"/>
    </row>
    <row r="758">
      <c r="A758" s="42">
        <f t="shared" si="3"/>
        <v>757</v>
      </c>
      <c r="B758" s="51" t="s">
        <v>41</v>
      </c>
      <c r="C758" s="53" t="s">
        <v>4704</v>
      </c>
      <c r="D758" s="42" t="s">
        <v>44</v>
      </c>
      <c r="E758" s="42" t="s">
        <v>44</v>
      </c>
      <c r="F758" s="53" t="s">
        <v>4679</v>
      </c>
      <c r="G758" s="53" t="s">
        <v>47</v>
      </c>
      <c r="H758" s="53" t="s">
        <v>48</v>
      </c>
      <c r="I758" s="53" t="s">
        <v>485</v>
      </c>
      <c r="J758" s="53" t="s">
        <v>4680</v>
      </c>
      <c r="K758" s="53" t="s">
        <v>51</v>
      </c>
      <c r="L758" s="53" t="s">
        <v>52</v>
      </c>
      <c r="M758" s="53" t="s">
        <v>52</v>
      </c>
      <c r="N758" s="62" t="s">
        <v>4681</v>
      </c>
      <c r="O758" s="62" t="s">
        <v>44</v>
      </c>
      <c r="P758" s="62" t="s">
        <v>4365</v>
      </c>
      <c r="Q758" s="62" t="s">
        <v>4366</v>
      </c>
      <c r="R758" s="53"/>
      <c r="S758" s="53"/>
      <c r="T758" s="82"/>
      <c r="U758" s="42"/>
      <c r="V758" s="62"/>
      <c r="W758" s="64"/>
      <c r="X758" s="223"/>
      <c r="Y758" s="223"/>
      <c r="Z758" s="223"/>
      <c r="AA758" s="223"/>
    </row>
    <row r="759">
      <c r="A759" s="42">
        <f t="shared" si="3"/>
        <v>758</v>
      </c>
      <c r="B759" s="51" t="s">
        <v>41</v>
      </c>
      <c r="C759" s="53" t="s">
        <v>4707</v>
      </c>
      <c r="D759" s="42" t="s">
        <v>44</v>
      </c>
      <c r="E759" s="42" t="s">
        <v>44</v>
      </c>
      <c r="F759" s="53" t="s">
        <v>4679</v>
      </c>
      <c r="G759" s="53" t="s">
        <v>47</v>
      </c>
      <c r="H759" s="53" t="s">
        <v>48</v>
      </c>
      <c r="I759" s="53" t="s">
        <v>485</v>
      </c>
      <c r="J759" s="53" t="s">
        <v>4680</v>
      </c>
      <c r="K759" s="53" t="s">
        <v>51</v>
      </c>
      <c r="L759" s="53" t="s">
        <v>52</v>
      </c>
      <c r="M759" s="53" t="s">
        <v>52</v>
      </c>
      <c r="N759" s="62" t="s">
        <v>4681</v>
      </c>
      <c r="O759" s="62" t="s">
        <v>44</v>
      </c>
      <c r="P759" s="62" t="s">
        <v>4708</v>
      </c>
      <c r="Q759" s="62" t="s">
        <v>4709</v>
      </c>
      <c r="R759" s="53"/>
      <c r="S759" s="53"/>
      <c r="T759" s="82"/>
      <c r="U759" s="42"/>
      <c r="V759" s="62"/>
      <c r="W759" s="64"/>
      <c r="X759" s="223"/>
      <c r="Y759" s="223"/>
      <c r="Z759" s="223"/>
      <c r="AA759" s="223"/>
    </row>
    <row r="760">
      <c r="A760" s="42">
        <f t="shared" si="3"/>
        <v>759</v>
      </c>
      <c r="B760" s="51" t="s">
        <v>41</v>
      </c>
      <c r="C760" s="53" t="s">
        <v>4712</v>
      </c>
      <c r="D760" s="42" t="s">
        <v>44</v>
      </c>
      <c r="E760" s="42" t="s">
        <v>44</v>
      </c>
      <c r="F760" s="53" t="s">
        <v>4679</v>
      </c>
      <c r="G760" s="53" t="s">
        <v>47</v>
      </c>
      <c r="H760" s="53" t="s">
        <v>48</v>
      </c>
      <c r="I760" s="53" t="s">
        <v>485</v>
      </c>
      <c r="J760" s="53" t="s">
        <v>4680</v>
      </c>
      <c r="K760" s="53" t="s">
        <v>51</v>
      </c>
      <c r="L760" s="53" t="s">
        <v>52</v>
      </c>
      <c r="M760" s="53" t="s">
        <v>52</v>
      </c>
      <c r="N760" s="62" t="s">
        <v>4681</v>
      </c>
      <c r="O760" s="62" t="s">
        <v>44</v>
      </c>
      <c r="P760" s="62" t="s">
        <v>4713</v>
      </c>
      <c r="Q760" s="62" t="s">
        <v>4376</v>
      </c>
      <c r="R760" s="53"/>
      <c r="S760" s="53"/>
      <c r="T760" s="82"/>
      <c r="U760" s="42"/>
      <c r="V760" s="62"/>
      <c r="W760" s="64"/>
      <c r="X760" s="223"/>
      <c r="Y760" s="223"/>
      <c r="Z760" s="223"/>
      <c r="AA760" s="223"/>
    </row>
    <row r="761">
      <c r="A761" s="42">
        <f t="shared" si="3"/>
        <v>760</v>
      </c>
      <c r="B761" s="51" t="s">
        <v>41</v>
      </c>
      <c r="C761" s="53" t="s">
        <v>4716</v>
      </c>
      <c r="D761" s="42" t="s">
        <v>44</v>
      </c>
      <c r="E761" s="42" t="s">
        <v>44</v>
      </c>
      <c r="F761" s="53" t="s">
        <v>4679</v>
      </c>
      <c r="G761" s="53" t="s">
        <v>47</v>
      </c>
      <c r="H761" s="53" t="s">
        <v>48</v>
      </c>
      <c r="I761" s="53" t="s">
        <v>485</v>
      </c>
      <c r="J761" s="53" t="s">
        <v>4680</v>
      </c>
      <c r="K761" s="53" t="s">
        <v>51</v>
      </c>
      <c r="L761" s="53" t="s">
        <v>52</v>
      </c>
      <c r="M761" s="53" t="s">
        <v>52</v>
      </c>
      <c r="N761" s="62" t="s">
        <v>4681</v>
      </c>
      <c r="O761" s="62" t="s">
        <v>44</v>
      </c>
      <c r="P761" s="62" t="s">
        <v>4380</v>
      </c>
      <c r="Q761" s="62" t="s">
        <v>4381</v>
      </c>
      <c r="R761" s="53"/>
      <c r="S761" s="53"/>
      <c r="T761" s="82"/>
      <c r="U761" s="42"/>
      <c r="V761" s="62"/>
      <c r="W761" s="64"/>
      <c r="X761" s="223"/>
      <c r="Y761" s="223"/>
      <c r="Z761" s="223"/>
      <c r="AA761" s="223"/>
    </row>
    <row r="762">
      <c r="A762" s="42">
        <f t="shared" si="3"/>
        <v>761</v>
      </c>
      <c r="B762" s="51" t="s">
        <v>41</v>
      </c>
      <c r="C762" s="53" t="s">
        <v>4720</v>
      </c>
      <c r="D762" s="42" t="s">
        <v>44</v>
      </c>
      <c r="E762" s="42" t="s">
        <v>44</v>
      </c>
      <c r="F762" s="53" t="s">
        <v>4679</v>
      </c>
      <c r="G762" s="53" t="s">
        <v>47</v>
      </c>
      <c r="H762" s="53" t="s">
        <v>95</v>
      </c>
      <c r="I762" s="53" t="s">
        <v>485</v>
      </c>
      <c r="J762" s="53" t="s">
        <v>4680</v>
      </c>
      <c r="K762" s="53" t="s">
        <v>51</v>
      </c>
      <c r="L762" s="53" t="s">
        <v>52</v>
      </c>
      <c r="M762" s="53" t="s">
        <v>52</v>
      </c>
      <c r="N762" s="62" t="s">
        <v>4721</v>
      </c>
      <c r="O762" s="62" t="s">
        <v>44</v>
      </c>
      <c r="P762" s="62" t="s">
        <v>4722</v>
      </c>
      <c r="Q762" s="62" t="s">
        <v>4723</v>
      </c>
      <c r="R762" s="53"/>
      <c r="S762" s="53"/>
      <c r="T762" s="82"/>
      <c r="U762" s="42"/>
      <c r="V762" s="62"/>
      <c r="W762" s="64"/>
      <c r="X762" s="223"/>
      <c r="Y762" s="223"/>
      <c r="Z762" s="223"/>
      <c r="AA762" s="223"/>
    </row>
    <row r="763">
      <c r="A763" s="42">
        <f t="shared" si="3"/>
        <v>762</v>
      </c>
      <c r="B763" s="51" t="s">
        <v>41</v>
      </c>
      <c r="C763" s="53" t="s">
        <v>4726</v>
      </c>
      <c r="D763" s="42" t="s">
        <v>44</v>
      </c>
      <c r="E763" s="42" t="s">
        <v>44</v>
      </c>
      <c r="F763" s="53" t="s">
        <v>4679</v>
      </c>
      <c r="G763" s="53" t="s">
        <v>47</v>
      </c>
      <c r="H763" s="53" t="s">
        <v>48</v>
      </c>
      <c r="I763" s="53" t="s">
        <v>485</v>
      </c>
      <c r="J763" s="53" t="s">
        <v>4680</v>
      </c>
      <c r="K763" s="53" t="s">
        <v>51</v>
      </c>
      <c r="L763" s="53" t="s">
        <v>52</v>
      </c>
      <c r="M763" s="53" t="s">
        <v>52</v>
      </c>
      <c r="N763" s="62" t="s">
        <v>4681</v>
      </c>
      <c r="O763" s="62" t="s">
        <v>44</v>
      </c>
      <c r="P763" s="62" t="s">
        <v>4727</v>
      </c>
      <c r="Q763" s="62" t="s">
        <v>4728</v>
      </c>
      <c r="R763" s="53"/>
      <c r="S763" s="53"/>
      <c r="T763" s="82"/>
      <c r="U763" s="42"/>
      <c r="V763" s="62"/>
      <c r="W763" s="64"/>
      <c r="X763" s="223"/>
      <c r="Y763" s="223"/>
      <c r="Z763" s="223"/>
      <c r="AA763" s="223"/>
    </row>
    <row r="764">
      <c r="A764" s="42">
        <f t="shared" si="3"/>
        <v>763</v>
      </c>
      <c r="B764" s="51" t="s">
        <v>41</v>
      </c>
      <c r="C764" s="53" t="s">
        <v>4732</v>
      </c>
      <c r="D764" s="42" t="s">
        <v>44</v>
      </c>
      <c r="E764" s="42" t="s">
        <v>44</v>
      </c>
      <c r="F764" s="53" t="s">
        <v>4679</v>
      </c>
      <c r="G764" s="53" t="s">
        <v>47</v>
      </c>
      <c r="H764" s="53" t="s">
        <v>48</v>
      </c>
      <c r="I764" s="53" t="s">
        <v>485</v>
      </c>
      <c r="J764" s="53" t="s">
        <v>4680</v>
      </c>
      <c r="K764" s="53" t="s">
        <v>51</v>
      </c>
      <c r="L764" s="53" t="s">
        <v>52</v>
      </c>
      <c r="M764" s="53" t="s">
        <v>52</v>
      </c>
      <c r="N764" s="62" t="s">
        <v>4681</v>
      </c>
      <c r="O764" s="62" t="s">
        <v>44</v>
      </c>
      <c r="P764" s="62" t="s">
        <v>4733</v>
      </c>
      <c r="Q764" s="62" t="s">
        <v>4734</v>
      </c>
      <c r="R764" s="53"/>
      <c r="S764" s="53"/>
      <c r="T764" s="82"/>
      <c r="U764" s="42"/>
      <c r="V764" s="62"/>
      <c r="W764" s="64"/>
      <c r="X764" s="223"/>
      <c r="Y764" s="223"/>
      <c r="Z764" s="223"/>
      <c r="AA764" s="223"/>
    </row>
    <row r="765">
      <c r="A765" s="42">
        <f t="shared" si="3"/>
        <v>764</v>
      </c>
      <c r="B765" s="51" t="s">
        <v>41</v>
      </c>
      <c r="C765" s="53" t="s">
        <v>4737</v>
      </c>
      <c r="D765" s="42" t="s">
        <v>44</v>
      </c>
      <c r="E765" s="42" t="s">
        <v>44</v>
      </c>
      <c r="F765" s="53" t="s">
        <v>4679</v>
      </c>
      <c r="G765" s="53" t="s">
        <v>47</v>
      </c>
      <c r="H765" s="53" t="s">
        <v>48</v>
      </c>
      <c r="I765" s="53" t="s">
        <v>485</v>
      </c>
      <c r="J765" s="53" t="s">
        <v>4680</v>
      </c>
      <c r="K765" s="53" t="s">
        <v>51</v>
      </c>
      <c r="L765" s="53" t="s">
        <v>52</v>
      </c>
      <c r="M765" s="53" t="s">
        <v>52</v>
      </c>
      <c r="N765" s="62" t="s">
        <v>4681</v>
      </c>
      <c r="O765" s="62" t="s">
        <v>44</v>
      </c>
      <c r="P765" s="62" t="s">
        <v>4738</v>
      </c>
      <c r="Q765" s="62" t="s">
        <v>4739</v>
      </c>
      <c r="R765" s="53"/>
      <c r="S765" s="53"/>
      <c r="T765" s="82"/>
      <c r="U765" s="42"/>
      <c r="V765" s="62"/>
      <c r="W765" s="64"/>
      <c r="X765" s="223"/>
      <c r="Y765" s="223"/>
      <c r="Z765" s="223"/>
      <c r="AA765" s="223"/>
    </row>
    <row r="766">
      <c r="A766" s="42">
        <f t="shared" si="3"/>
        <v>765</v>
      </c>
      <c r="B766" s="51" t="s">
        <v>41</v>
      </c>
      <c r="C766" s="53" t="s">
        <v>4742</v>
      </c>
      <c r="D766" s="42" t="s">
        <v>44</v>
      </c>
      <c r="E766" s="42" t="s">
        <v>44</v>
      </c>
      <c r="F766" s="53" t="s">
        <v>4679</v>
      </c>
      <c r="G766" s="53" t="s">
        <v>47</v>
      </c>
      <c r="H766" s="53" t="s">
        <v>48</v>
      </c>
      <c r="I766" s="53" t="s">
        <v>485</v>
      </c>
      <c r="J766" s="53" t="s">
        <v>4680</v>
      </c>
      <c r="K766" s="53" t="s">
        <v>51</v>
      </c>
      <c r="L766" s="53" t="s">
        <v>52</v>
      </c>
      <c r="M766" s="53" t="s">
        <v>52</v>
      </c>
      <c r="N766" s="62" t="s">
        <v>4681</v>
      </c>
      <c r="O766" s="62" t="s">
        <v>44</v>
      </c>
      <c r="P766" s="62" t="s">
        <v>4743</v>
      </c>
      <c r="Q766" s="62" t="s">
        <v>4744</v>
      </c>
      <c r="R766" s="53"/>
      <c r="S766" s="53"/>
      <c r="T766" s="82"/>
      <c r="U766" s="42"/>
      <c r="V766" s="62"/>
      <c r="W766" s="64"/>
      <c r="X766" s="223"/>
      <c r="Y766" s="223"/>
      <c r="Z766" s="223"/>
      <c r="AA766" s="223"/>
    </row>
    <row r="767">
      <c r="A767" s="42">
        <f t="shared" si="3"/>
        <v>766</v>
      </c>
      <c r="B767" s="51" t="s">
        <v>41</v>
      </c>
      <c r="C767" s="53" t="s">
        <v>4747</v>
      </c>
      <c r="D767" s="42" t="s">
        <v>44</v>
      </c>
      <c r="E767" s="42" t="s">
        <v>44</v>
      </c>
      <c r="F767" s="53" t="s">
        <v>4679</v>
      </c>
      <c r="G767" s="53" t="s">
        <v>47</v>
      </c>
      <c r="H767" s="53" t="s">
        <v>48</v>
      </c>
      <c r="I767" s="53" t="s">
        <v>485</v>
      </c>
      <c r="J767" s="53" t="s">
        <v>4680</v>
      </c>
      <c r="K767" s="53" t="s">
        <v>51</v>
      </c>
      <c r="L767" s="53" t="s">
        <v>52</v>
      </c>
      <c r="M767" s="53" t="s">
        <v>52</v>
      </c>
      <c r="N767" s="62" t="s">
        <v>4681</v>
      </c>
      <c r="O767" s="62" t="s">
        <v>44</v>
      </c>
      <c r="P767" s="62" t="s">
        <v>4748</v>
      </c>
      <c r="Q767" s="62" t="s">
        <v>4749</v>
      </c>
      <c r="R767" s="53"/>
      <c r="S767" s="53"/>
      <c r="T767" s="82"/>
      <c r="U767" s="42"/>
      <c r="V767" s="62"/>
      <c r="W767" s="64"/>
      <c r="X767" s="223"/>
      <c r="Y767" s="223"/>
      <c r="Z767" s="223"/>
      <c r="AA767" s="223"/>
    </row>
    <row r="768">
      <c r="A768" s="42">
        <f t="shared" si="3"/>
        <v>767</v>
      </c>
      <c r="B768" s="51" t="s">
        <v>41</v>
      </c>
      <c r="C768" s="53" t="s">
        <v>4752</v>
      </c>
      <c r="D768" s="42" t="s">
        <v>44</v>
      </c>
      <c r="E768" s="42" t="s">
        <v>44</v>
      </c>
      <c r="F768" s="53" t="s">
        <v>4679</v>
      </c>
      <c r="G768" s="53" t="s">
        <v>47</v>
      </c>
      <c r="H768" s="53" t="s">
        <v>95</v>
      </c>
      <c r="I768" s="53" t="s">
        <v>485</v>
      </c>
      <c r="J768" s="53" t="s">
        <v>4680</v>
      </c>
      <c r="K768" s="53" t="s">
        <v>51</v>
      </c>
      <c r="L768" s="53" t="s">
        <v>52</v>
      </c>
      <c r="M768" s="53" t="s">
        <v>52</v>
      </c>
      <c r="N768" s="62" t="s">
        <v>4753</v>
      </c>
      <c r="O768" s="62" t="s">
        <v>44</v>
      </c>
      <c r="P768" s="62" t="s">
        <v>4754</v>
      </c>
      <c r="Q768" s="62" t="s">
        <v>4168</v>
      </c>
      <c r="R768" s="53"/>
      <c r="S768" s="53"/>
      <c r="T768" s="82"/>
      <c r="U768" s="42"/>
      <c r="V768" s="62"/>
      <c r="W768" s="64"/>
      <c r="X768" s="223"/>
      <c r="Y768" s="223"/>
      <c r="Z768" s="223"/>
      <c r="AA768" s="223"/>
    </row>
    <row r="769">
      <c r="A769" s="42">
        <f t="shared" si="3"/>
        <v>768</v>
      </c>
      <c r="B769" s="51" t="s">
        <v>41</v>
      </c>
      <c r="C769" s="53" t="s">
        <v>4757</v>
      </c>
      <c r="D769" s="42" t="s">
        <v>44</v>
      </c>
      <c r="E769" s="42" t="s">
        <v>44</v>
      </c>
      <c r="F769" s="53" t="s">
        <v>4679</v>
      </c>
      <c r="G769" s="53" t="s">
        <v>47</v>
      </c>
      <c r="H769" s="53" t="s">
        <v>95</v>
      </c>
      <c r="I769" s="53" t="s">
        <v>485</v>
      </c>
      <c r="J769" s="53" t="s">
        <v>4680</v>
      </c>
      <c r="K769" s="53" t="s">
        <v>51</v>
      </c>
      <c r="L769" s="53" t="s">
        <v>52</v>
      </c>
      <c r="M769" s="53" t="s">
        <v>52</v>
      </c>
      <c r="N769" s="62" t="s">
        <v>4758</v>
      </c>
      <c r="O769" s="62" t="s">
        <v>44</v>
      </c>
      <c r="P769" s="62" t="s">
        <v>4759</v>
      </c>
      <c r="Q769" s="62" t="s">
        <v>4760</v>
      </c>
      <c r="R769" s="53"/>
      <c r="S769" s="53"/>
      <c r="T769" s="82"/>
      <c r="U769" s="42"/>
      <c r="V769" s="62"/>
      <c r="W769" s="64"/>
      <c r="X769" s="223"/>
      <c r="Y769" s="223"/>
      <c r="Z769" s="223"/>
      <c r="AA769" s="223"/>
    </row>
    <row r="770">
      <c r="A770" s="42">
        <f t="shared" si="3"/>
        <v>769</v>
      </c>
      <c r="B770" s="51" t="s">
        <v>41</v>
      </c>
      <c r="C770" s="53" t="s">
        <v>4764</v>
      </c>
      <c r="D770" s="42" t="s">
        <v>44</v>
      </c>
      <c r="E770" s="42" t="s">
        <v>44</v>
      </c>
      <c r="F770" s="53" t="s">
        <v>4679</v>
      </c>
      <c r="G770" s="53" t="s">
        <v>47</v>
      </c>
      <c r="H770" s="53" t="s">
        <v>95</v>
      </c>
      <c r="I770" s="53" t="s">
        <v>485</v>
      </c>
      <c r="J770" s="53" t="s">
        <v>4680</v>
      </c>
      <c r="K770" s="53" t="s">
        <v>51</v>
      </c>
      <c r="L770" s="53" t="s">
        <v>52</v>
      </c>
      <c r="M770" s="53" t="s">
        <v>52</v>
      </c>
      <c r="N770" s="62" t="s">
        <v>4758</v>
      </c>
      <c r="O770" s="62" t="s">
        <v>44</v>
      </c>
      <c r="P770" s="62" t="s">
        <v>4765</v>
      </c>
      <c r="Q770" s="62" t="s">
        <v>4760</v>
      </c>
      <c r="R770" s="53"/>
      <c r="S770" s="53"/>
      <c r="T770" s="82"/>
      <c r="U770" s="42"/>
      <c r="V770" s="62"/>
      <c r="W770" s="64"/>
      <c r="X770" s="223"/>
      <c r="Y770" s="223"/>
      <c r="Z770" s="223"/>
      <c r="AA770" s="223"/>
    </row>
    <row r="771">
      <c r="A771" s="42">
        <f t="shared" si="3"/>
        <v>770</v>
      </c>
      <c r="B771" s="51" t="s">
        <v>41</v>
      </c>
      <c r="C771" s="53" t="s">
        <v>4769</v>
      </c>
      <c r="D771" s="42" t="s">
        <v>44</v>
      </c>
      <c r="E771" s="42" t="s">
        <v>44</v>
      </c>
      <c r="F771" s="53" t="s">
        <v>4679</v>
      </c>
      <c r="G771" s="53" t="s">
        <v>47</v>
      </c>
      <c r="H771" s="53" t="s">
        <v>48</v>
      </c>
      <c r="I771" s="53" t="s">
        <v>485</v>
      </c>
      <c r="J771" s="53" t="s">
        <v>4680</v>
      </c>
      <c r="K771" s="53" t="s">
        <v>51</v>
      </c>
      <c r="L771" s="53" t="s">
        <v>52</v>
      </c>
      <c r="M771" s="53" t="s">
        <v>52</v>
      </c>
      <c r="N771" s="62" t="s">
        <v>4770</v>
      </c>
      <c r="O771" s="62" t="s">
        <v>44</v>
      </c>
      <c r="P771" s="62" t="s">
        <v>4771</v>
      </c>
      <c r="Q771" s="62" t="s">
        <v>4772</v>
      </c>
      <c r="R771" s="53"/>
      <c r="S771" s="53"/>
      <c r="T771" s="82"/>
      <c r="U771" s="42"/>
      <c r="V771" s="62"/>
      <c r="W771" s="64"/>
      <c r="X771" s="223"/>
      <c r="Y771" s="223"/>
      <c r="Z771" s="223"/>
      <c r="AA771" s="223"/>
    </row>
    <row r="772">
      <c r="A772" s="42">
        <f t="shared" si="3"/>
        <v>771</v>
      </c>
      <c r="B772" s="51" t="s">
        <v>41</v>
      </c>
      <c r="C772" s="53" t="s">
        <v>4776</v>
      </c>
      <c r="D772" s="42" t="s">
        <v>44</v>
      </c>
      <c r="E772" s="42" t="s">
        <v>44</v>
      </c>
      <c r="F772" s="53" t="s">
        <v>4679</v>
      </c>
      <c r="G772" s="53" t="s">
        <v>47</v>
      </c>
      <c r="H772" s="53" t="s">
        <v>95</v>
      </c>
      <c r="I772" s="53" t="s">
        <v>485</v>
      </c>
      <c r="J772" s="53" t="s">
        <v>4680</v>
      </c>
      <c r="K772" s="53" t="s">
        <v>51</v>
      </c>
      <c r="L772" s="53" t="s">
        <v>52</v>
      </c>
      <c r="M772" s="53" t="s">
        <v>52</v>
      </c>
      <c r="N772" s="62" t="s">
        <v>4770</v>
      </c>
      <c r="O772" s="62" t="s">
        <v>44</v>
      </c>
      <c r="P772" s="62" t="s">
        <v>4777</v>
      </c>
      <c r="Q772" s="62" t="s">
        <v>4778</v>
      </c>
      <c r="R772" s="53"/>
      <c r="S772" s="53"/>
      <c r="T772" s="82"/>
      <c r="U772" s="42"/>
      <c r="V772" s="62"/>
      <c r="W772" s="64"/>
      <c r="X772" s="223"/>
      <c r="Y772" s="223"/>
      <c r="Z772" s="223"/>
      <c r="AA772" s="223"/>
    </row>
    <row r="773">
      <c r="A773" s="42">
        <f t="shared" si="3"/>
        <v>772</v>
      </c>
      <c r="B773" s="51" t="s">
        <v>41</v>
      </c>
      <c r="C773" s="53" t="s">
        <v>4782</v>
      </c>
      <c r="D773" s="42" t="s">
        <v>44</v>
      </c>
      <c r="E773" s="42" t="s">
        <v>44</v>
      </c>
      <c r="F773" s="53" t="s">
        <v>4679</v>
      </c>
      <c r="G773" s="53" t="s">
        <v>47</v>
      </c>
      <c r="H773" s="53" t="s">
        <v>48</v>
      </c>
      <c r="I773" s="53" t="s">
        <v>485</v>
      </c>
      <c r="J773" s="53" t="s">
        <v>4680</v>
      </c>
      <c r="K773" s="53" t="s">
        <v>51</v>
      </c>
      <c r="L773" s="53" t="s">
        <v>52</v>
      </c>
      <c r="M773" s="53" t="s">
        <v>52</v>
      </c>
      <c r="N773" s="62" t="s">
        <v>4681</v>
      </c>
      <c r="O773" s="62" t="s">
        <v>44</v>
      </c>
      <c r="P773" s="62" t="s">
        <v>4416</v>
      </c>
      <c r="Q773" s="62" t="s">
        <v>4783</v>
      </c>
      <c r="R773" s="53"/>
      <c r="S773" s="53"/>
      <c r="T773" s="82"/>
      <c r="U773" s="42"/>
      <c r="V773" s="62"/>
      <c r="W773" s="64"/>
      <c r="X773" s="223"/>
      <c r="Y773" s="223"/>
      <c r="Z773" s="223"/>
      <c r="AA773" s="223"/>
    </row>
    <row r="774">
      <c r="A774" s="42">
        <f t="shared" si="3"/>
        <v>773</v>
      </c>
      <c r="B774" s="51" t="s">
        <v>41</v>
      </c>
      <c r="C774" s="53" t="s">
        <v>4787</v>
      </c>
      <c r="D774" s="42" t="s">
        <v>44</v>
      </c>
      <c r="E774" s="42" t="s">
        <v>44</v>
      </c>
      <c r="F774" s="53" t="s">
        <v>4679</v>
      </c>
      <c r="G774" s="53" t="s">
        <v>47</v>
      </c>
      <c r="H774" s="53" t="s">
        <v>48</v>
      </c>
      <c r="I774" s="53" t="s">
        <v>485</v>
      </c>
      <c r="J774" s="53" t="s">
        <v>4680</v>
      </c>
      <c r="K774" s="53" t="s">
        <v>51</v>
      </c>
      <c r="L774" s="53" t="s">
        <v>52</v>
      </c>
      <c r="M774" s="53" t="s">
        <v>52</v>
      </c>
      <c r="N774" s="62" t="s">
        <v>4758</v>
      </c>
      <c r="O774" s="62" t="s">
        <v>44</v>
      </c>
      <c r="P774" s="62" t="s">
        <v>4788</v>
      </c>
      <c r="Q774" s="62" t="s">
        <v>4789</v>
      </c>
      <c r="R774" s="53"/>
      <c r="S774" s="53"/>
      <c r="T774" s="82"/>
      <c r="U774" s="42"/>
      <c r="V774" s="62"/>
      <c r="W774" s="64"/>
      <c r="X774" s="223"/>
      <c r="Y774" s="223"/>
      <c r="Z774" s="223"/>
      <c r="AA774" s="223"/>
    </row>
    <row r="775">
      <c r="A775" s="42">
        <f t="shared" si="3"/>
        <v>774</v>
      </c>
      <c r="B775" s="51" t="s">
        <v>41</v>
      </c>
      <c r="C775" s="53" t="s">
        <v>4793</v>
      </c>
      <c r="D775" s="42" t="s">
        <v>44</v>
      </c>
      <c r="E775" s="42" t="s">
        <v>44</v>
      </c>
      <c r="F775" s="53" t="s">
        <v>4679</v>
      </c>
      <c r="G775" s="53" t="s">
        <v>47</v>
      </c>
      <c r="H775" s="53" t="s">
        <v>48</v>
      </c>
      <c r="I775" s="53" t="s">
        <v>485</v>
      </c>
      <c r="J775" s="53" t="s">
        <v>4680</v>
      </c>
      <c r="K775" s="53" t="s">
        <v>51</v>
      </c>
      <c r="L775" s="53" t="s">
        <v>52</v>
      </c>
      <c r="M775" s="53" t="s">
        <v>52</v>
      </c>
      <c r="N775" s="62" t="s">
        <v>4681</v>
      </c>
      <c r="O775" s="62" t="s">
        <v>44</v>
      </c>
      <c r="P775" s="62" t="s">
        <v>4460</v>
      </c>
      <c r="Q775" s="62" t="s">
        <v>4794</v>
      </c>
      <c r="R775" s="53"/>
      <c r="S775" s="53"/>
      <c r="T775" s="82"/>
      <c r="U775" s="42"/>
      <c r="V775" s="62"/>
      <c r="W775" s="64"/>
      <c r="X775" s="223"/>
      <c r="Y775" s="223"/>
      <c r="Z775" s="223"/>
      <c r="AA775" s="223"/>
    </row>
    <row r="776">
      <c r="A776" s="42">
        <f t="shared" si="3"/>
        <v>775</v>
      </c>
      <c r="B776" s="51" t="s">
        <v>41</v>
      </c>
      <c r="C776" s="53" t="s">
        <v>4797</v>
      </c>
      <c r="D776" s="42" t="s">
        <v>44</v>
      </c>
      <c r="E776" s="42" t="s">
        <v>44</v>
      </c>
      <c r="F776" s="53" t="s">
        <v>4679</v>
      </c>
      <c r="G776" s="53" t="s">
        <v>47</v>
      </c>
      <c r="H776" s="53" t="s">
        <v>48</v>
      </c>
      <c r="I776" s="53" t="s">
        <v>485</v>
      </c>
      <c r="J776" s="53" t="s">
        <v>4680</v>
      </c>
      <c r="K776" s="53" t="s">
        <v>51</v>
      </c>
      <c r="L776" s="53" t="s">
        <v>52</v>
      </c>
      <c r="M776" s="53" t="s">
        <v>52</v>
      </c>
      <c r="N776" s="62" t="s">
        <v>4758</v>
      </c>
      <c r="O776" s="62" t="s">
        <v>44</v>
      </c>
      <c r="P776" s="62" t="s">
        <v>4798</v>
      </c>
      <c r="Q776" s="62" t="s">
        <v>4799</v>
      </c>
      <c r="R776" s="53"/>
      <c r="S776" s="53"/>
      <c r="T776" s="82"/>
      <c r="U776" s="42"/>
      <c r="V776" s="62"/>
      <c r="W776" s="64"/>
      <c r="X776" s="223"/>
      <c r="Y776" s="223"/>
      <c r="Z776" s="223"/>
      <c r="AA776" s="223"/>
    </row>
    <row r="777">
      <c r="A777" s="42">
        <f t="shared" si="3"/>
        <v>776</v>
      </c>
      <c r="B777" s="51" t="s">
        <v>41</v>
      </c>
      <c r="C777" s="53" t="s">
        <v>4803</v>
      </c>
      <c r="D777" s="42" t="s">
        <v>44</v>
      </c>
      <c r="E777" s="42" t="s">
        <v>44</v>
      </c>
      <c r="F777" s="53" t="s">
        <v>4679</v>
      </c>
      <c r="G777" s="53" t="s">
        <v>47</v>
      </c>
      <c r="H777" s="53" t="s">
        <v>48</v>
      </c>
      <c r="I777" s="53" t="s">
        <v>485</v>
      </c>
      <c r="J777" s="53" t="s">
        <v>4680</v>
      </c>
      <c r="K777" s="53" t="s">
        <v>51</v>
      </c>
      <c r="L777" s="53" t="s">
        <v>52</v>
      </c>
      <c r="M777" s="53" t="s">
        <v>52</v>
      </c>
      <c r="N777" s="62" t="s">
        <v>4681</v>
      </c>
      <c r="O777" s="62" t="s">
        <v>44</v>
      </c>
      <c r="P777" s="62" t="s">
        <v>4465</v>
      </c>
      <c r="Q777" s="62" t="s">
        <v>4804</v>
      </c>
      <c r="R777" s="53"/>
      <c r="S777" s="53"/>
      <c r="T777" s="82"/>
      <c r="U777" s="42"/>
      <c r="V777" s="62"/>
      <c r="W777" s="64"/>
      <c r="X777" s="223"/>
      <c r="Y777" s="223"/>
      <c r="Z777" s="223"/>
      <c r="AA777" s="223"/>
    </row>
    <row r="778">
      <c r="A778" s="42">
        <f t="shared" si="3"/>
        <v>777</v>
      </c>
      <c r="B778" s="51" t="s">
        <v>41</v>
      </c>
      <c r="C778" s="53" t="s">
        <v>4807</v>
      </c>
      <c r="D778" s="42" t="s">
        <v>44</v>
      </c>
      <c r="E778" s="42" t="s">
        <v>44</v>
      </c>
      <c r="F778" s="53" t="s">
        <v>4679</v>
      </c>
      <c r="G778" s="53" t="s">
        <v>47</v>
      </c>
      <c r="H778" s="53" t="s">
        <v>48</v>
      </c>
      <c r="I778" s="53" t="s">
        <v>485</v>
      </c>
      <c r="J778" s="53" t="s">
        <v>4680</v>
      </c>
      <c r="K778" s="53" t="s">
        <v>51</v>
      </c>
      <c r="L778" s="53" t="s">
        <v>52</v>
      </c>
      <c r="M778" s="53" t="s">
        <v>52</v>
      </c>
      <c r="N778" s="62" t="s">
        <v>4758</v>
      </c>
      <c r="O778" s="62" t="s">
        <v>44</v>
      </c>
      <c r="P778" s="62" t="s">
        <v>4808</v>
      </c>
      <c r="Q778" s="62" t="s">
        <v>4809</v>
      </c>
      <c r="R778" s="53"/>
      <c r="S778" s="53"/>
      <c r="T778" s="82"/>
      <c r="U778" s="42"/>
      <c r="V778" s="62"/>
      <c r="W778" s="64"/>
      <c r="X778" s="223"/>
      <c r="Y778" s="223"/>
      <c r="Z778" s="223"/>
      <c r="AA778" s="223"/>
    </row>
    <row r="779">
      <c r="A779" s="42">
        <f t="shared" si="3"/>
        <v>778</v>
      </c>
      <c r="B779" s="51" t="s">
        <v>41</v>
      </c>
      <c r="C779" s="53" t="s">
        <v>4813</v>
      </c>
      <c r="D779" s="42" t="s">
        <v>44</v>
      </c>
      <c r="E779" s="42" t="s">
        <v>44</v>
      </c>
      <c r="F779" s="53" t="s">
        <v>4679</v>
      </c>
      <c r="G779" s="53" t="s">
        <v>47</v>
      </c>
      <c r="H779" s="53" t="s">
        <v>48</v>
      </c>
      <c r="I779" s="53" t="s">
        <v>485</v>
      </c>
      <c r="J779" s="53" t="s">
        <v>4680</v>
      </c>
      <c r="K779" s="53" t="s">
        <v>51</v>
      </c>
      <c r="L779" s="53" t="s">
        <v>52</v>
      </c>
      <c r="M779" s="53" t="s">
        <v>52</v>
      </c>
      <c r="N779" s="62" t="s">
        <v>4681</v>
      </c>
      <c r="O779" s="62" t="s">
        <v>44</v>
      </c>
      <c r="P779" s="62" t="s">
        <v>4470</v>
      </c>
      <c r="Q779" s="62" t="s">
        <v>4814</v>
      </c>
      <c r="R779" s="53"/>
      <c r="S779" s="53"/>
      <c r="T779" s="82"/>
      <c r="U779" s="42"/>
      <c r="V779" s="62"/>
      <c r="W779" s="64"/>
      <c r="X779" s="223"/>
      <c r="Y779" s="223"/>
      <c r="Z779" s="223"/>
      <c r="AA779" s="223"/>
    </row>
    <row r="780">
      <c r="A780" s="42">
        <f t="shared" si="3"/>
        <v>779</v>
      </c>
      <c r="B780" s="51" t="s">
        <v>41</v>
      </c>
      <c r="C780" s="53" t="s">
        <v>4817</v>
      </c>
      <c r="D780" s="42" t="s">
        <v>44</v>
      </c>
      <c r="E780" s="42" t="s">
        <v>44</v>
      </c>
      <c r="F780" s="53" t="s">
        <v>4679</v>
      </c>
      <c r="G780" s="53" t="s">
        <v>47</v>
      </c>
      <c r="H780" s="53" t="s">
        <v>48</v>
      </c>
      <c r="I780" s="53" t="s">
        <v>485</v>
      </c>
      <c r="J780" s="53" t="s">
        <v>4680</v>
      </c>
      <c r="K780" s="53" t="s">
        <v>51</v>
      </c>
      <c r="L780" s="53" t="s">
        <v>52</v>
      </c>
      <c r="M780" s="53" t="s">
        <v>52</v>
      </c>
      <c r="N780" s="62" t="s">
        <v>4758</v>
      </c>
      <c r="O780" s="62" t="s">
        <v>44</v>
      </c>
      <c r="P780" s="62" t="s">
        <v>4818</v>
      </c>
      <c r="Q780" s="62" t="s">
        <v>4819</v>
      </c>
      <c r="R780" s="53"/>
      <c r="S780" s="53"/>
      <c r="T780" s="82"/>
      <c r="U780" s="42"/>
      <c r="V780" s="62"/>
      <c r="W780" s="64"/>
      <c r="X780" s="223"/>
      <c r="Y780" s="223"/>
      <c r="Z780" s="223"/>
      <c r="AA780" s="223"/>
    </row>
    <row r="781">
      <c r="A781" s="42">
        <f t="shared" si="3"/>
        <v>780</v>
      </c>
      <c r="B781" s="51" t="s">
        <v>41</v>
      </c>
      <c r="C781" s="53" t="s">
        <v>4823</v>
      </c>
      <c r="D781" s="42" t="s">
        <v>44</v>
      </c>
      <c r="E781" s="42" t="s">
        <v>44</v>
      </c>
      <c r="F781" s="53" t="s">
        <v>4679</v>
      </c>
      <c r="G781" s="53" t="s">
        <v>47</v>
      </c>
      <c r="H781" s="53" t="s">
        <v>95</v>
      </c>
      <c r="I781" s="53" t="s">
        <v>485</v>
      </c>
      <c r="J781" s="53" t="s">
        <v>4680</v>
      </c>
      <c r="K781" s="53" t="s">
        <v>51</v>
      </c>
      <c r="L781" s="53" t="s">
        <v>52</v>
      </c>
      <c r="M781" s="53" t="s">
        <v>52</v>
      </c>
      <c r="N781" s="62" t="s">
        <v>4824</v>
      </c>
      <c r="O781" s="62" t="s">
        <v>44</v>
      </c>
      <c r="P781" s="62" t="s">
        <v>4825</v>
      </c>
      <c r="Q781" s="62" t="s">
        <v>4826</v>
      </c>
      <c r="R781" s="53"/>
      <c r="S781" s="53"/>
      <c r="T781" s="82"/>
      <c r="U781" s="42"/>
      <c r="V781" s="62"/>
      <c r="W781" s="64"/>
      <c r="X781" s="223"/>
      <c r="Y781" s="223"/>
      <c r="Z781" s="223"/>
      <c r="AA781" s="223"/>
    </row>
    <row r="782">
      <c r="A782" s="42">
        <f t="shared" si="3"/>
        <v>781</v>
      </c>
      <c r="B782" s="51" t="s">
        <v>41</v>
      </c>
      <c r="C782" s="53" t="s">
        <v>4829</v>
      </c>
      <c r="D782" s="42" t="s">
        <v>44</v>
      </c>
      <c r="E782" s="42" t="s">
        <v>44</v>
      </c>
      <c r="F782" s="53" t="s">
        <v>4679</v>
      </c>
      <c r="G782" s="53" t="s">
        <v>47</v>
      </c>
      <c r="H782" s="53" t="s">
        <v>95</v>
      </c>
      <c r="I782" s="53" t="s">
        <v>485</v>
      </c>
      <c r="J782" s="53" t="s">
        <v>4680</v>
      </c>
      <c r="K782" s="53" t="s">
        <v>51</v>
      </c>
      <c r="L782" s="53" t="s">
        <v>52</v>
      </c>
      <c r="M782" s="53" t="s">
        <v>52</v>
      </c>
      <c r="N782" s="62" t="s">
        <v>4830</v>
      </c>
      <c r="O782" s="62" t="s">
        <v>44</v>
      </c>
      <c r="P782" s="62" t="s">
        <v>4831</v>
      </c>
      <c r="Q782" s="62" t="s">
        <v>4832</v>
      </c>
      <c r="R782" s="53"/>
      <c r="S782" s="53"/>
      <c r="T782" s="82"/>
      <c r="U782" s="42"/>
      <c r="V782" s="62"/>
      <c r="W782" s="64"/>
      <c r="X782" s="223"/>
      <c r="Y782" s="223"/>
      <c r="Z782" s="223"/>
      <c r="AA782" s="223"/>
    </row>
    <row r="783">
      <c r="A783" s="42">
        <f t="shared" si="3"/>
        <v>782</v>
      </c>
      <c r="B783" s="51" t="s">
        <v>41</v>
      </c>
      <c r="C783" s="53" t="s">
        <v>4835</v>
      </c>
      <c r="D783" s="42" t="s">
        <v>44</v>
      </c>
      <c r="E783" s="42" t="s">
        <v>44</v>
      </c>
      <c r="F783" s="53" t="s">
        <v>4679</v>
      </c>
      <c r="G783" s="53" t="s">
        <v>47</v>
      </c>
      <c r="H783" s="53" t="s">
        <v>48</v>
      </c>
      <c r="I783" s="53" t="s">
        <v>485</v>
      </c>
      <c r="J783" s="53" t="s">
        <v>4680</v>
      </c>
      <c r="K783" s="53" t="s">
        <v>51</v>
      </c>
      <c r="L783" s="53" t="s">
        <v>52</v>
      </c>
      <c r="M783" s="53" t="s">
        <v>52</v>
      </c>
      <c r="N783" s="62" t="s">
        <v>4681</v>
      </c>
      <c r="O783" s="62" t="s">
        <v>44</v>
      </c>
      <c r="P783" s="62" t="s">
        <v>4475</v>
      </c>
      <c r="Q783" s="62" t="s">
        <v>4836</v>
      </c>
      <c r="R783" s="53"/>
      <c r="S783" s="53"/>
      <c r="T783" s="82"/>
      <c r="U783" s="42"/>
      <c r="V783" s="62"/>
      <c r="W783" s="64"/>
      <c r="X783" s="223"/>
      <c r="Y783" s="223"/>
      <c r="Z783" s="223"/>
      <c r="AA783" s="223"/>
    </row>
    <row r="784">
      <c r="A784" s="42">
        <f t="shared" si="3"/>
        <v>783</v>
      </c>
      <c r="B784" s="51" t="s">
        <v>41</v>
      </c>
      <c r="C784" s="53" t="s">
        <v>4839</v>
      </c>
      <c r="D784" s="42" t="s">
        <v>44</v>
      </c>
      <c r="E784" s="42" t="s">
        <v>44</v>
      </c>
      <c r="F784" s="53" t="s">
        <v>4679</v>
      </c>
      <c r="G784" s="53" t="s">
        <v>47</v>
      </c>
      <c r="H784" s="53" t="s">
        <v>48</v>
      </c>
      <c r="I784" s="53" t="s">
        <v>485</v>
      </c>
      <c r="J784" s="53" t="s">
        <v>4680</v>
      </c>
      <c r="K784" s="53" t="s">
        <v>51</v>
      </c>
      <c r="L784" s="53" t="s">
        <v>52</v>
      </c>
      <c r="M784" s="53" t="s">
        <v>52</v>
      </c>
      <c r="N784" s="62" t="s">
        <v>4758</v>
      </c>
      <c r="O784" s="62" t="s">
        <v>44</v>
      </c>
      <c r="P784" s="62" t="s">
        <v>4840</v>
      </c>
      <c r="Q784" s="62" t="s">
        <v>4841</v>
      </c>
      <c r="R784" s="53"/>
      <c r="S784" s="53"/>
      <c r="T784" s="82"/>
      <c r="U784" s="42"/>
      <c r="V784" s="62"/>
      <c r="W784" s="64"/>
      <c r="X784" s="223"/>
      <c r="Y784" s="223"/>
      <c r="Z784" s="223"/>
      <c r="AA784" s="223"/>
    </row>
    <row r="785">
      <c r="A785" s="42">
        <f t="shared" si="3"/>
        <v>784</v>
      </c>
      <c r="B785" s="51" t="s">
        <v>41</v>
      </c>
      <c r="C785" s="53" t="s">
        <v>4845</v>
      </c>
      <c r="D785" s="42" t="s">
        <v>44</v>
      </c>
      <c r="E785" s="42" t="s">
        <v>44</v>
      </c>
      <c r="F785" s="53" t="s">
        <v>4679</v>
      </c>
      <c r="G785" s="53" t="s">
        <v>47</v>
      </c>
      <c r="H785" s="53" t="s">
        <v>48</v>
      </c>
      <c r="I785" s="53" t="s">
        <v>485</v>
      </c>
      <c r="J785" s="53" t="s">
        <v>4680</v>
      </c>
      <c r="K785" s="53" t="s">
        <v>51</v>
      </c>
      <c r="L785" s="53" t="s">
        <v>52</v>
      </c>
      <c r="M785" s="53" t="s">
        <v>52</v>
      </c>
      <c r="N785" s="62" t="s">
        <v>4846</v>
      </c>
      <c r="O785" s="62" t="s">
        <v>44</v>
      </c>
      <c r="P785" s="62" t="s">
        <v>4847</v>
      </c>
      <c r="Q785" s="62" t="s">
        <v>4848</v>
      </c>
      <c r="R785" s="53"/>
      <c r="S785" s="53"/>
      <c r="T785" s="82"/>
      <c r="U785" s="42"/>
      <c r="V785" s="62"/>
      <c r="W785" s="64"/>
      <c r="X785" s="223"/>
      <c r="Y785" s="223"/>
      <c r="Z785" s="223"/>
      <c r="AA785" s="223"/>
    </row>
    <row r="786">
      <c r="A786" s="42">
        <f t="shared" si="3"/>
        <v>785</v>
      </c>
      <c r="B786" s="51" t="s">
        <v>41</v>
      </c>
      <c r="C786" s="53" t="s">
        <v>4852</v>
      </c>
      <c r="D786" s="42" t="s">
        <v>44</v>
      </c>
      <c r="E786" s="42" t="s">
        <v>44</v>
      </c>
      <c r="F786" s="53" t="s">
        <v>4679</v>
      </c>
      <c r="G786" s="53" t="s">
        <v>47</v>
      </c>
      <c r="H786" s="53" t="s">
        <v>48</v>
      </c>
      <c r="I786" s="53" t="s">
        <v>485</v>
      </c>
      <c r="J786" s="53" t="s">
        <v>4680</v>
      </c>
      <c r="K786" s="53" t="s">
        <v>51</v>
      </c>
      <c r="L786" s="53" t="s">
        <v>52</v>
      </c>
      <c r="M786" s="53" t="s">
        <v>52</v>
      </c>
      <c r="N786" s="62" t="s">
        <v>4853</v>
      </c>
      <c r="O786" s="62" t="s">
        <v>44</v>
      </c>
      <c r="P786" s="62" t="s">
        <v>4847</v>
      </c>
      <c r="Q786" s="62" t="s">
        <v>4854</v>
      </c>
      <c r="R786" s="53"/>
      <c r="S786" s="53"/>
      <c r="T786" s="82"/>
      <c r="U786" s="42"/>
      <c r="V786" s="62"/>
      <c r="W786" s="64"/>
      <c r="X786" s="223"/>
      <c r="Y786" s="223"/>
      <c r="Z786" s="223"/>
      <c r="AA786" s="223"/>
    </row>
    <row r="787">
      <c r="A787" s="42">
        <f t="shared" si="3"/>
        <v>786</v>
      </c>
      <c r="B787" s="51" t="s">
        <v>41</v>
      </c>
      <c r="C787" s="53" t="s">
        <v>4857</v>
      </c>
      <c r="D787" s="42" t="s">
        <v>44</v>
      </c>
      <c r="E787" s="42" t="s">
        <v>44</v>
      </c>
      <c r="F787" s="53" t="s">
        <v>4679</v>
      </c>
      <c r="G787" s="53" t="s">
        <v>47</v>
      </c>
      <c r="H787" s="53" t="s">
        <v>48</v>
      </c>
      <c r="I787" s="53" t="s">
        <v>485</v>
      </c>
      <c r="J787" s="53" t="s">
        <v>4680</v>
      </c>
      <c r="K787" s="53" t="s">
        <v>51</v>
      </c>
      <c r="L787" s="53" t="s">
        <v>52</v>
      </c>
      <c r="M787" s="53" t="s">
        <v>52</v>
      </c>
      <c r="N787" s="62" t="s">
        <v>4858</v>
      </c>
      <c r="O787" s="62" t="s">
        <v>44</v>
      </c>
      <c r="P787" s="62" t="s">
        <v>4847</v>
      </c>
      <c r="Q787" s="62" t="s">
        <v>4859</v>
      </c>
      <c r="R787" s="53"/>
      <c r="S787" s="53"/>
      <c r="T787" s="82"/>
      <c r="U787" s="42"/>
      <c r="V787" s="62"/>
      <c r="W787" s="64"/>
      <c r="X787" s="223"/>
      <c r="Y787" s="223"/>
      <c r="Z787" s="223"/>
      <c r="AA787" s="223"/>
    </row>
    <row r="788">
      <c r="A788" s="42">
        <f t="shared" si="3"/>
        <v>787</v>
      </c>
      <c r="B788" s="51" t="s">
        <v>41</v>
      </c>
      <c r="C788" s="53" t="s">
        <v>4863</v>
      </c>
      <c r="D788" s="42" t="s">
        <v>44</v>
      </c>
      <c r="E788" s="42" t="s">
        <v>44</v>
      </c>
      <c r="F788" s="53" t="s">
        <v>4679</v>
      </c>
      <c r="G788" s="53" t="s">
        <v>47</v>
      </c>
      <c r="H788" s="53" t="s">
        <v>48</v>
      </c>
      <c r="I788" s="53" t="s">
        <v>485</v>
      </c>
      <c r="J788" s="53" t="s">
        <v>4680</v>
      </c>
      <c r="K788" s="53" t="s">
        <v>51</v>
      </c>
      <c r="L788" s="53" t="s">
        <v>52</v>
      </c>
      <c r="M788" s="53" t="s">
        <v>52</v>
      </c>
      <c r="N788" s="62" t="s">
        <v>4864</v>
      </c>
      <c r="O788" s="62" t="s">
        <v>44</v>
      </c>
      <c r="P788" s="62" t="s">
        <v>4847</v>
      </c>
      <c r="Q788" s="62" t="s">
        <v>4865</v>
      </c>
      <c r="R788" s="53"/>
      <c r="S788" s="53"/>
      <c r="T788" s="82"/>
      <c r="U788" s="42"/>
      <c r="V788" s="62"/>
      <c r="W788" s="64"/>
      <c r="X788" s="223"/>
      <c r="Y788" s="223"/>
      <c r="Z788" s="223"/>
      <c r="AA788" s="223"/>
    </row>
    <row r="789">
      <c r="A789" s="42">
        <f t="shared" si="3"/>
        <v>788</v>
      </c>
      <c r="B789" s="51" t="s">
        <v>41</v>
      </c>
      <c r="C789" s="53" t="s">
        <v>4868</v>
      </c>
      <c r="D789" s="42" t="s">
        <v>44</v>
      </c>
      <c r="E789" s="42" t="s">
        <v>44</v>
      </c>
      <c r="F789" s="53" t="s">
        <v>4679</v>
      </c>
      <c r="G789" s="53" t="s">
        <v>47</v>
      </c>
      <c r="H789" s="53" t="s">
        <v>95</v>
      </c>
      <c r="I789" s="53" t="s">
        <v>485</v>
      </c>
      <c r="J789" s="53" t="s">
        <v>4680</v>
      </c>
      <c r="K789" s="53" t="s">
        <v>51</v>
      </c>
      <c r="L789" s="53" t="s">
        <v>52</v>
      </c>
      <c r="M789" s="53" t="s">
        <v>52</v>
      </c>
      <c r="N789" s="62" t="s">
        <v>4869</v>
      </c>
      <c r="O789" s="62" t="s">
        <v>44</v>
      </c>
      <c r="P789" s="62" t="s">
        <v>4847</v>
      </c>
      <c r="Q789" s="62" t="s">
        <v>4870</v>
      </c>
      <c r="R789" s="53"/>
      <c r="S789" s="53"/>
      <c r="T789" s="82"/>
      <c r="U789" s="42"/>
      <c r="V789" s="62"/>
      <c r="W789" s="64"/>
      <c r="X789" s="223"/>
      <c r="Y789" s="223"/>
      <c r="Z789" s="223"/>
      <c r="AA789" s="223"/>
    </row>
    <row r="790">
      <c r="A790" s="42">
        <f t="shared" si="3"/>
        <v>789</v>
      </c>
      <c r="B790" s="51" t="s">
        <v>41</v>
      </c>
      <c r="C790" s="53" t="s">
        <v>4873</v>
      </c>
      <c r="D790" s="42" t="s">
        <v>44</v>
      </c>
      <c r="E790" s="42" t="s">
        <v>44</v>
      </c>
      <c r="F790" s="53" t="s">
        <v>4679</v>
      </c>
      <c r="G790" s="53" t="s">
        <v>47</v>
      </c>
      <c r="H790" s="53" t="s">
        <v>95</v>
      </c>
      <c r="I790" s="53" t="s">
        <v>485</v>
      </c>
      <c r="J790" s="53" t="s">
        <v>4680</v>
      </c>
      <c r="K790" s="53" t="s">
        <v>51</v>
      </c>
      <c r="L790" s="53" t="s">
        <v>52</v>
      </c>
      <c r="M790" s="53" t="s">
        <v>52</v>
      </c>
      <c r="N790" s="62" t="s">
        <v>4874</v>
      </c>
      <c r="O790" s="62" t="s">
        <v>44</v>
      </c>
      <c r="P790" s="62" t="s">
        <v>4847</v>
      </c>
      <c r="Q790" s="62" t="s">
        <v>4870</v>
      </c>
      <c r="R790" s="53"/>
      <c r="S790" s="53"/>
      <c r="T790" s="82"/>
      <c r="U790" s="42"/>
      <c r="V790" s="62"/>
      <c r="W790" s="64"/>
      <c r="X790" s="223"/>
      <c r="Y790" s="223"/>
      <c r="Z790" s="223"/>
      <c r="AA790" s="223"/>
    </row>
    <row r="791">
      <c r="A791" s="42">
        <f t="shared" si="3"/>
        <v>790</v>
      </c>
      <c r="B791" s="51" t="s">
        <v>41</v>
      </c>
      <c r="C791" s="53" t="s">
        <v>4877</v>
      </c>
      <c r="D791" s="42" t="s">
        <v>44</v>
      </c>
      <c r="E791" s="42" t="s">
        <v>44</v>
      </c>
      <c r="F791" s="53" t="s">
        <v>4679</v>
      </c>
      <c r="G791" s="53" t="s">
        <v>47</v>
      </c>
      <c r="H791" s="53" t="s">
        <v>95</v>
      </c>
      <c r="I791" s="53" t="s">
        <v>485</v>
      </c>
      <c r="J791" s="53" t="s">
        <v>4680</v>
      </c>
      <c r="K791" s="53" t="s">
        <v>51</v>
      </c>
      <c r="L791" s="53" t="s">
        <v>52</v>
      </c>
      <c r="M791" s="53" t="s">
        <v>52</v>
      </c>
      <c r="N791" s="62" t="s">
        <v>4878</v>
      </c>
      <c r="O791" s="62" t="s">
        <v>44</v>
      </c>
      <c r="P791" s="62" t="s">
        <v>4847</v>
      </c>
      <c r="Q791" s="62" t="s">
        <v>4870</v>
      </c>
      <c r="R791" s="53"/>
      <c r="S791" s="53"/>
      <c r="T791" s="82"/>
      <c r="U791" s="42"/>
      <c r="V791" s="62"/>
      <c r="W791" s="64"/>
      <c r="X791" s="223"/>
      <c r="Y791" s="223"/>
      <c r="Z791" s="223"/>
      <c r="AA791" s="223"/>
    </row>
    <row r="792">
      <c r="A792" s="42">
        <f t="shared" si="3"/>
        <v>791</v>
      </c>
      <c r="B792" s="51" t="s">
        <v>41</v>
      </c>
      <c r="C792" s="53" t="s">
        <v>4881</v>
      </c>
      <c r="D792" s="42" t="s">
        <v>44</v>
      </c>
      <c r="E792" s="42" t="s">
        <v>44</v>
      </c>
      <c r="F792" s="53" t="s">
        <v>4679</v>
      </c>
      <c r="G792" s="53" t="s">
        <v>47</v>
      </c>
      <c r="H792" s="53" t="s">
        <v>95</v>
      </c>
      <c r="I792" s="53" t="s">
        <v>485</v>
      </c>
      <c r="J792" s="53" t="s">
        <v>4680</v>
      </c>
      <c r="K792" s="53" t="s">
        <v>51</v>
      </c>
      <c r="L792" s="53" t="s">
        <v>52</v>
      </c>
      <c r="M792" s="53" t="s">
        <v>52</v>
      </c>
      <c r="N792" s="62" t="s">
        <v>4882</v>
      </c>
      <c r="O792" s="62" t="s">
        <v>44</v>
      </c>
      <c r="P792" s="62" t="s">
        <v>4847</v>
      </c>
      <c r="Q792" s="62" t="s">
        <v>4883</v>
      </c>
      <c r="R792" s="53"/>
      <c r="S792" s="53"/>
      <c r="T792" s="82"/>
      <c r="U792" s="42"/>
      <c r="V792" s="62"/>
      <c r="W792" s="64"/>
      <c r="X792" s="223"/>
      <c r="Y792" s="223"/>
      <c r="Z792" s="223"/>
      <c r="AA792" s="223"/>
    </row>
    <row r="793">
      <c r="A793" s="42">
        <f t="shared" si="3"/>
        <v>792</v>
      </c>
      <c r="B793" s="51" t="s">
        <v>41</v>
      </c>
      <c r="C793" s="53" t="s">
        <v>4886</v>
      </c>
      <c r="D793" s="42" t="s">
        <v>44</v>
      </c>
      <c r="E793" s="42" t="s">
        <v>44</v>
      </c>
      <c r="F793" s="53" t="s">
        <v>4679</v>
      </c>
      <c r="G793" s="53" t="s">
        <v>47</v>
      </c>
      <c r="H793" s="53" t="s">
        <v>91</v>
      </c>
      <c r="I793" s="53" t="s">
        <v>485</v>
      </c>
      <c r="J793" s="53" t="s">
        <v>4680</v>
      </c>
      <c r="K793" s="53" t="s">
        <v>51</v>
      </c>
      <c r="L793" s="53" t="s">
        <v>52</v>
      </c>
      <c r="M793" s="53" t="s">
        <v>52</v>
      </c>
      <c r="N793" s="62" t="s">
        <v>4758</v>
      </c>
      <c r="O793" s="62" t="s">
        <v>44</v>
      </c>
      <c r="P793" s="62" t="s">
        <v>4887</v>
      </c>
      <c r="Q793" s="62" t="s">
        <v>4888</v>
      </c>
      <c r="R793" s="53"/>
      <c r="S793" s="53"/>
      <c r="T793" s="82"/>
      <c r="U793" s="42"/>
      <c r="V793" s="62"/>
      <c r="W793" s="64"/>
      <c r="X793" s="223"/>
      <c r="Y793" s="223"/>
      <c r="Z793" s="223"/>
      <c r="AA793" s="223"/>
    </row>
    <row r="794">
      <c r="A794" s="42">
        <f t="shared" si="3"/>
        <v>793</v>
      </c>
      <c r="B794" s="51" t="s">
        <v>41</v>
      </c>
      <c r="C794" s="53" t="s">
        <v>4892</v>
      </c>
      <c r="D794" s="42" t="s">
        <v>44</v>
      </c>
      <c r="E794" s="42" t="s">
        <v>44</v>
      </c>
      <c r="F794" s="53" t="s">
        <v>4679</v>
      </c>
      <c r="G794" s="53" t="s">
        <v>47</v>
      </c>
      <c r="H794" s="53" t="s">
        <v>48</v>
      </c>
      <c r="I794" s="53" t="s">
        <v>485</v>
      </c>
      <c r="J794" s="53" t="s">
        <v>4680</v>
      </c>
      <c r="K794" s="53" t="s">
        <v>51</v>
      </c>
      <c r="L794" s="53" t="s">
        <v>52</v>
      </c>
      <c r="M794" s="53" t="s">
        <v>52</v>
      </c>
      <c r="N794" s="62" t="s">
        <v>4681</v>
      </c>
      <c r="O794" s="62" t="s">
        <v>44</v>
      </c>
      <c r="P794" s="62" t="s">
        <v>4893</v>
      </c>
      <c r="Q794" s="62" t="s">
        <v>4894</v>
      </c>
      <c r="R794" s="53"/>
      <c r="S794" s="53"/>
      <c r="T794" s="82"/>
      <c r="U794" s="42"/>
      <c r="V794" s="62"/>
      <c r="W794" s="64"/>
      <c r="X794" s="223"/>
      <c r="Y794" s="223"/>
      <c r="Z794" s="223"/>
      <c r="AA794" s="223"/>
    </row>
    <row r="795">
      <c r="A795" s="42">
        <f t="shared" si="3"/>
        <v>794</v>
      </c>
      <c r="B795" s="51" t="s">
        <v>41</v>
      </c>
      <c r="C795" s="53" t="s">
        <v>4897</v>
      </c>
      <c r="D795" s="42" t="s">
        <v>44</v>
      </c>
      <c r="E795" s="42" t="s">
        <v>44</v>
      </c>
      <c r="F795" s="53" t="s">
        <v>4679</v>
      </c>
      <c r="G795" s="53" t="s">
        <v>47</v>
      </c>
      <c r="H795" s="53" t="s">
        <v>48</v>
      </c>
      <c r="I795" s="53" t="s">
        <v>485</v>
      </c>
      <c r="J795" s="53" t="s">
        <v>4680</v>
      </c>
      <c r="K795" s="53" t="s">
        <v>51</v>
      </c>
      <c r="L795" s="53" t="s">
        <v>52</v>
      </c>
      <c r="M795" s="53" t="s">
        <v>52</v>
      </c>
      <c r="N795" s="62" t="s">
        <v>4758</v>
      </c>
      <c r="O795" s="62" t="s">
        <v>44</v>
      </c>
      <c r="P795" s="62" t="s">
        <v>4898</v>
      </c>
      <c r="Q795" s="62" t="s">
        <v>4899</v>
      </c>
      <c r="R795" s="53"/>
      <c r="S795" s="53"/>
      <c r="T795" s="82"/>
      <c r="U795" s="42"/>
      <c r="V795" s="62"/>
      <c r="W795" s="64"/>
      <c r="X795" s="223"/>
      <c r="Y795" s="223"/>
      <c r="Z795" s="223"/>
      <c r="AA795" s="223"/>
    </row>
    <row r="796">
      <c r="A796" s="42">
        <f t="shared" si="3"/>
        <v>795</v>
      </c>
      <c r="B796" s="51" t="s">
        <v>41</v>
      </c>
      <c r="C796" s="53" t="s">
        <v>4902</v>
      </c>
      <c r="D796" s="42" t="s">
        <v>44</v>
      </c>
      <c r="E796" s="42" t="s">
        <v>44</v>
      </c>
      <c r="F796" s="53" t="s">
        <v>4679</v>
      </c>
      <c r="G796" s="53" t="s">
        <v>197</v>
      </c>
      <c r="H796" s="53" t="s">
        <v>91</v>
      </c>
      <c r="I796" s="53" t="s">
        <v>485</v>
      </c>
      <c r="J796" s="53" t="s">
        <v>4680</v>
      </c>
      <c r="K796" s="53" t="s">
        <v>51</v>
      </c>
      <c r="L796" s="53" t="s">
        <v>52</v>
      </c>
      <c r="M796" s="53" t="s">
        <v>52</v>
      </c>
      <c r="N796" s="62" t="s">
        <v>4903</v>
      </c>
      <c r="O796" s="62" t="s">
        <v>44</v>
      </c>
      <c r="P796" s="62" t="s">
        <v>4904</v>
      </c>
      <c r="Q796" s="62" t="s">
        <v>4905</v>
      </c>
      <c r="R796" s="53"/>
      <c r="S796" s="53"/>
      <c r="T796" s="82"/>
      <c r="U796" s="42"/>
      <c r="V796" s="62"/>
      <c r="W796" s="64"/>
      <c r="X796" s="223"/>
      <c r="Y796" s="223"/>
      <c r="Z796" s="223"/>
      <c r="AA796" s="223"/>
    </row>
    <row r="797">
      <c r="A797" s="42">
        <f t="shared" si="3"/>
        <v>796</v>
      </c>
      <c r="B797" s="51" t="s">
        <v>41</v>
      </c>
      <c r="C797" s="53" t="s">
        <v>4909</v>
      </c>
      <c r="D797" s="42" t="s">
        <v>44</v>
      </c>
      <c r="E797" s="42" t="s">
        <v>44</v>
      </c>
      <c r="F797" s="53" t="s">
        <v>4679</v>
      </c>
      <c r="G797" s="53" t="s">
        <v>47</v>
      </c>
      <c r="H797" s="53" t="s">
        <v>48</v>
      </c>
      <c r="I797" s="53" t="s">
        <v>485</v>
      </c>
      <c r="J797" s="53" t="s">
        <v>4680</v>
      </c>
      <c r="K797" s="53" t="s">
        <v>51</v>
      </c>
      <c r="L797" s="53" t="s">
        <v>52</v>
      </c>
      <c r="M797" s="53" t="s">
        <v>52</v>
      </c>
      <c r="N797" s="62" t="s">
        <v>4910</v>
      </c>
      <c r="O797" s="62" t="s">
        <v>44</v>
      </c>
      <c r="P797" s="62" t="s">
        <v>4911</v>
      </c>
      <c r="Q797" s="62" t="s">
        <v>4912</v>
      </c>
      <c r="R797" s="53"/>
      <c r="S797" s="53"/>
      <c r="T797" s="82"/>
      <c r="U797" s="42"/>
      <c r="V797" s="62"/>
      <c r="W797" s="64"/>
      <c r="X797" s="223"/>
      <c r="Y797" s="223"/>
      <c r="Z797" s="223"/>
      <c r="AA797" s="223"/>
    </row>
    <row r="798">
      <c r="A798" s="42">
        <f t="shared" si="3"/>
        <v>797</v>
      </c>
      <c r="B798" s="51" t="s">
        <v>41</v>
      </c>
      <c r="C798" s="53" t="s">
        <v>4915</v>
      </c>
      <c r="D798" s="42" t="s">
        <v>44</v>
      </c>
      <c r="E798" s="42" t="s">
        <v>44</v>
      </c>
      <c r="F798" s="53" t="s">
        <v>4679</v>
      </c>
      <c r="G798" s="53" t="s">
        <v>47</v>
      </c>
      <c r="H798" s="53" t="s">
        <v>95</v>
      </c>
      <c r="I798" s="53" t="s">
        <v>485</v>
      </c>
      <c r="J798" s="53" t="s">
        <v>4680</v>
      </c>
      <c r="K798" s="53" t="s">
        <v>51</v>
      </c>
      <c r="L798" s="53" t="s">
        <v>52</v>
      </c>
      <c r="M798" s="53" t="s">
        <v>52</v>
      </c>
      <c r="N798" s="62" t="s">
        <v>4916</v>
      </c>
      <c r="O798" s="62" t="s">
        <v>44</v>
      </c>
      <c r="P798" s="62" t="s">
        <v>4917</v>
      </c>
      <c r="Q798" s="62" t="s">
        <v>4918</v>
      </c>
      <c r="R798" s="53"/>
      <c r="S798" s="53"/>
      <c r="T798" s="82"/>
      <c r="U798" s="42"/>
      <c r="V798" s="62"/>
      <c r="W798" s="64"/>
      <c r="X798" s="223"/>
      <c r="Y798" s="223"/>
      <c r="Z798" s="223"/>
      <c r="AA798" s="223"/>
    </row>
    <row r="799">
      <c r="A799" s="42">
        <f t="shared" si="3"/>
        <v>798</v>
      </c>
      <c r="B799" s="51" t="s">
        <v>41</v>
      </c>
      <c r="C799" s="53" t="s">
        <v>4921</v>
      </c>
      <c r="D799" s="42" t="s">
        <v>44</v>
      </c>
      <c r="E799" s="42" t="s">
        <v>44</v>
      </c>
      <c r="F799" s="53" t="s">
        <v>4679</v>
      </c>
      <c r="G799" s="53" t="s">
        <v>47</v>
      </c>
      <c r="H799" s="53" t="s">
        <v>95</v>
      </c>
      <c r="I799" s="53" t="s">
        <v>485</v>
      </c>
      <c r="J799" s="53" t="s">
        <v>4680</v>
      </c>
      <c r="K799" s="53" t="s">
        <v>51</v>
      </c>
      <c r="L799" s="53" t="s">
        <v>52</v>
      </c>
      <c r="M799" s="53" t="s">
        <v>52</v>
      </c>
      <c r="N799" s="62" t="s">
        <v>4922</v>
      </c>
      <c r="O799" s="62" t="s">
        <v>44</v>
      </c>
      <c r="P799" s="62" t="s">
        <v>4923</v>
      </c>
      <c r="Q799" s="62" t="s">
        <v>4924</v>
      </c>
      <c r="R799" s="53"/>
      <c r="S799" s="53"/>
      <c r="T799" s="82"/>
      <c r="U799" s="42"/>
      <c r="V799" s="62"/>
      <c r="W799" s="64"/>
      <c r="X799" s="223"/>
      <c r="Y799" s="223"/>
      <c r="Z799" s="223"/>
      <c r="AA799" s="223"/>
    </row>
    <row r="800">
      <c r="A800" s="42">
        <f t="shared" si="3"/>
        <v>799</v>
      </c>
      <c r="B800" s="51" t="s">
        <v>41</v>
      </c>
      <c r="C800" s="53" t="s">
        <v>4927</v>
      </c>
      <c r="D800" s="42" t="s">
        <v>44</v>
      </c>
      <c r="E800" s="42" t="s">
        <v>44</v>
      </c>
      <c r="F800" s="53" t="s">
        <v>4679</v>
      </c>
      <c r="G800" s="53" t="s">
        <v>47</v>
      </c>
      <c r="H800" s="53" t="s">
        <v>95</v>
      </c>
      <c r="I800" s="53" t="s">
        <v>485</v>
      </c>
      <c r="J800" s="53" t="s">
        <v>4680</v>
      </c>
      <c r="K800" s="53" t="s">
        <v>51</v>
      </c>
      <c r="L800" s="53" t="s">
        <v>52</v>
      </c>
      <c r="M800" s="53" t="s">
        <v>52</v>
      </c>
      <c r="N800" s="62" t="s">
        <v>4928</v>
      </c>
      <c r="O800" s="62" t="s">
        <v>44</v>
      </c>
      <c r="P800" s="62" t="s">
        <v>4923</v>
      </c>
      <c r="Q800" s="62" t="s">
        <v>4929</v>
      </c>
      <c r="R800" s="53"/>
      <c r="S800" s="53"/>
      <c r="T800" s="82"/>
      <c r="U800" s="42"/>
      <c r="V800" s="62"/>
      <c r="W800" s="64"/>
      <c r="X800" s="223"/>
      <c r="Y800" s="223"/>
      <c r="Z800" s="223"/>
      <c r="AA800" s="223"/>
    </row>
    <row r="801">
      <c r="A801" s="42">
        <f t="shared" si="3"/>
        <v>800</v>
      </c>
      <c r="B801" s="51" t="s">
        <v>41</v>
      </c>
      <c r="C801" s="53" t="s">
        <v>4932</v>
      </c>
      <c r="D801" s="42" t="s">
        <v>44</v>
      </c>
      <c r="E801" s="42" t="s">
        <v>44</v>
      </c>
      <c r="F801" s="53" t="s">
        <v>4679</v>
      </c>
      <c r="G801" s="53" t="s">
        <v>47</v>
      </c>
      <c r="H801" s="53" t="s">
        <v>48</v>
      </c>
      <c r="I801" s="53" t="s">
        <v>485</v>
      </c>
      <c r="J801" s="53" t="s">
        <v>4680</v>
      </c>
      <c r="K801" s="53" t="s">
        <v>51</v>
      </c>
      <c r="L801" s="53" t="s">
        <v>52</v>
      </c>
      <c r="M801" s="53" t="s">
        <v>52</v>
      </c>
      <c r="N801" s="62" t="s">
        <v>4910</v>
      </c>
      <c r="O801" s="62" t="s">
        <v>44</v>
      </c>
      <c r="P801" s="62" t="s">
        <v>4933</v>
      </c>
      <c r="Q801" s="62" t="s">
        <v>4934</v>
      </c>
      <c r="R801" s="53"/>
      <c r="S801" s="53"/>
      <c r="T801" s="82"/>
      <c r="U801" s="42"/>
      <c r="V801" s="62"/>
      <c r="W801" s="64"/>
      <c r="X801" s="223"/>
      <c r="Y801" s="223"/>
      <c r="Z801" s="223"/>
      <c r="AA801" s="223"/>
    </row>
    <row r="802">
      <c r="A802" s="42">
        <f t="shared" si="3"/>
        <v>801</v>
      </c>
      <c r="B802" s="51" t="s">
        <v>41</v>
      </c>
      <c r="C802" s="53" t="s">
        <v>4937</v>
      </c>
      <c r="D802" s="42" t="s">
        <v>44</v>
      </c>
      <c r="E802" s="42" t="s">
        <v>44</v>
      </c>
      <c r="F802" s="53" t="s">
        <v>4679</v>
      </c>
      <c r="G802" s="53" t="s">
        <v>47</v>
      </c>
      <c r="H802" s="53" t="s">
        <v>48</v>
      </c>
      <c r="I802" s="53" t="s">
        <v>485</v>
      </c>
      <c r="J802" s="53" t="s">
        <v>4680</v>
      </c>
      <c r="K802" s="53" t="s">
        <v>51</v>
      </c>
      <c r="L802" s="53" t="s">
        <v>52</v>
      </c>
      <c r="M802" s="53" t="s">
        <v>52</v>
      </c>
      <c r="N802" s="62" t="s">
        <v>4938</v>
      </c>
      <c r="O802" s="62" t="s">
        <v>44</v>
      </c>
      <c r="P802" s="62" t="s">
        <v>4939</v>
      </c>
      <c r="Q802" s="62" t="s">
        <v>4940</v>
      </c>
      <c r="R802" s="53"/>
      <c r="S802" s="53"/>
      <c r="T802" s="82"/>
      <c r="U802" s="42"/>
      <c r="V802" s="62"/>
      <c r="W802" s="64"/>
      <c r="X802" s="223"/>
      <c r="Y802" s="223"/>
      <c r="Z802" s="223"/>
      <c r="AA802" s="223"/>
    </row>
    <row r="803">
      <c r="A803" s="42">
        <f t="shared" si="3"/>
        <v>802</v>
      </c>
      <c r="B803" s="51" t="s">
        <v>41</v>
      </c>
      <c r="C803" s="53" t="s">
        <v>4943</v>
      </c>
      <c r="D803" s="42" t="s">
        <v>44</v>
      </c>
      <c r="E803" s="42" t="s">
        <v>44</v>
      </c>
      <c r="F803" s="53" t="s">
        <v>4679</v>
      </c>
      <c r="G803" s="53" t="s">
        <v>47</v>
      </c>
      <c r="H803" s="53" t="s">
        <v>48</v>
      </c>
      <c r="I803" s="53" t="s">
        <v>485</v>
      </c>
      <c r="J803" s="53" t="s">
        <v>4680</v>
      </c>
      <c r="K803" s="53" t="s">
        <v>51</v>
      </c>
      <c r="L803" s="53" t="s">
        <v>52</v>
      </c>
      <c r="M803" s="53" t="s">
        <v>52</v>
      </c>
      <c r="N803" s="62" t="s">
        <v>4938</v>
      </c>
      <c r="O803" s="62" t="s">
        <v>44</v>
      </c>
      <c r="P803" s="62" t="s">
        <v>4944</v>
      </c>
      <c r="Q803" s="62" t="s">
        <v>4945</v>
      </c>
      <c r="R803" s="53"/>
      <c r="S803" s="53"/>
      <c r="T803" s="82"/>
      <c r="U803" s="42"/>
      <c r="V803" s="62"/>
      <c r="W803" s="64"/>
      <c r="X803" s="223"/>
      <c r="Y803" s="223"/>
      <c r="Z803" s="223"/>
      <c r="AA803" s="223"/>
    </row>
    <row r="804">
      <c r="A804" s="42">
        <f t="shared" si="3"/>
        <v>803</v>
      </c>
      <c r="B804" s="51" t="s">
        <v>41</v>
      </c>
      <c r="C804" s="53" t="s">
        <v>4949</v>
      </c>
      <c r="D804" s="42" t="s">
        <v>44</v>
      </c>
      <c r="E804" s="42" t="s">
        <v>44</v>
      </c>
      <c r="F804" s="53" t="s">
        <v>4679</v>
      </c>
      <c r="G804" s="53" t="s">
        <v>47</v>
      </c>
      <c r="H804" s="53" t="s">
        <v>48</v>
      </c>
      <c r="I804" s="53" t="s">
        <v>485</v>
      </c>
      <c r="J804" s="53" t="s">
        <v>4680</v>
      </c>
      <c r="K804" s="53" t="s">
        <v>51</v>
      </c>
      <c r="L804" s="53" t="s">
        <v>52</v>
      </c>
      <c r="M804" s="53" t="s">
        <v>52</v>
      </c>
      <c r="N804" s="62" t="s">
        <v>4938</v>
      </c>
      <c r="O804" s="62" t="s">
        <v>44</v>
      </c>
      <c r="P804" s="62" t="s">
        <v>4950</v>
      </c>
      <c r="Q804" s="62" t="s">
        <v>4951</v>
      </c>
      <c r="R804" s="53"/>
      <c r="S804" s="53"/>
      <c r="T804" s="82"/>
      <c r="U804" s="42"/>
      <c r="V804" s="62"/>
      <c r="W804" s="64"/>
      <c r="X804" s="223"/>
      <c r="Y804" s="223"/>
      <c r="Z804" s="223"/>
      <c r="AA804" s="223"/>
    </row>
    <row r="805">
      <c r="A805" s="42">
        <f t="shared" si="3"/>
        <v>804</v>
      </c>
      <c r="B805" s="51" t="s">
        <v>41</v>
      </c>
      <c r="C805" s="53" t="s">
        <v>4954</v>
      </c>
      <c r="D805" s="42" t="s">
        <v>44</v>
      </c>
      <c r="E805" s="42" t="s">
        <v>44</v>
      </c>
      <c r="F805" s="53" t="s">
        <v>4679</v>
      </c>
      <c r="G805" s="53" t="s">
        <v>47</v>
      </c>
      <c r="H805" s="53" t="s">
        <v>48</v>
      </c>
      <c r="I805" s="53" t="s">
        <v>485</v>
      </c>
      <c r="J805" s="53" t="s">
        <v>4680</v>
      </c>
      <c r="K805" s="53" t="s">
        <v>51</v>
      </c>
      <c r="L805" s="53" t="s">
        <v>52</v>
      </c>
      <c r="M805" s="53" t="s">
        <v>52</v>
      </c>
      <c r="N805" s="62" t="s">
        <v>4938</v>
      </c>
      <c r="O805" s="62" t="s">
        <v>44</v>
      </c>
      <c r="P805" s="62" t="s">
        <v>4955</v>
      </c>
      <c r="Q805" s="62" t="s">
        <v>4956</v>
      </c>
      <c r="R805" s="53"/>
      <c r="S805" s="53"/>
      <c r="T805" s="82"/>
      <c r="U805" s="42"/>
      <c r="V805" s="62"/>
      <c r="W805" s="64"/>
      <c r="X805" s="223"/>
      <c r="Y805" s="223"/>
      <c r="Z805" s="223"/>
      <c r="AA805" s="223"/>
    </row>
    <row r="806">
      <c r="A806" s="42">
        <f t="shared" si="3"/>
        <v>805</v>
      </c>
      <c r="B806" s="51" t="s">
        <v>41</v>
      </c>
      <c r="C806" s="53" t="s">
        <v>4959</v>
      </c>
      <c r="D806" s="42" t="s">
        <v>44</v>
      </c>
      <c r="E806" s="42" t="s">
        <v>44</v>
      </c>
      <c r="F806" s="53" t="s">
        <v>4679</v>
      </c>
      <c r="G806" s="53" t="s">
        <v>47</v>
      </c>
      <c r="H806" s="53" t="s">
        <v>48</v>
      </c>
      <c r="I806" s="53" t="s">
        <v>485</v>
      </c>
      <c r="J806" s="53" t="s">
        <v>4680</v>
      </c>
      <c r="K806" s="53" t="s">
        <v>51</v>
      </c>
      <c r="L806" s="53" t="s">
        <v>52</v>
      </c>
      <c r="M806" s="53" t="s">
        <v>52</v>
      </c>
      <c r="N806" s="62" t="s">
        <v>4938</v>
      </c>
      <c r="O806" s="62" t="s">
        <v>44</v>
      </c>
      <c r="P806" s="62" t="s">
        <v>4960</v>
      </c>
      <c r="Q806" s="62" t="s">
        <v>4961</v>
      </c>
      <c r="R806" s="53"/>
      <c r="S806" s="53"/>
      <c r="T806" s="82"/>
      <c r="U806" s="42"/>
      <c r="V806" s="62"/>
      <c r="W806" s="64"/>
      <c r="X806" s="223"/>
      <c r="Y806" s="223"/>
      <c r="Z806" s="223"/>
      <c r="AA806" s="223"/>
    </row>
    <row r="807">
      <c r="A807" s="42">
        <f t="shared" si="3"/>
        <v>806</v>
      </c>
      <c r="B807" s="51" t="s">
        <v>41</v>
      </c>
      <c r="C807" s="53" t="s">
        <v>4964</v>
      </c>
      <c r="D807" s="42" t="s">
        <v>44</v>
      </c>
      <c r="E807" s="42" t="s">
        <v>44</v>
      </c>
      <c r="F807" s="53" t="s">
        <v>4679</v>
      </c>
      <c r="G807" s="53" t="s">
        <v>47</v>
      </c>
      <c r="H807" s="53" t="s">
        <v>48</v>
      </c>
      <c r="I807" s="53" t="s">
        <v>485</v>
      </c>
      <c r="J807" s="53" t="s">
        <v>4680</v>
      </c>
      <c r="K807" s="53" t="s">
        <v>51</v>
      </c>
      <c r="L807" s="53" t="s">
        <v>52</v>
      </c>
      <c r="M807" s="53" t="s">
        <v>52</v>
      </c>
      <c r="N807" s="62" t="s">
        <v>4938</v>
      </c>
      <c r="O807" s="62" t="s">
        <v>44</v>
      </c>
      <c r="P807" s="62" t="s">
        <v>4965</v>
      </c>
      <c r="Q807" s="62" t="s">
        <v>4966</v>
      </c>
      <c r="R807" s="53"/>
      <c r="S807" s="53"/>
      <c r="T807" s="82"/>
      <c r="U807" s="42"/>
      <c r="V807" s="62"/>
      <c r="W807" s="64"/>
      <c r="X807" s="223"/>
      <c r="Y807" s="223"/>
      <c r="Z807" s="223"/>
      <c r="AA807" s="223"/>
    </row>
    <row r="808">
      <c r="A808" s="42">
        <f t="shared" si="3"/>
        <v>807</v>
      </c>
      <c r="B808" s="51" t="s">
        <v>41</v>
      </c>
      <c r="C808" s="53" t="s">
        <v>4969</v>
      </c>
      <c r="D808" s="42" t="s">
        <v>44</v>
      </c>
      <c r="E808" s="42" t="s">
        <v>44</v>
      </c>
      <c r="F808" s="53" t="s">
        <v>4679</v>
      </c>
      <c r="G808" s="53" t="s">
        <v>47</v>
      </c>
      <c r="H808" s="53" t="s">
        <v>95</v>
      </c>
      <c r="I808" s="53" t="s">
        <v>485</v>
      </c>
      <c r="J808" s="53" t="s">
        <v>4680</v>
      </c>
      <c r="K808" s="53" t="s">
        <v>51</v>
      </c>
      <c r="L808" s="53" t="s">
        <v>52</v>
      </c>
      <c r="M808" s="53" t="s">
        <v>52</v>
      </c>
      <c r="N808" s="62" t="s">
        <v>4970</v>
      </c>
      <c r="O808" s="62" t="s">
        <v>44</v>
      </c>
      <c r="P808" s="62" t="s">
        <v>4971</v>
      </c>
      <c r="Q808" s="62" t="s">
        <v>4972</v>
      </c>
      <c r="R808" s="53"/>
      <c r="S808" s="53"/>
      <c r="T808" s="82"/>
      <c r="U808" s="42"/>
      <c r="V808" s="62"/>
      <c r="W808" s="64"/>
      <c r="X808" s="223"/>
      <c r="Y808" s="223"/>
      <c r="Z808" s="223"/>
      <c r="AA808" s="223"/>
    </row>
    <row r="809">
      <c r="A809" s="42">
        <f t="shared" si="3"/>
        <v>808</v>
      </c>
      <c r="B809" s="51" t="s">
        <v>41</v>
      </c>
      <c r="C809" s="53" t="s">
        <v>4975</v>
      </c>
      <c r="D809" s="42" t="s">
        <v>44</v>
      </c>
      <c r="E809" s="42" t="s">
        <v>44</v>
      </c>
      <c r="F809" s="53" t="s">
        <v>4679</v>
      </c>
      <c r="G809" s="53" t="s">
        <v>47</v>
      </c>
      <c r="H809" s="53" t="s">
        <v>48</v>
      </c>
      <c r="I809" s="53" t="s">
        <v>485</v>
      </c>
      <c r="J809" s="53" t="s">
        <v>4680</v>
      </c>
      <c r="K809" s="53" t="s">
        <v>51</v>
      </c>
      <c r="L809" s="53" t="s">
        <v>52</v>
      </c>
      <c r="M809" s="53" t="s">
        <v>52</v>
      </c>
      <c r="N809" s="62" t="s">
        <v>4976</v>
      </c>
      <c r="O809" s="62" t="s">
        <v>44</v>
      </c>
      <c r="P809" s="62" t="s">
        <v>4977</v>
      </c>
      <c r="Q809" s="62" t="s">
        <v>4978</v>
      </c>
      <c r="R809" s="53"/>
      <c r="S809" s="53"/>
      <c r="T809" s="82"/>
      <c r="U809" s="42"/>
      <c r="V809" s="62"/>
      <c r="W809" s="64"/>
      <c r="X809" s="223"/>
      <c r="Y809" s="223"/>
      <c r="Z809" s="223"/>
      <c r="AA809" s="223"/>
    </row>
    <row r="810">
      <c r="A810" s="42">
        <f t="shared" si="3"/>
        <v>809</v>
      </c>
      <c r="B810" s="51" t="s">
        <v>41</v>
      </c>
      <c r="C810" s="53" t="s">
        <v>4981</v>
      </c>
      <c r="D810" s="42" t="s">
        <v>44</v>
      </c>
      <c r="E810" s="42" t="s">
        <v>44</v>
      </c>
      <c r="F810" s="53" t="s">
        <v>4679</v>
      </c>
      <c r="G810" s="53" t="s">
        <v>47</v>
      </c>
      <c r="H810" s="53" t="s">
        <v>48</v>
      </c>
      <c r="I810" s="53" t="s">
        <v>485</v>
      </c>
      <c r="J810" s="53" t="s">
        <v>4680</v>
      </c>
      <c r="K810" s="53" t="s">
        <v>51</v>
      </c>
      <c r="L810" s="53" t="s">
        <v>52</v>
      </c>
      <c r="M810" s="53" t="s">
        <v>52</v>
      </c>
      <c r="N810" s="62" t="s">
        <v>4976</v>
      </c>
      <c r="O810" s="62" t="s">
        <v>44</v>
      </c>
      <c r="P810" s="62" t="s">
        <v>4982</v>
      </c>
      <c r="Q810" s="62" t="s">
        <v>4983</v>
      </c>
      <c r="R810" s="53"/>
      <c r="S810" s="53"/>
      <c r="T810" s="82"/>
      <c r="U810" s="42"/>
      <c r="V810" s="62"/>
      <c r="W810" s="64"/>
      <c r="X810" s="223"/>
      <c r="Y810" s="223"/>
      <c r="Z810" s="223"/>
      <c r="AA810" s="223"/>
    </row>
    <row r="811">
      <c r="A811" s="42">
        <f t="shared" si="3"/>
        <v>810</v>
      </c>
      <c r="B811" s="51" t="s">
        <v>41</v>
      </c>
      <c r="C811" s="53" t="s">
        <v>4986</v>
      </c>
      <c r="D811" s="42" t="s">
        <v>44</v>
      </c>
      <c r="E811" s="42" t="s">
        <v>44</v>
      </c>
      <c r="F811" s="53" t="s">
        <v>4679</v>
      </c>
      <c r="G811" s="53" t="s">
        <v>85</v>
      </c>
      <c r="H811" s="53" t="s">
        <v>86</v>
      </c>
      <c r="I811" s="53" t="s">
        <v>485</v>
      </c>
      <c r="J811" s="53" t="s">
        <v>4680</v>
      </c>
      <c r="K811" s="53" t="s">
        <v>51</v>
      </c>
      <c r="L811" s="53" t="s">
        <v>52</v>
      </c>
      <c r="M811" s="53" t="s">
        <v>52</v>
      </c>
      <c r="N811" s="62" t="s">
        <v>4987</v>
      </c>
      <c r="O811" s="62" t="s">
        <v>44</v>
      </c>
      <c r="P811" s="62" t="s">
        <v>4977</v>
      </c>
      <c r="Q811" s="62" t="s">
        <v>4988</v>
      </c>
      <c r="R811" s="53"/>
      <c r="S811" s="53"/>
      <c r="T811" s="82"/>
      <c r="U811" s="42"/>
      <c r="V811" s="62"/>
      <c r="W811" s="64"/>
      <c r="X811" s="223"/>
      <c r="Y811" s="223"/>
      <c r="Z811" s="223"/>
      <c r="AA811" s="223"/>
    </row>
    <row r="812">
      <c r="A812" s="42">
        <f t="shared" si="3"/>
        <v>811</v>
      </c>
      <c r="B812" s="51" t="s">
        <v>41</v>
      </c>
      <c r="C812" s="53" t="s">
        <v>4992</v>
      </c>
      <c r="D812" s="42" t="s">
        <v>44</v>
      </c>
      <c r="E812" s="42" t="s">
        <v>44</v>
      </c>
      <c r="F812" s="53" t="s">
        <v>4679</v>
      </c>
      <c r="G812" s="53" t="s">
        <v>47</v>
      </c>
      <c r="H812" s="53" t="s">
        <v>48</v>
      </c>
      <c r="I812" s="53" t="s">
        <v>485</v>
      </c>
      <c r="J812" s="53" t="s">
        <v>4680</v>
      </c>
      <c r="K812" s="53" t="s">
        <v>51</v>
      </c>
      <c r="L812" s="53" t="s">
        <v>52</v>
      </c>
      <c r="M812" s="53" t="s">
        <v>52</v>
      </c>
      <c r="N812" s="62" t="s">
        <v>4976</v>
      </c>
      <c r="O812" s="62" t="s">
        <v>44</v>
      </c>
      <c r="P812" s="62" t="s">
        <v>4993</v>
      </c>
      <c r="Q812" s="62" t="s">
        <v>4994</v>
      </c>
      <c r="R812" s="53"/>
      <c r="S812" s="53"/>
      <c r="T812" s="82"/>
      <c r="U812" s="42"/>
      <c r="V812" s="62"/>
      <c r="W812" s="64"/>
      <c r="X812" s="223"/>
      <c r="Y812" s="223"/>
      <c r="Z812" s="223"/>
      <c r="AA812" s="223"/>
    </row>
    <row r="813">
      <c r="A813" s="42">
        <f t="shared" si="3"/>
        <v>812</v>
      </c>
      <c r="B813" s="51" t="s">
        <v>41</v>
      </c>
      <c r="C813" s="53" t="s">
        <v>4997</v>
      </c>
      <c r="D813" s="42" t="s">
        <v>44</v>
      </c>
      <c r="E813" s="42" t="s">
        <v>44</v>
      </c>
      <c r="F813" s="53" t="s">
        <v>4679</v>
      </c>
      <c r="G813" s="53" t="s">
        <v>85</v>
      </c>
      <c r="H813" s="53" t="s">
        <v>86</v>
      </c>
      <c r="I813" s="53" t="s">
        <v>485</v>
      </c>
      <c r="J813" s="53" t="s">
        <v>4680</v>
      </c>
      <c r="K813" s="53" t="s">
        <v>51</v>
      </c>
      <c r="L813" s="53" t="s">
        <v>52</v>
      </c>
      <c r="M813" s="53" t="s">
        <v>52</v>
      </c>
      <c r="N813" s="62" t="s">
        <v>4998</v>
      </c>
      <c r="O813" s="62" t="s">
        <v>44</v>
      </c>
      <c r="P813" s="62" t="s">
        <v>4999</v>
      </c>
      <c r="Q813" s="62" t="s">
        <v>5000</v>
      </c>
      <c r="R813" s="53"/>
      <c r="S813" s="53"/>
      <c r="T813" s="82"/>
      <c r="U813" s="42"/>
      <c r="V813" s="62"/>
      <c r="W813" s="64"/>
      <c r="X813" s="223"/>
      <c r="Y813" s="223"/>
      <c r="Z813" s="223"/>
      <c r="AA813" s="223"/>
    </row>
    <row r="814">
      <c r="A814" s="42">
        <f t="shared" si="3"/>
        <v>813</v>
      </c>
      <c r="B814" s="51" t="s">
        <v>41</v>
      </c>
      <c r="C814" s="53" t="s">
        <v>5003</v>
      </c>
      <c r="D814" s="42" t="s">
        <v>44</v>
      </c>
      <c r="E814" s="42" t="s">
        <v>44</v>
      </c>
      <c r="F814" s="53" t="s">
        <v>4679</v>
      </c>
      <c r="G814" s="53" t="s">
        <v>47</v>
      </c>
      <c r="H814" s="53" t="s">
        <v>48</v>
      </c>
      <c r="I814" s="53" t="s">
        <v>485</v>
      </c>
      <c r="J814" s="53" t="s">
        <v>4680</v>
      </c>
      <c r="K814" s="53" t="s">
        <v>51</v>
      </c>
      <c r="L814" s="53" t="s">
        <v>52</v>
      </c>
      <c r="M814" s="53" t="s">
        <v>52</v>
      </c>
      <c r="N814" s="62" t="s">
        <v>5004</v>
      </c>
      <c r="O814" s="62" t="s">
        <v>44</v>
      </c>
      <c r="P814" s="62" t="s">
        <v>5005</v>
      </c>
      <c r="Q814" s="62" t="s">
        <v>5006</v>
      </c>
      <c r="R814" s="53"/>
      <c r="S814" s="53"/>
      <c r="T814" s="82"/>
      <c r="U814" s="42"/>
      <c r="V814" s="62"/>
      <c r="W814" s="64"/>
      <c r="X814" s="223"/>
      <c r="Y814" s="223"/>
      <c r="Z814" s="223"/>
      <c r="AA814" s="223"/>
    </row>
    <row r="815">
      <c r="A815" s="42">
        <f t="shared" si="3"/>
        <v>814</v>
      </c>
      <c r="B815" s="51" t="s">
        <v>41</v>
      </c>
      <c r="C815" s="53" t="s">
        <v>5009</v>
      </c>
      <c r="D815" s="42" t="s">
        <v>44</v>
      </c>
      <c r="E815" s="42" t="s">
        <v>44</v>
      </c>
      <c r="F815" s="53" t="s">
        <v>4679</v>
      </c>
      <c r="G815" s="53" t="s">
        <v>47</v>
      </c>
      <c r="H815" s="53" t="s">
        <v>48</v>
      </c>
      <c r="I815" s="53" t="s">
        <v>485</v>
      </c>
      <c r="J815" s="53" t="s">
        <v>4680</v>
      </c>
      <c r="K815" s="53" t="s">
        <v>51</v>
      </c>
      <c r="L815" s="53" t="s">
        <v>52</v>
      </c>
      <c r="M815" s="53" t="s">
        <v>52</v>
      </c>
      <c r="N815" s="62" t="s">
        <v>5010</v>
      </c>
      <c r="O815" s="62" t="s">
        <v>44</v>
      </c>
      <c r="P815" s="62" t="s">
        <v>5005</v>
      </c>
      <c r="Q815" s="62" t="s">
        <v>5011</v>
      </c>
      <c r="R815" s="53"/>
      <c r="S815" s="53"/>
      <c r="T815" s="82"/>
      <c r="U815" s="53"/>
      <c r="V815" s="62"/>
      <c r="W815" s="64"/>
      <c r="X815" s="223"/>
      <c r="Y815" s="223"/>
      <c r="Z815" s="223"/>
      <c r="AA815" s="223"/>
    </row>
    <row r="816">
      <c r="A816" s="42">
        <f t="shared" si="3"/>
        <v>815</v>
      </c>
      <c r="B816" s="51" t="s">
        <v>41</v>
      </c>
      <c r="C816" s="53" t="s">
        <v>5014</v>
      </c>
      <c r="D816" s="42" t="s">
        <v>44</v>
      </c>
      <c r="E816" s="42" t="s">
        <v>44</v>
      </c>
      <c r="F816" s="53" t="s">
        <v>4679</v>
      </c>
      <c r="G816" s="53" t="s">
        <v>47</v>
      </c>
      <c r="H816" s="53" t="s">
        <v>48</v>
      </c>
      <c r="I816" s="53" t="s">
        <v>485</v>
      </c>
      <c r="J816" s="53" t="s">
        <v>4680</v>
      </c>
      <c r="K816" s="53" t="s">
        <v>51</v>
      </c>
      <c r="L816" s="53" t="s">
        <v>52</v>
      </c>
      <c r="M816" s="53" t="s">
        <v>52</v>
      </c>
      <c r="N816" s="62" t="s">
        <v>5015</v>
      </c>
      <c r="O816" s="62" t="s">
        <v>44</v>
      </c>
      <c r="P816" s="62" t="s">
        <v>5005</v>
      </c>
      <c r="Q816" s="62" t="s">
        <v>5016</v>
      </c>
      <c r="R816" s="53"/>
      <c r="S816" s="53"/>
      <c r="T816" s="82"/>
      <c r="U816" s="42"/>
      <c r="V816" s="62"/>
      <c r="W816" s="64"/>
      <c r="X816" s="223"/>
      <c r="Y816" s="223"/>
      <c r="Z816" s="223"/>
      <c r="AA816" s="223"/>
    </row>
    <row r="817">
      <c r="A817" s="42">
        <f t="shared" si="3"/>
        <v>816</v>
      </c>
      <c r="B817" s="51" t="s">
        <v>41</v>
      </c>
      <c r="C817" s="53" t="s">
        <v>5019</v>
      </c>
      <c r="D817" s="42" t="s">
        <v>44</v>
      </c>
      <c r="E817" s="42" t="s">
        <v>44</v>
      </c>
      <c r="F817" s="53" t="s">
        <v>4679</v>
      </c>
      <c r="G817" s="53" t="s">
        <v>47</v>
      </c>
      <c r="H817" s="53" t="s">
        <v>48</v>
      </c>
      <c r="I817" s="53" t="s">
        <v>485</v>
      </c>
      <c r="J817" s="53" t="s">
        <v>4680</v>
      </c>
      <c r="K817" s="53" t="s">
        <v>51</v>
      </c>
      <c r="L817" s="53" t="s">
        <v>52</v>
      </c>
      <c r="M817" s="53" t="s">
        <v>52</v>
      </c>
      <c r="N817" s="62" t="s">
        <v>5020</v>
      </c>
      <c r="O817" s="62" t="s">
        <v>44</v>
      </c>
      <c r="P817" s="62" t="s">
        <v>5005</v>
      </c>
      <c r="Q817" s="62" t="s">
        <v>5021</v>
      </c>
      <c r="R817" s="53"/>
      <c r="S817" s="53"/>
      <c r="T817" s="82"/>
      <c r="U817" s="42"/>
      <c r="V817" s="62"/>
      <c r="W817" s="64"/>
      <c r="X817" s="223"/>
      <c r="Y817" s="223"/>
      <c r="Z817" s="223"/>
      <c r="AA817" s="223"/>
    </row>
    <row r="818">
      <c r="A818" s="42">
        <f t="shared" si="3"/>
        <v>817</v>
      </c>
      <c r="B818" s="51" t="s">
        <v>41</v>
      </c>
      <c r="C818" s="53" t="s">
        <v>5024</v>
      </c>
      <c r="D818" s="42" t="s">
        <v>44</v>
      </c>
      <c r="E818" s="42" t="s">
        <v>44</v>
      </c>
      <c r="F818" s="53" t="s">
        <v>4679</v>
      </c>
      <c r="G818" s="53" t="s">
        <v>47</v>
      </c>
      <c r="H818" s="53" t="s">
        <v>48</v>
      </c>
      <c r="I818" s="53" t="s">
        <v>485</v>
      </c>
      <c r="J818" s="53" t="s">
        <v>4680</v>
      </c>
      <c r="K818" s="53" t="s">
        <v>51</v>
      </c>
      <c r="L818" s="53" t="s">
        <v>52</v>
      </c>
      <c r="M818" s="53" t="s">
        <v>52</v>
      </c>
      <c r="N818" s="62" t="s">
        <v>5025</v>
      </c>
      <c r="O818" s="62" t="s">
        <v>44</v>
      </c>
      <c r="P818" s="62" t="s">
        <v>5005</v>
      </c>
      <c r="Q818" s="62" t="s">
        <v>5026</v>
      </c>
      <c r="R818" s="53"/>
      <c r="S818" s="53"/>
      <c r="T818" s="82"/>
      <c r="U818" s="42"/>
      <c r="V818" s="62"/>
      <c r="W818" s="64"/>
      <c r="X818" s="223"/>
      <c r="Y818" s="223"/>
      <c r="Z818" s="223"/>
      <c r="AA818" s="223"/>
    </row>
    <row r="819">
      <c r="A819" s="42">
        <f t="shared" si="3"/>
        <v>818</v>
      </c>
      <c r="B819" s="51" t="s">
        <v>41</v>
      </c>
      <c r="C819" s="53" t="s">
        <v>5029</v>
      </c>
      <c r="D819" s="42" t="s">
        <v>44</v>
      </c>
      <c r="E819" s="42" t="s">
        <v>44</v>
      </c>
      <c r="F819" s="53" t="s">
        <v>4679</v>
      </c>
      <c r="G819" s="53" t="s">
        <v>47</v>
      </c>
      <c r="H819" s="53" t="s">
        <v>95</v>
      </c>
      <c r="I819" s="53" t="s">
        <v>485</v>
      </c>
      <c r="J819" s="53" t="s">
        <v>4680</v>
      </c>
      <c r="K819" s="53" t="s">
        <v>51</v>
      </c>
      <c r="L819" s="53" t="s">
        <v>52</v>
      </c>
      <c r="M819" s="53" t="s">
        <v>52</v>
      </c>
      <c r="N819" s="62" t="s">
        <v>5030</v>
      </c>
      <c r="O819" s="62" t="s">
        <v>44</v>
      </c>
      <c r="P819" s="62" t="s">
        <v>5031</v>
      </c>
      <c r="Q819" s="62" t="s">
        <v>5032</v>
      </c>
      <c r="R819" s="53"/>
      <c r="S819" s="53"/>
      <c r="T819" s="82"/>
      <c r="U819" s="42"/>
      <c r="V819" s="62"/>
      <c r="W819" s="64"/>
      <c r="X819" s="223"/>
      <c r="Y819" s="223"/>
      <c r="Z819" s="223"/>
      <c r="AA819" s="223"/>
    </row>
    <row r="820">
      <c r="A820" s="42">
        <f t="shared" si="3"/>
        <v>819</v>
      </c>
      <c r="B820" s="51" t="s">
        <v>41</v>
      </c>
      <c r="C820" s="53" t="s">
        <v>5036</v>
      </c>
      <c r="D820" s="42" t="s">
        <v>44</v>
      </c>
      <c r="E820" s="42" t="s">
        <v>44</v>
      </c>
      <c r="F820" s="53" t="s">
        <v>4679</v>
      </c>
      <c r="G820" s="53" t="s">
        <v>47</v>
      </c>
      <c r="H820" s="53" t="s">
        <v>95</v>
      </c>
      <c r="I820" s="53" t="s">
        <v>485</v>
      </c>
      <c r="J820" s="53" t="s">
        <v>4680</v>
      </c>
      <c r="K820" s="53" t="s">
        <v>51</v>
      </c>
      <c r="L820" s="53" t="s">
        <v>52</v>
      </c>
      <c r="M820" s="53" t="s">
        <v>52</v>
      </c>
      <c r="N820" s="62" t="s">
        <v>5037</v>
      </c>
      <c r="O820" s="62" t="s">
        <v>44</v>
      </c>
      <c r="P820" s="62" t="s">
        <v>5031</v>
      </c>
      <c r="Q820" s="62" t="s">
        <v>5032</v>
      </c>
      <c r="R820" s="53"/>
      <c r="S820" s="53"/>
      <c r="T820" s="82"/>
      <c r="U820" s="42"/>
      <c r="V820" s="62"/>
      <c r="W820" s="64"/>
      <c r="X820" s="223"/>
      <c r="Y820" s="223"/>
      <c r="Z820" s="223"/>
      <c r="AA820" s="223"/>
    </row>
    <row r="821">
      <c r="A821" s="42">
        <f t="shared" si="3"/>
        <v>820</v>
      </c>
      <c r="B821" s="51" t="s">
        <v>41</v>
      </c>
      <c r="C821" s="53" t="s">
        <v>5041</v>
      </c>
      <c r="D821" s="42" t="s">
        <v>44</v>
      </c>
      <c r="E821" s="42" t="s">
        <v>44</v>
      </c>
      <c r="F821" s="53" t="s">
        <v>4679</v>
      </c>
      <c r="G821" s="53" t="s">
        <v>47</v>
      </c>
      <c r="H821" s="53" t="s">
        <v>48</v>
      </c>
      <c r="I821" s="53" t="s">
        <v>485</v>
      </c>
      <c r="J821" s="53" t="s">
        <v>4680</v>
      </c>
      <c r="K821" s="53" t="s">
        <v>51</v>
      </c>
      <c r="L821" s="53" t="s">
        <v>52</v>
      </c>
      <c r="M821" s="53" t="s">
        <v>52</v>
      </c>
      <c r="N821" s="62" t="s">
        <v>4922</v>
      </c>
      <c r="O821" s="62" t="s">
        <v>44</v>
      </c>
      <c r="P821" s="62" t="s">
        <v>5042</v>
      </c>
      <c r="Q821" s="62" t="s">
        <v>5043</v>
      </c>
      <c r="R821" s="53"/>
      <c r="S821" s="53"/>
      <c r="T821" s="82"/>
      <c r="U821" s="42"/>
      <c r="V821" s="62"/>
      <c r="W821" s="64"/>
      <c r="X821" s="223"/>
      <c r="Y821" s="223"/>
      <c r="Z821" s="223"/>
      <c r="AA821" s="223"/>
    </row>
    <row r="822">
      <c r="A822" s="42">
        <f t="shared" si="3"/>
        <v>821</v>
      </c>
      <c r="B822" s="51" t="s">
        <v>41</v>
      </c>
      <c r="C822" s="53" t="s">
        <v>5046</v>
      </c>
      <c r="D822" s="42" t="s">
        <v>44</v>
      </c>
      <c r="E822" s="42" t="s">
        <v>44</v>
      </c>
      <c r="F822" s="53" t="s">
        <v>4679</v>
      </c>
      <c r="G822" s="53" t="s">
        <v>47</v>
      </c>
      <c r="H822" s="53" t="s">
        <v>48</v>
      </c>
      <c r="I822" s="53" t="s">
        <v>485</v>
      </c>
      <c r="J822" s="53" t="s">
        <v>4680</v>
      </c>
      <c r="K822" s="53" t="s">
        <v>51</v>
      </c>
      <c r="L822" s="53" t="s">
        <v>52</v>
      </c>
      <c r="M822" s="53" t="s">
        <v>52</v>
      </c>
      <c r="N822" s="62" t="s">
        <v>4922</v>
      </c>
      <c r="O822" s="62" t="s">
        <v>44</v>
      </c>
      <c r="P822" s="62" t="s">
        <v>5047</v>
      </c>
      <c r="Q822" s="62" t="s">
        <v>5048</v>
      </c>
      <c r="R822" s="53"/>
      <c r="S822" s="53"/>
      <c r="T822" s="82"/>
      <c r="U822" s="42"/>
      <c r="V822" s="62"/>
      <c r="W822" s="64"/>
      <c r="X822" s="223"/>
      <c r="Y822" s="223"/>
      <c r="Z822" s="223"/>
      <c r="AA822" s="223"/>
    </row>
    <row r="823">
      <c r="A823" s="42">
        <f t="shared" si="3"/>
        <v>822</v>
      </c>
      <c r="B823" s="51" t="s">
        <v>41</v>
      </c>
      <c r="C823" s="53" t="s">
        <v>5051</v>
      </c>
      <c r="D823" s="42" t="s">
        <v>44</v>
      </c>
      <c r="E823" s="42" t="s">
        <v>44</v>
      </c>
      <c r="F823" s="53" t="s">
        <v>4679</v>
      </c>
      <c r="G823" s="53" t="s">
        <v>47</v>
      </c>
      <c r="H823" s="53" t="s">
        <v>48</v>
      </c>
      <c r="I823" s="53" t="s">
        <v>485</v>
      </c>
      <c r="J823" s="53" t="s">
        <v>4680</v>
      </c>
      <c r="K823" s="53" t="s">
        <v>51</v>
      </c>
      <c r="L823" s="53" t="s">
        <v>52</v>
      </c>
      <c r="M823" s="53" t="s">
        <v>52</v>
      </c>
      <c r="N823" s="62" t="s">
        <v>4922</v>
      </c>
      <c r="O823" s="62" t="s">
        <v>44</v>
      </c>
      <c r="P823" s="62" t="s">
        <v>5052</v>
      </c>
      <c r="Q823" s="62" t="s">
        <v>5053</v>
      </c>
      <c r="R823" s="53"/>
      <c r="S823" s="53"/>
      <c r="T823" s="82"/>
      <c r="U823" s="42"/>
      <c r="V823" s="62"/>
      <c r="W823" s="64"/>
      <c r="X823" s="223"/>
      <c r="Y823" s="223"/>
      <c r="Z823" s="223"/>
      <c r="AA823" s="223"/>
    </row>
    <row r="824">
      <c r="A824" s="42">
        <f t="shared" si="3"/>
        <v>823</v>
      </c>
      <c r="B824" s="51" t="s">
        <v>41</v>
      </c>
      <c r="C824" s="53" t="s">
        <v>5056</v>
      </c>
      <c r="D824" s="42" t="s">
        <v>44</v>
      </c>
      <c r="E824" s="42" t="s">
        <v>44</v>
      </c>
      <c r="F824" s="53" t="s">
        <v>4679</v>
      </c>
      <c r="G824" s="53" t="s">
        <v>47</v>
      </c>
      <c r="H824" s="53" t="s">
        <v>48</v>
      </c>
      <c r="I824" s="53" t="s">
        <v>485</v>
      </c>
      <c r="J824" s="53" t="s">
        <v>4680</v>
      </c>
      <c r="K824" s="53" t="s">
        <v>51</v>
      </c>
      <c r="L824" s="53" t="s">
        <v>52</v>
      </c>
      <c r="M824" s="53" t="s">
        <v>52</v>
      </c>
      <c r="N824" s="62" t="s">
        <v>4922</v>
      </c>
      <c r="O824" s="62" t="s">
        <v>44</v>
      </c>
      <c r="P824" s="62" t="s">
        <v>4410</v>
      </c>
      <c r="Q824" s="62" t="s">
        <v>5057</v>
      </c>
      <c r="R824" s="53"/>
      <c r="S824" s="53"/>
      <c r="T824" s="82"/>
      <c r="U824" s="42"/>
      <c r="V824" s="62"/>
      <c r="W824" s="64"/>
      <c r="X824" s="223"/>
      <c r="Y824" s="223"/>
      <c r="Z824" s="223"/>
      <c r="AA824" s="223"/>
    </row>
    <row r="825">
      <c r="A825" s="42">
        <f t="shared" si="3"/>
        <v>824</v>
      </c>
      <c r="B825" s="51" t="s">
        <v>41</v>
      </c>
      <c r="C825" s="53" t="s">
        <v>5061</v>
      </c>
      <c r="D825" s="42" t="s">
        <v>44</v>
      </c>
      <c r="E825" s="42" t="s">
        <v>44</v>
      </c>
      <c r="F825" s="53" t="s">
        <v>4679</v>
      </c>
      <c r="G825" s="53" t="s">
        <v>47</v>
      </c>
      <c r="H825" s="53" t="s">
        <v>48</v>
      </c>
      <c r="I825" s="53" t="s">
        <v>485</v>
      </c>
      <c r="J825" s="53" t="s">
        <v>4680</v>
      </c>
      <c r="K825" s="53" t="s">
        <v>51</v>
      </c>
      <c r="L825" s="53" t="s">
        <v>52</v>
      </c>
      <c r="M825" s="53" t="s">
        <v>52</v>
      </c>
      <c r="N825" s="62" t="s">
        <v>4922</v>
      </c>
      <c r="O825" s="62" t="s">
        <v>44</v>
      </c>
      <c r="P825" s="62" t="s">
        <v>5062</v>
      </c>
      <c r="Q825" s="62" t="s">
        <v>5063</v>
      </c>
      <c r="R825" s="53"/>
      <c r="S825" s="53"/>
      <c r="T825" s="82"/>
      <c r="U825" s="42"/>
      <c r="V825" s="62"/>
      <c r="W825" s="64"/>
      <c r="X825" s="223"/>
      <c r="Y825" s="223"/>
      <c r="Z825" s="223"/>
      <c r="AA825" s="223"/>
    </row>
    <row r="826">
      <c r="A826" s="42">
        <f t="shared" si="3"/>
        <v>825</v>
      </c>
      <c r="B826" s="51" t="s">
        <v>41</v>
      </c>
      <c r="C826" s="53" t="s">
        <v>5067</v>
      </c>
      <c r="D826" s="42" t="s">
        <v>44</v>
      </c>
      <c r="E826" s="42" t="s">
        <v>44</v>
      </c>
      <c r="F826" s="53" t="s">
        <v>4679</v>
      </c>
      <c r="G826" s="53" t="s">
        <v>47</v>
      </c>
      <c r="H826" s="53" t="s">
        <v>48</v>
      </c>
      <c r="I826" s="53" t="s">
        <v>485</v>
      </c>
      <c r="J826" s="53" t="s">
        <v>4680</v>
      </c>
      <c r="K826" s="53" t="s">
        <v>51</v>
      </c>
      <c r="L826" s="53" t="s">
        <v>52</v>
      </c>
      <c r="M826" s="53" t="s">
        <v>52</v>
      </c>
      <c r="N826" s="62" t="s">
        <v>4922</v>
      </c>
      <c r="O826" s="62" t="s">
        <v>44</v>
      </c>
      <c r="P826" s="62" t="s">
        <v>5068</v>
      </c>
      <c r="Q826" s="62" t="s">
        <v>5069</v>
      </c>
      <c r="R826" s="53"/>
      <c r="S826" s="53"/>
      <c r="T826" s="82"/>
      <c r="U826" s="42"/>
      <c r="V826" s="62"/>
      <c r="W826" s="64"/>
      <c r="X826" s="223"/>
      <c r="Y826" s="223"/>
      <c r="Z826" s="223"/>
      <c r="AA826" s="223"/>
    </row>
    <row r="827">
      <c r="A827" s="42">
        <f t="shared" si="3"/>
        <v>826</v>
      </c>
      <c r="B827" s="51" t="s">
        <v>41</v>
      </c>
      <c r="C827" s="53" t="s">
        <v>5073</v>
      </c>
      <c r="D827" s="42" t="s">
        <v>44</v>
      </c>
      <c r="E827" s="42" t="s">
        <v>44</v>
      </c>
      <c r="F827" s="53" t="s">
        <v>4679</v>
      </c>
      <c r="G827" s="53" t="s">
        <v>47</v>
      </c>
      <c r="H827" s="53" t="s">
        <v>48</v>
      </c>
      <c r="I827" s="53" t="s">
        <v>485</v>
      </c>
      <c r="J827" s="53" t="s">
        <v>4680</v>
      </c>
      <c r="K827" s="53" t="s">
        <v>51</v>
      </c>
      <c r="L827" s="53" t="s">
        <v>52</v>
      </c>
      <c r="M827" s="53" t="s">
        <v>52</v>
      </c>
      <c r="N827" s="62" t="s">
        <v>4922</v>
      </c>
      <c r="O827" s="62" t="s">
        <v>44</v>
      </c>
      <c r="P827" s="62" t="s">
        <v>5074</v>
      </c>
      <c r="Q827" s="62" t="s">
        <v>5075</v>
      </c>
      <c r="R827" s="53"/>
      <c r="S827" s="53"/>
      <c r="T827" s="82"/>
      <c r="U827" s="42"/>
      <c r="V827" s="62"/>
      <c r="W827" s="64"/>
      <c r="X827" s="223"/>
      <c r="Y827" s="223"/>
      <c r="Z827" s="223"/>
      <c r="AA827" s="223"/>
    </row>
    <row r="828">
      <c r="A828" s="42">
        <f t="shared" si="3"/>
        <v>827</v>
      </c>
      <c r="B828" s="51" t="s">
        <v>41</v>
      </c>
      <c r="C828" s="53" t="s">
        <v>5078</v>
      </c>
      <c r="D828" s="42" t="s">
        <v>44</v>
      </c>
      <c r="E828" s="42" t="s">
        <v>44</v>
      </c>
      <c r="F828" s="53" t="s">
        <v>4679</v>
      </c>
      <c r="G828" s="53" t="s">
        <v>47</v>
      </c>
      <c r="H828" s="53" t="s">
        <v>48</v>
      </c>
      <c r="I828" s="53" t="s">
        <v>485</v>
      </c>
      <c r="J828" s="53" t="s">
        <v>4680</v>
      </c>
      <c r="K828" s="53" t="s">
        <v>51</v>
      </c>
      <c r="L828" s="53" t="s">
        <v>52</v>
      </c>
      <c r="M828" s="53" t="s">
        <v>52</v>
      </c>
      <c r="N828" s="62" t="s">
        <v>4922</v>
      </c>
      <c r="O828" s="62" t="s">
        <v>44</v>
      </c>
      <c r="P828" s="62" t="s">
        <v>5079</v>
      </c>
      <c r="Q828" s="62" t="s">
        <v>5080</v>
      </c>
      <c r="R828" s="53"/>
      <c r="S828" s="53"/>
      <c r="T828" s="82"/>
      <c r="U828" s="42"/>
      <c r="V828" s="62"/>
      <c r="W828" s="64"/>
      <c r="X828" s="223"/>
      <c r="Y828" s="223"/>
      <c r="Z828" s="223"/>
      <c r="AA828" s="223"/>
    </row>
    <row r="829">
      <c r="A829" s="42">
        <f t="shared" si="3"/>
        <v>828</v>
      </c>
      <c r="B829" s="51" t="s">
        <v>41</v>
      </c>
      <c r="C829" s="53" t="s">
        <v>5084</v>
      </c>
      <c r="D829" s="42" t="s">
        <v>44</v>
      </c>
      <c r="E829" s="42" t="s">
        <v>44</v>
      </c>
      <c r="F829" s="53" t="s">
        <v>4679</v>
      </c>
      <c r="G829" s="53" t="s">
        <v>47</v>
      </c>
      <c r="H829" s="53" t="s">
        <v>48</v>
      </c>
      <c r="I829" s="53" t="s">
        <v>485</v>
      </c>
      <c r="J829" s="53" t="s">
        <v>4680</v>
      </c>
      <c r="K829" s="53" t="s">
        <v>51</v>
      </c>
      <c r="L829" s="53" t="s">
        <v>52</v>
      </c>
      <c r="M829" s="53" t="s">
        <v>52</v>
      </c>
      <c r="N829" s="62" t="s">
        <v>4922</v>
      </c>
      <c r="O829" s="62" t="s">
        <v>44</v>
      </c>
      <c r="P829" s="62" t="s">
        <v>5085</v>
      </c>
      <c r="Q829" s="62" t="s">
        <v>5086</v>
      </c>
      <c r="R829" s="53"/>
      <c r="S829" s="53"/>
      <c r="T829" s="82"/>
      <c r="U829" s="42"/>
      <c r="V829" s="62"/>
      <c r="W829" s="64"/>
      <c r="X829" s="223"/>
      <c r="Y829" s="223"/>
      <c r="Z829" s="223"/>
      <c r="AA829" s="223"/>
    </row>
    <row r="830">
      <c r="A830" s="42">
        <f t="shared" si="3"/>
        <v>829</v>
      </c>
      <c r="B830" s="51" t="s">
        <v>41</v>
      </c>
      <c r="C830" s="53" t="s">
        <v>5090</v>
      </c>
      <c r="D830" s="42" t="s">
        <v>44</v>
      </c>
      <c r="E830" s="42" t="s">
        <v>44</v>
      </c>
      <c r="F830" s="53" t="s">
        <v>4679</v>
      </c>
      <c r="G830" s="53" t="s">
        <v>47</v>
      </c>
      <c r="H830" s="53" t="s">
        <v>48</v>
      </c>
      <c r="I830" s="53" t="s">
        <v>485</v>
      </c>
      <c r="J830" s="53" t="s">
        <v>4680</v>
      </c>
      <c r="K830" s="53" t="s">
        <v>51</v>
      </c>
      <c r="L830" s="53" t="s">
        <v>52</v>
      </c>
      <c r="M830" s="53" t="s">
        <v>52</v>
      </c>
      <c r="N830" s="62" t="s">
        <v>4922</v>
      </c>
      <c r="O830" s="62" t="s">
        <v>44</v>
      </c>
      <c r="P830" s="62" t="s">
        <v>5091</v>
      </c>
      <c r="Q830" s="62" t="s">
        <v>5092</v>
      </c>
      <c r="R830" s="53"/>
      <c r="S830" s="53"/>
      <c r="T830" s="82"/>
      <c r="U830" s="42"/>
      <c r="V830" s="62"/>
      <c r="W830" s="64"/>
      <c r="X830" s="223"/>
      <c r="Y830" s="223"/>
      <c r="Z830" s="223"/>
      <c r="AA830" s="223"/>
    </row>
    <row r="831">
      <c r="A831" s="42">
        <f t="shared" si="3"/>
        <v>830</v>
      </c>
      <c r="B831" s="51" t="s">
        <v>41</v>
      </c>
      <c r="C831" s="53" t="s">
        <v>5096</v>
      </c>
      <c r="D831" s="42" t="s">
        <v>44</v>
      </c>
      <c r="E831" s="42" t="s">
        <v>44</v>
      </c>
      <c r="F831" s="53" t="s">
        <v>4679</v>
      </c>
      <c r="G831" s="53" t="s">
        <v>47</v>
      </c>
      <c r="H831" s="53" t="s">
        <v>48</v>
      </c>
      <c r="I831" s="53" t="s">
        <v>485</v>
      </c>
      <c r="J831" s="53" t="s">
        <v>4680</v>
      </c>
      <c r="K831" s="53" t="s">
        <v>51</v>
      </c>
      <c r="L831" s="53" t="s">
        <v>52</v>
      </c>
      <c r="M831" s="53" t="s">
        <v>52</v>
      </c>
      <c r="N831" s="62" t="s">
        <v>5097</v>
      </c>
      <c r="O831" s="62" t="s">
        <v>44</v>
      </c>
      <c r="P831" s="62" t="s">
        <v>5098</v>
      </c>
      <c r="Q831" s="62" t="s">
        <v>5099</v>
      </c>
      <c r="R831" s="53"/>
      <c r="S831" s="53"/>
      <c r="T831" s="82"/>
      <c r="U831" s="42"/>
      <c r="V831" s="62"/>
      <c r="W831" s="64"/>
      <c r="X831" s="223"/>
      <c r="Y831" s="223"/>
      <c r="Z831" s="223"/>
      <c r="AA831" s="223"/>
    </row>
    <row r="832">
      <c r="A832" s="42">
        <f t="shared" si="3"/>
        <v>831</v>
      </c>
      <c r="B832" s="51" t="s">
        <v>41</v>
      </c>
      <c r="C832" s="53" t="s">
        <v>5102</v>
      </c>
      <c r="D832" s="42" t="s">
        <v>44</v>
      </c>
      <c r="E832" s="42" t="s">
        <v>44</v>
      </c>
      <c r="F832" s="53" t="s">
        <v>4679</v>
      </c>
      <c r="G832" s="53" t="s">
        <v>47</v>
      </c>
      <c r="H832" s="53" t="s">
        <v>95</v>
      </c>
      <c r="I832" s="53" t="s">
        <v>485</v>
      </c>
      <c r="J832" s="53" t="s">
        <v>4680</v>
      </c>
      <c r="K832" s="53" t="s">
        <v>51</v>
      </c>
      <c r="L832" s="53" t="s">
        <v>52</v>
      </c>
      <c r="M832" s="53" t="s">
        <v>52</v>
      </c>
      <c r="N832" s="62" t="s">
        <v>5103</v>
      </c>
      <c r="O832" s="62" t="s">
        <v>44</v>
      </c>
      <c r="P832" s="62" t="s">
        <v>5104</v>
      </c>
      <c r="Q832" s="62" t="s">
        <v>5105</v>
      </c>
      <c r="R832" s="53"/>
      <c r="S832" s="53"/>
      <c r="T832" s="82"/>
      <c r="U832" s="42"/>
      <c r="V832" s="62"/>
      <c r="W832" s="64"/>
      <c r="X832" s="223"/>
      <c r="Y832" s="223"/>
      <c r="Z832" s="223"/>
      <c r="AA832" s="223"/>
    </row>
    <row r="833">
      <c r="A833" s="42">
        <f t="shared" si="3"/>
        <v>832</v>
      </c>
      <c r="B833" s="51" t="s">
        <v>41</v>
      </c>
      <c r="C833" s="53" t="s">
        <v>5109</v>
      </c>
      <c r="D833" s="42" t="s">
        <v>44</v>
      </c>
      <c r="E833" s="42" t="s">
        <v>44</v>
      </c>
      <c r="F833" s="53" t="s">
        <v>4679</v>
      </c>
      <c r="G833" s="53" t="s">
        <v>85</v>
      </c>
      <c r="H833" s="53" t="s">
        <v>86</v>
      </c>
      <c r="I833" s="53" t="s">
        <v>485</v>
      </c>
      <c r="J833" s="53" t="s">
        <v>4680</v>
      </c>
      <c r="K833" s="53" t="s">
        <v>51</v>
      </c>
      <c r="L833" s="53" t="s">
        <v>52</v>
      </c>
      <c r="M833" s="53" t="s">
        <v>52</v>
      </c>
      <c r="N833" s="62" t="s">
        <v>5110</v>
      </c>
      <c r="O833" s="62" t="s">
        <v>44</v>
      </c>
      <c r="P833" s="62" t="s">
        <v>5111</v>
      </c>
      <c r="Q833" s="62" t="s">
        <v>5112</v>
      </c>
      <c r="R833" s="53"/>
      <c r="S833" s="53"/>
      <c r="T833" s="82"/>
      <c r="U833" s="42"/>
      <c r="V833" s="62"/>
      <c r="W833" s="64"/>
      <c r="X833" s="223"/>
      <c r="Y833" s="223"/>
      <c r="Z833" s="223"/>
      <c r="AA833" s="223"/>
    </row>
    <row r="834">
      <c r="A834" s="42">
        <f t="shared" si="3"/>
        <v>833</v>
      </c>
      <c r="B834" s="51" t="s">
        <v>41</v>
      </c>
      <c r="C834" s="53" t="s">
        <v>5115</v>
      </c>
      <c r="D834" s="42" t="s">
        <v>44</v>
      </c>
      <c r="E834" s="42" t="s">
        <v>44</v>
      </c>
      <c r="F834" s="53" t="s">
        <v>4679</v>
      </c>
      <c r="G834" s="53" t="s">
        <v>47</v>
      </c>
      <c r="H834" s="53" t="s">
        <v>48</v>
      </c>
      <c r="I834" s="53" t="s">
        <v>485</v>
      </c>
      <c r="J834" s="53" t="s">
        <v>4680</v>
      </c>
      <c r="K834" s="53" t="s">
        <v>51</v>
      </c>
      <c r="L834" s="53" t="s">
        <v>52</v>
      </c>
      <c r="M834" s="53" t="s">
        <v>52</v>
      </c>
      <c r="N834" s="62" t="s">
        <v>5097</v>
      </c>
      <c r="O834" s="62" t="s">
        <v>44</v>
      </c>
      <c r="P834" s="62" t="s">
        <v>5116</v>
      </c>
      <c r="Q834" s="62" t="s">
        <v>5117</v>
      </c>
      <c r="R834" s="53"/>
      <c r="S834" s="53"/>
      <c r="T834" s="82"/>
      <c r="U834" s="42"/>
      <c r="V834" s="62"/>
      <c r="W834" s="64"/>
      <c r="X834" s="223"/>
      <c r="Y834" s="223"/>
      <c r="Z834" s="223"/>
      <c r="AA834" s="223"/>
    </row>
    <row r="835">
      <c r="A835" s="42">
        <f t="shared" si="3"/>
        <v>834</v>
      </c>
      <c r="B835" s="51" t="s">
        <v>41</v>
      </c>
      <c r="C835" s="53" t="s">
        <v>5120</v>
      </c>
      <c r="D835" s="42" t="s">
        <v>44</v>
      </c>
      <c r="E835" s="42" t="s">
        <v>44</v>
      </c>
      <c r="F835" s="53" t="s">
        <v>4679</v>
      </c>
      <c r="G835" s="53" t="s">
        <v>47</v>
      </c>
      <c r="H835" s="53" t="s">
        <v>48</v>
      </c>
      <c r="I835" s="53" t="s">
        <v>485</v>
      </c>
      <c r="J835" s="53" t="s">
        <v>4680</v>
      </c>
      <c r="K835" s="53" t="s">
        <v>51</v>
      </c>
      <c r="L835" s="53" t="s">
        <v>52</v>
      </c>
      <c r="M835" s="53" t="s">
        <v>52</v>
      </c>
      <c r="N835" s="62" t="s">
        <v>4922</v>
      </c>
      <c r="O835" s="62" t="s">
        <v>44</v>
      </c>
      <c r="P835" s="62" t="s">
        <v>5121</v>
      </c>
      <c r="Q835" s="62" t="s">
        <v>5122</v>
      </c>
      <c r="R835" s="53"/>
      <c r="S835" s="53"/>
      <c r="T835" s="82"/>
      <c r="U835" s="42"/>
      <c r="V835" s="62"/>
      <c r="W835" s="64"/>
      <c r="X835" s="223"/>
      <c r="Y835" s="223"/>
      <c r="Z835" s="223"/>
      <c r="AA835" s="223"/>
    </row>
    <row r="836">
      <c r="A836" s="42">
        <f t="shared" si="3"/>
        <v>835</v>
      </c>
      <c r="B836" s="51" t="s">
        <v>41</v>
      </c>
      <c r="C836" s="53" t="s">
        <v>5126</v>
      </c>
      <c r="D836" s="42" t="s">
        <v>44</v>
      </c>
      <c r="E836" s="42" t="s">
        <v>44</v>
      </c>
      <c r="F836" s="53" t="s">
        <v>4679</v>
      </c>
      <c r="G836" s="53" t="s">
        <v>47</v>
      </c>
      <c r="H836" s="53" t="s">
        <v>48</v>
      </c>
      <c r="I836" s="53" t="s">
        <v>485</v>
      </c>
      <c r="J836" s="53" t="s">
        <v>4680</v>
      </c>
      <c r="K836" s="53" t="s">
        <v>51</v>
      </c>
      <c r="L836" s="53" t="s">
        <v>52</v>
      </c>
      <c r="M836" s="53" t="s">
        <v>52</v>
      </c>
      <c r="N836" s="62" t="s">
        <v>4922</v>
      </c>
      <c r="O836" s="62" t="s">
        <v>44</v>
      </c>
      <c r="P836" s="62" t="s">
        <v>5127</v>
      </c>
      <c r="Q836" s="62" t="s">
        <v>5128</v>
      </c>
      <c r="R836" s="53"/>
      <c r="S836" s="53"/>
      <c r="T836" s="82"/>
      <c r="U836" s="42"/>
      <c r="V836" s="62"/>
      <c r="W836" s="64"/>
      <c r="X836" s="223"/>
      <c r="Y836" s="223"/>
      <c r="Z836" s="223"/>
      <c r="AA836" s="223"/>
    </row>
    <row r="837">
      <c r="A837" s="42">
        <f t="shared" si="3"/>
        <v>836</v>
      </c>
      <c r="B837" s="51" t="s">
        <v>41</v>
      </c>
      <c r="C837" s="53" t="s">
        <v>5131</v>
      </c>
      <c r="D837" s="42" t="s">
        <v>44</v>
      </c>
      <c r="E837" s="42" t="s">
        <v>44</v>
      </c>
      <c r="F837" s="53" t="s">
        <v>4679</v>
      </c>
      <c r="G837" s="53" t="s">
        <v>47</v>
      </c>
      <c r="H837" s="53" t="s">
        <v>95</v>
      </c>
      <c r="I837" s="53" t="s">
        <v>485</v>
      </c>
      <c r="J837" s="53" t="s">
        <v>4680</v>
      </c>
      <c r="K837" s="53" t="s">
        <v>51</v>
      </c>
      <c r="L837" s="53" t="s">
        <v>52</v>
      </c>
      <c r="M837" s="53" t="s">
        <v>52</v>
      </c>
      <c r="N837" s="62" t="s">
        <v>5132</v>
      </c>
      <c r="O837" s="62" t="s">
        <v>44</v>
      </c>
      <c r="P837" s="62" t="s">
        <v>5133</v>
      </c>
      <c r="Q837" s="62" t="s">
        <v>5134</v>
      </c>
      <c r="R837" s="53"/>
      <c r="S837" s="53"/>
      <c r="T837" s="82"/>
      <c r="U837" s="42"/>
      <c r="V837" s="62"/>
      <c r="W837" s="64"/>
      <c r="X837" s="223"/>
      <c r="Y837" s="223"/>
      <c r="Z837" s="223"/>
      <c r="AA837" s="223"/>
    </row>
    <row r="838">
      <c r="A838" s="42">
        <f t="shared" si="3"/>
        <v>837</v>
      </c>
      <c r="B838" s="51" t="s">
        <v>41</v>
      </c>
      <c r="C838" s="53" t="s">
        <v>5137</v>
      </c>
      <c r="D838" s="42" t="s">
        <v>44</v>
      </c>
      <c r="E838" s="42" t="s">
        <v>44</v>
      </c>
      <c r="F838" s="53" t="s">
        <v>4679</v>
      </c>
      <c r="G838" s="53" t="s">
        <v>47</v>
      </c>
      <c r="H838" s="53" t="s">
        <v>95</v>
      </c>
      <c r="I838" s="53" t="s">
        <v>485</v>
      </c>
      <c r="J838" s="53" t="s">
        <v>4680</v>
      </c>
      <c r="K838" s="53" t="s">
        <v>51</v>
      </c>
      <c r="L838" s="53" t="s">
        <v>52</v>
      </c>
      <c r="M838" s="53" t="s">
        <v>52</v>
      </c>
      <c r="N838" s="62" t="s">
        <v>5138</v>
      </c>
      <c r="O838" s="62" t="s">
        <v>44</v>
      </c>
      <c r="P838" s="62" t="s">
        <v>5139</v>
      </c>
      <c r="Q838" s="62" t="s">
        <v>5140</v>
      </c>
      <c r="R838" s="53"/>
      <c r="S838" s="53"/>
      <c r="T838" s="82"/>
      <c r="U838" s="42"/>
      <c r="V838" s="62"/>
      <c r="W838" s="64"/>
      <c r="X838" s="223"/>
      <c r="Y838" s="223"/>
      <c r="Z838" s="223"/>
      <c r="AA838" s="223"/>
    </row>
    <row r="839">
      <c r="A839" s="42">
        <f t="shared" si="3"/>
        <v>838</v>
      </c>
      <c r="B839" s="51" t="s">
        <v>41</v>
      </c>
      <c r="C839" s="53" t="s">
        <v>5143</v>
      </c>
      <c r="D839" s="42" t="s">
        <v>44</v>
      </c>
      <c r="E839" s="42" t="s">
        <v>44</v>
      </c>
      <c r="F839" s="53" t="s">
        <v>4679</v>
      </c>
      <c r="G839" s="53" t="s">
        <v>47</v>
      </c>
      <c r="H839" s="53" t="s">
        <v>95</v>
      </c>
      <c r="I839" s="53" t="s">
        <v>485</v>
      </c>
      <c r="J839" s="53" t="s">
        <v>4680</v>
      </c>
      <c r="K839" s="53" t="s">
        <v>51</v>
      </c>
      <c r="L839" s="53" t="s">
        <v>52</v>
      </c>
      <c r="M839" s="53" t="s">
        <v>52</v>
      </c>
      <c r="N839" s="62" t="s">
        <v>5144</v>
      </c>
      <c r="O839" s="62" t="s">
        <v>44</v>
      </c>
      <c r="P839" s="62" t="s">
        <v>5139</v>
      </c>
      <c r="Q839" s="62" t="s">
        <v>5145</v>
      </c>
      <c r="R839" s="53"/>
      <c r="S839" s="53"/>
      <c r="T839" s="82"/>
      <c r="U839" s="42"/>
      <c r="V839" s="62"/>
      <c r="W839" s="64"/>
      <c r="X839" s="223"/>
      <c r="Y839" s="223"/>
      <c r="Z839" s="223"/>
      <c r="AA839" s="223"/>
    </row>
    <row r="840">
      <c r="A840" s="42">
        <f t="shared" si="3"/>
        <v>839</v>
      </c>
      <c r="B840" s="51" t="s">
        <v>41</v>
      </c>
      <c r="C840" s="53" t="s">
        <v>5149</v>
      </c>
      <c r="D840" s="42" t="s">
        <v>44</v>
      </c>
      <c r="E840" s="42" t="s">
        <v>44</v>
      </c>
      <c r="F840" s="53" t="s">
        <v>4679</v>
      </c>
      <c r="G840" s="53" t="s">
        <v>47</v>
      </c>
      <c r="H840" s="53" t="s">
        <v>95</v>
      </c>
      <c r="I840" s="53" t="s">
        <v>485</v>
      </c>
      <c r="J840" s="53" t="s">
        <v>4680</v>
      </c>
      <c r="K840" s="53" t="s">
        <v>51</v>
      </c>
      <c r="L840" s="53" t="s">
        <v>52</v>
      </c>
      <c r="M840" s="53" t="s">
        <v>52</v>
      </c>
      <c r="N840" s="62" t="s">
        <v>5150</v>
      </c>
      <c r="O840" s="62" t="s">
        <v>44</v>
      </c>
      <c r="P840" s="62" t="s">
        <v>5151</v>
      </c>
      <c r="Q840" s="62" t="s">
        <v>5152</v>
      </c>
      <c r="R840" s="53"/>
      <c r="S840" s="53"/>
      <c r="T840" s="82"/>
      <c r="U840" s="42"/>
      <c r="V840" s="62"/>
      <c r="W840" s="64"/>
      <c r="X840" s="223"/>
      <c r="Y840" s="223"/>
      <c r="Z840" s="223"/>
      <c r="AA840" s="223"/>
    </row>
    <row r="841">
      <c r="A841" s="42">
        <f t="shared" si="3"/>
        <v>840</v>
      </c>
      <c r="B841" s="51" t="s">
        <v>41</v>
      </c>
      <c r="C841" s="53" t="s">
        <v>5156</v>
      </c>
      <c r="D841" s="42" t="s">
        <v>44</v>
      </c>
      <c r="E841" s="42" t="s">
        <v>44</v>
      </c>
      <c r="F841" s="53" t="s">
        <v>4679</v>
      </c>
      <c r="G841" s="53" t="s">
        <v>47</v>
      </c>
      <c r="H841" s="53" t="s">
        <v>48</v>
      </c>
      <c r="I841" s="53" t="s">
        <v>485</v>
      </c>
      <c r="J841" s="53" t="s">
        <v>4680</v>
      </c>
      <c r="K841" s="53" t="s">
        <v>51</v>
      </c>
      <c r="L841" s="53" t="s">
        <v>52</v>
      </c>
      <c r="M841" s="53" t="s">
        <v>52</v>
      </c>
      <c r="N841" s="62" t="s">
        <v>5157</v>
      </c>
      <c r="O841" s="62" t="s">
        <v>44</v>
      </c>
      <c r="P841" s="62" t="s">
        <v>5158</v>
      </c>
      <c r="Q841" s="62" t="s">
        <v>5159</v>
      </c>
      <c r="R841" s="53"/>
      <c r="S841" s="53"/>
      <c r="T841" s="82"/>
      <c r="U841" s="42"/>
      <c r="V841" s="62"/>
      <c r="W841" s="64"/>
      <c r="X841" s="223"/>
      <c r="Y841" s="223"/>
      <c r="Z841" s="223"/>
      <c r="AA841" s="223"/>
    </row>
    <row r="842">
      <c r="A842" s="42">
        <f t="shared" si="3"/>
        <v>841</v>
      </c>
      <c r="B842" s="51" t="s">
        <v>41</v>
      </c>
      <c r="C842" s="53" t="s">
        <v>5162</v>
      </c>
      <c r="D842" s="42" t="s">
        <v>44</v>
      </c>
      <c r="E842" s="42" t="s">
        <v>44</v>
      </c>
      <c r="F842" s="53" t="s">
        <v>4679</v>
      </c>
      <c r="G842" s="53" t="s">
        <v>47</v>
      </c>
      <c r="H842" s="53" t="s">
        <v>48</v>
      </c>
      <c r="I842" s="53" t="s">
        <v>485</v>
      </c>
      <c r="J842" s="53" t="s">
        <v>4680</v>
      </c>
      <c r="K842" s="53" t="s">
        <v>51</v>
      </c>
      <c r="L842" s="53" t="s">
        <v>52</v>
      </c>
      <c r="M842" s="53" t="s">
        <v>52</v>
      </c>
      <c r="N842" s="62" t="s">
        <v>5157</v>
      </c>
      <c r="O842" s="62" t="s">
        <v>44</v>
      </c>
      <c r="P842" s="62" t="s">
        <v>5163</v>
      </c>
      <c r="Q842" s="62" t="s">
        <v>5164</v>
      </c>
      <c r="R842" s="53"/>
      <c r="S842" s="53"/>
      <c r="T842" s="82"/>
      <c r="U842" s="42"/>
      <c r="V842" s="62"/>
      <c r="W842" s="64"/>
      <c r="X842" s="223"/>
      <c r="Y842" s="223"/>
      <c r="Z842" s="223"/>
      <c r="AA842" s="223"/>
    </row>
    <row r="843">
      <c r="A843" s="42">
        <f t="shared" si="3"/>
        <v>842</v>
      </c>
      <c r="B843" s="51" t="s">
        <v>41</v>
      </c>
      <c r="C843" s="53" t="s">
        <v>5168</v>
      </c>
      <c r="D843" s="42" t="s">
        <v>44</v>
      </c>
      <c r="E843" s="42" t="s">
        <v>44</v>
      </c>
      <c r="F843" s="53" t="s">
        <v>4679</v>
      </c>
      <c r="G843" s="53" t="s">
        <v>47</v>
      </c>
      <c r="H843" s="53" t="s">
        <v>48</v>
      </c>
      <c r="I843" s="53" t="s">
        <v>485</v>
      </c>
      <c r="J843" s="53" t="s">
        <v>4680</v>
      </c>
      <c r="K843" s="53" t="s">
        <v>51</v>
      </c>
      <c r="L843" s="53" t="s">
        <v>52</v>
      </c>
      <c r="M843" s="53" t="s">
        <v>52</v>
      </c>
      <c r="N843" s="62" t="s">
        <v>5157</v>
      </c>
      <c r="O843" s="62" t="s">
        <v>44</v>
      </c>
      <c r="P843" s="62" t="s">
        <v>5169</v>
      </c>
      <c r="Q843" s="62" t="s">
        <v>5170</v>
      </c>
      <c r="R843" s="53"/>
      <c r="S843" s="53"/>
      <c r="T843" s="82"/>
      <c r="U843" s="42"/>
      <c r="V843" s="62"/>
      <c r="W843" s="64"/>
      <c r="X843" s="223"/>
      <c r="Y843" s="223"/>
      <c r="Z843" s="223"/>
      <c r="AA843" s="223"/>
    </row>
    <row r="844">
      <c r="A844" s="42">
        <f t="shared" si="3"/>
        <v>843</v>
      </c>
      <c r="B844" s="51" t="s">
        <v>41</v>
      </c>
      <c r="C844" s="53" t="s">
        <v>5173</v>
      </c>
      <c r="D844" s="42" t="s">
        <v>44</v>
      </c>
      <c r="E844" s="42" t="s">
        <v>44</v>
      </c>
      <c r="F844" s="53" t="s">
        <v>4679</v>
      </c>
      <c r="G844" s="53" t="s">
        <v>85</v>
      </c>
      <c r="H844" s="53" t="s">
        <v>86</v>
      </c>
      <c r="I844" s="53" t="s">
        <v>485</v>
      </c>
      <c r="J844" s="53" t="s">
        <v>4680</v>
      </c>
      <c r="K844" s="53" t="s">
        <v>51</v>
      </c>
      <c r="L844" s="53" t="s">
        <v>52</v>
      </c>
      <c r="M844" s="53" t="s">
        <v>52</v>
      </c>
      <c r="N844" s="62" t="s">
        <v>5174</v>
      </c>
      <c r="O844" s="62" t="s">
        <v>44</v>
      </c>
      <c r="P844" s="62" t="s">
        <v>5175</v>
      </c>
      <c r="Q844" s="62" t="s">
        <v>5176</v>
      </c>
      <c r="R844" s="53"/>
      <c r="S844" s="53"/>
      <c r="T844" s="82"/>
      <c r="U844" s="42"/>
      <c r="V844" s="62"/>
      <c r="W844" s="64"/>
      <c r="X844" s="223"/>
      <c r="Y844" s="223"/>
      <c r="Z844" s="223"/>
      <c r="AA844" s="223"/>
    </row>
    <row r="845">
      <c r="A845" s="42">
        <f t="shared" si="3"/>
        <v>844</v>
      </c>
      <c r="B845" s="51" t="s">
        <v>41</v>
      </c>
      <c r="C845" s="53" t="s">
        <v>5179</v>
      </c>
      <c r="D845" s="42" t="s">
        <v>44</v>
      </c>
      <c r="E845" s="42" t="s">
        <v>44</v>
      </c>
      <c r="F845" s="53" t="s">
        <v>4679</v>
      </c>
      <c r="G845" s="53" t="s">
        <v>47</v>
      </c>
      <c r="H845" s="53" t="s">
        <v>48</v>
      </c>
      <c r="I845" s="53" t="s">
        <v>485</v>
      </c>
      <c r="J845" s="53" t="s">
        <v>4680</v>
      </c>
      <c r="K845" s="53" t="s">
        <v>51</v>
      </c>
      <c r="L845" s="53" t="s">
        <v>52</v>
      </c>
      <c r="M845" s="53" t="s">
        <v>52</v>
      </c>
      <c r="N845" s="62" t="s">
        <v>4928</v>
      </c>
      <c r="O845" s="62" t="s">
        <v>44</v>
      </c>
      <c r="P845" s="62" t="s">
        <v>5042</v>
      </c>
      <c r="Q845" s="62" t="s">
        <v>5180</v>
      </c>
      <c r="R845" s="53"/>
      <c r="S845" s="53"/>
      <c r="T845" s="82"/>
      <c r="U845" s="42"/>
      <c r="V845" s="62"/>
      <c r="W845" s="64"/>
      <c r="X845" s="223"/>
      <c r="Y845" s="223"/>
      <c r="Z845" s="223"/>
      <c r="AA845" s="223"/>
    </row>
    <row r="846">
      <c r="A846" s="42">
        <f t="shared" si="3"/>
        <v>845</v>
      </c>
      <c r="B846" s="51" t="s">
        <v>41</v>
      </c>
      <c r="C846" s="53" t="s">
        <v>5183</v>
      </c>
      <c r="D846" s="42" t="s">
        <v>44</v>
      </c>
      <c r="E846" s="42" t="s">
        <v>44</v>
      </c>
      <c r="F846" s="53" t="s">
        <v>4679</v>
      </c>
      <c r="G846" s="53" t="s">
        <v>47</v>
      </c>
      <c r="H846" s="53" t="s">
        <v>48</v>
      </c>
      <c r="I846" s="53" t="s">
        <v>485</v>
      </c>
      <c r="J846" s="53" t="s">
        <v>4680</v>
      </c>
      <c r="K846" s="53" t="s">
        <v>51</v>
      </c>
      <c r="L846" s="53" t="s">
        <v>52</v>
      </c>
      <c r="M846" s="53" t="s">
        <v>52</v>
      </c>
      <c r="N846" s="62" t="s">
        <v>4928</v>
      </c>
      <c r="O846" s="62" t="s">
        <v>44</v>
      </c>
      <c r="P846" s="62" t="s">
        <v>5184</v>
      </c>
      <c r="Q846" s="62" t="s">
        <v>5185</v>
      </c>
      <c r="R846" s="53"/>
      <c r="S846" s="53"/>
      <c r="T846" s="82"/>
      <c r="U846" s="42"/>
      <c r="V846" s="62"/>
      <c r="W846" s="64"/>
      <c r="X846" s="223"/>
      <c r="Y846" s="223"/>
      <c r="Z846" s="223"/>
      <c r="AA846" s="223"/>
    </row>
    <row r="847">
      <c r="A847" s="42">
        <f t="shared" si="3"/>
        <v>846</v>
      </c>
      <c r="B847" s="51" t="s">
        <v>41</v>
      </c>
      <c r="C847" s="53" t="s">
        <v>5188</v>
      </c>
      <c r="D847" s="42" t="s">
        <v>44</v>
      </c>
      <c r="E847" s="42" t="s">
        <v>44</v>
      </c>
      <c r="F847" s="53" t="s">
        <v>4679</v>
      </c>
      <c r="G847" s="53" t="s">
        <v>47</v>
      </c>
      <c r="H847" s="53" t="s">
        <v>48</v>
      </c>
      <c r="I847" s="53" t="s">
        <v>485</v>
      </c>
      <c r="J847" s="53" t="s">
        <v>4680</v>
      </c>
      <c r="K847" s="53" t="s">
        <v>51</v>
      </c>
      <c r="L847" s="53" t="s">
        <v>52</v>
      </c>
      <c r="M847" s="53" t="s">
        <v>52</v>
      </c>
      <c r="N847" s="62" t="s">
        <v>4928</v>
      </c>
      <c r="O847" s="62" t="s">
        <v>44</v>
      </c>
      <c r="P847" s="62" t="s">
        <v>5189</v>
      </c>
      <c r="Q847" s="62" t="s">
        <v>5190</v>
      </c>
      <c r="R847" s="53"/>
      <c r="S847" s="53"/>
      <c r="T847" s="82"/>
      <c r="U847" s="42"/>
      <c r="V847" s="62"/>
      <c r="W847" s="64"/>
      <c r="X847" s="223"/>
      <c r="Y847" s="223"/>
      <c r="Z847" s="223"/>
      <c r="AA847" s="223"/>
    </row>
    <row r="848">
      <c r="A848" s="42">
        <f t="shared" si="3"/>
        <v>847</v>
      </c>
      <c r="B848" s="51" t="s">
        <v>41</v>
      </c>
      <c r="C848" s="53" t="s">
        <v>5194</v>
      </c>
      <c r="D848" s="42" t="s">
        <v>44</v>
      </c>
      <c r="E848" s="42" t="s">
        <v>44</v>
      </c>
      <c r="F848" s="53" t="s">
        <v>4679</v>
      </c>
      <c r="G848" s="53" t="s">
        <v>47</v>
      </c>
      <c r="H848" s="53" t="s">
        <v>48</v>
      </c>
      <c r="I848" s="53" t="s">
        <v>485</v>
      </c>
      <c r="J848" s="53" t="s">
        <v>4680</v>
      </c>
      <c r="K848" s="53" t="s">
        <v>51</v>
      </c>
      <c r="L848" s="53" t="s">
        <v>52</v>
      </c>
      <c r="M848" s="53" t="s">
        <v>52</v>
      </c>
      <c r="N848" s="62" t="s">
        <v>4928</v>
      </c>
      <c r="O848" s="62" t="s">
        <v>44</v>
      </c>
      <c r="P848" s="62" t="s">
        <v>5195</v>
      </c>
      <c r="Q848" s="62" t="s">
        <v>5196</v>
      </c>
      <c r="R848" s="53"/>
      <c r="S848" s="53"/>
      <c r="T848" s="82"/>
      <c r="U848" s="42"/>
      <c r="V848" s="62"/>
      <c r="W848" s="64"/>
      <c r="X848" s="223"/>
      <c r="Y848" s="223"/>
      <c r="Z848" s="223"/>
      <c r="AA848" s="223"/>
    </row>
    <row r="849">
      <c r="A849" s="42">
        <f t="shared" si="3"/>
        <v>848</v>
      </c>
      <c r="B849" s="51" t="s">
        <v>41</v>
      </c>
      <c r="C849" s="53" t="s">
        <v>5199</v>
      </c>
      <c r="D849" s="42" t="s">
        <v>44</v>
      </c>
      <c r="E849" s="42" t="s">
        <v>44</v>
      </c>
      <c r="F849" s="53" t="s">
        <v>4679</v>
      </c>
      <c r="G849" s="53" t="s">
        <v>47</v>
      </c>
      <c r="H849" s="53" t="s">
        <v>48</v>
      </c>
      <c r="I849" s="53" t="s">
        <v>485</v>
      </c>
      <c r="J849" s="53" t="s">
        <v>4680</v>
      </c>
      <c r="K849" s="53" t="s">
        <v>51</v>
      </c>
      <c r="L849" s="53" t="s">
        <v>52</v>
      </c>
      <c r="M849" s="53" t="s">
        <v>52</v>
      </c>
      <c r="N849" s="62" t="s">
        <v>4928</v>
      </c>
      <c r="O849" s="62" t="s">
        <v>44</v>
      </c>
      <c r="P849" s="62" t="s">
        <v>5200</v>
      </c>
      <c r="Q849" s="62" t="s">
        <v>5201</v>
      </c>
      <c r="R849" s="53"/>
      <c r="S849" s="53"/>
      <c r="T849" s="82"/>
      <c r="U849" s="42"/>
      <c r="V849" s="62"/>
      <c r="W849" s="64"/>
      <c r="X849" s="223"/>
      <c r="Y849" s="223"/>
      <c r="Z849" s="223"/>
      <c r="AA849" s="223"/>
    </row>
    <row r="850">
      <c r="A850" s="42">
        <f t="shared" si="3"/>
        <v>849</v>
      </c>
      <c r="B850" s="51" t="s">
        <v>41</v>
      </c>
      <c r="C850" s="53" t="s">
        <v>5205</v>
      </c>
      <c r="D850" s="42" t="s">
        <v>44</v>
      </c>
      <c r="E850" s="42" t="s">
        <v>44</v>
      </c>
      <c r="F850" s="53" t="s">
        <v>4679</v>
      </c>
      <c r="G850" s="53" t="s">
        <v>47</v>
      </c>
      <c r="H850" s="53" t="s">
        <v>48</v>
      </c>
      <c r="I850" s="53" t="s">
        <v>485</v>
      </c>
      <c r="J850" s="53" t="s">
        <v>4680</v>
      </c>
      <c r="K850" s="53" t="s">
        <v>51</v>
      </c>
      <c r="L850" s="53" t="s">
        <v>52</v>
      </c>
      <c r="M850" s="53" t="s">
        <v>52</v>
      </c>
      <c r="N850" s="62" t="s">
        <v>4928</v>
      </c>
      <c r="O850" s="62" t="s">
        <v>44</v>
      </c>
      <c r="P850" s="62" t="s">
        <v>5206</v>
      </c>
      <c r="Q850" s="62" t="s">
        <v>5207</v>
      </c>
      <c r="R850" s="53"/>
      <c r="S850" s="53"/>
      <c r="T850" s="82"/>
      <c r="U850" s="42"/>
      <c r="V850" s="62"/>
      <c r="W850" s="64"/>
      <c r="X850" s="223"/>
      <c r="Y850" s="223"/>
      <c r="Z850" s="223"/>
      <c r="AA850" s="223"/>
    </row>
    <row r="851">
      <c r="A851" s="42">
        <f t="shared" si="3"/>
        <v>850</v>
      </c>
      <c r="B851" s="51" t="s">
        <v>41</v>
      </c>
      <c r="C851" s="53" t="s">
        <v>5211</v>
      </c>
      <c r="D851" s="42" t="s">
        <v>44</v>
      </c>
      <c r="E851" s="42" t="s">
        <v>44</v>
      </c>
      <c r="F851" s="53" t="s">
        <v>4679</v>
      </c>
      <c r="G851" s="53" t="s">
        <v>47</v>
      </c>
      <c r="H851" s="53" t="s">
        <v>48</v>
      </c>
      <c r="I851" s="53" t="s">
        <v>485</v>
      </c>
      <c r="J851" s="53" t="s">
        <v>4680</v>
      </c>
      <c r="K851" s="53" t="s">
        <v>51</v>
      </c>
      <c r="L851" s="53" t="s">
        <v>52</v>
      </c>
      <c r="M851" s="53" t="s">
        <v>52</v>
      </c>
      <c r="N851" s="62" t="s">
        <v>4928</v>
      </c>
      <c r="O851" s="62" t="s">
        <v>44</v>
      </c>
      <c r="P851" s="62" t="s">
        <v>5212</v>
      </c>
      <c r="Q851" s="62" t="s">
        <v>5213</v>
      </c>
      <c r="R851" s="53"/>
      <c r="S851" s="53"/>
      <c r="T851" s="82"/>
      <c r="U851" s="42"/>
      <c r="V851" s="62"/>
      <c r="W851" s="64"/>
      <c r="X851" s="223"/>
      <c r="Y851" s="223"/>
      <c r="Z851" s="223"/>
      <c r="AA851" s="223"/>
    </row>
    <row r="852">
      <c r="A852" s="42">
        <f t="shared" si="3"/>
        <v>851</v>
      </c>
      <c r="B852" s="51" t="s">
        <v>41</v>
      </c>
      <c r="C852" s="53" t="s">
        <v>5216</v>
      </c>
      <c r="D852" s="42" t="s">
        <v>44</v>
      </c>
      <c r="E852" s="42" t="s">
        <v>44</v>
      </c>
      <c r="F852" s="53" t="s">
        <v>4679</v>
      </c>
      <c r="G852" s="53" t="s">
        <v>47</v>
      </c>
      <c r="H852" s="53" t="s">
        <v>48</v>
      </c>
      <c r="I852" s="53" t="s">
        <v>485</v>
      </c>
      <c r="J852" s="53" t="s">
        <v>4680</v>
      </c>
      <c r="K852" s="53" t="s">
        <v>51</v>
      </c>
      <c r="L852" s="53" t="s">
        <v>52</v>
      </c>
      <c r="M852" s="53" t="s">
        <v>52</v>
      </c>
      <c r="N852" s="62" t="s">
        <v>4928</v>
      </c>
      <c r="O852" s="62" t="s">
        <v>44</v>
      </c>
      <c r="P852" s="62" t="s">
        <v>5217</v>
      </c>
      <c r="Q852" s="62" t="s">
        <v>5218</v>
      </c>
      <c r="R852" s="53"/>
      <c r="S852" s="53"/>
      <c r="T852" s="82"/>
      <c r="U852" s="42"/>
      <c r="V852" s="62"/>
      <c r="W852" s="64"/>
      <c r="X852" s="223"/>
      <c r="Y852" s="223"/>
      <c r="Z852" s="223"/>
      <c r="AA852" s="223"/>
    </row>
    <row r="853">
      <c r="A853" s="42">
        <f t="shared" si="3"/>
        <v>852</v>
      </c>
      <c r="B853" s="51" t="s">
        <v>41</v>
      </c>
      <c r="C853" s="53" t="s">
        <v>5221</v>
      </c>
      <c r="D853" s="42" t="s">
        <v>44</v>
      </c>
      <c r="E853" s="42" t="s">
        <v>44</v>
      </c>
      <c r="F853" s="53" t="s">
        <v>4679</v>
      </c>
      <c r="G853" s="53" t="s">
        <v>47</v>
      </c>
      <c r="H853" s="53" t="s">
        <v>48</v>
      </c>
      <c r="I853" s="53" t="s">
        <v>485</v>
      </c>
      <c r="J853" s="53" t="s">
        <v>4680</v>
      </c>
      <c r="K853" s="53" t="s">
        <v>51</v>
      </c>
      <c r="L853" s="53" t="s">
        <v>52</v>
      </c>
      <c r="M853" s="53" t="s">
        <v>52</v>
      </c>
      <c r="N853" s="62" t="s">
        <v>4928</v>
      </c>
      <c r="O853" s="62" t="s">
        <v>44</v>
      </c>
      <c r="P853" s="62" t="s">
        <v>5222</v>
      </c>
      <c r="Q853" s="62" t="s">
        <v>5223</v>
      </c>
      <c r="R853" s="53"/>
      <c r="S853" s="53"/>
      <c r="T853" s="82"/>
      <c r="U853" s="42"/>
      <c r="V853" s="62"/>
      <c r="W853" s="64"/>
      <c r="X853" s="223"/>
      <c r="Y853" s="223"/>
      <c r="Z853" s="223"/>
      <c r="AA853" s="223"/>
    </row>
    <row r="854">
      <c r="A854" s="42">
        <f t="shared" si="3"/>
        <v>853</v>
      </c>
      <c r="B854" s="51" t="s">
        <v>41</v>
      </c>
      <c r="C854" s="53" t="s">
        <v>5226</v>
      </c>
      <c r="D854" s="42" t="s">
        <v>44</v>
      </c>
      <c r="E854" s="42" t="s">
        <v>44</v>
      </c>
      <c r="F854" s="53" t="s">
        <v>4679</v>
      </c>
      <c r="G854" s="53" t="s">
        <v>47</v>
      </c>
      <c r="H854" s="53" t="s">
        <v>48</v>
      </c>
      <c r="I854" s="53" t="s">
        <v>485</v>
      </c>
      <c r="J854" s="53" t="s">
        <v>4680</v>
      </c>
      <c r="K854" s="53" t="s">
        <v>51</v>
      </c>
      <c r="L854" s="53" t="s">
        <v>52</v>
      </c>
      <c r="M854" s="53" t="s">
        <v>52</v>
      </c>
      <c r="N854" s="62" t="s">
        <v>4928</v>
      </c>
      <c r="O854" s="62" t="s">
        <v>44</v>
      </c>
      <c r="P854" s="62" t="s">
        <v>5227</v>
      </c>
      <c r="Q854" s="62" t="s">
        <v>5228</v>
      </c>
      <c r="R854" s="53"/>
      <c r="S854" s="53"/>
      <c r="T854" s="82"/>
      <c r="U854" s="42"/>
      <c r="V854" s="62"/>
      <c r="W854" s="64"/>
      <c r="X854" s="223"/>
      <c r="Y854" s="223"/>
      <c r="Z854" s="223"/>
      <c r="AA854" s="223"/>
    </row>
    <row r="855">
      <c r="A855" s="42">
        <f t="shared" si="3"/>
        <v>854</v>
      </c>
      <c r="B855" s="51" t="s">
        <v>41</v>
      </c>
      <c r="C855" s="53" t="s">
        <v>5231</v>
      </c>
      <c r="D855" s="42" t="s">
        <v>44</v>
      </c>
      <c r="E855" s="42" t="s">
        <v>44</v>
      </c>
      <c r="F855" s="53" t="s">
        <v>4679</v>
      </c>
      <c r="G855" s="53" t="s">
        <v>47</v>
      </c>
      <c r="H855" s="53" t="s">
        <v>48</v>
      </c>
      <c r="I855" s="53" t="s">
        <v>485</v>
      </c>
      <c r="J855" s="53" t="s">
        <v>4680</v>
      </c>
      <c r="K855" s="53" t="s">
        <v>51</v>
      </c>
      <c r="L855" s="53" t="s">
        <v>52</v>
      </c>
      <c r="M855" s="53" t="s">
        <v>52</v>
      </c>
      <c r="N855" s="62" t="s">
        <v>4928</v>
      </c>
      <c r="O855" s="62" t="s">
        <v>44</v>
      </c>
      <c r="P855" s="62" t="s">
        <v>5232</v>
      </c>
      <c r="Q855" s="62" t="s">
        <v>5233</v>
      </c>
      <c r="R855" s="53"/>
      <c r="S855" s="53"/>
      <c r="T855" s="82"/>
      <c r="U855" s="42"/>
      <c r="V855" s="62"/>
      <c r="W855" s="64"/>
      <c r="X855" s="223"/>
      <c r="Y855" s="223"/>
      <c r="Z855" s="223"/>
      <c r="AA855" s="223"/>
    </row>
    <row r="856">
      <c r="A856" s="42">
        <f t="shared" si="3"/>
        <v>855</v>
      </c>
      <c r="B856" s="51" t="s">
        <v>41</v>
      </c>
      <c r="C856" s="53" t="s">
        <v>5236</v>
      </c>
      <c r="D856" s="42" t="s">
        <v>44</v>
      </c>
      <c r="E856" s="42" t="s">
        <v>44</v>
      </c>
      <c r="F856" s="53" t="s">
        <v>4679</v>
      </c>
      <c r="G856" s="53" t="s">
        <v>47</v>
      </c>
      <c r="H856" s="53" t="s">
        <v>48</v>
      </c>
      <c r="I856" s="53" t="s">
        <v>485</v>
      </c>
      <c r="J856" s="53" t="s">
        <v>4680</v>
      </c>
      <c r="K856" s="53" t="s">
        <v>51</v>
      </c>
      <c r="L856" s="53" t="s">
        <v>52</v>
      </c>
      <c r="M856" s="53" t="s">
        <v>52</v>
      </c>
      <c r="N856" s="62" t="s">
        <v>5237</v>
      </c>
      <c r="O856" s="62" t="s">
        <v>44</v>
      </c>
      <c r="P856" s="62" t="s">
        <v>5238</v>
      </c>
      <c r="Q856" s="62" t="s">
        <v>5239</v>
      </c>
      <c r="R856" s="53"/>
      <c r="S856" s="53"/>
      <c r="T856" s="82"/>
      <c r="U856" s="42"/>
      <c r="V856" s="62"/>
      <c r="W856" s="64"/>
      <c r="X856" s="223"/>
      <c r="Y856" s="223"/>
      <c r="Z856" s="223"/>
      <c r="AA856" s="223"/>
    </row>
    <row r="857">
      <c r="A857" s="42">
        <f t="shared" si="3"/>
        <v>856</v>
      </c>
      <c r="B857" s="51" t="s">
        <v>41</v>
      </c>
      <c r="C857" s="53" t="s">
        <v>5242</v>
      </c>
      <c r="D857" s="42" t="s">
        <v>44</v>
      </c>
      <c r="E857" s="42" t="s">
        <v>44</v>
      </c>
      <c r="F857" s="53" t="s">
        <v>4679</v>
      </c>
      <c r="G857" s="53" t="s">
        <v>47</v>
      </c>
      <c r="H857" s="53" t="s">
        <v>48</v>
      </c>
      <c r="I857" s="53" t="s">
        <v>485</v>
      </c>
      <c r="J857" s="53" t="s">
        <v>4680</v>
      </c>
      <c r="K857" s="53" t="s">
        <v>51</v>
      </c>
      <c r="L857" s="53" t="s">
        <v>52</v>
      </c>
      <c r="M857" s="53" t="s">
        <v>52</v>
      </c>
      <c r="N857" s="62" t="s">
        <v>4928</v>
      </c>
      <c r="O857" s="62" t="s">
        <v>44</v>
      </c>
      <c r="P857" s="62" t="s">
        <v>5243</v>
      </c>
      <c r="Q857" s="62" t="s">
        <v>5244</v>
      </c>
      <c r="R857" s="53"/>
      <c r="S857" s="53"/>
      <c r="T857" s="82"/>
      <c r="U857" s="42"/>
      <c r="V857" s="62"/>
      <c r="W857" s="64"/>
      <c r="X857" s="223"/>
      <c r="Y857" s="223"/>
      <c r="Z857" s="223"/>
      <c r="AA857" s="223"/>
    </row>
    <row r="858">
      <c r="A858" s="42">
        <f t="shared" si="3"/>
        <v>857</v>
      </c>
      <c r="B858" s="51" t="s">
        <v>41</v>
      </c>
      <c r="C858" s="53" t="s">
        <v>5247</v>
      </c>
      <c r="D858" s="42" t="s">
        <v>44</v>
      </c>
      <c r="E858" s="42" t="s">
        <v>44</v>
      </c>
      <c r="F858" s="53" t="s">
        <v>4679</v>
      </c>
      <c r="G858" s="53" t="s">
        <v>47</v>
      </c>
      <c r="H858" s="53" t="s">
        <v>48</v>
      </c>
      <c r="I858" s="53" t="s">
        <v>485</v>
      </c>
      <c r="J858" s="53" t="s">
        <v>4680</v>
      </c>
      <c r="K858" s="53" t="s">
        <v>51</v>
      </c>
      <c r="L858" s="53" t="s">
        <v>52</v>
      </c>
      <c r="M858" s="53" t="s">
        <v>52</v>
      </c>
      <c r="N858" s="62" t="s">
        <v>4928</v>
      </c>
      <c r="O858" s="62" t="s">
        <v>44</v>
      </c>
      <c r="P858" s="62" t="s">
        <v>5248</v>
      </c>
      <c r="Q858" s="62" t="s">
        <v>5249</v>
      </c>
      <c r="R858" s="53"/>
      <c r="S858" s="53"/>
      <c r="T858" s="82"/>
      <c r="U858" s="42"/>
      <c r="V858" s="62"/>
      <c r="W858" s="64"/>
      <c r="X858" s="223"/>
      <c r="Y858" s="223"/>
      <c r="Z858" s="223"/>
      <c r="AA858" s="223"/>
    </row>
    <row r="859">
      <c r="A859" s="42">
        <f t="shared" si="3"/>
        <v>858</v>
      </c>
      <c r="B859" s="51" t="s">
        <v>41</v>
      </c>
      <c r="C859" s="53" t="s">
        <v>5252</v>
      </c>
      <c r="D859" s="42" t="s">
        <v>44</v>
      </c>
      <c r="E859" s="42" t="s">
        <v>44</v>
      </c>
      <c r="F859" s="53" t="s">
        <v>4679</v>
      </c>
      <c r="G859" s="53" t="s">
        <v>47</v>
      </c>
      <c r="H859" s="53" t="s">
        <v>48</v>
      </c>
      <c r="I859" s="53" t="s">
        <v>485</v>
      </c>
      <c r="J859" s="53" t="s">
        <v>4680</v>
      </c>
      <c r="K859" s="53" t="s">
        <v>51</v>
      </c>
      <c r="L859" s="53" t="s">
        <v>52</v>
      </c>
      <c r="M859" s="53" t="s">
        <v>52</v>
      </c>
      <c r="N859" s="62" t="s">
        <v>5253</v>
      </c>
      <c r="O859" s="62" t="s">
        <v>44</v>
      </c>
      <c r="P859" s="62" t="s">
        <v>5254</v>
      </c>
      <c r="Q859" s="62" t="s">
        <v>5255</v>
      </c>
      <c r="R859" s="53"/>
      <c r="S859" s="53"/>
      <c r="T859" s="82"/>
      <c r="U859" s="42"/>
      <c r="V859" s="62"/>
      <c r="W859" s="64"/>
      <c r="X859" s="223"/>
      <c r="Y859" s="223"/>
      <c r="Z859" s="223"/>
      <c r="AA859" s="223"/>
    </row>
    <row r="860">
      <c r="A860" s="42">
        <f t="shared" si="3"/>
        <v>859</v>
      </c>
      <c r="B860" s="51" t="s">
        <v>41</v>
      </c>
      <c r="C860" s="53" t="s">
        <v>5258</v>
      </c>
      <c r="D860" s="42" t="s">
        <v>44</v>
      </c>
      <c r="E860" s="42" t="s">
        <v>44</v>
      </c>
      <c r="F860" s="53" t="s">
        <v>4679</v>
      </c>
      <c r="G860" s="53" t="s">
        <v>47</v>
      </c>
      <c r="H860" s="53" t="s">
        <v>48</v>
      </c>
      <c r="I860" s="53" t="s">
        <v>485</v>
      </c>
      <c r="J860" s="53" t="s">
        <v>4680</v>
      </c>
      <c r="K860" s="53" t="s">
        <v>51</v>
      </c>
      <c r="L860" s="53" t="s">
        <v>52</v>
      </c>
      <c r="M860" s="53" t="s">
        <v>52</v>
      </c>
      <c r="N860" s="62" t="s">
        <v>4928</v>
      </c>
      <c r="O860" s="62" t="s">
        <v>44</v>
      </c>
      <c r="P860" s="62" t="s">
        <v>5259</v>
      </c>
      <c r="Q860" s="62" t="s">
        <v>5260</v>
      </c>
      <c r="R860" s="53"/>
      <c r="S860" s="53"/>
      <c r="T860" s="82"/>
      <c r="U860" s="42"/>
      <c r="V860" s="62"/>
      <c r="W860" s="64"/>
      <c r="X860" s="223"/>
      <c r="Y860" s="223"/>
      <c r="Z860" s="223"/>
      <c r="AA860" s="223"/>
    </row>
    <row r="861">
      <c r="A861" s="42">
        <f t="shared" si="3"/>
        <v>860</v>
      </c>
      <c r="B861" s="51" t="s">
        <v>41</v>
      </c>
      <c r="C861" s="53" t="s">
        <v>5263</v>
      </c>
      <c r="D861" s="42" t="s">
        <v>44</v>
      </c>
      <c r="E861" s="42" t="s">
        <v>44</v>
      </c>
      <c r="F861" s="53" t="s">
        <v>4679</v>
      </c>
      <c r="G861" s="53" t="s">
        <v>47</v>
      </c>
      <c r="H861" s="53" t="s">
        <v>95</v>
      </c>
      <c r="I861" s="53" t="s">
        <v>485</v>
      </c>
      <c r="J861" s="53" t="s">
        <v>4680</v>
      </c>
      <c r="K861" s="53" t="s">
        <v>51</v>
      </c>
      <c r="L861" s="53" t="s">
        <v>52</v>
      </c>
      <c r="M861" s="53" t="s">
        <v>52</v>
      </c>
      <c r="N861" s="62" t="s">
        <v>5264</v>
      </c>
      <c r="O861" s="62" t="s">
        <v>44</v>
      </c>
      <c r="P861" s="62" t="s">
        <v>5265</v>
      </c>
      <c r="Q861" s="62" t="s">
        <v>5266</v>
      </c>
      <c r="R861" s="53"/>
      <c r="S861" s="53"/>
      <c r="T861" s="82"/>
      <c r="U861" s="42"/>
      <c r="V861" s="62"/>
      <c r="W861" s="64"/>
      <c r="X861" s="223"/>
      <c r="Y861" s="223"/>
      <c r="Z861" s="223"/>
      <c r="AA861" s="223"/>
    </row>
    <row r="862">
      <c r="A862" s="42">
        <f t="shared" si="3"/>
        <v>861</v>
      </c>
      <c r="B862" s="51" t="s">
        <v>41</v>
      </c>
      <c r="C862" s="53" t="s">
        <v>5269</v>
      </c>
      <c r="D862" s="42" t="s">
        <v>44</v>
      </c>
      <c r="E862" s="42" t="s">
        <v>44</v>
      </c>
      <c r="F862" s="53" t="s">
        <v>4679</v>
      </c>
      <c r="G862" s="53" t="s">
        <v>47</v>
      </c>
      <c r="H862" s="53" t="s">
        <v>95</v>
      </c>
      <c r="I862" s="53" t="s">
        <v>485</v>
      </c>
      <c r="J862" s="53" t="s">
        <v>4680</v>
      </c>
      <c r="K862" s="53" t="s">
        <v>51</v>
      </c>
      <c r="L862" s="53" t="s">
        <v>52</v>
      </c>
      <c r="M862" s="53" t="s">
        <v>52</v>
      </c>
      <c r="N862" s="62" t="s">
        <v>5264</v>
      </c>
      <c r="O862" s="62" t="s">
        <v>44</v>
      </c>
      <c r="P862" s="62" t="s">
        <v>5270</v>
      </c>
      <c r="Q862" s="62" t="s">
        <v>5271</v>
      </c>
      <c r="R862" s="53"/>
      <c r="S862" s="53"/>
      <c r="T862" s="82"/>
      <c r="U862" s="42"/>
      <c r="V862" s="62"/>
      <c r="W862" s="64"/>
      <c r="X862" s="223"/>
      <c r="Y862" s="223"/>
      <c r="Z862" s="223"/>
      <c r="AA862" s="223"/>
    </row>
    <row r="863">
      <c r="A863" s="42">
        <f t="shared" si="3"/>
        <v>862</v>
      </c>
      <c r="B863" s="51" t="s">
        <v>41</v>
      </c>
      <c r="C863" s="53" t="s">
        <v>5274</v>
      </c>
      <c r="D863" s="42" t="s">
        <v>44</v>
      </c>
      <c r="E863" s="42" t="s">
        <v>44</v>
      </c>
      <c r="F863" s="53" t="s">
        <v>4679</v>
      </c>
      <c r="G863" s="53" t="s">
        <v>47</v>
      </c>
      <c r="H863" s="53" t="s">
        <v>48</v>
      </c>
      <c r="I863" s="53" t="s">
        <v>485</v>
      </c>
      <c r="J863" s="53" t="s">
        <v>4680</v>
      </c>
      <c r="K863" s="53" t="s">
        <v>51</v>
      </c>
      <c r="L863" s="53" t="s">
        <v>52</v>
      </c>
      <c r="M863" s="53" t="s">
        <v>52</v>
      </c>
      <c r="N863" s="62" t="s">
        <v>5275</v>
      </c>
      <c r="O863" s="62" t="s">
        <v>44</v>
      </c>
      <c r="P863" s="62" t="s">
        <v>5276</v>
      </c>
      <c r="Q863" s="62" t="s">
        <v>5277</v>
      </c>
      <c r="R863" s="53"/>
      <c r="S863" s="53"/>
      <c r="T863" s="82"/>
      <c r="U863" s="42"/>
      <c r="V863" s="62"/>
      <c r="W863" s="64"/>
      <c r="X863" s="223"/>
      <c r="Y863" s="223"/>
      <c r="Z863" s="223"/>
      <c r="AA863" s="223"/>
    </row>
    <row r="864">
      <c r="A864" s="42">
        <f t="shared" si="3"/>
        <v>863</v>
      </c>
      <c r="B864" s="51" t="s">
        <v>41</v>
      </c>
      <c r="C864" s="53" t="s">
        <v>5280</v>
      </c>
      <c r="D864" s="42" t="s">
        <v>44</v>
      </c>
      <c r="E864" s="42" t="s">
        <v>44</v>
      </c>
      <c r="F864" s="53" t="s">
        <v>4679</v>
      </c>
      <c r="G864" s="53" t="s">
        <v>47</v>
      </c>
      <c r="H864" s="53" t="s">
        <v>48</v>
      </c>
      <c r="I864" s="53" t="s">
        <v>485</v>
      </c>
      <c r="J864" s="53" t="s">
        <v>4680</v>
      </c>
      <c r="K864" s="53" t="s">
        <v>51</v>
      </c>
      <c r="L864" s="53" t="s">
        <v>52</v>
      </c>
      <c r="M864" s="53" t="s">
        <v>52</v>
      </c>
      <c r="N864" s="62" t="s">
        <v>4928</v>
      </c>
      <c r="O864" s="62" t="s">
        <v>44</v>
      </c>
      <c r="P864" s="62" t="s">
        <v>5281</v>
      </c>
      <c r="Q864" s="62" t="s">
        <v>5282</v>
      </c>
      <c r="R864" s="53"/>
      <c r="S864" s="53"/>
      <c r="T864" s="82"/>
      <c r="U864" s="42"/>
      <c r="V864" s="62"/>
      <c r="W864" s="64"/>
      <c r="X864" s="223"/>
      <c r="Y864" s="223"/>
      <c r="Z864" s="223"/>
      <c r="AA864" s="223"/>
    </row>
    <row r="865">
      <c r="A865" s="42">
        <f t="shared" si="3"/>
        <v>864</v>
      </c>
      <c r="B865" s="51" t="s">
        <v>41</v>
      </c>
      <c r="C865" s="53" t="s">
        <v>5286</v>
      </c>
      <c r="D865" s="42" t="s">
        <v>44</v>
      </c>
      <c r="E865" s="42" t="s">
        <v>44</v>
      </c>
      <c r="F865" s="53" t="s">
        <v>4679</v>
      </c>
      <c r="G865" s="53" t="s">
        <v>47</v>
      </c>
      <c r="H865" s="53" t="s">
        <v>48</v>
      </c>
      <c r="I865" s="53" t="s">
        <v>485</v>
      </c>
      <c r="J865" s="53" t="s">
        <v>4680</v>
      </c>
      <c r="K865" s="53" t="s">
        <v>51</v>
      </c>
      <c r="L865" s="53" t="s">
        <v>52</v>
      </c>
      <c r="M865" s="53" t="s">
        <v>52</v>
      </c>
      <c r="N865" s="62" t="s">
        <v>4928</v>
      </c>
      <c r="O865" s="62" t="s">
        <v>44</v>
      </c>
      <c r="P865" s="62" t="s">
        <v>5287</v>
      </c>
      <c r="Q865" s="62" t="s">
        <v>5288</v>
      </c>
      <c r="R865" s="53"/>
      <c r="S865" s="53"/>
      <c r="T865" s="82"/>
      <c r="U865" s="42"/>
      <c r="V865" s="62"/>
      <c r="W865" s="64"/>
      <c r="X865" s="223"/>
      <c r="Y865" s="223"/>
      <c r="Z865" s="223"/>
      <c r="AA865" s="223"/>
    </row>
    <row r="866">
      <c r="A866" s="42">
        <f t="shared" si="3"/>
        <v>865</v>
      </c>
      <c r="B866" s="51" t="s">
        <v>41</v>
      </c>
      <c r="C866" s="53" t="s">
        <v>5292</v>
      </c>
      <c r="D866" s="42" t="s">
        <v>44</v>
      </c>
      <c r="E866" s="42" t="s">
        <v>44</v>
      </c>
      <c r="F866" s="53" t="s">
        <v>4679</v>
      </c>
      <c r="G866" s="53" t="s">
        <v>47</v>
      </c>
      <c r="H866" s="53" t="s">
        <v>95</v>
      </c>
      <c r="I866" s="53" t="s">
        <v>485</v>
      </c>
      <c r="J866" s="53" t="s">
        <v>4680</v>
      </c>
      <c r="K866" s="53" t="s">
        <v>51</v>
      </c>
      <c r="L866" s="53" t="s">
        <v>52</v>
      </c>
      <c r="M866" s="53" t="s">
        <v>52</v>
      </c>
      <c r="N866" s="62" t="s">
        <v>5293</v>
      </c>
      <c r="O866" s="62" t="s">
        <v>44</v>
      </c>
      <c r="P866" s="62" t="s">
        <v>5294</v>
      </c>
      <c r="Q866" s="62" t="s">
        <v>5295</v>
      </c>
      <c r="R866" s="53"/>
      <c r="S866" s="53"/>
      <c r="T866" s="82"/>
      <c r="U866" s="42"/>
      <c r="V866" s="62"/>
      <c r="W866" s="64"/>
      <c r="X866" s="223"/>
      <c r="Y866" s="223"/>
      <c r="Z866" s="223"/>
      <c r="AA866" s="223"/>
    </row>
    <row r="867">
      <c r="A867" s="42">
        <f t="shared" si="3"/>
        <v>866</v>
      </c>
      <c r="B867" s="51" t="s">
        <v>41</v>
      </c>
      <c r="C867" s="53" t="s">
        <v>5299</v>
      </c>
      <c r="D867" s="42" t="s">
        <v>44</v>
      </c>
      <c r="E867" s="42" t="s">
        <v>44</v>
      </c>
      <c r="F867" s="53" t="s">
        <v>4679</v>
      </c>
      <c r="G867" s="53" t="s">
        <v>47</v>
      </c>
      <c r="H867" s="53" t="s">
        <v>48</v>
      </c>
      <c r="I867" s="53" t="s">
        <v>485</v>
      </c>
      <c r="J867" s="53" t="s">
        <v>4680</v>
      </c>
      <c r="K867" s="53" t="s">
        <v>51</v>
      </c>
      <c r="L867" s="53" t="s">
        <v>52</v>
      </c>
      <c r="M867" s="53" t="s">
        <v>52</v>
      </c>
      <c r="N867" s="62" t="s">
        <v>5300</v>
      </c>
      <c r="O867" s="62" t="s">
        <v>44</v>
      </c>
      <c r="P867" s="62" t="s">
        <v>5301</v>
      </c>
      <c r="Q867" s="62" t="s">
        <v>5302</v>
      </c>
      <c r="R867" s="53"/>
      <c r="S867" s="53"/>
      <c r="T867" s="82"/>
      <c r="U867" s="42"/>
      <c r="V867" s="62"/>
      <c r="W867" s="64"/>
      <c r="X867" s="223"/>
      <c r="Y867" s="223"/>
      <c r="Z867" s="223"/>
      <c r="AA867" s="223"/>
    </row>
    <row r="868">
      <c r="A868" s="42">
        <f t="shared" si="3"/>
        <v>867</v>
      </c>
      <c r="B868" s="51" t="s">
        <v>41</v>
      </c>
      <c r="C868" s="53" t="s">
        <v>5306</v>
      </c>
      <c r="D868" s="42" t="s">
        <v>44</v>
      </c>
      <c r="E868" s="42" t="s">
        <v>44</v>
      </c>
      <c r="F868" s="53" t="s">
        <v>4679</v>
      </c>
      <c r="G868" s="53" t="s">
        <v>47</v>
      </c>
      <c r="H868" s="53" t="s">
        <v>48</v>
      </c>
      <c r="I868" s="53" t="s">
        <v>485</v>
      </c>
      <c r="J868" s="53" t="s">
        <v>4680</v>
      </c>
      <c r="K868" s="53" t="s">
        <v>51</v>
      </c>
      <c r="L868" s="53" t="s">
        <v>52</v>
      </c>
      <c r="M868" s="53" t="s">
        <v>52</v>
      </c>
      <c r="N868" s="62" t="s">
        <v>4681</v>
      </c>
      <c r="O868" s="62" t="s">
        <v>44</v>
      </c>
      <c r="P868" s="62" t="s">
        <v>5307</v>
      </c>
      <c r="Q868" s="62" t="s">
        <v>5308</v>
      </c>
      <c r="R868" s="53"/>
      <c r="S868" s="53"/>
      <c r="T868" s="82"/>
      <c r="U868" s="42"/>
      <c r="V868" s="62"/>
      <c r="W868" s="64"/>
      <c r="X868" s="223"/>
      <c r="Y868" s="223"/>
      <c r="Z868" s="223"/>
      <c r="AA868" s="223"/>
    </row>
    <row r="869">
      <c r="A869" s="42">
        <f t="shared" si="3"/>
        <v>868</v>
      </c>
      <c r="B869" s="51" t="s">
        <v>41</v>
      </c>
      <c r="C869" s="53" t="s">
        <v>5312</v>
      </c>
      <c r="D869" s="42" t="s">
        <v>44</v>
      </c>
      <c r="E869" s="42" t="s">
        <v>44</v>
      </c>
      <c r="F869" s="53" t="s">
        <v>4679</v>
      </c>
      <c r="G869" s="53" t="s">
        <v>47</v>
      </c>
      <c r="H869" s="53" t="s">
        <v>48</v>
      </c>
      <c r="I869" s="53" t="s">
        <v>485</v>
      </c>
      <c r="J869" s="53" t="s">
        <v>4680</v>
      </c>
      <c r="K869" s="53" t="s">
        <v>51</v>
      </c>
      <c r="L869" s="53" t="s">
        <v>52</v>
      </c>
      <c r="M869" s="53" t="s">
        <v>52</v>
      </c>
      <c r="N869" s="62" t="s">
        <v>4681</v>
      </c>
      <c r="O869" s="62" t="s">
        <v>44</v>
      </c>
      <c r="P869" s="62" t="s">
        <v>4486</v>
      </c>
      <c r="Q869" s="62" t="s">
        <v>5313</v>
      </c>
      <c r="R869" s="53"/>
      <c r="S869" s="53"/>
      <c r="T869" s="82"/>
      <c r="U869" s="42"/>
      <c r="V869" s="62"/>
      <c r="W869" s="64"/>
      <c r="X869" s="223"/>
      <c r="Y869" s="223"/>
      <c r="Z869" s="223"/>
      <c r="AA869" s="223"/>
    </row>
    <row r="870">
      <c r="A870" s="42">
        <f t="shared" si="3"/>
        <v>869</v>
      </c>
      <c r="B870" s="51" t="s">
        <v>41</v>
      </c>
      <c r="C870" s="53" t="s">
        <v>5316</v>
      </c>
      <c r="D870" s="42" t="s">
        <v>44</v>
      </c>
      <c r="E870" s="42" t="s">
        <v>44</v>
      </c>
      <c r="F870" s="53" t="s">
        <v>4679</v>
      </c>
      <c r="G870" s="53" t="s">
        <v>47</v>
      </c>
      <c r="H870" s="53" t="s">
        <v>95</v>
      </c>
      <c r="I870" s="53" t="s">
        <v>485</v>
      </c>
      <c r="J870" s="53" t="s">
        <v>4680</v>
      </c>
      <c r="K870" s="53" t="s">
        <v>51</v>
      </c>
      <c r="L870" s="53" t="s">
        <v>52</v>
      </c>
      <c r="M870" s="53" t="s">
        <v>52</v>
      </c>
      <c r="N870" s="62" t="s">
        <v>4753</v>
      </c>
      <c r="O870" s="62" t="s">
        <v>44</v>
      </c>
      <c r="P870" s="62" t="s">
        <v>4492</v>
      </c>
      <c r="Q870" s="62" t="s">
        <v>4493</v>
      </c>
      <c r="R870" s="53"/>
      <c r="S870" s="53"/>
      <c r="T870" s="82"/>
      <c r="U870" s="42"/>
      <c r="V870" s="62"/>
      <c r="W870" s="64"/>
      <c r="X870" s="223"/>
      <c r="Y870" s="223"/>
      <c r="Z870" s="223"/>
      <c r="AA870" s="223"/>
    </row>
    <row r="871">
      <c r="A871" s="42">
        <f t="shared" si="3"/>
        <v>870</v>
      </c>
      <c r="B871" s="51" t="s">
        <v>41</v>
      </c>
      <c r="C871" s="53" t="s">
        <v>5320</v>
      </c>
      <c r="D871" s="42" t="s">
        <v>44</v>
      </c>
      <c r="E871" s="42" t="s">
        <v>44</v>
      </c>
      <c r="F871" s="53" t="s">
        <v>4679</v>
      </c>
      <c r="G871" s="53" t="s">
        <v>47</v>
      </c>
      <c r="H871" s="53" t="s">
        <v>48</v>
      </c>
      <c r="I871" s="53" t="s">
        <v>485</v>
      </c>
      <c r="J871" s="53" t="s">
        <v>4680</v>
      </c>
      <c r="K871" s="53" t="s">
        <v>51</v>
      </c>
      <c r="L871" s="53" t="s">
        <v>52</v>
      </c>
      <c r="M871" s="53" t="s">
        <v>52</v>
      </c>
      <c r="N871" s="62" t="s">
        <v>4681</v>
      </c>
      <c r="O871" s="62" t="s">
        <v>44</v>
      </c>
      <c r="P871" s="62" t="s">
        <v>5321</v>
      </c>
      <c r="Q871" s="62" t="s">
        <v>5322</v>
      </c>
      <c r="R871" s="53"/>
      <c r="S871" s="53"/>
      <c r="T871" s="82"/>
      <c r="U871" s="42"/>
      <c r="V871" s="62"/>
      <c r="W871" s="64"/>
      <c r="X871" s="223"/>
      <c r="Y871" s="223"/>
      <c r="Z871" s="223"/>
      <c r="AA871" s="223"/>
    </row>
    <row r="872">
      <c r="A872" s="42">
        <f t="shared" si="3"/>
        <v>871</v>
      </c>
      <c r="B872" s="51" t="s">
        <v>41</v>
      </c>
      <c r="C872" s="53" t="s">
        <v>5326</v>
      </c>
      <c r="D872" s="42" t="s">
        <v>44</v>
      </c>
      <c r="E872" s="42" t="s">
        <v>44</v>
      </c>
      <c r="F872" s="53" t="s">
        <v>4679</v>
      </c>
      <c r="G872" s="53" t="s">
        <v>47</v>
      </c>
      <c r="H872" s="53" t="s">
        <v>48</v>
      </c>
      <c r="I872" s="53" t="s">
        <v>485</v>
      </c>
      <c r="J872" s="53" t="s">
        <v>4680</v>
      </c>
      <c r="K872" s="53" t="s">
        <v>51</v>
      </c>
      <c r="L872" s="53" t="s">
        <v>52</v>
      </c>
      <c r="M872" s="53" t="s">
        <v>52</v>
      </c>
      <c r="N872" s="62" t="s">
        <v>4758</v>
      </c>
      <c r="O872" s="62" t="s">
        <v>44</v>
      </c>
      <c r="P872" s="62" t="s">
        <v>5327</v>
      </c>
      <c r="Q872" s="62" t="s">
        <v>5328</v>
      </c>
      <c r="R872" s="53"/>
      <c r="S872" s="53"/>
      <c r="T872" s="82"/>
      <c r="U872" s="42"/>
      <c r="V872" s="62"/>
      <c r="W872" s="64"/>
      <c r="X872" s="223"/>
      <c r="Y872" s="223"/>
      <c r="Z872" s="223"/>
      <c r="AA872" s="223"/>
    </row>
    <row r="873">
      <c r="A873" s="42">
        <f t="shared" si="3"/>
        <v>872</v>
      </c>
      <c r="B873" s="51" t="s">
        <v>41</v>
      </c>
      <c r="C873" s="53" t="s">
        <v>5332</v>
      </c>
      <c r="D873" s="42" t="s">
        <v>44</v>
      </c>
      <c r="E873" s="42" t="s">
        <v>44</v>
      </c>
      <c r="F873" s="53" t="s">
        <v>4679</v>
      </c>
      <c r="G873" s="53" t="s">
        <v>47</v>
      </c>
      <c r="H873" s="53" t="s">
        <v>95</v>
      </c>
      <c r="I873" s="53" t="s">
        <v>485</v>
      </c>
      <c r="J873" s="53" t="s">
        <v>4680</v>
      </c>
      <c r="K873" s="53" t="s">
        <v>51</v>
      </c>
      <c r="L873" s="53" t="s">
        <v>52</v>
      </c>
      <c r="M873" s="53" t="s">
        <v>52</v>
      </c>
      <c r="N873" s="62" t="s">
        <v>4758</v>
      </c>
      <c r="O873" s="62" t="s">
        <v>44</v>
      </c>
      <c r="P873" s="62" t="s">
        <v>5333</v>
      </c>
      <c r="Q873" s="62" t="s">
        <v>5334</v>
      </c>
      <c r="R873" s="53"/>
      <c r="S873" s="53"/>
      <c r="T873" s="82"/>
      <c r="U873" s="42"/>
      <c r="V873" s="62"/>
      <c r="W873" s="64"/>
      <c r="X873" s="223"/>
      <c r="Y873" s="223"/>
      <c r="Z873" s="223"/>
      <c r="AA873" s="223"/>
    </row>
    <row r="874">
      <c r="A874" s="42">
        <f t="shared" si="3"/>
        <v>873</v>
      </c>
      <c r="B874" s="51" t="s">
        <v>41</v>
      </c>
      <c r="C874" s="53" t="s">
        <v>5338</v>
      </c>
      <c r="D874" s="42" t="s">
        <v>44</v>
      </c>
      <c r="E874" s="42" t="s">
        <v>44</v>
      </c>
      <c r="F874" s="53" t="s">
        <v>4679</v>
      </c>
      <c r="G874" s="53" t="s">
        <v>47</v>
      </c>
      <c r="H874" s="53" t="s">
        <v>95</v>
      </c>
      <c r="I874" s="53" t="s">
        <v>485</v>
      </c>
      <c r="J874" s="53" t="s">
        <v>4680</v>
      </c>
      <c r="K874" s="53" t="s">
        <v>51</v>
      </c>
      <c r="L874" s="53" t="s">
        <v>52</v>
      </c>
      <c r="M874" s="53" t="s">
        <v>52</v>
      </c>
      <c r="N874" s="62" t="s">
        <v>4758</v>
      </c>
      <c r="O874" s="62" t="s">
        <v>44</v>
      </c>
      <c r="P874" s="62" t="s">
        <v>5339</v>
      </c>
      <c r="Q874" s="62" t="s">
        <v>5340</v>
      </c>
      <c r="R874" s="53"/>
      <c r="S874" s="53"/>
      <c r="T874" s="82"/>
      <c r="U874" s="53"/>
      <c r="V874" s="62"/>
      <c r="W874" s="64"/>
      <c r="X874" s="223"/>
      <c r="Y874" s="223"/>
      <c r="Z874" s="223"/>
      <c r="AA874" s="223"/>
    </row>
    <row r="875">
      <c r="A875" s="42">
        <f t="shared" si="3"/>
        <v>874</v>
      </c>
      <c r="B875" s="51" t="s">
        <v>41</v>
      </c>
      <c r="C875" s="53" t="s">
        <v>5344</v>
      </c>
      <c r="D875" s="42" t="s">
        <v>44</v>
      </c>
      <c r="E875" s="42" t="s">
        <v>44</v>
      </c>
      <c r="F875" s="53" t="s">
        <v>4679</v>
      </c>
      <c r="G875" s="53" t="s">
        <v>47</v>
      </c>
      <c r="H875" s="53" t="s">
        <v>95</v>
      </c>
      <c r="I875" s="53" t="s">
        <v>485</v>
      </c>
      <c r="J875" s="53" t="s">
        <v>4680</v>
      </c>
      <c r="K875" s="53" t="s">
        <v>51</v>
      </c>
      <c r="L875" s="53" t="s">
        <v>52</v>
      </c>
      <c r="M875" s="53" t="s">
        <v>52</v>
      </c>
      <c r="N875" s="62" t="s">
        <v>5345</v>
      </c>
      <c r="O875" s="62" t="s">
        <v>44</v>
      </c>
      <c r="P875" s="62" t="s">
        <v>5346</v>
      </c>
      <c r="Q875" s="62" t="s">
        <v>5347</v>
      </c>
      <c r="R875" s="53"/>
      <c r="S875" s="53"/>
      <c r="T875" s="82"/>
      <c r="U875" s="42"/>
      <c r="V875" s="62"/>
      <c r="W875" s="64"/>
      <c r="X875" s="223"/>
      <c r="Y875" s="223"/>
      <c r="Z875" s="223"/>
      <c r="AA875" s="223"/>
    </row>
    <row r="876">
      <c r="A876" s="42">
        <f t="shared" si="3"/>
        <v>875</v>
      </c>
      <c r="B876" s="51" t="s">
        <v>41</v>
      </c>
      <c r="C876" s="53" t="s">
        <v>5351</v>
      </c>
      <c r="D876" s="42" t="s">
        <v>44</v>
      </c>
      <c r="E876" s="42" t="s">
        <v>44</v>
      </c>
      <c r="F876" s="53" t="s">
        <v>4679</v>
      </c>
      <c r="G876" s="53" t="s">
        <v>47</v>
      </c>
      <c r="H876" s="53" t="s">
        <v>95</v>
      </c>
      <c r="I876" s="53" t="s">
        <v>485</v>
      </c>
      <c r="J876" s="53" t="s">
        <v>4680</v>
      </c>
      <c r="K876" s="53" t="s">
        <v>51</v>
      </c>
      <c r="L876" s="53" t="s">
        <v>52</v>
      </c>
      <c r="M876" s="53" t="s">
        <v>52</v>
      </c>
      <c r="N876" s="62" t="s">
        <v>5275</v>
      </c>
      <c r="O876" s="62" t="s">
        <v>44</v>
      </c>
      <c r="P876" s="62" t="s">
        <v>5352</v>
      </c>
      <c r="Q876" s="62" t="s">
        <v>5353</v>
      </c>
      <c r="R876" s="53"/>
      <c r="S876" s="53"/>
      <c r="T876" s="82"/>
      <c r="U876" s="42"/>
      <c r="V876" s="62"/>
      <c r="W876" s="64"/>
      <c r="X876" s="223"/>
      <c r="Y876" s="223"/>
      <c r="Z876" s="223"/>
      <c r="AA876" s="223"/>
    </row>
    <row r="877">
      <c r="A877" s="42">
        <f t="shared" si="3"/>
        <v>876</v>
      </c>
      <c r="B877" s="51" t="s">
        <v>41</v>
      </c>
      <c r="C877" s="53" t="s">
        <v>5357</v>
      </c>
      <c r="D877" s="42" t="s">
        <v>44</v>
      </c>
      <c r="E877" s="42" t="s">
        <v>44</v>
      </c>
      <c r="F877" s="53" t="s">
        <v>4679</v>
      </c>
      <c r="G877" s="53" t="s">
        <v>47</v>
      </c>
      <c r="H877" s="53" t="s">
        <v>95</v>
      </c>
      <c r="I877" s="53" t="s">
        <v>485</v>
      </c>
      <c r="J877" s="53" t="s">
        <v>4680</v>
      </c>
      <c r="K877" s="53" t="s">
        <v>51</v>
      </c>
      <c r="L877" s="53" t="s">
        <v>52</v>
      </c>
      <c r="M877" s="53" t="s">
        <v>52</v>
      </c>
      <c r="N877" s="62" t="s">
        <v>4928</v>
      </c>
      <c r="O877" s="62" t="s">
        <v>44</v>
      </c>
      <c r="P877" s="62" t="s">
        <v>5358</v>
      </c>
      <c r="Q877" s="62" t="s">
        <v>5359</v>
      </c>
      <c r="R877" s="53"/>
      <c r="S877" s="53"/>
      <c r="T877" s="82"/>
      <c r="U877" s="42"/>
      <c r="V877" s="62"/>
      <c r="W877" s="64"/>
      <c r="X877" s="223"/>
      <c r="Y877" s="223"/>
      <c r="Z877" s="223"/>
      <c r="AA877" s="223"/>
    </row>
    <row r="878">
      <c r="A878" s="42">
        <f t="shared" si="3"/>
        <v>877</v>
      </c>
      <c r="B878" s="51" t="s">
        <v>41</v>
      </c>
      <c r="C878" s="53" t="s">
        <v>5363</v>
      </c>
      <c r="D878" s="42" t="s">
        <v>44</v>
      </c>
      <c r="E878" s="42" t="s">
        <v>44</v>
      </c>
      <c r="F878" s="53" t="s">
        <v>4679</v>
      </c>
      <c r="G878" s="53" t="s">
        <v>47</v>
      </c>
      <c r="H878" s="53" t="s">
        <v>48</v>
      </c>
      <c r="I878" s="53" t="s">
        <v>485</v>
      </c>
      <c r="J878" s="53" t="s">
        <v>4680</v>
      </c>
      <c r="K878" s="53" t="s">
        <v>51</v>
      </c>
      <c r="L878" s="53" t="s">
        <v>52</v>
      </c>
      <c r="M878" s="53" t="s">
        <v>52</v>
      </c>
      <c r="N878" s="62" t="s">
        <v>4681</v>
      </c>
      <c r="O878" s="62" t="s">
        <v>44</v>
      </c>
      <c r="P878" s="62" t="s">
        <v>4661</v>
      </c>
      <c r="Q878" s="62" t="s">
        <v>4662</v>
      </c>
      <c r="R878" s="53"/>
      <c r="S878" s="53"/>
      <c r="T878" s="82"/>
      <c r="U878" s="42"/>
      <c r="V878" s="62"/>
      <c r="W878" s="64"/>
      <c r="X878" s="223"/>
      <c r="Y878" s="223"/>
      <c r="Z878" s="223"/>
      <c r="AA878" s="223"/>
    </row>
    <row r="879">
      <c r="A879" s="42">
        <f t="shared" si="3"/>
        <v>878</v>
      </c>
      <c r="B879" s="51" t="s">
        <v>41</v>
      </c>
      <c r="C879" s="53" t="s">
        <v>5367</v>
      </c>
      <c r="D879" s="42" t="s">
        <v>44</v>
      </c>
      <c r="E879" s="42" t="s">
        <v>44</v>
      </c>
      <c r="F879" s="53" t="s">
        <v>4679</v>
      </c>
      <c r="G879" s="53" t="s">
        <v>47</v>
      </c>
      <c r="H879" s="53" t="s">
        <v>48</v>
      </c>
      <c r="I879" s="53" t="s">
        <v>485</v>
      </c>
      <c r="J879" s="53" t="s">
        <v>4680</v>
      </c>
      <c r="K879" s="53" t="s">
        <v>51</v>
      </c>
      <c r="L879" s="53" t="s">
        <v>52</v>
      </c>
      <c r="M879" s="53" t="s">
        <v>52</v>
      </c>
      <c r="N879" s="62" t="s">
        <v>4681</v>
      </c>
      <c r="O879" s="62" t="s">
        <v>44</v>
      </c>
      <c r="P879" s="62" t="s">
        <v>4667</v>
      </c>
      <c r="Q879" s="62" t="s">
        <v>4668</v>
      </c>
      <c r="R879" s="53"/>
      <c r="S879" s="53"/>
      <c r="T879" s="82"/>
      <c r="U879" s="42"/>
      <c r="V879" s="62"/>
      <c r="W879" s="64"/>
      <c r="X879" s="223"/>
      <c r="Y879" s="223"/>
      <c r="Z879" s="223"/>
      <c r="AA879" s="223"/>
    </row>
    <row r="880">
      <c r="A880" s="42">
        <f t="shared" si="3"/>
        <v>879</v>
      </c>
      <c r="B880" s="51" t="s">
        <v>41</v>
      </c>
      <c r="C880" s="53" t="s">
        <v>5370</v>
      </c>
      <c r="D880" s="42" t="s">
        <v>44</v>
      </c>
      <c r="E880" s="42" t="s">
        <v>44</v>
      </c>
      <c r="F880" s="53" t="s">
        <v>4679</v>
      </c>
      <c r="G880" s="53" t="s">
        <v>47</v>
      </c>
      <c r="H880" s="53" t="s">
        <v>48</v>
      </c>
      <c r="I880" s="53" t="s">
        <v>485</v>
      </c>
      <c r="J880" s="53" t="s">
        <v>4680</v>
      </c>
      <c r="K880" s="53" t="s">
        <v>51</v>
      </c>
      <c r="L880" s="53" t="s">
        <v>52</v>
      </c>
      <c r="M880" s="53" t="s">
        <v>52</v>
      </c>
      <c r="N880" s="62" t="s">
        <v>4681</v>
      </c>
      <c r="O880" s="62" t="s">
        <v>44</v>
      </c>
      <c r="P880" s="62" t="s">
        <v>4673</v>
      </c>
      <c r="Q880" s="62" t="s">
        <v>4674</v>
      </c>
      <c r="R880" s="53"/>
      <c r="S880" s="53"/>
      <c r="T880" s="82"/>
      <c r="U880" s="42"/>
      <c r="V880" s="62"/>
      <c r="W880" s="64"/>
      <c r="X880" s="223"/>
      <c r="Y880" s="223"/>
      <c r="Z880" s="223"/>
      <c r="AA880" s="223"/>
    </row>
    <row r="881">
      <c r="A881" s="42">
        <f t="shared" si="3"/>
        <v>880</v>
      </c>
      <c r="B881" s="51" t="s">
        <v>41</v>
      </c>
      <c r="C881" s="53" t="s">
        <v>5374</v>
      </c>
      <c r="D881" s="42" t="s">
        <v>44</v>
      </c>
      <c r="E881" s="42" t="s">
        <v>44</v>
      </c>
      <c r="F881" s="53" t="s">
        <v>5375</v>
      </c>
      <c r="G881" s="53" t="s">
        <v>111</v>
      </c>
      <c r="H881" s="53" t="s">
        <v>112</v>
      </c>
      <c r="I881" s="53" t="s">
        <v>401</v>
      </c>
      <c r="J881" s="53" t="s">
        <v>5376</v>
      </c>
      <c r="K881" s="53" t="s">
        <v>927</v>
      </c>
      <c r="L881" s="53" t="s">
        <v>52</v>
      </c>
      <c r="M881" s="53" t="s">
        <v>52</v>
      </c>
      <c r="N881" s="62" t="s">
        <v>5377</v>
      </c>
      <c r="O881" s="62" t="s">
        <v>44</v>
      </c>
      <c r="P881" s="62" t="s">
        <v>5378</v>
      </c>
      <c r="Q881" s="62" t="s">
        <v>5379</v>
      </c>
      <c r="R881" s="51" t="s">
        <v>56</v>
      </c>
      <c r="S881" s="51" t="s">
        <v>57</v>
      </c>
      <c r="T881" s="60">
        <v>46296.0</v>
      </c>
      <c r="U881" s="42"/>
      <c r="V881" s="62"/>
      <c r="W881" s="64"/>
      <c r="X881" s="223"/>
      <c r="Y881" s="223"/>
      <c r="Z881" s="223"/>
      <c r="AA881" s="223"/>
    </row>
    <row r="882">
      <c r="A882" s="42">
        <f t="shared" si="3"/>
        <v>881</v>
      </c>
      <c r="B882" s="51" t="s">
        <v>41</v>
      </c>
      <c r="C882" s="53" t="s">
        <v>5382</v>
      </c>
      <c r="D882" s="42" t="s">
        <v>44</v>
      </c>
      <c r="E882" s="42" t="s">
        <v>44</v>
      </c>
      <c r="F882" s="53" t="s">
        <v>5375</v>
      </c>
      <c r="G882" s="53" t="s">
        <v>47</v>
      </c>
      <c r="H882" s="53" t="s">
        <v>48</v>
      </c>
      <c r="I882" s="53" t="s">
        <v>401</v>
      </c>
      <c r="J882" s="53" t="s">
        <v>5376</v>
      </c>
      <c r="K882" s="53" t="s">
        <v>927</v>
      </c>
      <c r="L882" s="53" t="s">
        <v>52</v>
      </c>
      <c r="M882" s="53" t="s">
        <v>52</v>
      </c>
      <c r="N882" s="62" t="s">
        <v>5383</v>
      </c>
      <c r="O882" s="62" t="s">
        <v>44</v>
      </c>
      <c r="P882" s="62" t="s">
        <v>5384</v>
      </c>
      <c r="Q882" s="62" t="s">
        <v>5385</v>
      </c>
      <c r="R882" s="51" t="s">
        <v>56</v>
      </c>
      <c r="S882" s="51" t="s">
        <v>57</v>
      </c>
      <c r="T882" s="60">
        <v>46296.0</v>
      </c>
      <c r="U882" s="42"/>
      <c r="V882" s="62"/>
      <c r="W882" s="64"/>
      <c r="X882" s="223"/>
      <c r="Y882" s="223"/>
      <c r="Z882" s="223"/>
      <c r="AA882" s="223"/>
    </row>
    <row r="883">
      <c r="A883" s="42">
        <f t="shared" si="3"/>
        <v>882</v>
      </c>
      <c r="B883" s="51" t="s">
        <v>41</v>
      </c>
      <c r="C883" s="53" t="s">
        <v>5388</v>
      </c>
      <c r="D883" s="42" t="s">
        <v>44</v>
      </c>
      <c r="E883" s="42" t="s">
        <v>44</v>
      </c>
      <c r="F883" s="53" t="s">
        <v>5375</v>
      </c>
      <c r="G883" s="53" t="s">
        <v>47</v>
      </c>
      <c r="H883" s="53" t="s">
        <v>48</v>
      </c>
      <c r="I883" s="53" t="s">
        <v>401</v>
      </c>
      <c r="J883" s="53" t="s">
        <v>5376</v>
      </c>
      <c r="K883" s="53" t="s">
        <v>927</v>
      </c>
      <c r="L883" s="53" t="s">
        <v>52</v>
      </c>
      <c r="M883" s="53" t="s">
        <v>52</v>
      </c>
      <c r="N883" s="62" t="s">
        <v>5383</v>
      </c>
      <c r="O883" s="62" t="s">
        <v>44</v>
      </c>
      <c r="P883" s="62" t="s">
        <v>5389</v>
      </c>
      <c r="Q883" s="62" t="s">
        <v>5390</v>
      </c>
      <c r="R883" s="51" t="s">
        <v>56</v>
      </c>
      <c r="S883" s="51" t="s">
        <v>57</v>
      </c>
      <c r="T883" s="60">
        <v>46296.0</v>
      </c>
      <c r="U883" s="42"/>
      <c r="V883" s="62"/>
      <c r="W883" s="64"/>
      <c r="X883" s="223"/>
      <c r="Y883" s="223"/>
      <c r="Z883" s="223"/>
      <c r="AA883" s="223"/>
    </row>
    <row r="884">
      <c r="A884" s="42">
        <f t="shared" si="3"/>
        <v>883</v>
      </c>
      <c r="B884" s="51" t="s">
        <v>41</v>
      </c>
      <c r="C884" s="53" t="s">
        <v>5393</v>
      </c>
      <c r="D884" s="42" t="s">
        <v>44</v>
      </c>
      <c r="E884" s="42" t="s">
        <v>44</v>
      </c>
      <c r="F884" s="53" t="s">
        <v>5375</v>
      </c>
      <c r="G884" s="53" t="s">
        <v>47</v>
      </c>
      <c r="H884" s="53" t="s">
        <v>48</v>
      </c>
      <c r="I884" s="53" t="s">
        <v>401</v>
      </c>
      <c r="J884" s="53" t="s">
        <v>5376</v>
      </c>
      <c r="K884" s="53" t="s">
        <v>927</v>
      </c>
      <c r="L884" s="53" t="s">
        <v>52</v>
      </c>
      <c r="M884" s="53" t="s">
        <v>52</v>
      </c>
      <c r="N884" s="62" t="s">
        <v>5383</v>
      </c>
      <c r="O884" s="62" t="s">
        <v>44</v>
      </c>
      <c r="P884" s="62" t="s">
        <v>5394</v>
      </c>
      <c r="Q884" s="62" t="s">
        <v>5395</v>
      </c>
      <c r="R884" s="51" t="s">
        <v>56</v>
      </c>
      <c r="S884" s="51" t="s">
        <v>57</v>
      </c>
      <c r="T884" s="60">
        <v>46296.0</v>
      </c>
      <c r="U884" s="42"/>
      <c r="V884" s="62"/>
      <c r="W884" s="64"/>
      <c r="X884" s="223"/>
      <c r="Y884" s="223"/>
      <c r="Z884" s="223"/>
      <c r="AA884" s="223"/>
    </row>
    <row r="885">
      <c r="A885" s="42">
        <f t="shared" si="3"/>
        <v>884</v>
      </c>
      <c r="B885" s="51" t="s">
        <v>41</v>
      </c>
      <c r="C885" s="53" t="s">
        <v>5399</v>
      </c>
      <c r="D885" s="42" t="s">
        <v>44</v>
      </c>
      <c r="E885" s="42" t="s">
        <v>44</v>
      </c>
      <c r="F885" s="53" t="s">
        <v>5375</v>
      </c>
      <c r="G885" s="53" t="s">
        <v>47</v>
      </c>
      <c r="H885" s="53" t="s">
        <v>48</v>
      </c>
      <c r="I885" s="53" t="s">
        <v>401</v>
      </c>
      <c r="J885" s="53" t="s">
        <v>5376</v>
      </c>
      <c r="K885" s="53" t="s">
        <v>927</v>
      </c>
      <c r="L885" s="53" t="s">
        <v>52</v>
      </c>
      <c r="M885" s="53" t="s">
        <v>52</v>
      </c>
      <c r="N885" s="62" t="s">
        <v>5383</v>
      </c>
      <c r="O885" s="62" t="s">
        <v>44</v>
      </c>
      <c r="P885" s="62" t="s">
        <v>5400</v>
      </c>
      <c r="Q885" s="309" t="s">
        <v>5842</v>
      </c>
      <c r="R885" s="51" t="s">
        <v>56</v>
      </c>
      <c r="S885" s="51" t="s">
        <v>57</v>
      </c>
      <c r="T885" s="60">
        <v>46296.0</v>
      </c>
      <c r="U885" s="42"/>
      <c r="V885" s="62"/>
      <c r="W885" s="64"/>
      <c r="X885" s="223"/>
      <c r="Y885" s="223"/>
      <c r="Z885" s="223"/>
      <c r="AA885" s="223"/>
    </row>
    <row r="886">
      <c r="A886" s="42">
        <f t="shared" si="3"/>
        <v>885</v>
      </c>
      <c r="B886" s="51" t="s">
        <v>41</v>
      </c>
      <c r="C886" s="53" t="s">
        <v>5404</v>
      </c>
      <c r="D886" s="42" t="s">
        <v>44</v>
      </c>
      <c r="E886" s="42" t="s">
        <v>44</v>
      </c>
      <c r="F886" s="53" t="s">
        <v>5375</v>
      </c>
      <c r="G886" s="53" t="s">
        <v>47</v>
      </c>
      <c r="H886" s="53" t="s">
        <v>48</v>
      </c>
      <c r="I886" s="53" t="s">
        <v>401</v>
      </c>
      <c r="J886" s="53" t="s">
        <v>5376</v>
      </c>
      <c r="K886" s="53" t="s">
        <v>927</v>
      </c>
      <c r="L886" s="53" t="s">
        <v>52</v>
      </c>
      <c r="M886" s="53" t="s">
        <v>52</v>
      </c>
      <c r="N886" s="62" t="s">
        <v>5383</v>
      </c>
      <c r="O886" s="62" t="s">
        <v>44</v>
      </c>
      <c r="P886" s="62" t="s">
        <v>5405</v>
      </c>
      <c r="Q886" s="62" t="s">
        <v>5406</v>
      </c>
      <c r="R886" s="51" t="s">
        <v>56</v>
      </c>
      <c r="S886" s="51" t="s">
        <v>57</v>
      </c>
      <c r="T886" s="60">
        <v>46296.0</v>
      </c>
      <c r="U886" s="42"/>
      <c r="V886" s="62"/>
      <c r="W886" s="64"/>
      <c r="X886" s="223"/>
      <c r="Y886" s="223"/>
      <c r="Z886" s="223"/>
      <c r="AA886" s="223"/>
    </row>
    <row r="887">
      <c r="A887" s="42">
        <f t="shared" si="3"/>
        <v>886</v>
      </c>
      <c r="B887" s="51" t="s">
        <v>41</v>
      </c>
      <c r="C887" s="53" t="s">
        <v>5410</v>
      </c>
      <c r="D887" s="42" t="s">
        <v>44</v>
      </c>
      <c r="E887" s="42" t="s">
        <v>44</v>
      </c>
      <c r="F887" s="53" t="s">
        <v>5375</v>
      </c>
      <c r="G887" s="53" t="s">
        <v>47</v>
      </c>
      <c r="H887" s="53" t="s">
        <v>48</v>
      </c>
      <c r="I887" s="53" t="s">
        <v>401</v>
      </c>
      <c r="J887" s="53" t="s">
        <v>5376</v>
      </c>
      <c r="K887" s="53" t="s">
        <v>927</v>
      </c>
      <c r="L887" s="53" t="s">
        <v>52</v>
      </c>
      <c r="M887" s="53" t="s">
        <v>52</v>
      </c>
      <c r="N887" s="62" t="s">
        <v>5411</v>
      </c>
      <c r="O887" s="62" t="s">
        <v>44</v>
      </c>
      <c r="P887" s="62" t="s">
        <v>5412</v>
      </c>
      <c r="Q887" s="62" t="s">
        <v>5413</v>
      </c>
      <c r="R887" s="51" t="s">
        <v>56</v>
      </c>
      <c r="S887" s="51" t="s">
        <v>57</v>
      </c>
      <c r="T887" s="60">
        <v>46296.0</v>
      </c>
      <c r="U887" s="42"/>
      <c r="V887" s="62"/>
      <c r="W887" s="64"/>
      <c r="X887" s="223"/>
      <c r="Y887" s="223"/>
      <c r="Z887" s="223"/>
      <c r="AA887" s="223"/>
    </row>
    <row r="888">
      <c r="A888" s="42">
        <f t="shared" si="3"/>
        <v>887</v>
      </c>
      <c r="B888" s="51" t="s">
        <v>41</v>
      </c>
      <c r="C888" s="53" t="s">
        <v>5417</v>
      </c>
      <c r="D888" s="42" t="s">
        <v>44</v>
      </c>
      <c r="E888" s="42" t="s">
        <v>44</v>
      </c>
      <c r="F888" s="53" t="s">
        <v>5375</v>
      </c>
      <c r="G888" s="53" t="s">
        <v>47</v>
      </c>
      <c r="H888" s="53" t="s">
        <v>91</v>
      </c>
      <c r="I888" s="53" t="s">
        <v>401</v>
      </c>
      <c r="J888" s="53" t="s">
        <v>5376</v>
      </c>
      <c r="K888" s="53" t="s">
        <v>927</v>
      </c>
      <c r="L888" s="53" t="s">
        <v>52</v>
      </c>
      <c r="M888" s="53" t="s">
        <v>52</v>
      </c>
      <c r="N888" s="62" t="s">
        <v>5411</v>
      </c>
      <c r="O888" s="62" t="s">
        <v>44</v>
      </c>
      <c r="P888" s="62" t="s">
        <v>5418</v>
      </c>
      <c r="Q888" s="309" t="s">
        <v>5863</v>
      </c>
      <c r="R888" s="51" t="s">
        <v>56</v>
      </c>
      <c r="S888" s="51" t="s">
        <v>57</v>
      </c>
      <c r="T888" s="60">
        <v>46296.0</v>
      </c>
      <c r="U888" s="42"/>
      <c r="V888" s="62"/>
      <c r="W888" s="64"/>
      <c r="X888" s="223"/>
      <c r="Y888" s="223"/>
      <c r="Z888" s="223"/>
      <c r="AA888" s="223"/>
    </row>
    <row r="889">
      <c r="A889" s="42">
        <f t="shared" si="3"/>
        <v>888</v>
      </c>
      <c r="B889" s="51" t="s">
        <v>41</v>
      </c>
      <c r="C889" s="53" t="s">
        <v>5423</v>
      </c>
      <c r="D889" s="42" t="s">
        <v>44</v>
      </c>
      <c r="E889" s="42" t="s">
        <v>44</v>
      </c>
      <c r="F889" s="53" t="s">
        <v>5375</v>
      </c>
      <c r="G889" s="53" t="s">
        <v>47</v>
      </c>
      <c r="H889" s="53" t="s">
        <v>48</v>
      </c>
      <c r="I889" s="53" t="s">
        <v>401</v>
      </c>
      <c r="J889" s="53" t="s">
        <v>5376</v>
      </c>
      <c r="K889" s="53" t="s">
        <v>927</v>
      </c>
      <c r="L889" s="53" t="s">
        <v>52</v>
      </c>
      <c r="M889" s="53" t="s">
        <v>52</v>
      </c>
      <c r="N889" s="62" t="s">
        <v>5383</v>
      </c>
      <c r="O889" s="62" t="s">
        <v>44</v>
      </c>
      <c r="P889" s="62" t="s">
        <v>5424</v>
      </c>
      <c r="Q889" s="62" t="s">
        <v>5425</v>
      </c>
      <c r="R889" s="51" t="s">
        <v>56</v>
      </c>
      <c r="S889" s="51" t="s">
        <v>57</v>
      </c>
      <c r="T889" s="60">
        <v>46296.0</v>
      </c>
      <c r="U889" s="42"/>
      <c r="V889" s="62"/>
      <c r="W889" s="64"/>
      <c r="X889" s="223"/>
      <c r="Y889" s="223"/>
      <c r="Z889" s="223"/>
      <c r="AA889" s="223"/>
    </row>
    <row r="890">
      <c r="A890" s="42">
        <f t="shared" si="3"/>
        <v>889</v>
      </c>
      <c r="B890" s="51" t="s">
        <v>41</v>
      </c>
      <c r="C890" s="53" t="s">
        <v>5428</v>
      </c>
      <c r="D890" s="42" t="s">
        <v>44</v>
      </c>
      <c r="E890" s="42" t="s">
        <v>44</v>
      </c>
      <c r="F890" s="53" t="s">
        <v>5375</v>
      </c>
      <c r="G890" s="53" t="s">
        <v>47</v>
      </c>
      <c r="H890" s="53" t="s">
        <v>48</v>
      </c>
      <c r="I890" s="53" t="s">
        <v>401</v>
      </c>
      <c r="J890" s="53" t="s">
        <v>5376</v>
      </c>
      <c r="K890" s="53" t="s">
        <v>927</v>
      </c>
      <c r="L890" s="53" t="s">
        <v>52</v>
      </c>
      <c r="M890" s="53" t="s">
        <v>52</v>
      </c>
      <c r="N890" s="62" t="s">
        <v>5429</v>
      </c>
      <c r="O890" s="62" t="s">
        <v>44</v>
      </c>
      <c r="P890" s="62" t="s">
        <v>5430</v>
      </c>
      <c r="Q890" s="62" t="s">
        <v>5431</v>
      </c>
      <c r="R890" s="51" t="s">
        <v>56</v>
      </c>
      <c r="S890" s="51" t="s">
        <v>57</v>
      </c>
      <c r="T890" s="60">
        <v>46296.0</v>
      </c>
      <c r="U890" s="42"/>
      <c r="V890" s="62"/>
      <c r="W890" s="64"/>
      <c r="X890" s="223"/>
      <c r="Y890" s="223"/>
      <c r="Z890" s="223"/>
      <c r="AA890" s="223"/>
    </row>
    <row r="891">
      <c r="A891" s="42">
        <f t="shared" si="3"/>
        <v>890</v>
      </c>
      <c r="B891" s="51" t="s">
        <v>41</v>
      </c>
      <c r="C891" s="53" t="s">
        <v>5434</v>
      </c>
      <c r="D891" s="42" t="s">
        <v>44</v>
      </c>
      <c r="E891" s="42" t="s">
        <v>44</v>
      </c>
      <c r="F891" s="53" t="s">
        <v>5375</v>
      </c>
      <c r="G891" s="53" t="s">
        <v>47</v>
      </c>
      <c r="H891" s="53" t="s">
        <v>48</v>
      </c>
      <c r="I891" s="53" t="s">
        <v>401</v>
      </c>
      <c r="J891" s="53" t="s">
        <v>5376</v>
      </c>
      <c r="K891" s="53" t="s">
        <v>927</v>
      </c>
      <c r="L891" s="53" t="s">
        <v>52</v>
      </c>
      <c r="M891" s="53" t="s">
        <v>52</v>
      </c>
      <c r="N891" s="62" t="s">
        <v>5435</v>
      </c>
      <c r="O891" s="62" t="s">
        <v>44</v>
      </c>
      <c r="P891" s="62" t="s">
        <v>5436</v>
      </c>
      <c r="Q891" s="62" t="s">
        <v>5437</v>
      </c>
      <c r="R891" s="51" t="s">
        <v>56</v>
      </c>
      <c r="S891" s="51" t="s">
        <v>57</v>
      </c>
      <c r="T891" s="60">
        <v>46296.0</v>
      </c>
      <c r="U891" s="53"/>
      <c r="V891" s="62"/>
      <c r="W891" s="64"/>
      <c r="X891" s="223"/>
      <c r="Y891" s="223"/>
      <c r="Z891" s="223"/>
      <c r="AA891" s="223"/>
    </row>
    <row r="892">
      <c r="A892" s="42">
        <f t="shared" si="3"/>
        <v>891</v>
      </c>
      <c r="B892" s="51" t="s">
        <v>41</v>
      </c>
      <c r="C892" s="53" t="s">
        <v>5440</v>
      </c>
      <c r="D892" s="42" t="s">
        <v>44</v>
      </c>
      <c r="E892" s="42" t="s">
        <v>44</v>
      </c>
      <c r="F892" s="53" t="s">
        <v>5375</v>
      </c>
      <c r="G892" s="53" t="s">
        <v>47</v>
      </c>
      <c r="H892" s="53" t="s">
        <v>48</v>
      </c>
      <c r="I892" s="53" t="s">
        <v>401</v>
      </c>
      <c r="J892" s="53" t="s">
        <v>5376</v>
      </c>
      <c r="K892" s="53" t="s">
        <v>927</v>
      </c>
      <c r="L892" s="53" t="s">
        <v>52</v>
      </c>
      <c r="M892" s="53" t="s">
        <v>52</v>
      </c>
      <c r="N892" s="62" t="s">
        <v>5441</v>
      </c>
      <c r="O892" s="62" t="s">
        <v>44</v>
      </c>
      <c r="P892" s="62" t="s">
        <v>5442</v>
      </c>
      <c r="Q892" s="62" t="s">
        <v>5443</v>
      </c>
      <c r="R892" s="51" t="s">
        <v>56</v>
      </c>
      <c r="S892" s="51" t="s">
        <v>57</v>
      </c>
      <c r="T892" s="60">
        <v>46296.0</v>
      </c>
      <c r="U892" s="42"/>
      <c r="V892" s="62"/>
      <c r="W892" s="64"/>
      <c r="X892" s="223"/>
      <c r="Y892" s="223"/>
      <c r="Z892" s="223"/>
      <c r="AA892" s="223"/>
    </row>
    <row r="893">
      <c r="A893" s="42">
        <f t="shared" si="3"/>
        <v>892</v>
      </c>
      <c r="B893" s="51" t="s">
        <v>41</v>
      </c>
      <c r="C893" s="53" t="s">
        <v>5458</v>
      </c>
      <c r="D893" s="42" t="s">
        <v>44</v>
      </c>
      <c r="E893" s="42" t="s">
        <v>44</v>
      </c>
      <c r="F893" s="53" t="s">
        <v>5375</v>
      </c>
      <c r="G893" s="53" t="s">
        <v>47</v>
      </c>
      <c r="H893" s="53" t="s">
        <v>48</v>
      </c>
      <c r="I893" s="53" t="s">
        <v>401</v>
      </c>
      <c r="J893" s="53" t="s">
        <v>5376</v>
      </c>
      <c r="K893" s="53" t="s">
        <v>927</v>
      </c>
      <c r="L893" s="53" t="s">
        <v>52</v>
      </c>
      <c r="M893" s="53" t="s">
        <v>52</v>
      </c>
      <c r="N893" s="309" t="s">
        <v>5895</v>
      </c>
      <c r="O893" s="62" t="s">
        <v>44</v>
      </c>
      <c r="P893" s="62" t="s">
        <v>5459</v>
      </c>
      <c r="Q893" s="309" t="s">
        <v>5896</v>
      </c>
      <c r="R893" s="51" t="s">
        <v>56</v>
      </c>
      <c r="S893" s="51" t="s">
        <v>57</v>
      </c>
      <c r="T893" s="60">
        <v>46296.0</v>
      </c>
      <c r="U893" s="42"/>
      <c r="V893" s="62"/>
      <c r="W893" s="64"/>
      <c r="X893" s="223"/>
      <c r="Y893" s="223"/>
      <c r="Z893" s="223"/>
      <c r="AA893" s="223"/>
    </row>
    <row r="894">
      <c r="A894" s="42">
        <f t="shared" si="3"/>
        <v>893</v>
      </c>
      <c r="B894" s="51" t="s">
        <v>41</v>
      </c>
      <c r="C894" s="53" t="s">
        <v>5464</v>
      </c>
      <c r="D894" s="42" t="s">
        <v>44</v>
      </c>
      <c r="E894" s="42" t="s">
        <v>44</v>
      </c>
      <c r="F894" s="53" t="s">
        <v>5375</v>
      </c>
      <c r="G894" s="53" t="s">
        <v>47</v>
      </c>
      <c r="H894" s="53" t="s">
        <v>91</v>
      </c>
      <c r="I894" s="53" t="s">
        <v>401</v>
      </c>
      <c r="J894" s="53" t="s">
        <v>5376</v>
      </c>
      <c r="K894" s="53" t="s">
        <v>927</v>
      </c>
      <c r="L894" s="53" t="s">
        <v>52</v>
      </c>
      <c r="M894" s="53" t="s">
        <v>52</v>
      </c>
      <c r="N894" s="62" t="s">
        <v>5465</v>
      </c>
      <c r="O894" s="62" t="s">
        <v>44</v>
      </c>
      <c r="P894" s="62" t="s">
        <v>5466</v>
      </c>
      <c r="Q894" s="309" t="s">
        <v>5902</v>
      </c>
      <c r="R894" s="51" t="s">
        <v>71</v>
      </c>
      <c r="S894" s="51" t="s">
        <v>57</v>
      </c>
      <c r="T894" s="60">
        <v>46296.0</v>
      </c>
      <c r="U894" s="308" t="s">
        <v>5906</v>
      </c>
      <c r="V894" s="309" t="s">
        <v>5942</v>
      </c>
      <c r="W894" s="64"/>
      <c r="X894" s="223"/>
      <c r="Y894" s="223"/>
      <c r="Z894" s="223"/>
      <c r="AA894" s="223"/>
    </row>
    <row r="895">
      <c r="A895" s="42">
        <f t="shared" si="3"/>
        <v>894</v>
      </c>
      <c r="B895" s="51" t="s">
        <v>41</v>
      </c>
      <c r="C895" s="53" t="s">
        <v>5483</v>
      </c>
      <c r="D895" s="42" t="s">
        <v>44</v>
      </c>
      <c r="E895" s="42" t="s">
        <v>44</v>
      </c>
      <c r="F895" s="53" t="s">
        <v>5375</v>
      </c>
      <c r="G895" s="53" t="s">
        <v>47</v>
      </c>
      <c r="H895" s="53" t="s">
        <v>48</v>
      </c>
      <c r="I895" s="53" t="s">
        <v>401</v>
      </c>
      <c r="J895" s="53" t="s">
        <v>5376</v>
      </c>
      <c r="K895" s="53" t="s">
        <v>927</v>
      </c>
      <c r="L895" s="53" t="s">
        <v>52</v>
      </c>
      <c r="M895" s="53" t="s">
        <v>52</v>
      </c>
      <c r="N895" s="62" t="s">
        <v>5383</v>
      </c>
      <c r="O895" s="62" t="s">
        <v>44</v>
      </c>
      <c r="P895" s="62" t="s">
        <v>5484</v>
      </c>
      <c r="Q895" s="62" t="s">
        <v>5485</v>
      </c>
      <c r="R895" s="51" t="s">
        <v>56</v>
      </c>
      <c r="S895" s="51" t="s">
        <v>57</v>
      </c>
      <c r="T895" s="60">
        <v>46296.0</v>
      </c>
      <c r="U895" s="42"/>
      <c r="V895" s="62"/>
      <c r="W895" s="64"/>
      <c r="X895" s="223"/>
      <c r="Y895" s="223"/>
      <c r="Z895" s="223"/>
      <c r="AA895" s="223"/>
    </row>
    <row r="896">
      <c r="A896" s="42">
        <f t="shared" si="3"/>
        <v>895</v>
      </c>
      <c r="B896" s="51" t="s">
        <v>41</v>
      </c>
      <c r="C896" s="53" t="s">
        <v>5488</v>
      </c>
      <c r="D896" s="42" t="s">
        <v>44</v>
      </c>
      <c r="E896" s="42" t="s">
        <v>44</v>
      </c>
      <c r="F896" s="53" t="s">
        <v>5375</v>
      </c>
      <c r="G896" s="53" t="s">
        <v>47</v>
      </c>
      <c r="H896" s="53" t="s">
        <v>91</v>
      </c>
      <c r="I896" s="53" t="s">
        <v>401</v>
      </c>
      <c r="J896" s="53" t="s">
        <v>5376</v>
      </c>
      <c r="K896" s="53" t="s">
        <v>927</v>
      </c>
      <c r="L896" s="53" t="s">
        <v>52</v>
      </c>
      <c r="M896" s="53" t="s">
        <v>52</v>
      </c>
      <c r="N896" s="62" t="s">
        <v>5489</v>
      </c>
      <c r="O896" s="62" t="s">
        <v>44</v>
      </c>
      <c r="P896" s="62" t="s">
        <v>5490</v>
      </c>
      <c r="Q896" s="309" t="s">
        <v>5957</v>
      </c>
      <c r="R896" s="51" t="s">
        <v>56</v>
      </c>
      <c r="S896" s="51" t="s">
        <v>57</v>
      </c>
      <c r="T896" s="60">
        <v>46296.0</v>
      </c>
      <c r="U896" s="42"/>
      <c r="V896" s="62"/>
      <c r="W896" s="64"/>
      <c r="X896" s="223"/>
      <c r="Y896" s="223"/>
      <c r="Z896" s="223"/>
      <c r="AA896" s="223"/>
    </row>
    <row r="897">
      <c r="A897" s="42">
        <f t="shared" si="3"/>
        <v>896</v>
      </c>
      <c r="B897" s="51" t="s">
        <v>41</v>
      </c>
      <c r="C897" s="53" t="s">
        <v>5495</v>
      </c>
      <c r="D897" s="42" t="s">
        <v>44</v>
      </c>
      <c r="E897" s="42" t="s">
        <v>44</v>
      </c>
      <c r="F897" s="53" t="s">
        <v>5375</v>
      </c>
      <c r="G897" s="53" t="s">
        <v>47</v>
      </c>
      <c r="H897" s="53" t="s">
        <v>48</v>
      </c>
      <c r="I897" s="53" t="s">
        <v>401</v>
      </c>
      <c r="J897" s="53" t="s">
        <v>5376</v>
      </c>
      <c r="K897" s="53" t="s">
        <v>927</v>
      </c>
      <c r="L897" s="53" t="s">
        <v>52</v>
      </c>
      <c r="M897" s="53" t="s">
        <v>52</v>
      </c>
      <c r="N897" s="62" t="s">
        <v>5383</v>
      </c>
      <c r="O897" s="62" t="s">
        <v>44</v>
      </c>
      <c r="P897" s="62" t="s">
        <v>5496</v>
      </c>
      <c r="Q897" s="62" t="s">
        <v>5497</v>
      </c>
      <c r="R897" s="51" t="s">
        <v>56</v>
      </c>
      <c r="S897" s="51" t="s">
        <v>57</v>
      </c>
      <c r="T897" s="60">
        <v>46296.0</v>
      </c>
      <c r="U897" s="42"/>
      <c r="V897" s="62"/>
      <c r="W897" s="64"/>
      <c r="X897" s="223"/>
      <c r="Y897" s="223"/>
      <c r="Z897" s="223"/>
      <c r="AA897" s="223"/>
    </row>
    <row r="898">
      <c r="A898" s="42">
        <f t="shared" si="3"/>
        <v>897</v>
      </c>
      <c r="B898" s="51" t="s">
        <v>41</v>
      </c>
      <c r="C898" s="53" t="s">
        <v>5501</v>
      </c>
      <c r="D898" s="42" t="s">
        <v>44</v>
      </c>
      <c r="E898" s="42" t="s">
        <v>44</v>
      </c>
      <c r="F898" s="53" t="s">
        <v>5375</v>
      </c>
      <c r="G898" s="53" t="s">
        <v>47</v>
      </c>
      <c r="H898" s="53" t="s">
        <v>48</v>
      </c>
      <c r="I898" s="53" t="s">
        <v>401</v>
      </c>
      <c r="J898" s="53" t="s">
        <v>5376</v>
      </c>
      <c r="K898" s="53" t="s">
        <v>927</v>
      </c>
      <c r="L898" s="53" t="s">
        <v>52</v>
      </c>
      <c r="M898" s="53" t="s">
        <v>52</v>
      </c>
      <c r="N898" s="62" t="s">
        <v>5383</v>
      </c>
      <c r="O898" s="62" t="s">
        <v>44</v>
      </c>
      <c r="P898" s="62" t="s">
        <v>5502</v>
      </c>
      <c r="Q898" s="309" t="s">
        <v>5970</v>
      </c>
      <c r="R898" s="51" t="s">
        <v>56</v>
      </c>
      <c r="S898" s="51" t="s">
        <v>57</v>
      </c>
      <c r="T898" s="60">
        <v>46296.0</v>
      </c>
      <c r="U898" s="42"/>
      <c r="V898" s="62"/>
      <c r="W898" s="64"/>
      <c r="X898" s="223"/>
      <c r="Y898" s="223"/>
      <c r="Z898" s="223"/>
      <c r="AA898" s="223"/>
    </row>
    <row r="899">
      <c r="A899" s="42">
        <f t="shared" si="3"/>
        <v>898</v>
      </c>
      <c r="B899" s="51" t="s">
        <v>41</v>
      </c>
      <c r="C899" s="53" t="s">
        <v>5507</v>
      </c>
      <c r="D899" s="42" t="s">
        <v>44</v>
      </c>
      <c r="E899" s="42" t="s">
        <v>44</v>
      </c>
      <c r="F899" s="53" t="s">
        <v>5375</v>
      </c>
      <c r="G899" s="53" t="s">
        <v>47</v>
      </c>
      <c r="H899" s="53" t="s">
        <v>48</v>
      </c>
      <c r="I899" s="53" t="s">
        <v>401</v>
      </c>
      <c r="J899" s="53" t="s">
        <v>5376</v>
      </c>
      <c r="K899" s="53" t="s">
        <v>927</v>
      </c>
      <c r="L899" s="53" t="s">
        <v>52</v>
      </c>
      <c r="M899" s="53" t="s">
        <v>52</v>
      </c>
      <c r="N899" s="62" t="s">
        <v>5383</v>
      </c>
      <c r="O899" s="62" t="s">
        <v>44</v>
      </c>
      <c r="P899" s="62" t="s">
        <v>5508</v>
      </c>
      <c r="Q899" s="62" t="s">
        <v>5509</v>
      </c>
      <c r="R899" s="51" t="s">
        <v>56</v>
      </c>
      <c r="S899" s="51" t="s">
        <v>57</v>
      </c>
      <c r="T899" s="60">
        <v>46296.0</v>
      </c>
      <c r="U899" s="42"/>
      <c r="V899" s="62"/>
      <c r="W899" s="64"/>
      <c r="X899" s="223"/>
      <c r="Y899" s="223"/>
      <c r="Z899" s="223"/>
      <c r="AA899" s="223"/>
    </row>
    <row r="900">
      <c r="A900" s="42">
        <f t="shared" si="3"/>
        <v>899</v>
      </c>
      <c r="B900" s="51" t="s">
        <v>41</v>
      </c>
      <c r="C900" s="53" t="s">
        <v>5513</v>
      </c>
      <c r="D900" s="42" t="s">
        <v>44</v>
      </c>
      <c r="E900" s="42" t="s">
        <v>44</v>
      </c>
      <c r="F900" s="53" t="s">
        <v>5375</v>
      </c>
      <c r="G900" s="53" t="s">
        <v>111</v>
      </c>
      <c r="H900" s="53" t="s">
        <v>91</v>
      </c>
      <c r="I900" s="53" t="s">
        <v>401</v>
      </c>
      <c r="J900" s="53" t="s">
        <v>5376</v>
      </c>
      <c r="K900" s="53" t="s">
        <v>927</v>
      </c>
      <c r="L900" s="53" t="s">
        <v>52</v>
      </c>
      <c r="M900" s="53" t="s">
        <v>52</v>
      </c>
      <c r="N900" s="62" t="s">
        <v>5383</v>
      </c>
      <c r="O900" s="62" t="s">
        <v>44</v>
      </c>
      <c r="P900" s="62" t="s">
        <v>5514</v>
      </c>
      <c r="Q900" s="62" t="s">
        <v>5515</v>
      </c>
      <c r="R900" s="51" t="s">
        <v>56</v>
      </c>
      <c r="S900" s="51" t="s">
        <v>57</v>
      </c>
      <c r="T900" s="60">
        <v>46296.0</v>
      </c>
      <c r="U900" s="42"/>
      <c r="V900" s="62"/>
      <c r="W900" s="64"/>
      <c r="X900" s="223"/>
      <c r="Y900" s="223"/>
      <c r="Z900" s="223"/>
      <c r="AA900" s="223"/>
    </row>
    <row r="901">
      <c r="A901" s="42">
        <f t="shared" si="3"/>
        <v>900</v>
      </c>
      <c r="B901" s="51" t="s">
        <v>41</v>
      </c>
      <c r="C901" s="53" t="s">
        <v>5524</v>
      </c>
      <c r="D901" s="42" t="s">
        <v>44</v>
      </c>
      <c r="E901" s="42" t="s">
        <v>44</v>
      </c>
      <c r="F901" s="53" t="s">
        <v>5375</v>
      </c>
      <c r="G901" s="53" t="s">
        <v>47</v>
      </c>
      <c r="H901" s="53" t="s">
        <v>48</v>
      </c>
      <c r="I901" s="53" t="s">
        <v>401</v>
      </c>
      <c r="J901" s="53" t="s">
        <v>5376</v>
      </c>
      <c r="K901" s="53" t="s">
        <v>927</v>
      </c>
      <c r="L901" s="53" t="s">
        <v>52</v>
      </c>
      <c r="M901" s="53" t="s">
        <v>52</v>
      </c>
      <c r="N901" s="62" t="s">
        <v>5489</v>
      </c>
      <c r="O901" s="62" t="s">
        <v>44</v>
      </c>
      <c r="P901" s="62" t="s">
        <v>5525</v>
      </c>
      <c r="Q901" s="309" t="s">
        <v>5975</v>
      </c>
      <c r="R901" s="51" t="s">
        <v>56</v>
      </c>
      <c r="S901" s="51" t="s">
        <v>57</v>
      </c>
      <c r="T901" s="60">
        <v>46296.0</v>
      </c>
      <c r="U901" s="42"/>
      <c r="V901" s="62"/>
      <c r="W901" s="64"/>
      <c r="X901" s="223"/>
      <c r="Y901" s="223"/>
      <c r="Z901" s="223"/>
      <c r="AA901" s="223"/>
    </row>
    <row r="902">
      <c r="A902" s="42">
        <f t="shared" si="3"/>
        <v>901</v>
      </c>
      <c r="B902" s="51" t="s">
        <v>41</v>
      </c>
      <c r="C902" s="53" t="s">
        <v>5530</v>
      </c>
      <c r="D902" s="42" t="s">
        <v>44</v>
      </c>
      <c r="E902" s="42" t="s">
        <v>44</v>
      </c>
      <c r="F902" s="53" t="s">
        <v>5375</v>
      </c>
      <c r="G902" s="53" t="s">
        <v>47</v>
      </c>
      <c r="H902" s="53" t="s">
        <v>48</v>
      </c>
      <c r="I902" s="53" t="s">
        <v>401</v>
      </c>
      <c r="J902" s="53" t="s">
        <v>5376</v>
      </c>
      <c r="K902" s="53" t="s">
        <v>927</v>
      </c>
      <c r="L902" s="53" t="s">
        <v>52</v>
      </c>
      <c r="M902" s="53" t="s">
        <v>52</v>
      </c>
      <c r="N902" s="62" t="s">
        <v>5489</v>
      </c>
      <c r="O902" s="62" t="s">
        <v>44</v>
      </c>
      <c r="P902" s="62" t="s">
        <v>5531</v>
      </c>
      <c r="Q902" s="62" t="s">
        <v>5532</v>
      </c>
      <c r="R902" s="51" t="s">
        <v>56</v>
      </c>
      <c r="S902" s="51" t="s">
        <v>57</v>
      </c>
      <c r="T902" s="60">
        <v>46296.0</v>
      </c>
      <c r="U902" s="42"/>
      <c r="V902" s="62"/>
      <c r="W902" s="64"/>
      <c r="X902" s="223"/>
      <c r="Y902" s="223"/>
      <c r="Z902" s="223"/>
      <c r="AA902" s="223"/>
    </row>
    <row r="903">
      <c r="A903" s="42">
        <f t="shared" si="3"/>
        <v>902</v>
      </c>
      <c r="B903" s="51" t="s">
        <v>41</v>
      </c>
      <c r="C903" s="53" t="s">
        <v>5535</v>
      </c>
      <c r="D903" s="42" t="s">
        <v>44</v>
      </c>
      <c r="E903" s="42" t="s">
        <v>44</v>
      </c>
      <c r="F903" s="53" t="s">
        <v>5375</v>
      </c>
      <c r="G903" s="53" t="s">
        <v>47</v>
      </c>
      <c r="H903" s="53" t="s">
        <v>48</v>
      </c>
      <c r="I903" s="53" t="s">
        <v>401</v>
      </c>
      <c r="J903" s="53" t="s">
        <v>5376</v>
      </c>
      <c r="K903" s="53" t="s">
        <v>927</v>
      </c>
      <c r="L903" s="53" t="s">
        <v>52</v>
      </c>
      <c r="M903" s="53" t="s">
        <v>52</v>
      </c>
      <c r="N903" s="62" t="s">
        <v>5489</v>
      </c>
      <c r="O903" s="62" t="s">
        <v>44</v>
      </c>
      <c r="P903" s="62" t="s">
        <v>5536</v>
      </c>
      <c r="Q903" s="62" t="s">
        <v>5537</v>
      </c>
      <c r="R903" s="51" t="s">
        <v>56</v>
      </c>
      <c r="S903" s="51" t="s">
        <v>57</v>
      </c>
      <c r="T903" s="60">
        <v>46296.0</v>
      </c>
      <c r="U903" s="42"/>
      <c r="V903" s="62"/>
      <c r="W903" s="64"/>
      <c r="X903" s="223"/>
      <c r="Y903" s="223"/>
      <c r="Z903" s="223"/>
      <c r="AA903" s="223"/>
    </row>
    <row r="904">
      <c r="A904" s="42">
        <f t="shared" si="3"/>
        <v>903</v>
      </c>
      <c r="B904" s="51" t="s">
        <v>41</v>
      </c>
      <c r="C904" s="53" t="s">
        <v>5547</v>
      </c>
      <c r="D904" s="42" t="s">
        <v>44</v>
      </c>
      <c r="E904" s="42" t="s">
        <v>44</v>
      </c>
      <c r="F904" s="53" t="s">
        <v>5375</v>
      </c>
      <c r="G904" s="53" t="s">
        <v>47</v>
      </c>
      <c r="H904" s="53" t="s">
        <v>48</v>
      </c>
      <c r="I904" s="53" t="s">
        <v>401</v>
      </c>
      <c r="J904" s="53" t="s">
        <v>5376</v>
      </c>
      <c r="K904" s="53" t="s">
        <v>927</v>
      </c>
      <c r="L904" s="53" t="s">
        <v>52</v>
      </c>
      <c r="M904" s="53" t="s">
        <v>52</v>
      </c>
      <c r="N904" s="62" t="s">
        <v>5489</v>
      </c>
      <c r="O904" s="62" t="s">
        <v>44</v>
      </c>
      <c r="P904" s="62" t="s">
        <v>5548</v>
      </c>
      <c r="Q904" s="309" t="s">
        <v>5976</v>
      </c>
      <c r="R904" s="51" t="s">
        <v>56</v>
      </c>
      <c r="S904" s="51" t="s">
        <v>57</v>
      </c>
      <c r="T904" s="60">
        <v>46296.0</v>
      </c>
      <c r="U904" s="42"/>
      <c r="V904" s="62"/>
      <c r="W904" s="64"/>
      <c r="X904" s="223"/>
      <c r="Y904" s="223"/>
      <c r="Z904" s="223"/>
      <c r="AA904" s="223"/>
    </row>
    <row r="905">
      <c r="A905" s="42">
        <f t="shared" si="3"/>
        <v>904</v>
      </c>
      <c r="B905" s="51" t="s">
        <v>41</v>
      </c>
      <c r="C905" s="53" t="s">
        <v>5552</v>
      </c>
      <c r="D905" s="42" t="s">
        <v>44</v>
      </c>
      <c r="E905" s="42" t="s">
        <v>44</v>
      </c>
      <c r="F905" s="53" t="s">
        <v>5375</v>
      </c>
      <c r="G905" s="53" t="s">
        <v>111</v>
      </c>
      <c r="H905" s="53" t="s">
        <v>91</v>
      </c>
      <c r="I905" s="53" t="s">
        <v>401</v>
      </c>
      <c r="J905" s="53" t="s">
        <v>5376</v>
      </c>
      <c r="K905" s="53" t="s">
        <v>927</v>
      </c>
      <c r="L905" s="53" t="s">
        <v>52</v>
      </c>
      <c r="M905" s="53" t="s">
        <v>52</v>
      </c>
      <c r="N905" s="62" t="s">
        <v>5489</v>
      </c>
      <c r="O905" s="62" t="s">
        <v>44</v>
      </c>
      <c r="P905" s="62" t="s">
        <v>5553</v>
      </c>
      <c r="Q905" s="62" t="s">
        <v>5554</v>
      </c>
      <c r="R905" s="51" t="s">
        <v>56</v>
      </c>
      <c r="S905" s="51" t="s">
        <v>57</v>
      </c>
      <c r="T905" s="60">
        <v>46296.0</v>
      </c>
      <c r="U905" s="53"/>
      <c r="V905" s="62"/>
      <c r="W905" s="64"/>
      <c r="X905" s="223"/>
      <c r="Y905" s="223"/>
      <c r="Z905" s="223"/>
      <c r="AA905" s="223"/>
    </row>
    <row r="906">
      <c r="A906" s="42">
        <f t="shared" si="3"/>
        <v>905</v>
      </c>
      <c r="B906" s="51" t="s">
        <v>41</v>
      </c>
      <c r="C906" s="53" t="s">
        <v>5557</v>
      </c>
      <c r="D906" s="42" t="s">
        <v>44</v>
      </c>
      <c r="E906" s="42" t="s">
        <v>44</v>
      </c>
      <c r="F906" s="53" t="s">
        <v>5375</v>
      </c>
      <c r="G906" s="53" t="s">
        <v>47</v>
      </c>
      <c r="H906" s="53" t="s">
        <v>48</v>
      </c>
      <c r="I906" s="53" t="s">
        <v>401</v>
      </c>
      <c r="J906" s="53" t="s">
        <v>5376</v>
      </c>
      <c r="K906" s="53" t="s">
        <v>927</v>
      </c>
      <c r="L906" s="53" t="s">
        <v>52</v>
      </c>
      <c r="M906" s="53" t="s">
        <v>52</v>
      </c>
      <c r="N906" s="62" t="s">
        <v>5489</v>
      </c>
      <c r="O906" s="62" t="s">
        <v>44</v>
      </c>
      <c r="P906" s="62" t="s">
        <v>5558</v>
      </c>
      <c r="Q906" s="62" t="s">
        <v>5559</v>
      </c>
      <c r="R906" s="51" t="s">
        <v>56</v>
      </c>
      <c r="S906" s="51" t="s">
        <v>57</v>
      </c>
      <c r="T906" s="60">
        <v>46296.0</v>
      </c>
      <c r="U906" s="42"/>
      <c r="V906" s="62"/>
      <c r="W906" s="64"/>
      <c r="X906" s="223"/>
      <c r="Y906" s="223"/>
      <c r="Z906" s="223"/>
      <c r="AA906" s="223"/>
    </row>
    <row r="907">
      <c r="A907" s="42">
        <f t="shared" si="3"/>
        <v>906</v>
      </c>
      <c r="B907" s="51" t="s">
        <v>41</v>
      </c>
      <c r="C907" s="53" t="s">
        <v>5562</v>
      </c>
      <c r="D907" s="42" t="s">
        <v>44</v>
      </c>
      <c r="E907" s="42" t="s">
        <v>44</v>
      </c>
      <c r="F907" s="53" t="s">
        <v>5375</v>
      </c>
      <c r="G907" s="53" t="s">
        <v>47</v>
      </c>
      <c r="H907" s="53" t="s">
        <v>48</v>
      </c>
      <c r="I907" s="53" t="s">
        <v>401</v>
      </c>
      <c r="J907" s="53" t="s">
        <v>5376</v>
      </c>
      <c r="K907" s="53" t="s">
        <v>927</v>
      </c>
      <c r="L907" s="53" t="s">
        <v>52</v>
      </c>
      <c r="M907" s="53" t="s">
        <v>52</v>
      </c>
      <c r="N907" s="62" t="s">
        <v>5489</v>
      </c>
      <c r="O907" s="62" t="s">
        <v>44</v>
      </c>
      <c r="P907" s="62" t="s">
        <v>5563</v>
      </c>
      <c r="Q907" s="62" t="s">
        <v>5564</v>
      </c>
      <c r="R907" s="51" t="s">
        <v>56</v>
      </c>
      <c r="S907" s="51" t="s">
        <v>57</v>
      </c>
      <c r="T907" s="60">
        <v>46296.0</v>
      </c>
      <c r="U907" s="42"/>
      <c r="V907" s="62"/>
      <c r="W907" s="64"/>
      <c r="X907" s="223"/>
      <c r="Y907" s="223"/>
      <c r="Z907" s="223"/>
      <c r="AA907" s="223"/>
    </row>
    <row r="908">
      <c r="A908" s="42">
        <f t="shared" si="3"/>
        <v>907</v>
      </c>
      <c r="B908" s="51" t="s">
        <v>41</v>
      </c>
      <c r="C908" s="53" t="s">
        <v>5567</v>
      </c>
      <c r="D908" s="42" t="s">
        <v>44</v>
      </c>
      <c r="E908" s="42" t="s">
        <v>44</v>
      </c>
      <c r="F908" s="53" t="s">
        <v>5375</v>
      </c>
      <c r="G908" s="53" t="s">
        <v>47</v>
      </c>
      <c r="H908" s="53" t="s">
        <v>48</v>
      </c>
      <c r="I908" s="53" t="s">
        <v>401</v>
      </c>
      <c r="J908" s="53" t="s">
        <v>5376</v>
      </c>
      <c r="K908" s="53" t="s">
        <v>927</v>
      </c>
      <c r="L908" s="53" t="s">
        <v>52</v>
      </c>
      <c r="M908" s="53" t="s">
        <v>52</v>
      </c>
      <c r="N908" s="62" t="s">
        <v>5489</v>
      </c>
      <c r="O908" s="62" t="s">
        <v>44</v>
      </c>
      <c r="P908" s="62" t="s">
        <v>5568</v>
      </c>
      <c r="Q908" s="309" t="s">
        <v>5977</v>
      </c>
      <c r="R908" s="51" t="s">
        <v>56</v>
      </c>
      <c r="S908" s="51" t="s">
        <v>57</v>
      </c>
      <c r="T908" s="60">
        <v>46296.0</v>
      </c>
      <c r="U908" s="42"/>
      <c r="V908" s="62"/>
      <c r="W908" s="64"/>
      <c r="X908" s="223"/>
      <c r="Y908" s="223"/>
      <c r="Z908" s="223"/>
      <c r="AA908" s="223"/>
    </row>
    <row r="909">
      <c r="A909" s="42">
        <f t="shared" si="3"/>
        <v>908</v>
      </c>
      <c r="B909" s="51" t="s">
        <v>41</v>
      </c>
      <c r="C909" s="53" t="s">
        <v>5573</v>
      </c>
      <c r="D909" s="42" t="s">
        <v>44</v>
      </c>
      <c r="E909" s="42" t="s">
        <v>44</v>
      </c>
      <c r="F909" s="53" t="s">
        <v>5375</v>
      </c>
      <c r="G909" s="53" t="s">
        <v>47</v>
      </c>
      <c r="H909" s="53" t="s">
        <v>48</v>
      </c>
      <c r="I909" s="53" t="s">
        <v>401</v>
      </c>
      <c r="J909" s="53" t="s">
        <v>5376</v>
      </c>
      <c r="K909" s="53" t="s">
        <v>927</v>
      </c>
      <c r="L909" s="53" t="s">
        <v>52</v>
      </c>
      <c r="M909" s="53" t="s">
        <v>52</v>
      </c>
      <c r="N909" s="62" t="s">
        <v>5489</v>
      </c>
      <c r="O909" s="62" t="s">
        <v>44</v>
      </c>
      <c r="P909" s="62" t="s">
        <v>5574</v>
      </c>
      <c r="Q909" s="62" t="s">
        <v>5575</v>
      </c>
      <c r="R909" s="51" t="s">
        <v>56</v>
      </c>
      <c r="S909" s="51" t="s">
        <v>57</v>
      </c>
      <c r="T909" s="60">
        <v>46296.0</v>
      </c>
      <c r="U909" s="42"/>
      <c r="V909" s="62"/>
      <c r="W909" s="64"/>
      <c r="X909" s="223"/>
      <c r="Y909" s="223"/>
      <c r="Z909" s="223"/>
      <c r="AA909" s="223"/>
    </row>
    <row r="910">
      <c r="A910" s="42">
        <f t="shared" si="3"/>
        <v>909</v>
      </c>
      <c r="B910" s="51" t="s">
        <v>41</v>
      </c>
      <c r="C910" s="53" t="s">
        <v>5579</v>
      </c>
      <c r="D910" s="42" t="s">
        <v>44</v>
      </c>
      <c r="E910" s="42" t="s">
        <v>44</v>
      </c>
      <c r="F910" s="53" t="s">
        <v>5375</v>
      </c>
      <c r="G910" s="53" t="s">
        <v>47</v>
      </c>
      <c r="H910" s="53" t="s">
        <v>91</v>
      </c>
      <c r="I910" s="53" t="s">
        <v>401</v>
      </c>
      <c r="J910" s="53" t="s">
        <v>5376</v>
      </c>
      <c r="K910" s="53" t="s">
        <v>927</v>
      </c>
      <c r="L910" s="53" t="s">
        <v>52</v>
      </c>
      <c r="M910" s="53" t="s">
        <v>52</v>
      </c>
      <c r="N910" s="62" t="s">
        <v>5489</v>
      </c>
      <c r="O910" s="62" t="s">
        <v>44</v>
      </c>
      <c r="P910" s="62" t="s">
        <v>5580</v>
      </c>
      <c r="Q910" s="309" t="s">
        <v>5978</v>
      </c>
      <c r="R910" s="51" t="s">
        <v>56</v>
      </c>
      <c r="S910" s="51" t="s">
        <v>57</v>
      </c>
      <c r="T910" s="60">
        <v>46296.0</v>
      </c>
      <c r="U910" s="42"/>
      <c r="V910" s="62"/>
      <c r="W910" s="64"/>
      <c r="X910" s="223"/>
      <c r="Y910" s="223"/>
      <c r="Z910" s="223"/>
      <c r="AA910" s="223"/>
    </row>
    <row r="911">
      <c r="A911" s="42">
        <f t="shared" si="3"/>
        <v>910</v>
      </c>
      <c r="B911" s="51" t="s">
        <v>41</v>
      </c>
      <c r="C911" s="53" t="s">
        <v>5585</v>
      </c>
      <c r="D911" s="42" t="s">
        <v>44</v>
      </c>
      <c r="E911" s="42" t="s">
        <v>44</v>
      </c>
      <c r="F911" s="53" t="s">
        <v>5375</v>
      </c>
      <c r="G911" s="53" t="s">
        <v>47</v>
      </c>
      <c r="H911" s="53" t="s">
        <v>48</v>
      </c>
      <c r="I911" s="53" t="s">
        <v>401</v>
      </c>
      <c r="J911" s="53" t="s">
        <v>5376</v>
      </c>
      <c r="K911" s="53" t="s">
        <v>927</v>
      </c>
      <c r="L911" s="53" t="s">
        <v>52</v>
      </c>
      <c r="M911" s="53" t="s">
        <v>52</v>
      </c>
      <c r="N911" s="62" t="s">
        <v>5489</v>
      </c>
      <c r="O911" s="62" t="s">
        <v>44</v>
      </c>
      <c r="P911" s="62" t="s">
        <v>5586</v>
      </c>
      <c r="Q911" s="62" t="s">
        <v>5587</v>
      </c>
      <c r="R911" s="51" t="s">
        <v>56</v>
      </c>
      <c r="S911" s="51" t="s">
        <v>57</v>
      </c>
      <c r="T911" s="60">
        <v>46296.0</v>
      </c>
      <c r="U911" s="42"/>
      <c r="V911" s="62"/>
      <c r="W911" s="64"/>
      <c r="X911" s="223"/>
      <c r="Y911" s="223"/>
      <c r="Z911" s="223"/>
      <c r="AA911" s="223"/>
    </row>
    <row r="912">
      <c r="A912" s="42">
        <f t="shared" si="3"/>
        <v>911</v>
      </c>
      <c r="B912" s="51" t="s">
        <v>41</v>
      </c>
      <c r="C912" s="53" t="s">
        <v>5590</v>
      </c>
      <c r="D912" s="42" t="s">
        <v>44</v>
      </c>
      <c r="E912" s="42" t="s">
        <v>44</v>
      </c>
      <c r="F912" s="53" t="s">
        <v>5375</v>
      </c>
      <c r="G912" s="53" t="s">
        <v>47</v>
      </c>
      <c r="H912" s="53" t="s">
        <v>95</v>
      </c>
      <c r="I912" s="53" t="s">
        <v>401</v>
      </c>
      <c r="J912" s="53" t="s">
        <v>5376</v>
      </c>
      <c r="K912" s="53" t="s">
        <v>927</v>
      </c>
      <c r="L912" s="53" t="s">
        <v>52</v>
      </c>
      <c r="M912" s="53" t="s">
        <v>52</v>
      </c>
      <c r="N912" s="62" t="s">
        <v>5591</v>
      </c>
      <c r="O912" s="62" t="s">
        <v>44</v>
      </c>
      <c r="P912" s="62" t="s">
        <v>5592</v>
      </c>
      <c r="Q912" s="62" t="s">
        <v>5593</v>
      </c>
      <c r="R912" s="51" t="s">
        <v>56</v>
      </c>
      <c r="S912" s="51" t="s">
        <v>57</v>
      </c>
      <c r="T912" s="60">
        <v>46296.0</v>
      </c>
      <c r="U912" s="42"/>
      <c r="V912" s="62"/>
      <c r="W912" s="64"/>
      <c r="X912" s="223"/>
      <c r="Y912" s="223"/>
      <c r="Z912" s="223"/>
      <c r="AA912" s="223"/>
    </row>
    <row r="913">
      <c r="A913" s="42">
        <f t="shared" si="3"/>
        <v>912</v>
      </c>
      <c r="B913" s="51" t="s">
        <v>41</v>
      </c>
      <c r="C913" s="53" t="s">
        <v>5596</v>
      </c>
      <c r="D913" s="42" t="s">
        <v>44</v>
      </c>
      <c r="E913" s="42" t="s">
        <v>44</v>
      </c>
      <c r="F913" s="53" t="s">
        <v>5375</v>
      </c>
      <c r="G913" s="53" t="s">
        <v>47</v>
      </c>
      <c r="H913" s="53" t="s">
        <v>48</v>
      </c>
      <c r="I913" s="53" t="s">
        <v>401</v>
      </c>
      <c r="J913" s="53" t="s">
        <v>5376</v>
      </c>
      <c r="K913" s="53" t="s">
        <v>927</v>
      </c>
      <c r="L913" s="53" t="s">
        <v>52</v>
      </c>
      <c r="M913" s="53" t="s">
        <v>52</v>
      </c>
      <c r="N913" s="62" t="s">
        <v>5489</v>
      </c>
      <c r="O913" s="62" t="s">
        <v>44</v>
      </c>
      <c r="P913" s="62" t="s">
        <v>5597</v>
      </c>
      <c r="Q913" s="62" t="s">
        <v>5598</v>
      </c>
      <c r="R913" s="51" t="s">
        <v>56</v>
      </c>
      <c r="S913" s="51" t="s">
        <v>57</v>
      </c>
      <c r="T913" s="60">
        <v>46296.0</v>
      </c>
      <c r="U913" s="42"/>
      <c r="V913" s="62"/>
      <c r="W913" s="64"/>
      <c r="X913" s="223"/>
      <c r="Y913" s="223"/>
      <c r="Z913" s="223"/>
      <c r="AA913" s="223"/>
    </row>
    <row r="914">
      <c r="A914" s="42">
        <f t="shared" si="3"/>
        <v>913</v>
      </c>
      <c r="B914" s="51" t="s">
        <v>41</v>
      </c>
      <c r="C914" s="53" t="s">
        <v>5601</v>
      </c>
      <c r="D914" s="42" t="s">
        <v>44</v>
      </c>
      <c r="E914" s="42" t="s">
        <v>44</v>
      </c>
      <c r="F914" s="53" t="s">
        <v>5375</v>
      </c>
      <c r="G914" s="53" t="s">
        <v>47</v>
      </c>
      <c r="H914" s="53" t="s">
        <v>91</v>
      </c>
      <c r="I914" s="53" t="s">
        <v>401</v>
      </c>
      <c r="J914" s="53" t="s">
        <v>5376</v>
      </c>
      <c r="K914" s="53" t="s">
        <v>927</v>
      </c>
      <c r="L914" s="53" t="s">
        <v>52</v>
      </c>
      <c r="M914" s="53" t="s">
        <v>52</v>
      </c>
      <c r="N914" s="62" t="s">
        <v>5602</v>
      </c>
      <c r="O914" s="62" t="s">
        <v>44</v>
      </c>
      <c r="P914" s="62" t="s">
        <v>5603</v>
      </c>
      <c r="Q914" s="309" t="s">
        <v>5979</v>
      </c>
      <c r="R914" s="53"/>
      <c r="S914" s="51" t="s">
        <v>57</v>
      </c>
      <c r="T914" s="60">
        <v>46296.0</v>
      </c>
      <c r="U914" s="42"/>
      <c r="V914" s="309" t="s">
        <v>5980</v>
      </c>
      <c r="W914" s="64"/>
      <c r="X914" s="223"/>
      <c r="Y914" s="223"/>
      <c r="Z914" s="223"/>
      <c r="AA914" s="223"/>
    </row>
    <row r="915">
      <c r="A915" s="42">
        <f t="shared" si="3"/>
        <v>914</v>
      </c>
      <c r="B915" s="51" t="s">
        <v>41</v>
      </c>
      <c r="C915" s="53" t="s">
        <v>5608</v>
      </c>
      <c r="D915" s="42" t="s">
        <v>44</v>
      </c>
      <c r="E915" s="42" t="s">
        <v>44</v>
      </c>
      <c r="F915" s="53" t="s">
        <v>5375</v>
      </c>
      <c r="G915" s="53" t="s">
        <v>85</v>
      </c>
      <c r="H915" s="53" t="s">
        <v>86</v>
      </c>
      <c r="I915" s="53" t="s">
        <v>401</v>
      </c>
      <c r="J915" s="53" t="s">
        <v>5376</v>
      </c>
      <c r="K915" s="53" t="s">
        <v>927</v>
      </c>
      <c r="L915" s="53" t="s">
        <v>52</v>
      </c>
      <c r="M915" s="53" t="s">
        <v>52</v>
      </c>
      <c r="N915" s="62" t="s">
        <v>5489</v>
      </c>
      <c r="O915" s="62" t="s">
        <v>44</v>
      </c>
      <c r="P915" s="62" t="s">
        <v>5609</v>
      </c>
      <c r="Q915" s="62" t="s">
        <v>5610</v>
      </c>
      <c r="R915" s="51" t="s">
        <v>56</v>
      </c>
      <c r="S915" s="51" t="s">
        <v>57</v>
      </c>
      <c r="T915" s="60">
        <v>46296.0</v>
      </c>
      <c r="U915" s="42"/>
      <c r="V915" s="62"/>
      <c r="W915" s="64"/>
      <c r="X915" s="223"/>
      <c r="Y915" s="223"/>
      <c r="Z915" s="223"/>
      <c r="AA915" s="223"/>
    </row>
    <row r="916">
      <c r="A916" s="42">
        <f t="shared" si="3"/>
        <v>915</v>
      </c>
      <c r="B916" s="51" t="s">
        <v>41</v>
      </c>
      <c r="C916" s="53" t="s">
        <v>5614</v>
      </c>
      <c r="D916" s="42" t="s">
        <v>44</v>
      </c>
      <c r="E916" s="42" t="s">
        <v>44</v>
      </c>
      <c r="F916" s="53" t="s">
        <v>5375</v>
      </c>
      <c r="G916" s="53" t="s">
        <v>47</v>
      </c>
      <c r="H916" s="53" t="s">
        <v>48</v>
      </c>
      <c r="I916" s="53" t="s">
        <v>401</v>
      </c>
      <c r="J916" s="53" t="s">
        <v>5376</v>
      </c>
      <c r="K916" s="53" t="s">
        <v>927</v>
      </c>
      <c r="L916" s="53" t="s">
        <v>52</v>
      </c>
      <c r="M916" s="53" t="s">
        <v>52</v>
      </c>
      <c r="N916" s="62" t="s">
        <v>5489</v>
      </c>
      <c r="O916" s="62" t="s">
        <v>44</v>
      </c>
      <c r="P916" s="62" t="s">
        <v>5615</v>
      </c>
      <c r="Q916" s="309" t="s">
        <v>5981</v>
      </c>
      <c r="R916" s="51" t="s">
        <v>56</v>
      </c>
      <c r="S916" s="51" t="s">
        <v>57</v>
      </c>
      <c r="T916" s="60">
        <v>46296.0</v>
      </c>
      <c r="U916" s="42"/>
      <c r="V916" s="62"/>
      <c r="W916" s="64"/>
      <c r="X916" s="223"/>
      <c r="Y916" s="223"/>
      <c r="Z916" s="223"/>
      <c r="AA916" s="223"/>
    </row>
    <row r="917">
      <c r="A917" s="42">
        <f t="shared" si="3"/>
        <v>916</v>
      </c>
      <c r="B917" s="51" t="s">
        <v>41</v>
      </c>
      <c r="C917" s="53" t="s">
        <v>5619</v>
      </c>
      <c r="D917" s="42" t="s">
        <v>44</v>
      </c>
      <c r="E917" s="42" t="s">
        <v>44</v>
      </c>
      <c r="F917" s="53" t="s">
        <v>5375</v>
      </c>
      <c r="G917" s="53" t="s">
        <v>47</v>
      </c>
      <c r="H917" s="53" t="s">
        <v>48</v>
      </c>
      <c r="I917" s="53" t="s">
        <v>401</v>
      </c>
      <c r="J917" s="53" t="s">
        <v>5376</v>
      </c>
      <c r="K917" s="53" t="s">
        <v>927</v>
      </c>
      <c r="L917" s="53" t="s">
        <v>52</v>
      </c>
      <c r="M917" s="53" t="s">
        <v>52</v>
      </c>
      <c r="N917" s="62" t="s">
        <v>5489</v>
      </c>
      <c r="O917" s="62" t="s">
        <v>44</v>
      </c>
      <c r="P917" s="62" t="s">
        <v>5620</v>
      </c>
      <c r="Q917" s="309" t="s">
        <v>5982</v>
      </c>
      <c r="R917" s="51" t="s">
        <v>56</v>
      </c>
      <c r="S917" s="51" t="s">
        <v>57</v>
      </c>
      <c r="T917" s="60">
        <v>46296.0</v>
      </c>
      <c r="U917" s="53"/>
      <c r="V917" s="62"/>
      <c r="W917" s="64"/>
      <c r="X917" s="223"/>
      <c r="Y917" s="223"/>
      <c r="Z917" s="223"/>
      <c r="AA917" s="223"/>
    </row>
    <row r="918">
      <c r="A918" s="42">
        <f t="shared" si="3"/>
        <v>917</v>
      </c>
      <c r="B918" s="51" t="s">
        <v>41</v>
      </c>
      <c r="C918" s="53" t="s">
        <v>5624</v>
      </c>
      <c r="D918" s="42" t="s">
        <v>44</v>
      </c>
      <c r="E918" s="42" t="s">
        <v>44</v>
      </c>
      <c r="F918" s="53" t="s">
        <v>5375</v>
      </c>
      <c r="G918" s="53" t="s">
        <v>47</v>
      </c>
      <c r="H918" s="53" t="s">
        <v>48</v>
      </c>
      <c r="I918" s="53" t="s">
        <v>401</v>
      </c>
      <c r="J918" s="53" t="s">
        <v>5376</v>
      </c>
      <c r="K918" s="53" t="s">
        <v>927</v>
      </c>
      <c r="L918" s="53" t="s">
        <v>52</v>
      </c>
      <c r="M918" s="53" t="s">
        <v>52</v>
      </c>
      <c r="N918" s="62" t="s">
        <v>5489</v>
      </c>
      <c r="O918" s="62" t="s">
        <v>44</v>
      </c>
      <c r="P918" s="62" t="s">
        <v>5625</v>
      </c>
      <c r="Q918" s="62" t="s">
        <v>5626</v>
      </c>
      <c r="R918" s="51" t="s">
        <v>56</v>
      </c>
      <c r="S918" s="51" t="s">
        <v>57</v>
      </c>
      <c r="T918" s="60">
        <v>46296.0</v>
      </c>
      <c r="U918" s="42"/>
      <c r="V918" s="62"/>
      <c r="W918" s="64"/>
      <c r="X918" s="223"/>
      <c r="Y918" s="223"/>
      <c r="Z918" s="223"/>
      <c r="AA918" s="223"/>
    </row>
    <row r="919">
      <c r="A919" s="42">
        <f t="shared" si="3"/>
        <v>918</v>
      </c>
      <c r="B919" s="51" t="s">
        <v>41</v>
      </c>
      <c r="C919" s="53" t="s">
        <v>5629</v>
      </c>
      <c r="D919" s="42" t="s">
        <v>44</v>
      </c>
      <c r="E919" s="42" t="s">
        <v>44</v>
      </c>
      <c r="F919" s="53" t="s">
        <v>5375</v>
      </c>
      <c r="G919" s="53" t="s">
        <v>47</v>
      </c>
      <c r="H919" s="53" t="s">
        <v>48</v>
      </c>
      <c r="I919" s="53" t="s">
        <v>401</v>
      </c>
      <c r="J919" s="53" t="s">
        <v>5376</v>
      </c>
      <c r="K919" s="53" t="s">
        <v>927</v>
      </c>
      <c r="L919" s="53" t="s">
        <v>52</v>
      </c>
      <c r="M919" s="53" t="s">
        <v>52</v>
      </c>
      <c r="N919" s="62" t="s">
        <v>5489</v>
      </c>
      <c r="O919" s="62" t="s">
        <v>44</v>
      </c>
      <c r="P919" s="62" t="s">
        <v>5630</v>
      </c>
      <c r="Q919" s="309" t="s">
        <v>5983</v>
      </c>
      <c r="R919" s="51" t="s">
        <v>56</v>
      </c>
      <c r="S919" s="51" t="s">
        <v>57</v>
      </c>
      <c r="T919" s="60">
        <v>46296.0</v>
      </c>
      <c r="U919" s="42"/>
      <c r="V919" s="62"/>
      <c r="W919" s="64"/>
      <c r="X919" s="223"/>
      <c r="Y919" s="223"/>
      <c r="Z919" s="223"/>
      <c r="AA919" s="223"/>
    </row>
    <row r="920">
      <c r="A920" s="42">
        <f t="shared" si="3"/>
        <v>919</v>
      </c>
      <c r="B920" s="51" t="s">
        <v>41</v>
      </c>
      <c r="C920" s="53" t="s">
        <v>5635</v>
      </c>
      <c r="D920" s="42" t="s">
        <v>44</v>
      </c>
      <c r="E920" s="42" t="s">
        <v>44</v>
      </c>
      <c r="F920" s="53" t="s">
        <v>5375</v>
      </c>
      <c r="G920" s="53" t="s">
        <v>47</v>
      </c>
      <c r="H920" s="53" t="s">
        <v>48</v>
      </c>
      <c r="I920" s="53" t="s">
        <v>401</v>
      </c>
      <c r="J920" s="53" t="s">
        <v>5376</v>
      </c>
      <c r="K920" s="53" t="s">
        <v>927</v>
      </c>
      <c r="L920" s="53" t="s">
        <v>52</v>
      </c>
      <c r="M920" s="53" t="s">
        <v>52</v>
      </c>
      <c r="N920" s="62" t="s">
        <v>5489</v>
      </c>
      <c r="O920" s="62" t="s">
        <v>44</v>
      </c>
      <c r="P920" s="62" t="s">
        <v>5636</v>
      </c>
      <c r="Q920" s="62" t="s">
        <v>5637</v>
      </c>
      <c r="R920" s="51" t="s">
        <v>56</v>
      </c>
      <c r="S920" s="51" t="s">
        <v>57</v>
      </c>
      <c r="T920" s="60">
        <v>46296.0</v>
      </c>
      <c r="U920" s="42"/>
      <c r="V920" s="62"/>
      <c r="W920" s="64"/>
      <c r="X920" s="223"/>
      <c r="Y920" s="223"/>
      <c r="Z920" s="223"/>
      <c r="AA920" s="223"/>
    </row>
    <row r="921">
      <c r="A921" s="42">
        <f t="shared" si="3"/>
        <v>920</v>
      </c>
      <c r="B921" s="51" t="s">
        <v>41</v>
      </c>
      <c r="C921" s="53" t="s">
        <v>5640</v>
      </c>
      <c r="D921" s="42" t="s">
        <v>44</v>
      </c>
      <c r="E921" s="42" t="s">
        <v>44</v>
      </c>
      <c r="F921" s="53" t="s">
        <v>5375</v>
      </c>
      <c r="G921" s="53" t="s">
        <v>47</v>
      </c>
      <c r="H921" s="53" t="s">
        <v>48</v>
      </c>
      <c r="I921" s="53" t="s">
        <v>401</v>
      </c>
      <c r="J921" s="53" t="s">
        <v>5376</v>
      </c>
      <c r="K921" s="53" t="s">
        <v>927</v>
      </c>
      <c r="L921" s="53" t="s">
        <v>52</v>
      </c>
      <c r="M921" s="53" t="s">
        <v>52</v>
      </c>
      <c r="N921" s="62" t="s">
        <v>5641</v>
      </c>
      <c r="O921" s="62" t="s">
        <v>44</v>
      </c>
      <c r="P921" s="62" t="s">
        <v>5642</v>
      </c>
      <c r="Q921" s="62" t="s">
        <v>5643</v>
      </c>
      <c r="R921" s="51" t="s">
        <v>56</v>
      </c>
      <c r="S921" s="51" t="s">
        <v>57</v>
      </c>
      <c r="T921" s="60">
        <v>46296.0</v>
      </c>
      <c r="U921" s="53"/>
      <c r="V921" s="62"/>
      <c r="W921" s="64"/>
      <c r="X921" s="223"/>
      <c r="Y921" s="223"/>
      <c r="Z921" s="223"/>
      <c r="AA921" s="223"/>
    </row>
    <row r="922">
      <c r="A922" s="42">
        <f t="shared" si="3"/>
        <v>921</v>
      </c>
      <c r="B922" s="51" t="s">
        <v>41</v>
      </c>
      <c r="C922" s="53" t="s">
        <v>5647</v>
      </c>
      <c r="D922" s="42" t="s">
        <v>44</v>
      </c>
      <c r="E922" s="42" t="s">
        <v>44</v>
      </c>
      <c r="F922" s="53" t="s">
        <v>5375</v>
      </c>
      <c r="G922" s="53" t="s">
        <v>47</v>
      </c>
      <c r="H922" s="53" t="s">
        <v>95</v>
      </c>
      <c r="I922" s="53" t="s">
        <v>401</v>
      </c>
      <c r="J922" s="53" t="s">
        <v>5376</v>
      </c>
      <c r="K922" s="53" t="s">
        <v>927</v>
      </c>
      <c r="L922" s="53" t="s">
        <v>52</v>
      </c>
      <c r="M922" s="53" t="s">
        <v>52</v>
      </c>
      <c r="N922" s="62" t="s">
        <v>5648</v>
      </c>
      <c r="O922" s="62" t="s">
        <v>44</v>
      </c>
      <c r="P922" s="62" t="s">
        <v>5649</v>
      </c>
      <c r="Q922" s="62" t="s">
        <v>5650</v>
      </c>
      <c r="R922" s="51" t="s">
        <v>56</v>
      </c>
      <c r="S922" s="320" t="s">
        <v>57</v>
      </c>
      <c r="T922" s="321">
        <v>46296.0</v>
      </c>
      <c r="U922" s="42"/>
      <c r="V922" s="62"/>
      <c r="W922" s="64"/>
      <c r="X922" s="223"/>
      <c r="Y922" s="223"/>
      <c r="Z922" s="223"/>
      <c r="AA922" s="223"/>
    </row>
    <row r="923">
      <c r="A923" s="42">
        <f t="shared" si="3"/>
        <v>922</v>
      </c>
      <c r="B923" s="51" t="s">
        <v>41</v>
      </c>
      <c r="C923" s="53" t="s">
        <v>5653</v>
      </c>
      <c r="D923" s="42" t="s">
        <v>44</v>
      </c>
      <c r="E923" s="42" t="s">
        <v>44</v>
      </c>
      <c r="F923" s="53" t="s">
        <v>5375</v>
      </c>
      <c r="G923" s="53" t="s">
        <v>47</v>
      </c>
      <c r="H923" s="53" t="s">
        <v>48</v>
      </c>
      <c r="I923" s="53" t="s">
        <v>401</v>
      </c>
      <c r="J923" s="53" t="s">
        <v>5376</v>
      </c>
      <c r="K923" s="53" t="s">
        <v>927</v>
      </c>
      <c r="L923" s="53" t="s">
        <v>52</v>
      </c>
      <c r="M923" s="53" t="s">
        <v>52</v>
      </c>
      <c r="N923" s="62" t="s">
        <v>5489</v>
      </c>
      <c r="O923" s="62" t="s">
        <v>44</v>
      </c>
      <c r="P923" s="62" t="s">
        <v>5654</v>
      </c>
      <c r="Q923" s="62" t="s">
        <v>5655</v>
      </c>
      <c r="R923" s="51" t="s">
        <v>56</v>
      </c>
      <c r="S923" s="320" t="s">
        <v>57</v>
      </c>
      <c r="T923" s="321">
        <v>46296.0</v>
      </c>
      <c r="U923" s="42"/>
      <c r="V923" s="62"/>
      <c r="W923" s="64"/>
      <c r="X923" s="223"/>
      <c r="Y923" s="223"/>
      <c r="Z923" s="223"/>
      <c r="AA923" s="223"/>
    </row>
    <row r="924">
      <c r="A924" s="42">
        <f t="shared" si="3"/>
        <v>923</v>
      </c>
      <c r="B924" s="51" t="s">
        <v>41</v>
      </c>
      <c r="C924" s="53" t="s">
        <v>5665</v>
      </c>
      <c r="D924" s="42" t="s">
        <v>44</v>
      </c>
      <c r="E924" s="42" t="s">
        <v>44</v>
      </c>
      <c r="F924" s="53" t="s">
        <v>5375</v>
      </c>
      <c r="G924" s="53" t="s">
        <v>47</v>
      </c>
      <c r="H924" s="53" t="s">
        <v>48</v>
      </c>
      <c r="I924" s="53" t="s">
        <v>401</v>
      </c>
      <c r="J924" s="53" t="s">
        <v>5376</v>
      </c>
      <c r="K924" s="53" t="s">
        <v>927</v>
      </c>
      <c r="L924" s="53" t="s">
        <v>52</v>
      </c>
      <c r="M924" s="53" t="s">
        <v>52</v>
      </c>
      <c r="N924" s="62" t="s">
        <v>5489</v>
      </c>
      <c r="O924" s="62" t="s">
        <v>44</v>
      </c>
      <c r="P924" s="62" t="s">
        <v>5666</v>
      </c>
      <c r="Q924" s="62" t="s">
        <v>5667</v>
      </c>
      <c r="R924" s="51" t="s">
        <v>56</v>
      </c>
      <c r="S924" s="320" t="s">
        <v>57</v>
      </c>
      <c r="T924" s="321">
        <v>46296.0</v>
      </c>
      <c r="U924" s="42"/>
      <c r="V924" s="62"/>
      <c r="W924" s="64"/>
      <c r="X924" s="223"/>
      <c r="Y924" s="223"/>
      <c r="Z924" s="223"/>
      <c r="AA924" s="223"/>
    </row>
    <row r="925">
      <c r="A925" s="42">
        <f t="shared" si="3"/>
        <v>924</v>
      </c>
      <c r="B925" s="51" t="s">
        <v>41</v>
      </c>
      <c r="C925" s="53" t="s">
        <v>5670</v>
      </c>
      <c r="D925" s="42" t="s">
        <v>44</v>
      </c>
      <c r="E925" s="42" t="s">
        <v>44</v>
      </c>
      <c r="F925" s="53" t="s">
        <v>5375</v>
      </c>
      <c r="G925" s="53" t="s">
        <v>47</v>
      </c>
      <c r="H925" s="53" t="s">
        <v>48</v>
      </c>
      <c r="I925" s="53" t="s">
        <v>401</v>
      </c>
      <c r="J925" s="53" t="s">
        <v>5376</v>
      </c>
      <c r="K925" s="53" t="s">
        <v>927</v>
      </c>
      <c r="L925" s="53" t="s">
        <v>52</v>
      </c>
      <c r="M925" s="53" t="s">
        <v>52</v>
      </c>
      <c r="N925" s="62" t="s">
        <v>5671</v>
      </c>
      <c r="O925" s="62" t="s">
        <v>44</v>
      </c>
      <c r="P925" s="62" t="s">
        <v>5672</v>
      </c>
      <c r="Q925" s="309" t="s">
        <v>5984</v>
      </c>
      <c r="R925" s="51" t="s">
        <v>56</v>
      </c>
      <c r="S925" s="320" t="s">
        <v>57</v>
      </c>
      <c r="T925" s="321">
        <v>46296.0</v>
      </c>
      <c r="U925" s="42"/>
      <c r="V925" s="62"/>
      <c r="W925" s="64"/>
      <c r="X925" s="223"/>
      <c r="Y925" s="223"/>
      <c r="Z925" s="223"/>
      <c r="AA925" s="223"/>
    </row>
    <row r="926">
      <c r="A926" s="42">
        <f t="shared" si="3"/>
        <v>925</v>
      </c>
      <c r="B926" s="51" t="s">
        <v>41</v>
      </c>
      <c r="C926" s="53" t="s">
        <v>5677</v>
      </c>
      <c r="D926" s="42" t="s">
        <v>44</v>
      </c>
      <c r="E926" s="42" t="s">
        <v>44</v>
      </c>
      <c r="F926" s="53" t="s">
        <v>5375</v>
      </c>
      <c r="G926" s="53" t="s">
        <v>47</v>
      </c>
      <c r="H926" s="53" t="s">
        <v>48</v>
      </c>
      <c r="I926" s="53" t="s">
        <v>401</v>
      </c>
      <c r="J926" s="53" t="s">
        <v>5376</v>
      </c>
      <c r="K926" s="53" t="s">
        <v>927</v>
      </c>
      <c r="L926" s="53" t="s">
        <v>52</v>
      </c>
      <c r="M926" s="53" t="s">
        <v>52</v>
      </c>
      <c r="N926" s="62" t="s">
        <v>5671</v>
      </c>
      <c r="O926" s="62" t="s">
        <v>44</v>
      </c>
      <c r="P926" s="62" t="s">
        <v>5678</v>
      </c>
      <c r="Q926" s="309" t="s">
        <v>5985</v>
      </c>
      <c r="R926" s="51" t="s">
        <v>56</v>
      </c>
      <c r="S926" s="320" t="s">
        <v>57</v>
      </c>
      <c r="T926" s="321">
        <v>46296.0</v>
      </c>
      <c r="U926" s="42"/>
      <c r="V926" s="62"/>
      <c r="W926" s="64"/>
      <c r="X926" s="223"/>
      <c r="Y926" s="223"/>
      <c r="Z926" s="223"/>
      <c r="AA926" s="223"/>
    </row>
    <row r="927">
      <c r="A927" s="42">
        <f t="shared" si="3"/>
        <v>926</v>
      </c>
      <c r="B927" s="51" t="s">
        <v>41</v>
      </c>
      <c r="C927" s="53" t="s">
        <v>5682</v>
      </c>
      <c r="D927" s="42" t="s">
        <v>44</v>
      </c>
      <c r="E927" s="42" t="s">
        <v>44</v>
      </c>
      <c r="F927" s="53" t="s">
        <v>5375</v>
      </c>
      <c r="G927" s="53" t="s">
        <v>111</v>
      </c>
      <c r="H927" s="53" t="s">
        <v>91</v>
      </c>
      <c r="I927" s="53" t="s">
        <v>401</v>
      </c>
      <c r="J927" s="53" t="s">
        <v>5376</v>
      </c>
      <c r="K927" s="53" t="s">
        <v>927</v>
      </c>
      <c r="L927" s="53" t="s">
        <v>52</v>
      </c>
      <c r="M927" s="53" t="s">
        <v>52</v>
      </c>
      <c r="N927" s="62" t="s">
        <v>5671</v>
      </c>
      <c r="O927" s="62" t="s">
        <v>44</v>
      </c>
      <c r="P927" s="62" t="s">
        <v>5683</v>
      </c>
      <c r="Q927" s="62" t="s">
        <v>5684</v>
      </c>
      <c r="R927" s="51" t="s">
        <v>56</v>
      </c>
      <c r="S927" s="320" t="s">
        <v>57</v>
      </c>
      <c r="T927" s="321">
        <v>46296.0</v>
      </c>
      <c r="U927" s="42"/>
      <c r="V927" s="62"/>
      <c r="W927" s="64"/>
      <c r="X927" s="223"/>
      <c r="Y927" s="223"/>
      <c r="Z927" s="223"/>
      <c r="AA927" s="223"/>
    </row>
    <row r="928">
      <c r="A928" s="42">
        <f t="shared" si="3"/>
        <v>927</v>
      </c>
      <c r="B928" s="51" t="s">
        <v>41</v>
      </c>
      <c r="C928" s="53" t="s">
        <v>5687</v>
      </c>
      <c r="D928" s="42" t="s">
        <v>44</v>
      </c>
      <c r="E928" s="42" t="s">
        <v>44</v>
      </c>
      <c r="F928" s="53" t="s">
        <v>5375</v>
      </c>
      <c r="G928" s="53" t="s">
        <v>111</v>
      </c>
      <c r="H928" s="53" t="s">
        <v>91</v>
      </c>
      <c r="I928" s="53" t="s">
        <v>401</v>
      </c>
      <c r="J928" s="53" t="s">
        <v>5376</v>
      </c>
      <c r="K928" s="53" t="s">
        <v>927</v>
      </c>
      <c r="L928" s="53" t="s">
        <v>52</v>
      </c>
      <c r="M928" s="53" t="s">
        <v>52</v>
      </c>
      <c r="N928" s="62" t="s">
        <v>5671</v>
      </c>
      <c r="O928" s="62" t="s">
        <v>44</v>
      </c>
      <c r="P928" s="62" t="s">
        <v>5688</v>
      </c>
      <c r="Q928" s="309" t="s">
        <v>1407</v>
      </c>
      <c r="R928" s="51" t="s">
        <v>56</v>
      </c>
      <c r="S928" s="320" t="s">
        <v>57</v>
      </c>
      <c r="T928" s="321">
        <v>46296.0</v>
      </c>
      <c r="U928" s="42"/>
      <c r="V928" s="62"/>
      <c r="W928" s="64"/>
      <c r="X928" s="223"/>
      <c r="Y928" s="223"/>
      <c r="Z928" s="223"/>
      <c r="AA928" s="223"/>
    </row>
    <row r="929">
      <c r="A929" s="42">
        <f t="shared" si="3"/>
        <v>928</v>
      </c>
      <c r="B929" s="51" t="s">
        <v>41</v>
      </c>
      <c r="C929" s="53" t="s">
        <v>5693</v>
      </c>
      <c r="D929" s="42" t="s">
        <v>44</v>
      </c>
      <c r="E929" s="42" t="s">
        <v>44</v>
      </c>
      <c r="F929" s="53" t="s">
        <v>5375</v>
      </c>
      <c r="G929" s="53" t="s">
        <v>47</v>
      </c>
      <c r="H929" s="53" t="s">
        <v>48</v>
      </c>
      <c r="I929" s="53" t="s">
        <v>401</v>
      </c>
      <c r="J929" s="53" t="s">
        <v>5376</v>
      </c>
      <c r="K929" s="53" t="s">
        <v>927</v>
      </c>
      <c r="L929" s="53" t="s">
        <v>52</v>
      </c>
      <c r="M929" s="53" t="s">
        <v>52</v>
      </c>
      <c r="N929" s="62" t="s">
        <v>5489</v>
      </c>
      <c r="O929" s="62" t="s">
        <v>44</v>
      </c>
      <c r="P929" s="62" t="s">
        <v>5694</v>
      </c>
      <c r="Q929" s="309" t="s">
        <v>5986</v>
      </c>
      <c r="R929" s="51" t="s">
        <v>56</v>
      </c>
      <c r="S929" s="320" t="s">
        <v>57</v>
      </c>
      <c r="T929" s="321">
        <v>46296.0</v>
      </c>
      <c r="U929" s="42"/>
      <c r="V929" s="62"/>
      <c r="W929" s="64"/>
      <c r="X929" s="223"/>
      <c r="Y929" s="223"/>
      <c r="Z929" s="223"/>
      <c r="AA929" s="223"/>
    </row>
    <row r="930">
      <c r="A930" s="42">
        <f t="shared" si="3"/>
        <v>929</v>
      </c>
      <c r="B930" s="51" t="s">
        <v>41</v>
      </c>
      <c r="C930" s="53" t="s">
        <v>5699</v>
      </c>
      <c r="D930" s="42" t="s">
        <v>44</v>
      </c>
      <c r="E930" s="42" t="s">
        <v>44</v>
      </c>
      <c r="F930" s="53" t="s">
        <v>5375</v>
      </c>
      <c r="G930" s="53" t="s">
        <v>197</v>
      </c>
      <c r="H930" s="53" t="s">
        <v>198</v>
      </c>
      <c r="I930" s="53" t="s">
        <v>401</v>
      </c>
      <c r="J930" s="53" t="s">
        <v>5376</v>
      </c>
      <c r="K930" s="53" t="s">
        <v>927</v>
      </c>
      <c r="L930" s="53" t="s">
        <v>52</v>
      </c>
      <c r="M930" s="53" t="s">
        <v>52</v>
      </c>
      <c r="N930" s="62" t="s">
        <v>5489</v>
      </c>
      <c r="O930" s="62" t="s">
        <v>44</v>
      </c>
      <c r="P930" s="62" t="s">
        <v>5700</v>
      </c>
      <c r="Q930" s="62" t="s">
        <v>5701</v>
      </c>
      <c r="R930" s="51" t="s">
        <v>56</v>
      </c>
      <c r="S930" s="320" t="s">
        <v>57</v>
      </c>
      <c r="T930" s="321">
        <v>46296.0</v>
      </c>
      <c r="U930" s="42"/>
      <c r="V930" s="62"/>
      <c r="W930" s="64"/>
      <c r="X930" s="223"/>
      <c r="Y930" s="223"/>
      <c r="Z930" s="223"/>
      <c r="AA930" s="223"/>
    </row>
    <row r="931">
      <c r="A931" s="42">
        <f t="shared" si="3"/>
        <v>930</v>
      </c>
      <c r="B931" s="51" t="s">
        <v>41</v>
      </c>
      <c r="C931" s="53" t="s">
        <v>5705</v>
      </c>
      <c r="D931" s="42" t="s">
        <v>44</v>
      </c>
      <c r="E931" s="42" t="s">
        <v>44</v>
      </c>
      <c r="F931" s="53" t="s">
        <v>5375</v>
      </c>
      <c r="G931" s="53" t="s">
        <v>47</v>
      </c>
      <c r="H931" s="53" t="s">
        <v>48</v>
      </c>
      <c r="I931" s="53" t="s">
        <v>401</v>
      </c>
      <c r="J931" s="53" t="s">
        <v>5376</v>
      </c>
      <c r="K931" s="53" t="s">
        <v>927</v>
      </c>
      <c r="L931" s="53" t="s">
        <v>52</v>
      </c>
      <c r="M931" s="53" t="s">
        <v>52</v>
      </c>
      <c r="N931" s="62" t="s">
        <v>5489</v>
      </c>
      <c r="O931" s="62" t="s">
        <v>44</v>
      </c>
      <c r="P931" s="62" t="s">
        <v>5706</v>
      </c>
      <c r="Q931" s="309" t="s">
        <v>5987</v>
      </c>
      <c r="R931" s="51" t="s">
        <v>56</v>
      </c>
      <c r="S931" s="320" t="s">
        <v>57</v>
      </c>
      <c r="T931" s="321">
        <v>46296.0</v>
      </c>
      <c r="U931" s="42"/>
      <c r="V931" s="62"/>
      <c r="W931" s="64"/>
      <c r="X931" s="223"/>
      <c r="Y931" s="223"/>
      <c r="Z931" s="223"/>
      <c r="AA931" s="223"/>
    </row>
    <row r="932">
      <c r="A932" s="42">
        <f t="shared" si="3"/>
        <v>931</v>
      </c>
      <c r="B932" s="51" t="s">
        <v>41</v>
      </c>
      <c r="C932" s="53" t="s">
        <v>5711</v>
      </c>
      <c r="D932" s="42" t="s">
        <v>44</v>
      </c>
      <c r="E932" s="42" t="s">
        <v>44</v>
      </c>
      <c r="F932" s="53" t="s">
        <v>5375</v>
      </c>
      <c r="G932" s="53" t="s">
        <v>47</v>
      </c>
      <c r="H932" s="53" t="s">
        <v>91</v>
      </c>
      <c r="I932" s="53" t="s">
        <v>401</v>
      </c>
      <c r="J932" s="53" t="s">
        <v>5376</v>
      </c>
      <c r="K932" s="53" t="s">
        <v>927</v>
      </c>
      <c r="L932" s="53" t="s">
        <v>52</v>
      </c>
      <c r="M932" s="53" t="s">
        <v>52</v>
      </c>
      <c r="N932" s="62" t="s">
        <v>5712</v>
      </c>
      <c r="O932" s="62" t="s">
        <v>44</v>
      </c>
      <c r="P932" s="62" t="s">
        <v>5713</v>
      </c>
      <c r="Q932" s="309" t="s">
        <v>5988</v>
      </c>
      <c r="R932" s="51" t="s">
        <v>56</v>
      </c>
      <c r="S932" s="320" t="s">
        <v>57</v>
      </c>
      <c r="T932" s="321">
        <v>46296.0</v>
      </c>
      <c r="U932" s="42"/>
      <c r="V932" s="62"/>
      <c r="W932" s="64"/>
      <c r="X932" s="223"/>
      <c r="Y932" s="223"/>
      <c r="Z932" s="223"/>
      <c r="AA932" s="223"/>
    </row>
    <row r="933">
      <c r="A933" s="42">
        <f t="shared" si="3"/>
        <v>932</v>
      </c>
      <c r="B933" s="51" t="s">
        <v>41</v>
      </c>
      <c r="C933" s="53" t="s">
        <v>5718</v>
      </c>
      <c r="D933" s="42" t="s">
        <v>44</v>
      </c>
      <c r="E933" s="42" t="s">
        <v>44</v>
      </c>
      <c r="F933" s="53" t="s">
        <v>5375</v>
      </c>
      <c r="G933" s="53" t="s">
        <v>47</v>
      </c>
      <c r="H933" s="53" t="s">
        <v>48</v>
      </c>
      <c r="I933" s="53" t="s">
        <v>401</v>
      </c>
      <c r="J933" s="53" t="s">
        <v>5376</v>
      </c>
      <c r="K933" s="53" t="s">
        <v>927</v>
      </c>
      <c r="L933" s="53" t="s">
        <v>52</v>
      </c>
      <c r="M933" s="53" t="s">
        <v>52</v>
      </c>
      <c r="N933" s="62" t="s">
        <v>5489</v>
      </c>
      <c r="O933" s="62" t="s">
        <v>44</v>
      </c>
      <c r="P933" s="62" t="s">
        <v>4673</v>
      </c>
      <c r="Q933" s="309" t="s">
        <v>5989</v>
      </c>
      <c r="R933" s="51" t="s">
        <v>56</v>
      </c>
      <c r="S933" s="320" t="s">
        <v>57</v>
      </c>
      <c r="T933" s="321">
        <v>46296.0</v>
      </c>
      <c r="U933" s="42"/>
      <c r="V933" s="62"/>
      <c r="W933" s="64"/>
      <c r="X933" s="223"/>
      <c r="Y933" s="223"/>
      <c r="Z933" s="223"/>
      <c r="AA933" s="223"/>
    </row>
    <row r="934">
      <c r="A934" s="42">
        <f t="shared" si="3"/>
        <v>933</v>
      </c>
      <c r="B934" s="51" t="s">
        <v>41</v>
      </c>
      <c r="C934" s="53" t="s">
        <v>5723</v>
      </c>
      <c r="D934" s="42" t="s">
        <v>44</v>
      </c>
      <c r="E934" s="42" t="s">
        <v>44</v>
      </c>
      <c r="F934" s="53" t="s">
        <v>5724</v>
      </c>
      <c r="G934" s="53" t="s">
        <v>111</v>
      </c>
      <c r="H934" s="53" t="s">
        <v>112</v>
      </c>
      <c r="I934" s="53" t="s">
        <v>401</v>
      </c>
      <c r="J934" s="53" t="s">
        <v>5725</v>
      </c>
      <c r="K934" s="53" t="s">
        <v>1615</v>
      </c>
      <c r="L934" s="53" t="s">
        <v>52</v>
      </c>
      <c r="M934" s="53" t="s">
        <v>52</v>
      </c>
      <c r="N934" s="62" t="s">
        <v>5726</v>
      </c>
      <c r="O934" s="62" t="s">
        <v>44</v>
      </c>
      <c r="P934" s="62" t="s">
        <v>5727</v>
      </c>
      <c r="Q934" s="62" t="s">
        <v>5728</v>
      </c>
      <c r="R934" s="51" t="s">
        <v>56</v>
      </c>
      <c r="S934" s="320" t="s">
        <v>57</v>
      </c>
      <c r="T934" s="322">
        <v>46297.0</v>
      </c>
      <c r="U934" s="42"/>
      <c r="V934" s="62"/>
      <c r="W934" s="64"/>
      <c r="X934" s="223"/>
      <c r="Y934" s="223"/>
      <c r="Z934" s="223"/>
      <c r="AA934" s="223"/>
    </row>
    <row r="935">
      <c r="A935" s="42">
        <f t="shared" si="3"/>
        <v>934</v>
      </c>
      <c r="B935" s="51" t="s">
        <v>41</v>
      </c>
      <c r="C935" s="53" t="s">
        <v>5731</v>
      </c>
      <c r="D935" s="42" t="s">
        <v>44</v>
      </c>
      <c r="E935" s="42" t="s">
        <v>44</v>
      </c>
      <c r="F935" s="53" t="s">
        <v>5724</v>
      </c>
      <c r="G935" s="53" t="s">
        <v>47</v>
      </c>
      <c r="H935" s="53" t="s">
        <v>48</v>
      </c>
      <c r="I935" s="53" t="s">
        <v>401</v>
      </c>
      <c r="J935" s="53" t="s">
        <v>5725</v>
      </c>
      <c r="K935" s="53" t="s">
        <v>1615</v>
      </c>
      <c r="L935" s="53" t="s">
        <v>52</v>
      </c>
      <c r="M935" s="53" t="s">
        <v>52</v>
      </c>
      <c r="N935" s="62" t="s">
        <v>5732</v>
      </c>
      <c r="O935" s="62" t="s">
        <v>44</v>
      </c>
      <c r="P935" s="62" t="s">
        <v>5384</v>
      </c>
      <c r="Q935" s="62" t="s">
        <v>5733</v>
      </c>
      <c r="R935" s="51" t="s">
        <v>56</v>
      </c>
      <c r="S935" s="320" t="s">
        <v>57</v>
      </c>
      <c r="T935" s="322">
        <v>46297.0</v>
      </c>
      <c r="U935" s="42"/>
      <c r="V935" s="62"/>
      <c r="W935" s="64"/>
      <c r="X935" s="223"/>
      <c r="Y935" s="223"/>
      <c r="Z935" s="223"/>
      <c r="AA935" s="223"/>
    </row>
    <row r="936">
      <c r="A936" s="42">
        <f t="shared" si="3"/>
        <v>935</v>
      </c>
      <c r="B936" s="51" t="s">
        <v>41</v>
      </c>
      <c r="C936" s="53" t="s">
        <v>5736</v>
      </c>
      <c r="D936" s="42" t="s">
        <v>44</v>
      </c>
      <c r="E936" s="42" t="s">
        <v>44</v>
      </c>
      <c r="F936" s="53" t="s">
        <v>5724</v>
      </c>
      <c r="G936" s="53" t="s">
        <v>47</v>
      </c>
      <c r="H936" s="53" t="s">
        <v>48</v>
      </c>
      <c r="I936" s="53" t="s">
        <v>401</v>
      </c>
      <c r="J936" s="53" t="s">
        <v>5725</v>
      </c>
      <c r="K936" s="53" t="s">
        <v>1615</v>
      </c>
      <c r="L936" s="53" t="s">
        <v>52</v>
      </c>
      <c r="M936" s="53" t="s">
        <v>52</v>
      </c>
      <c r="N936" s="62" t="s">
        <v>5732</v>
      </c>
      <c r="O936" s="62" t="s">
        <v>44</v>
      </c>
      <c r="P936" s="62" t="s">
        <v>5389</v>
      </c>
      <c r="Q936" s="62" t="s">
        <v>5737</v>
      </c>
      <c r="R936" s="51" t="s">
        <v>56</v>
      </c>
      <c r="S936" s="320" t="s">
        <v>57</v>
      </c>
      <c r="T936" s="322">
        <v>46297.0</v>
      </c>
      <c r="U936" s="53"/>
      <c r="V936" s="62"/>
      <c r="W936" s="64"/>
      <c r="X936" s="223"/>
      <c r="Y936" s="223"/>
      <c r="Z936" s="223"/>
      <c r="AA936" s="223"/>
    </row>
    <row r="937">
      <c r="A937" s="42">
        <f t="shared" si="3"/>
        <v>936</v>
      </c>
      <c r="B937" s="51" t="s">
        <v>41</v>
      </c>
      <c r="C937" s="53" t="s">
        <v>5740</v>
      </c>
      <c r="D937" s="42" t="s">
        <v>44</v>
      </c>
      <c r="E937" s="42" t="s">
        <v>44</v>
      </c>
      <c r="F937" s="53" t="s">
        <v>5724</v>
      </c>
      <c r="G937" s="53" t="s">
        <v>47</v>
      </c>
      <c r="H937" s="53" t="s">
        <v>48</v>
      </c>
      <c r="I937" s="53" t="s">
        <v>401</v>
      </c>
      <c r="J937" s="53" t="s">
        <v>5725</v>
      </c>
      <c r="K937" s="53" t="s">
        <v>1615</v>
      </c>
      <c r="L937" s="53" t="s">
        <v>52</v>
      </c>
      <c r="M937" s="53" t="s">
        <v>52</v>
      </c>
      <c r="N937" s="306" t="s">
        <v>5732</v>
      </c>
      <c r="O937" s="62" t="s">
        <v>44</v>
      </c>
      <c r="P937" s="62" t="s">
        <v>5741</v>
      </c>
      <c r="Q937" s="62" t="s">
        <v>5742</v>
      </c>
      <c r="R937" s="51" t="s">
        <v>56</v>
      </c>
      <c r="S937" s="320" t="s">
        <v>57</v>
      </c>
      <c r="T937" s="322">
        <v>46297.0</v>
      </c>
      <c r="U937" s="42"/>
      <c r="V937" s="62"/>
      <c r="W937" s="64"/>
      <c r="X937" s="223"/>
      <c r="Y937" s="223"/>
      <c r="Z937" s="223"/>
      <c r="AA937" s="223"/>
    </row>
    <row r="938">
      <c r="A938" s="42">
        <f t="shared" si="3"/>
        <v>937</v>
      </c>
      <c r="B938" s="51" t="s">
        <v>41</v>
      </c>
      <c r="C938" s="53" t="s">
        <v>5745</v>
      </c>
      <c r="D938" s="42" t="s">
        <v>44</v>
      </c>
      <c r="E938" s="42" t="s">
        <v>44</v>
      </c>
      <c r="F938" s="53" t="s">
        <v>5724</v>
      </c>
      <c r="G938" s="53" t="s">
        <v>47</v>
      </c>
      <c r="H938" s="53" t="s">
        <v>48</v>
      </c>
      <c r="I938" s="53" t="s">
        <v>401</v>
      </c>
      <c r="J938" s="53" t="s">
        <v>5725</v>
      </c>
      <c r="K938" s="53" t="s">
        <v>1615</v>
      </c>
      <c r="L938" s="53" t="s">
        <v>52</v>
      </c>
      <c r="M938" s="53" t="s">
        <v>52</v>
      </c>
      <c r="N938" s="62" t="s">
        <v>5732</v>
      </c>
      <c r="O938" s="62" t="s">
        <v>44</v>
      </c>
      <c r="P938" s="62" t="s">
        <v>5746</v>
      </c>
      <c r="Q938" s="62" t="s">
        <v>5747</v>
      </c>
      <c r="R938" s="51" t="s">
        <v>56</v>
      </c>
      <c r="S938" s="320" t="s">
        <v>57</v>
      </c>
      <c r="T938" s="322">
        <v>46297.0</v>
      </c>
      <c r="U938" s="42"/>
      <c r="V938" s="62"/>
      <c r="W938" s="64"/>
      <c r="X938" s="223"/>
      <c r="Y938" s="223"/>
      <c r="Z938" s="223"/>
      <c r="AA938" s="223"/>
    </row>
    <row r="939">
      <c r="A939" s="42">
        <f t="shared" si="3"/>
        <v>938</v>
      </c>
      <c r="B939" s="51" t="s">
        <v>41</v>
      </c>
      <c r="C939" s="53" t="s">
        <v>5751</v>
      </c>
      <c r="D939" s="42" t="s">
        <v>44</v>
      </c>
      <c r="E939" s="42" t="s">
        <v>44</v>
      </c>
      <c r="F939" s="53" t="s">
        <v>5724</v>
      </c>
      <c r="G939" s="53" t="s">
        <v>47</v>
      </c>
      <c r="H939" s="53" t="s">
        <v>91</v>
      </c>
      <c r="I939" s="53" t="s">
        <v>401</v>
      </c>
      <c r="J939" s="53" t="s">
        <v>5725</v>
      </c>
      <c r="K939" s="53" t="s">
        <v>1615</v>
      </c>
      <c r="L939" s="53" t="s">
        <v>52</v>
      </c>
      <c r="M939" s="53" t="s">
        <v>52</v>
      </c>
      <c r="N939" s="62" t="s">
        <v>5732</v>
      </c>
      <c r="O939" s="62" t="s">
        <v>44</v>
      </c>
      <c r="P939" s="62" t="s">
        <v>5752</v>
      </c>
      <c r="Q939" s="62" t="s">
        <v>5753</v>
      </c>
      <c r="R939" s="51" t="s">
        <v>56</v>
      </c>
      <c r="S939" s="320" t="s">
        <v>57</v>
      </c>
      <c r="T939" s="322">
        <v>46297.0</v>
      </c>
      <c r="U939" s="42"/>
      <c r="V939" s="62"/>
      <c r="W939" s="64"/>
      <c r="X939" s="223"/>
      <c r="Y939" s="223"/>
      <c r="Z939" s="223"/>
      <c r="AA939" s="223"/>
    </row>
    <row r="940">
      <c r="A940" s="42">
        <f t="shared" si="3"/>
        <v>939</v>
      </c>
      <c r="B940" s="51" t="s">
        <v>41</v>
      </c>
      <c r="C940" s="53" t="s">
        <v>5757</v>
      </c>
      <c r="D940" s="42" t="s">
        <v>44</v>
      </c>
      <c r="E940" s="42" t="s">
        <v>44</v>
      </c>
      <c r="F940" s="53" t="s">
        <v>5724</v>
      </c>
      <c r="G940" s="53" t="s">
        <v>47</v>
      </c>
      <c r="H940" s="53" t="s">
        <v>48</v>
      </c>
      <c r="I940" s="53" t="s">
        <v>401</v>
      </c>
      <c r="J940" s="53" t="s">
        <v>5725</v>
      </c>
      <c r="K940" s="53" t="s">
        <v>1615</v>
      </c>
      <c r="L940" s="53" t="s">
        <v>52</v>
      </c>
      <c r="M940" s="53" t="s">
        <v>52</v>
      </c>
      <c r="N940" s="62" t="s">
        <v>5758</v>
      </c>
      <c r="O940" s="62" t="s">
        <v>44</v>
      </c>
      <c r="P940" s="62" t="s">
        <v>5442</v>
      </c>
      <c r="Q940" s="62" t="s">
        <v>5759</v>
      </c>
      <c r="R940" s="51" t="s">
        <v>56</v>
      </c>
      <c r="S940" s="320" t="s">
        <v>57</v>
      </c>
      <c r="T940" s="322">
        <v>46297.0</v>
      </c>
      <c r="U940" s="42"/>
      <c r="V940" s="62"/>
      <c r="W940" s="64"/>
      <c r="X940" s="223"/>
      <c r="Y940" s="223"/>
      <c r="Z940" s="223"/>
      <c r="AA940" s="223"/>
    </row>
    <row r="941">
      <c r="A941" s="42">
        <f t="shared" si="3"/>
        <v>940</v>
      </c>
      <c r="B941" s="51" t="s">
        <v>41</v>
      </c>
      <c r="C941" s="53" t="s">
        <v>5762</v>
      </c>
      <c r="D941" s="42" t="s">
        <v>44</v>
      </c>
      <c r="E941" s="42" t="s">
        <v>44</v>
      </c>
      <c r="F941" s="53" t="s">
        <v>5724</v>
      </c>
      <c r="G941" s="53" t="s">
        <v>47</v>
      </c>
      <c r="H941" s="53" t="s">
        <v>48</v>
      </c>
      <c r="I941" s="53" t="s">
        <v>401</v>
      </c>
      <c r="J941" s="53" t="s">
        <v>5725</v>
      </c>
      <c r="K941" s="53" t="s">
        <v>1615</v>
      </c>
      <c r="L941" s="53" t="s">
        <v>52</v>
      </c>
      <c r="M941" s="53" t="s">
        <v>52</v>
      </c>
      <c r="N941" s="62" t="s">
        <v>5732</v>
      </c>
      <c r="O941" s="62" t="s">
        <v>44</v>
      </c>
      <c r="P941" s="62" t="s">
        <v>5448</v>
      </c>
      <c r="Q941" s="62" t="s">
        <v>5763</v>
      </c>
      <c r="R941" s="51" t="s">
        <v>56</v>
      </c>
      <c r="S941" s="320" t="s">
        <v>57</v>
      </c>
      <c r="T941" s="322">
        <v>46297.0</v>
      </c>
      <c r="U941" s="42"/>
      <c r="V941" s="62"/>
      <c r="W941" s="64"/>
      <c r="X941" s="223"/>
      <c r="Y941" s="223"/>
      <c r="Z941" s="223"/>
      <c r="AA941" s="223"/>
    </row>
    <row r="942">
      <c r="A942" s="42">
        <f t="shared" si="3"/>
        <v>941</v>
      </c>
      <c r="B942" s="51" t="s">
        <v>41</v>
      </c>
      <c r="C942" s="53" t="s">
        <v>5767</v>
      </c>
      <c r="D942" s="42" t="s">
        <v>44</v>
      </c>
      <c r="E942" s="42" t="s">
        <v>44</v>
      </c>
      <c r="F942" s="53" t="s">
        <v>5724</v>
      </c>
      <c r="G942" s="53" t="s">
        <v>47</v>
      </c>
      <c r="H942" s="53" t="s">
        <v>48</v>
      </c>
      <c r="I942" s="53" t="s">
        <v>401</v>
      </c>
      <c r="J942" s="53" t="s">
        <v>5725</v>
      </c>
      <c r="K942" s="53" t="s">
        <v>1615</v>
      </c>
      <c r="L942" s="53" t="s">
        <v>52</v>
      </c>
      <c r="M942" s="53" t="s">
        <v>52</v>
      </c>
      <c r="N942" s="62" t="s">
        <v>5732</v>
      </c>
      <c r="O942" s="62" t="s">
        <v>44</v>
      </c>
      <c r="P942" s="62" t="s">
        <v>1002</v>
      </c>
      <c r="Q942" s="62" t="s">
        <v>5768</v>
      </c>
      <c r="R942" s="51" t="s">
        <v>56</v>
      </c>
      <c r="S942" s="320" t="s">
        <v>57</v>
      </c>
      <c r="T942" s="322">
        <v>46297.0</v>
      </c>
      <c r="U942" s="42"/>
      <c r="V942" s="62"/>
      <c r="W942" s="64"/>
      <c r="X942" s="223"/>
      <c r="Y942" s="223"/>
      <c r="Z942" s="223"/>
      <c r="AA942" s="223"/>
    </row>
    <row r="943">
      <c r="A943" s="42">
        <f t="shared" si="3"/>
        <v>942</v>
      </c>
      <c r="B943" s="51" t="s">
        <v>41</v>
      </c>
      <c r="C943" s="53" t="s">
        <v>5779</v>
      </c>
      <c r="D943" s="42" t="s">
        <v>44</v>
      </c>
      <c r="E943" s="42" t="s">
        <v>44</v>
      </c>
      <c r="F943" s="53" t="s">
        <v>5724</v>
      </c>
      <c r="G943" s="53" t="s">
        <v>47</v>
      </c>
      <c r="H943" s="53" t="s">
        <v>48</v>
      </c>
      <c r="I943" s="53" t="s">
        <v>401</v>
      </c>
      <c r="J943" s="53" t="s">
        <v>5725</v>
      </c>
      <c r="K943" s="53" t="s">
        <v>1615</v>
      </c>
      <c r="L943" s="53" t="s">
        <v>52</v>
      </c>
      <c r="M943" s="53" t="s">
        <v>52</v>
      </c>
      <c r="N943" s="62" t="s">
        <v>5773</v>
      </c>
      <c r="O943" s="62" t="s">
        <v>44</v>
      </c>
      <c r="P943" s="62" t="s">
        <v>5780</v>
      </c>
      <c r="Q943" s="62" t="s">
        <v>5781</v>
      </c>
      <c r="R943" s="51" t="s">
        <v>56</v>
      </c>
      <c r="S943" s="320" t="s">
        <v>57</v>
      </c>
      <c r="T943" s="322">
        <v>46297.0</v>
      </c>
      <c r="U943" s="42"/>
      <c r="V943" s="62"/>
      <c r="W943" s="64"/>
      <c r="X943" s="223"/>
      <c r="Y943" s="223"/>
      <c r="Z943" s="223"/>
      <c r="AA943" s="223"/>
    </row>
    <row r="944">
      <c r="A944" s="42">
        <f t="shared" si="3"/>
        <v>943</v>
      </c>
      <c r="B944" s="51" t="s">
        <v>41</v>
      </c>
      <c r="C944" s="53" t="s">
        <v>5784</v>
      </c>
      <c r="D944" s="42" t="s">
        <v>44</v>
      </c>
      <c r="E944" s="42" t="s">
        <v>44</v>
      </c>
      <c r="F944" s="53" t="s">
        <v>5724</v>
      </c>
      <c r="G944" s="53" t="s">
        <v>47</v>
      </c>
      <c r="H944" s="53" t="s">
        <v>48</v>
      </c>
      <c r="I944" s="53" t="s">
        <v>401</v>
      </c>
      <c r="J944" s="53" t="s">
        <v>5725</v>
      </c>
      <c r="K944" s="53" t="s">
        <v>1615</v>
      </c>
      <c r="L944" s="53" t="s">
        <v>52</v>
      </c>
      <c r="M944" s="53" t="s">
        <v>52</v>
      </c>
      <c r="N944" s="62" t="s">
        <v>5773</v>
      </c>
      <c r="O944" s="62" t="s">
        <v>44</v>
      </c>
      <c r="P944" s="62" t="s">
        <v>5785</v>
      </c>
      <c r="Q944" s="62" t="s">
        <v>5786</v>
      </c>
      <c r="R944" s="53"/>
      <c r="S944" s="320" t="s">
        <v>57</v>
      </c>
      <c r="T944" s="322">
        <v>46297.0</v>
      </c>
      <c r="U944" s="42"/>
      <c r="V944" s="62"/>
      <c r="W944" s="64"/>
      <c r="X944" s="223"/>
      <c r="Y944" s="223"/>
      <c r="Z944" s="223"/>
      <c r="AA944" s="223"/>
    </row>
    <row r="945">
      <c r="A945" s="42">
        <f t="shared" si="3"/>
        <v>944</v>
      </c>
      <c r="B945" s="51" t="s">
        <v>41</v>
      </c>
      <c r="C945" s="53" t="s">
        <v>5790</v>
      </c>
      <c r="D945" s="42" t="s">
        <v>44</v>
      </c>
      <c r="E945" s="42" t="s">
        <v>44</v>
      </c>
      <c r="F945" s="53" t="s">
        <v>5724</v>
      </c>
      <c r="G945" s="53" t="s">
        <v>47</v>
      </c>
      <c r="H945" s="53" t="s">
        <v>48</v>
      </c>
      <c r="I945" s="53" t="s">
        <v>401</v>
      </c>
      <c r="J945" s="53" t="s">
        <v>5725</v>
      </c>
      <c r="K945" s="53" t="s">
        <v>1615</v>
      </c>
      <c r="L945" s="53" t="s">
        <v>52</v>
      </c>
      <c r="M945" s="53" t="s">
        <v>52</v>
      </c>
      <c r="N945" s="62" t="s">
        <v>5773</v>
      </c>
      <c r="O945" s="62" t="s">
        <v>44</v>
      </c>
      <c r="P945" s="62" t="s">
        <v>1685</v>
      </c>
      <c r="Q945" s="62" t="s">
        <v>5791</v>
      </c>
      <c r="R945" s="51" t="s">
        <v>56</v>
      </c>
      <c r="S945" s="320" t="s">
        <v>57</v>
      </c>
      <c r="T945" s="322">
        <v>46297.0</v>
      </c>
      <c r="U945" s="42"/>
      <c r="V945" s="62"/>
      <c r="W945" s="64"/>
      <c r="X945" s="223"/>
      <c r="Y945" s="223"/>
      <c r="Z945" s="223"/>
      <c r="AA945" s="223"/>
    </row>
    <row r="946">
      <c r="A946" s="42">
        <f t="shared" si="3"/>
        <v>945</v>
      </c>
      <c r="B946" s="51" t="s">
        <v>41</v>
      </c>
      <c r="C946" s="53" t="s">
        <v>5795</v>
      </c>
      <c r="D946" s="42" t="s">
        <v>44</v>
      </c>
      <c r="E946" s="42" t="s">
        <v>44</v>
      </c>
      <c r="F946" s="53" t="s">
        <v>5724</v>
      </c>
      <c r="G946" s="53" t="s">
        <v>47</v>
      </c>
      <c r="H946" s="53" t="s">
        <v>48</v>
      </c>
      <c r="I946" s="53" t="s">
        <v>401</v>
      </c>
      <c r="J946" s="53" t="s">
        <v>5725</v>
      </c>
      <c r="K946" s="53" t="s">
        <v>1615</v>
      </c>
      <c r="L946" s="53" t="s">
        <v>52</v>
      </c>
      <c r="M946" s="53" t="s">
        <v>52</v>
      </c>
      <c r="N946" s="62" t="s">
        <v>5773</v>
      </c>
      <c r="O946" s="62" t="s">
        <v>44</v>
      </c>
      <c r="P946" s="62" t="s">
        <v>5796</v>
      </c>
      <c r="Q946" s="62" t="s">
        <v>5797</v>
      </c>
      <c r="R946" s="51" t="s">
        <v>56</v>
      </c>
      <c r="S946" s="320" t="s">
        <v>57</v>
      </c>
      <c r="T946" s="322">
        <v>46297.0</v>
      </c>
      <c r="U946" s="42"/>
      <c r="V946" s="62"/>
      <c r="W946" s="64"/>
      <c r="X946" s="223"/>
      <c r="Y946" s="223"/>
      <c r="Z946" s="223"/>
      <c r="AA946" s="223"/>
    </row>
    <row r="947">
      <c r="A947" s="42">
        <f t="shared" si="3"/>
        <v>946</v>
      </c>
      <c r="B947" s="51" t="s">
        <v>41</v>
      </c>
      <c r="C947" s="53" t="s">
        <v>5801</v>
      </c>
      <c r="D947" s="42" t="s">
        <v>44</v>
      </c>
      <c r="E947" s="42" t="s">
        <v>44</v>
      </c>
      <c r="F947" s="53" t="s">
        <v>5724</v>
      </c>
      <c r="G947" s="53" t="s">
        <v>47</v>
      </c>
      <c r="H947" s="53" t="s">
        <v>48</v>
      </c>
      <c r="I947" s="53" t="s">
        <v>401</v>
      </c>
      <c r="J947" s="53" t="s">
        <v>5725</v>
      </c>
      <c r="K947" s="53" t="s">
        <v>1615</v>
      </c>
      <c r="L947" s="53" t="s">
        <v>52</v>
      </c>
      <c r="M947" s="53" t="s">
        <v>52</v>
      </c>
      <c r="N947" s="62" t="s">
        <v>5802</v>
      </c>
      <c r="O947" s="62" t="s">
        <v>44</v>
      </c>
      <c r="P947" s="62" t="s">
        <v>1776</v>
      </c>
      <c r="Q947" s="62" t="s">
        <v>5803</v>
      </c>
      <c r="R947" s="51" t="s">
        <v>56</v>
      </c>
      <c r="S947" s="320" t="s">
        <v>57</v>
      </c>
      <c r="T947" s="322">
        <v>46297.0</v>
      </c>
      <c r="U947" s="42"/>
      <c r="V947" s="62"/>
      <c r="W947" s="64"/>
      <c r="X947" s="223"/>
      <c r="Y947" s="223"/>
      <c r="Z947" s="223"/>
      <c r="AA947" s="223"/>
    </row>
    <row r="948">
      <c r="A948" s="42">
        <f t="shared" si="3"/>
        <v>947</v>
      </c>
      <c r="B948" s="51" t="s">
        <v>41</v>
      </c>
      <c r="C948" s="53" t="s">
        <v>5807</v>
      </c>
      <c r="D948" s="42" t="s">
        <v>44</v>
      </c>
      <c r="E948" s="42" t="s">
        <v>44</v>
      </c>
      <c r="F948" s="53" t="s">
        <v>5724</v>
      </c>
      <c r="G948" s="53" t="s">
        <v>85</v>
      </c>
      <c r="H948" s="53" t="s">
        <v>86</v>
      </c>
      <c r="I948" s="53" t="s">
        <v>401</v>
      </c>
      <c r="J948" s="53" t="s">
        <v>5725</v>
      </c>
      <c r="K948" s="53" t="s">
        <v>1615</v>
      </c>
      <c r="L948" s="53" t="s">
        <v>52</v>
      </c>
      <c r="M948" s="53" t="s">
        <v>52</v>
      </c>
      <c r="N948" s="62" t="s">
        <v>5802</v>
      </c>
      <c r="O948" s="62" t="s">
        <v>44</v>
      </c>
      <c r="P948" s="62" t="s">
        <v>5808</v>
      </c>
      <c r="Q948" s="62" t="s">
        <v>5809</v>
      </c>
      <c r="R948" s="51" t="s">
        <v>56</v>
      </c>
      <c r="S948" s="320" t="s">
        <v>57</v>
      </c>
      <c r="T948" s="322">
        <v>46297.0</v>
      </c>
      <c r="U948" s="42"/>
      <c r="V948" s="62"/>
      <c r="W948" s="64"/>
      <c r="X948" s="223"/>
      <c r="Y948" s="223"/>
      <c r="Z948" s="223"/>
      <c r="AA948" s="223"/>
    </row>
    <row r="949">
      <c r="A949" s="42">
        <f t="shared" si="3"/>
        <v>948</v>
      </c>
      <c r="B949" s="51" t="s">
        <v>41</v>
      </c>
      <c r="C949" s="53" t="s">
        <v>5813</v>
      </c>
      <c r="D949" s="42" t="s">
        <v>44</v>
      </c>
      <c r="E949" s="42" t="s">
        <v>44</v>
      </c>
      <c r="F949" s="53" t="s">
        <v>5724</v>
      </c>
      <c r="G949" s="53" t="s">
        <v>47</v>
      </c>
      <c r="H949" s="53" t="s">
        <v>48</v>
      </c>
      <c r="I949" s="53" t="s">
        <v>401</v>
      </c>
      <c r="J949" s="53" t="s">
        <v>5725</v>
      </c>
      <c r="K949" s="53" t="s">
        <v>1615</v>
      </c>
      <c r="L949" s="53" t="s">
        <v>52</v>
      </c>
      <c r="M949" s="53" t="s">
        <v>52</v>
      </c>
      <c r="N949" s="62" t="s">
        <v>5773</v>
      </c>
      <c r="O949" s="62" t="s">
        <v>44</v>
      </c>
      <c r="P949" s="62" t="s">
        <v>5814</v>
      </c>
      <c r="Q949" s="62" t="s">
        <v>5815</v>
      </c>
      <c r="R949" s="51" t="s">
        <v>56</v>
      </c>
      <c r="S949" s="320" t="s">
        <v>57</v>
      </c>
      <c r="T949" s="322">
        <v>46297.0</v>
      </c>
      <c r="U949" s="42"/>
      <c r="V949" s="62"/>
      <c r="W949" s="64"/>
      <c r="X949" s="223"/>
      <c r="Y949" s="223"/>
      <c r="Z949" s="223"/>
      <c r="AA949" s="223"/>
    </row>
    <row r="950">
      <c r="A950" s="42">
        <f t="shared" si="3"/>
        <v>949</v>
      </c>
      <c r="B950" s="51" t="s">
        <v>41</v>
      </c>
      <c r="C950" s="53" t="s">
        <v>5819</v>
      </c>
      <c r="D950" s="42" t="s">
        <v>44</v>
      </c>
      <c r="E950" s="42" t="s">
        <v>44</v>
      </c>
      <c r="F950" s="53" t="s">
        <v>5724</v>
      </c>
      <c r="G950" s="53" t="s">
        <v>47</v>
      </c>
      <c r="H950" s="53" t="s">
        <v>48</v>
      </c>
      <c r="I950" s="53" t="s">
        <v>401</v>
      </c>
      <c r="J950" s="53" t="s">
        <v>5725</v>
      </c>
      <c r="K950" s="53" t="s">
        <v>1615</v>
      </c>
      <c r="L950" s="53" t="s">
        <v>52</v>
      </c>
      <c r="M950" s="53" t="s">
        <v>52</v>
      </c>
      <c r="N950" s="62" t="s">
        <v>5773</v>
      </c>
      <c r="O950" s="62" t="s">
        <v>44</v>
      </c>
      <c r="P950" s="62" t="s">
        <v>5820</v>
      </c>
      <c r="Q950" s="62" t="s">
        <v>5821</v>
      </c>
      <c r="R950" s="51" t="s">
        <v>56</v>
      </c>
      <c r="S950" s="320" t="s">
        <v>57</v>
      </c>
      <c r="T950" s="322">
        <v>46297.0</v>
      </c>
      <c r="U950" s="42"/>
      <c r="V950" s="62"/>
      <c r="W950" s="64"/>
      <c r="X950" s="223"/>
      <c r="Y950" s="223"/>
      <c r="Z950" s="223"/>
      <c r="AA950" s="223"/>
    </row>
    <row r="951">
      <c r="A951" s="42">
        <f t="shared" si="3"/>
        <v>950</v>
      </c>
      <c r="B951" s="51" t="s">
        <v>41</v>
      </c>
      <c r="C951" s="53" t="s">
        <v>5825</v>
      </c>
      <c r="D951" s="42" t="s">
        <v>44</v>
      </c>
      <c r="E951" s="42" t="s">
        <v>44</v>
      </c>
      <c r="F951" s="53" t="s">
        <v>5724</v>
      </c>
      <c r="G951" s="53" t="s">
        <v>47</v>
      </c>
      <c r="H951" s="53" t="s">
        <v>48</v>
      </c>
      <c r="I951" s="53" t="s">
        <v>401</v>
      </c>
      <c r="J951" s="53" t="s">
        <v>5725</v>
      </c>
      <c r="K951" s="53" t="s">
        <v>1615</v>
      </c>
      <c r="L951" s="53" t="s">
        <v>52</v>
      </c>
      <c r="M951" s="53" t="s">
        <v>52</v>
      </c>
      <c r="N951" s="62" t="s">
        <v>5773</v>
      </c>
      <c r="O951" s="62" t="s">
        <v>44</v>
      </c>
      <c r="P951" s="62" t="s">
        <v>5826</v>
      </c>
      <c r="Q951" s="62" t="s">
        <v>5827</v>
      </c>
      <c r="R951" s="51" t="s">
        <v>56</v>
      </c>
      <c r="S951" s="320" t="s">
        <v>57</v>
      </c>
      <c r="T951" s="322">
        <v>46297.0</v>
      </c>
      <c r="U951" s="42"/>
      <c r="V951" s="62"/>
      <c r="W951" s="64"/>
      <c r="X951" s="223"/>
      <c r="Y951" s="223"/>
      <c r="Z951" s="223"/>
      <c r="AA951" s="223"/>
    </row>
    <row r="952">
      <c r="A952" s="42">
        <f t="shared" si="3"/>
        <v>951</v>
      </c>
      <c r="B952" s="51" t="s">
        <v>41</v>
      </c>
      <c r="C952" s="53" t="s">
        <v>5830</v>
      </c>
      <c r="D952" s="42" t="s">
        <v>44</v>
      </c>
      <c r="E952" s="42" t="s">
        <v>44</v>
      </c>
      <c r="F952" s="53" t="s">
        <v>5724</v>
      </c>
      <c r="G952" s="53" t="s">
        <v>47</v>
      </c>
      <c r="H952" s="53" t="s">
        <v>95</v>
      </c>
      <c r="I952" s="53" t="s">
        <v>401</v>
      </c>
      <c r="J952" s="53" t="s">
        <v>5725</v>
      </c>
      <c r="K952" s="53" t="s">
        <v>1615</v>
      </c>
      <c r="L952" s="53" t="s">
        <v>52</v>
      </c>
      <c r="M952" s="53" t="s">
        <v>52</v>
      </c>
      <c r="N952" s="62" t="s">
        <v>5831</v>
      </c>
      <c r="O952" s="62" t="s">
        <v>44</v>
      </c>
      <c r="P952" s="62" t="s">
        <v>5832</v>
      </c>
      <c r="Q952" s="62" t="s">
        <v>5833</v>
      </c>
      <c r="R952" s="51" t="s">
        <v>56</v>
      </c>
      <c r="S952" s="320" t="s">
        <v>57</v>
      </c>
      <c r="T952" s="322">
        <v>46297.0</v>
      </c>
      <c r="U952" s="42"/>
      <c r="V952" s="62"/>
      <c r="W952" s="64"/>
      <c r="X952" s="223"/>
      <c r="Y952" s="223"/>
      <c r="Z952" s="223"/>
      <c r="AA952" s="223"/>
    </row>
    <row r="953">
      <c r="A953" s="42">
        <f t="shared" si="3"/>
        <v>952</v>
      </c>
      <c r="B953" s="51" t="s">
        <v>41</v>
      </c>
      <c r="C953" s="53" t="s">
        <v>5837</v>
      </c>
      <c r="D953" s="42" t="s">
        <v>44</v>
      </c>
      <c r="E953" s="42" t="s">
        <v>44</v>
      </c>
      <c r="F953" s="53" t="s">
        <v>5724</v>
      </c>
      <c r="G953" s="53" t="s">
        <v>47</v>
      </c>
      <c r="H953" s="53" t="s">
        <v>48</v>
      </c>
      <c r="I953" s="53" t="s">
        <v>401</v>
      </c>
      <c r="J953" s="53" t="s">
        <v>5725</v>
      </c>
      <c r="K953" s="53" t="s">
        <v>1615</v>
      </c>
      <c r="L953" s="53" t="s">
        <v>52</v>
      </c>
      <c r="M953" s="53" t="s">
        <v>52</v>
      </c>
      <c r="N953" s="62" t="s">
        <v>5838</v>
      </c>
      <c r="O953" s="62" t="s">
        <v>44</v>
      </c>
      <c r="P953" s="62" t="s">
        <v>5839</v>
      </c>
      <c r="Q953" s="62" t="s">
        <v>5840</v>
      </c>
      <c r="R953" s="51" t="s">
        <v>56</v>
      </c>
      <c r="S953" s="320" t="s">
        <v>57</v>
      </c>
      <c r="T953" s="322">
        <v>46297.0</v>
      </c>
      <c r="U953" s="42"/>
      <c r="V953" s="62"/>
      <c r="W953" s="64"/>
      <c r="X953" s="223"/>
      <c r="Y953" s="223"/>
      <c r="Z953" s="223"/>
      <c r="AA953" s="223"/>
    </row>
    <row r="954">
      <c r="A954" s="42">
        <f t="shared" si="3"/>
        <v>953</v>
      </c>
      <c r="B954" s="51" t="s">
        <v>41</v>
      </c>
      <c r="C954" s="53" t="s">
        <v>5844</v>
      </c>
      <c r="D954" s="42" t="s">
        <v>44</v>
      </c>
      <c r="E954" s="42" t="s">
        <v>44</v>
      </c>
      <c r="F954" s="53" t="s">
        <v>5724</v>
      </c>
      <c r="G954" s="53" t="s">
        <v>47</v>
      </c>
      <c r="H954" s="53" t="s">
        <v>48</v>
      </c>
      <c r="I954" s="53" t="s">
        <v>401</v>
      </c>
      <c r="J954" s="53" t="s">
        <v>5725</v>
      </c>
      <c r="K954" s="53" t="s">
        <v>1615</v>
      </c>
      <c r="L954" s="53" t="s">
        <v>52</v>
      </c>
      <c r="M954" s="53" t="s">
        <v>52</v>
      </c>
      <c r="N954" s="62" t="s">
        <v>5773</v>
      </c>
      <c r="O954" s="62" t="s">
        <v>44</v>
      </c>
      <c r="P954" s="62" t="s">
        <v>5845</v>
      </c>
      <c r="Q954" s="309" t="s">
        <v>5990</v>
      </c>
      <c r="R954" s="51" t="s">
        <v>56</v>
      </c>
      <c r="S954" s="320" t="s">
        <v>57</v>
      </c>
      <c r="T954" s="322">
        <v>46297.0</v>
      </c>
      <c r="U954" s="42"/>
      <c r="V954" s="62"/>
      <c r="W954" s="64"/>
      <c r="X954" s="223"/>
      <c r="Y954" s="223"/>
      <c r="Z954" s="223"/>
      <c r="AA954" s="223"/>
    </row>
    <row r="955">
      <c r="A955" s="42">
        <f t="shared" si="3"/>
        <v>954</v>
      </c>
      <c r="B955" s="51" t="s">
        <v>41</v>
      </c>
      <c r="C955" s="53" t="s">
        <v>5850</v>
      </c>
      <c r="D955" s="42" t="s">
        <v>44</v>
      </c>
      <c r="E955" s="42" t="s">
        <v>44</v>
      </c>
      <c r="F955" s="53" t="s">
        <v>5724</v>
      </c>
      <c r="G955" s="53" t="s">
        <v>47</v>
      </c>
      <c r="H955" s="53" t="s">
        <v>48</v>
      </c>
      <c r="I955" s="53" t="s">
        <v>401</v>
      </c>
      <c r="J955" s="53" t="s">
        <v>5725</v>
      </c>
      <c r="K955" s="53" t="s">
        <v>1615</v>
      </c>
      <c r="L955" s="53" t="s">
        <v>52</v>
      </c>
      <c r="M955" s="53" t="s">
        <v>52</v>
      </c>
      <c r="N955" s="62" t="s">
        <v>5773</v>
      </c>
      <c r="O955" s="62" t="s">
        <v>44</v>
      </c>
      <c r="P955" s="62" t="s">
        <v>5851</v>
      </c>
      <c r="Q955" s="309" t="s">
        <v>5991</v>
      </c>
      <c r="R955" s="51" t="s">
        <v>56</v>
      </c>
      <c r="S955" s="320" t="s">
        <v>57</v>
      </c>
      <c r="T955" s="322">
        <v>46297.0</v>
      </c>
      <c r="U955" s="42"/>
      <c r="V955" s="62"/>
      <c r="W955" s="64"/>
      <c r="X955" s="223"/>
      <c r="Y955" s="223"/>
      <c r="Z955" s="223"/>
      <c r="AA955" s="223"/>
    </row>
    <row r="956">
      <c r="A956" s="42">
        <f t="shared" si="3"/>
        <v>955</v>
      </c>
      <c r="B956" s="51" t="s">
        <v>41</v>
      </c>
      <c r="C956" s="53" t="s">
        <v>5856</v>
      </c>
      <c r="D956" s="42" t="s">
        <v>44</v>
      </c>
      <c r="E956" s="42" t="s">
        <v>44</v>
      </c>
      <c r="F956" s="53" t="s">
        <v>5724</v>
      </c>
      <c r="G956" s="53" t="s">
        <v>47</v>
      </c>
      <c r="H956" s="53" t="s">
        <v>48</v>
      </c>
      <c r="I956" s="53" t="s">
        <v>401</v>
      </c>
      <c r="J956" s="53" t="s">
        <v>5725</v>
      </c>
      <c r="K956" s="53" t="s">
        <v>1615</v>
      </c>
      <c r="L956" s="53" t="s">
        <v>52</v>
      </c>
      <c r="M956" s="53" t="s">
        <v>52</v>
      </c>
      <c r="N956" s="62" t="s">
        <v>5773</v>
      </c>
      <c r="O956" s="62" t="s">
        <v>44</v>
      </c>
      <c r="P956" s="62" t="s">
        <v>5857</v>
      </c>
      <c r="Q956" s="62" t="s">
        <v>5858</v>
      </c>
      <c r="R956" s="51" t="s">
        <v>56</v>
      </c>
      <c r="S956" s="320" t="s">
        <v>57</v>
      </c>
      <c r="T956" s="322">
        <v>46297.0</v>
      </c>
      <c r="U956" s="42"/>
      <c r="V956" s="62"/>
      <c r="W956" s="64"/>
      <c r="X956" s="223"/>
      <c r="Y956" s="223"/>
      <c r="Z956" s="223"/>
      <c r="AA956" s="223"/>
    </row>
    <row r="957">
      <c r="A957" s="42">
        <f t="shared" si="3"/>
        <v>956</v>
      </c>
      <c r="B957" s="51" t="s">
        <v>41</v>
      </c>
      <c r="C957" s="53" t="s">
        <v>5862</v>
      </c>
      <c r="D957" s="42" t="s">
        <v>44</v>
      </c>
      <c r="E957" s="42" t="s">
        <v>44</v>
      </c>
      <c r="F957" s="53" t="s">
        <v>5724</v>
      </c>
      <c r="G957" s="53" t="s">
        <v>47</v>
      </c>
      <c r="H957" s="53" t="s">
        <v>48</v>
      </c>
      <c r="I957" s="53" t="s">
        <v>401</v>
      </c>
      <c r="J957" s="53" t="s">
        <v>5725</v>
      </c>
      <c r="K957" s="53" t="s">
        <v>1615</v>
      </c>
      <c r="L957" s="53" t="s">
        <v>52</v>
      </c>
      <c r="M957" s="53" t="s">
        <v>52</v>
      </c>
      <c r="N957" s="62" t="s">
        <v>5773</v>
      </c>
      <c r="O957" s="62" t="s">
        <v>44</v>
      </c>
      <c r="P957" s="62" t="s">
        <v>5864</v>
      </c>
      <c r="Q957" s="309" t="s">
        <v>5991</v>
      </c>
      <c r="R957" s="51" t="s">
        <v>56</v>
      </c>
      <c r="S957" s="320" t="s">
        <v>57</v>
      </c>
      <c r="T957" s="322">
        <v>46297.0</v>
      </c>
      <c r="U957" s="42"/>
      <c r="V957" s="62"/>
      <c r="W957" s="64"/>
      <c r="X957" s="223"/>
      <c r="Y957" s="223"/>
      <c r="Z957" s="223"/>
      <c r="AA957" s="223"/>
    </row>
    <row r="958">
      <c r="A958" s="42">
        <f t="shared" si="3"/>
        <v>957</v>
      </c>
      <c r="B958" s="51" t="s">
        <v>41</v>
      </c>
      <c r="C958" s="53" t="s">
        <v>5869</v>
      </c>
      <c r="D958" s="42" t="s">
        <v>44</v>
      </c>
      <c r="E958" s="42" t="s">
        <v>44</v>
      </c>
      <c r="F958" s="53" t="s">
        <v>5724</v>
      </c>
      <c r="G958" s="53" t="s">
        <v>47</v>
      </c>
      <c r="H958" s="53" t="s">
        <v>48</v>
      </c>
      <c r="I958" s="53" t="s">
        <v>401</v>
      </c>
      <c r="J958" s="53" t="s">
        <v>5725</v>
      </c>
      <c r="K958" s="53" t="s">
        <v>1615</v>
      </c>
      <c r="L958" s="53" t="s">
        <v>52</v>
      </c>
      <c r="M958" s="53" t="s">
        <v>52</v>
      </c>
      <c r="N958" s="62" t="s">
        <v>5773</v>
      </c>
      <c r="O958" s="62" t="s">
        <v>44</v>
      </c>
      <c r="P958" s="62" t="s">
        <v>5870</v>
      </c>
      <c r="Q958" s="309" t="s">
        <v>5992</v>
      </c>
      <c r="R958" s="51" t="s">
        <v>56</v>
      </c>
      <c r="S958" s="320" t="s">
        <v>57</v>
      </c>
      <c r="T958" s="322">
        <v>46297.0</v>
      </c>
      <c r="U958" s="53"/>
      <c r="V958" s="62"/>
      <c r="W958" s="64"/>
      <c r="X958" s="223"/>
      <c r="Y958" s="223"/>
      <c r="Z958" s="223"/>
      <c r="AA958" s="223"/>
    </row>
    <row r="959">
      <c r="A959" s="42">
        <f t="shared" si="3"/>
        <v>958</v>
      </c>
      <c r="B959" s="51" t="s">
        <v>41</v>
      </c>
      <c r="C959" s="53" t="s">
        <v>5875</v>
      </c>
      <c r="D959" s="42" t="s">
        <v>44</v>
      </c>
      <c r="E959" s="42" t="s">
        <v>44</v>
      </c>
      <c r="F959" s="53" t="s">
        <v>5724</v>
      </c>
      <c r="G959" s="53" t="s">
        <v>47</v>
      </c>
      <c r="H959" s="53" t="s">
        <v>48</v>
      </c>
      <c r="I959" s="53" t="s">
        <v>401</v>
      </c>
      <c r="J959" s="53" t="s">
        <v>5725</v>
      </c>
      <c r="K959" s="53" t="s">
        <v>1615</v>
      </c>
      <c r="L959" s="53" t="s">
        <v>52</v>
      </c>
      <c r="M959" s="53" t="s">
        <v>52</v>
      </c>
      <c r="N959" s="62" t="s">
        <v>5773</v>
      </c>
      <c r="O959" s="62" t="s">
        <v>44</v>
      </c>
      <c r="P959" s="62" t="s">
        <v>5876</v>
      </c>
      <c r="Q959" s="62" t="s">
        <v>5877</v>
      </c>
      <c r="R959" s="51" t="s">
        <v>56</v>
      </c>
      <c r="S959" s="320" t="s">
        <v>57</v>
      </c>
      <c r="T959" s="322">
        <v>46297.0</v>
      </c>
      <c r="U959" s="42"/>
      <c r="V959" s="62"/>
      <c r="W959" s="64"/>
      <c r="X959" s="223"/>
      <c r="Y959" s="223"/>
      <c r="Z959" s="223"/>
      <c r="AA959" s="223"/>
    </row>
    <row r="960">
      <c r="A960" s="42">
        <f t="shared" si="3"/>
        <v>959</v>
      </c>
      <c r="B960" s="51" t="s">
        <v>41</v>
      </c>
      <c r="C960" s="53" t="s">
        <v>5881</v>
      </c>
      <c r="D960" s="42" t="s">
        <v>44</v>
      </c>
      <c r="E960" s="42" t="s">
        <v>44</v>
      </c>
      <c r="F960" s="53" t="s">
        <v>5724</v>
      </c>
      <c r="G960" s="53" t="s">
        <v>47</v>
      </c>
      <c r="H960" s="53" t="s">
        <v>48</v>
      </c>
      <c r="I960" s="53" t="s">
        <v>401</v>
      </c>
      <c r="J960" s="53" t="s">
        <v>5725</v>
      </c>
      <c r="K960" s="53" t="s">
        <v>1615</v>
      </c>
      <c r="L960" s="53" t="s">
        <v>52</v>
      </c>
      <c r="M960" s="53" t="s">
        <v>52</v>
      </c>
      <c r="N960" s="62" t="s">
        <v>5882</v>
      </c>
      <c r="O960" s="62" t="s">
        <v>44</v>
      </c>
      <c r="P960" s="62" t="s">
        <v>5883</v>
      </c>
      <c r="Q960" s="62" t="s">
        <v>5884</v>
      </c>
      <c r="R960" s="51" t="s">
        <v>56</v>
      </c>
      <c r="S960" s="320" t="s">
        <v>57</v>
      </c>
      <c r="T960" s="322">
        <v>46297.0</v>
      </c>
      <c r="U960" s="42"/>
      <c r="V960" s="62"/>
      <c r="W960" s="64"/>
      <c r="X960" s="223"/>
      <c r="Y960" s="223"/>
      <c r="Z960" s="223"/>
      <c r="AA960" s="223"/>
    </row>
    <row r="961">
      <c r="A961" s="42">
        <f t="shared" si="3"/>
        <v>960</v>
      </c>
      <c r="B961" s="51" t="s">
        <v>41</v>
      </c>
      <c r="C961" s="53" t="s">
        <v>5888</v>
      </c>
      <c r="D961" s="42" t="s">
        <v>44</v>
      </c>
      <c r="E961" s="42" t="s">
        <v>44</v>
      </c>
      <c r="F961" s="53" t="s">
        <v>5724</v>
      </c>
      <c r="G961" s="53" t="s">
        <v>47</v>
      </c>
      <c r="H961" s="53" t="s">
        <v>95</v>
      </c>
      <c r="I961" s="53" t="s">
        <v>401</v>
      </c>
      <c r="J961" s="53" t="s">
        <v>5725</v>
      </c>
      <c r="K961" s="53" t="s">
        <v>1615</v>
      </c>
      <c r="L961" s="53" t="s">
        <v>52</v>
      </c>
      <c r="M961" s="53" t="s">
        <v>52</v>
      </c>
      <c r="N961" s="62" t="s">
        <v>5773</v>
      </c>
      <c r="O961" s="62" t="s">
        <v>44</v>
      </c>
      <c r="P961" s="62" t="s">
        <v>5889</v>
      </c>
      <c r="Q961" s="309" t="s">
        <v>5993</v>
      </c>
      <c r="R961" s="51" t="s">
        <v>56</v>
      </c>
      <c r="S961" s="320" t="s">
        <v>57</v>
      </c>
      <c r="T961" s="322">
        <v>46297.0</v>
      </c>
      <c r="U961" s="42"/>
      <c r="V961" s="62"/>
      <c r="W961" s="64"/>
      <c r="X961" s="223"/>
      <c r="Y961" s="223"/>
      <c r="Z961" s="223"/>
      <c r="AA961" s="223"/>
    </row>
    <row r="962">
      <c r="A962" s="42">
        <f t="shared" si="3"/>
        <v>961</v>
      </c>
      <c r="B962" s="51" t="s">
        <v>41</v>
      </c>
      <c r="C962" s="53" t="s">
        <v>5894</v>
      </c>
      <c r="D962" s="42" t="s">
        <v>44</v>
      </c>
      <c r="E962" s="42" t="s">
        <v>44</v>
      </c>
      <c r="F962" s="53" t="s">
        <v>5724</v>
      </c>
      <c r="G962" s="53" t="s">
        <v>47</v>
      </c>
      <c r="H962" s="53" t="s">
        <v>48</v>
      </c>
      <c r="I962" s="53" t="s">
        <v>401</v>
      </c>
      <c r="J962" s="53" t="s">
        <v>5725</v>
      </c>
      <c r="K962" s="53" t="s">
        <v>1615</v>
      </c>
      <c r="L962" s="53" t="s">
        <v>52</v>
      </c>
      <c r="M962" s="53" t="s">
        <v>52</v>
      </c>
      <c r="N962" s="62" t="s">
        <v>5773</v>
      </c>
      <c r="O962" s="62" t="s">
        <v>44</v>
      </c>
      <c r="P962" s="62" t="s">
        <v>5897</v>
      </c>
      <c r="Q962" s="62" t="s">
        <v>5821</v>
      </c>
      <c r="R962" s="51" t="s">
        <v>56</v>
      </c>
      <c r="S962" s="320" t="s">
        <v>57</v>
      </c>
      <c r="T962" s="322">
        <v>46297.0</v>
      </c>
      <c r="U962" s="42"/>
      <c r="V962" s="62"/>
      <c r="W962" s="64"/>
      <c r="X962" s="223"/>
      <c r="Y962" s="223"/>
      <c r="Z962" s="223"/>
      <c r="AA962" s="223"/>
    </row>
    <row r="963">
      <c r="A963" s="42">
        <f t="shared" si="3"/>
        <v>962</v>
      </c>
      <c r="B963" s="51" t="s">
        <v>41</v>
      </c>
      <c r="C963" s="53" t="s">
        <v>5909</v>
      </c>
      <c r="D963" s="42" t="s">
        <v>44</v>
      </c>
      <c r="E963" s="42" t="s">
        <v>44</v>
      </c>
      <c r="F963" s="53" t="s">
        <v>5724</v>
      </c>
      <c r="G963" s="53" t="s">
        <v>47</v>
      </c>
      <c r="H963" s="53" t="s">
        <v>48</v>
      </c>
      <c r="I963" s="53" t="s">
        <v>401</v>
      </c>
      <c r="J963" s="53" t="s">
        <v>5725</v>
      </c>
      <c r="K963" s="53" t="s">
        <v>1615</v>
      </c>
      <c r="L963" s="53" t="s">
        <v>52</v>
      </c>
      <c r="M963" s="53" t="s">
        <v>52</v>
      </c>
      <c r="N963" s="62" t="s">
        <v>5773</v>
      </c>
      <c r="O963" s="62" t="s">
        <v>44</v>
      </c>
      <c r="P963" s="62" t="s">
        <v>5910</v>
      </c>
      <c r="Q963" s="62" t="s">
        <v>5911</v>
      </c>
      <c r="R963" s="51" t="s">
        <v>56</v>
      </c>
      <c r="S963" s="320" t="s">
        <v>57</v>
      </c>
      <c r="T963" s="322">
        <v>46297.0</v>
      </c>
      <c r="U963" s="42"/>
      <c r="V963" s="62"/>
      <c r="W963" s="64"/>
      <c r="X963" s="223"/>
      <c r="Y963" s="223"/>
      <c r="Z963" s="223"/>
      <c r="AA963" s="223"/>
    </row>
    <row r="964">
      <c r="A964" s="42">
        <f t="shared" si="3"/>
        <v>963</v>
      </c>
      <c r="B964" s="51" t="s">
        <v>41</v>
      </c>
      <c r="C964" s="53" t="s">
        <v>5914</v>
      </c>
      <c r="D964" s="42" t="s">
        <v>44</v>
      </c>
      <c r="E964" s="42" t="s">
        <v>44</v>
      </c>
      <c r="F964" s="53" t="s">
        <v>5724</v>
      </c>
      <c r="G964" s="53" t="s">
        <v>47</v>
      </c>
      <c r="H964" s="53" t="s">
        <v>48</v>
      </c>
      <c r="I964" s="53" t="s">
        <v>401</v>
      </c>
      <c r="J964" s="53" t="s">
        <v>5725</v>
      </c>
      <c r="K964" s="53" t="s">
        <v>1615</v>
      </c>
      <c r="L964" s="53" t="s">
        <v>52</v>
      </c>
      <c r="M964" s="53" t="s">
        <v>52</v>
      </c>
      <c r="N964" s="62" t="s">
        <v>5915</v>
      </c>
      <c r="O964" s="62" t="s">
        <v>44</v>
      </c>
      <c r="P964" s="62" t="s">
        <v>5916</v>
      </c>
      <c r="Q964" s="62" t="s">
        <v>5917</v>
      </c>
      <c r="R964" s="53"/>
      <c r="S964" s="320" t="s">
        <v>57</v>
      </c>
      <c r="T964" s="322">
        <v>46297.0</v>
      </c>
      <c r="U964" s="42"/>
      <c r="V964" s="62"/>
      <c r="W964" s="64"/>
      <c r="X964" s="223"/>
      <c r="Y964" s="223"/>
      <c r="Z964" s="223"/>
      <c r="AA964" s="223"/>
    </row>
    <row r="965">
      <c r="A965" s="42">
        <f t="shared" si="3"/>
        <v>964</v>
      </c>
      <c r="B965" s="51" t="s">
        <v>41</v>
      </c>
      <c r="C965" s="53" t="s">
        <v>5921</v>
      </c>
      <c r="D965" s="42" t="s">
        <v>44</v>
      </c>
      <c r="E965" s="42" t="s">
        <v>44</v>
      </c>
      <c r="F965" s="53" t="s">
        <v>5724</v>
      </c>
      <c r="G965" s="53" t="s">
        <v>47</v>
      </c>
      <c r="H965" s="53" t="s">
        <v>48</v>
      </c>
      <c r="I965" s="53" t="s">
        <v>401</v>
      </c>
      <c r="J965" s="53" t="s">
        <v>5725</v>
      </c>
      <c r="K965" s="53" t="s">
        <v>1615</v>
      </c>
      <c r="L965" s="53" t="s">
        <v>52</v>
      </c>
      <c r="M965" s="53" t="s">
        <v>52</v>
      </c>
      <c r="N965" s="62" t="s">
        <v>5915</v>
      </c>
      <c r="O965" s="62" t="s">
        <v>44</v>
      </c>
      <c r="P965" s="62" t="s">
        <v>5922</v>
      </c>
      <c r="Q965" s="62" t="s">
        <v>5923</v>
      </c>
      <c r="R965" s="53"/>
      <c r="S965" s="53"/>
      <c r="T965" s="82"/>
      <c r="U965" s="42"/>
      <c r="V965" s="62"/>
      <c r="W965" s="64"/>
      <c r="X965" s="223"/>
      <c r="Y965" s="223"/>
      <c r="Z965" s="223"/>
      <c r="AA965" s="223"/>
    </row>
    <row r="966">
      <c r="A966" s="42">
        <f t="shared" si="3"/>
        <v>965</v>
      </c>
      <c r="B966" s="51" t="s">
        <v>41</v>
      </c>
      <c r="C966" s="53" t="s">
        <v>5926</v>
      </c>
      <c r="D966" s="42" t="s">
        <v>44</v>
      </c>
      <c r="E966" s="42" t="s">
        <v>44</v>
      </c>
      <c r="F966" s="53" t="s">
        <v>5724</v>
      </c>
      <c r="G966" s="53" t="s">
        <v>47</v>
      </c>
      <c r="H966" s="53" t="s">
        <v>48</v>
      </c>
      <c r="I966" s="53" t="s">
        <v>401</v>
      </c>
      <c r="J966" s="53" t="s">
        <v>5725</v>
      </c>
      <c r="K966" s="53" t="s">
        <v>1615</v>
      </c>
      <c r="L966" s="53" t="s">
        <v>52</v>
      </c>
      <c r="M966" s="53" t="s">
        <v>52</v>
      </c>
      <c r="N966" s="62" t="s">
        <v>5915</v>
      </c>
      <c r="O966" s="62" t="s">
        <v>44</v>
      </c>
      <c r="P966" s="62" t="s">
        <v>5927</v>
      </c>
      <c r="Q966" s="62" t="s">
        <v>5928</v>
      </c>
      <c r="R966" s="53"/>
      <c r="S966" s="53"/>
      <c r="T966" s="82"/>
      <c r="U966" s="42"/>
      <c r="V966" s="62"/>
      <c r="W966" s="64"/>
      <c r="X966" s="223"/>
      <c r="Y966" s="223"/>
      <c r="Z966" s="223"/>
      <c r="AA966" s="223"/>
    </row>
    <row r="967">
      <c r="A967" s="42">
        <f t="shared" si="3"/>
        <v>966</v>
      </c>
      <c r="B967" s="51" t="s">
        <v>41</v>
      </c>
      <c r="C967" s="53" t="s">
        <v>5931</v>
      </c>
      <c r="D967" s="42" t="s">
        <v>44</v>
      </c>
      <c r="E967" s="42" t="s">
        <v>44</v>
      </c>
      <c r="F967" s="53" t="s">
        <v>5724</v>
      </c>
      <c r="G967" s="53" t="s">
        <v>111</v>
      </c>
      <c r="H967" s="53" t="s">
        <v>91</v>
      </c>
      <c r="I967" s="53" t="s">
        <v>401</v>
      </c>
      <c r="J967" s="53" t="s">
        <v>5725</v>
      </c>
      <c r="K967" s="53" t="s">
        <v>1615</v>
      </c>
      <c r="L967" s="53" t="s">
        <v>52</v>
      </c>
      <c r="M967" s="53" t="s">
        <v>52</v>
      </c>
      <c r="N967" s="62" t="s">
        <v>5915</v>
      </c>
      <c r="O967" s="62" t="s">
        <v>44</v>
      </c>
      <c r="P967" s="62" t="s">
        <v>5932</v>
      </c>
      <c r="Q967" s="62" t="s">
        <v>5933</v>
      </c>
      <c r="R967" s="53"/>
      <c r="S967" s="53"/>
      <c r="T967" s="82"/>
      <c r="U967" s="42"/>
      <c r="V967" s="62"/>
      <c r="W967" s="64"/>
      <c r="X967" s="223"/>
      <c r="Y967" s="223"/>
      <c r="Z967" s="223"/>
      <c r="AA967" s="223"/>
    </row>
    <row r="968">
      <c r="A968" s="42">
        <f t="shared" si="3"/>
        <v>967</v>
      </c>
      <c r="B968" s="51" t="s">
        <v>41</v>
      </c>
      <c r="C968" s="53" t="s">
        <v>5937</v>
      </c>
      <c r="D968" s="42" t="s">
        <v>44</v>
      </c>
      <c r="E968" s="42" t="s">
        <v>44</v>
      </c>
      <c r="F968" s="53" t="s">
        <v>5724</v>
      </c>
      <c r="G968" s="53" t="s">
        <v>47</v>
      </c>
      <c r="H968" s="53" t="s">
        <v>95</v>
      </c>
      <c r="I968" s="53" t="s">
        <v>401</v>
      </c>
      <c r="J968" s="53" t="s">
        <v>5725</v>
      </c>
      <c r="K968" s="53" t="s">
        <v>1615</v>
      </c>
      <c r="L968" s="53" t="s">
        <v>52</v>
      </c>
      <c r="M968" s="53" t="s">
        <v>52</v>
      </c>
      <c r="N968" s="62" t="s">
        <v>5938</v>
      </c>
      <c r="O968" s="62" t="s">
        <v>44</v>
      </c>
      <c r="P968" s="62" t="s">
        <v>5939</v>
      </c>
      <c r="Q968" s="62" t="s">
        <v>5940</v>
      </c>
      <c r="R968" s="53"/>
      <c r="S968" s="53"/>
      <c r="T968" s="82"/>
      <c r="U968" s="53"/>
      <c r="V968" s="62"/>
      <c r="W968" s="64"/>
      <c r="X968" s="223"/>
      <c r="Y968" s="223"/>
      <c r="Z968" s="223"/>
      <c r="AA968" s="223"/>
    </row>
    <row r="969">
      <c r="A969" s="42">
        <f t="shared" si="3"/>
        <v>968</v>
      </c>
      <c r="B969" s="51" t="s">
        <v>41</v>
      </c>
      <c r="C969" s="53" t="s">
        <v>5944</v>
      </c>
      <c r="D969" s="42" t="s">
        <v>44</v>
      </c>
      <c r="E969" s="42" t="s">
        <v>44</v>
      </c>
      <c r="F969" s="53" t="s">
        <v>5724</v>
      </c>
      <c r="G969" s="53" t="s">
        <v>197</v>
      </c>
      <c r="H969" s="53" t="s">
        <v>198</v>
      </c>
      <c r="I969" s="53" t="s">
        <v>401</v>
      </c>
      <c r="J969" s="53" t="s">
        <v>5725</v>
      </c>
      <c r="K969" s="53" t="s">
        <v>1615</v>
      </c>
      <c r="L969" s="53" t="s">
        <v>52</v>
      </c>
      <c r="M969" s="53" t="s">
        <v>52</v>
      </c>
      <c r="N969" s="62" t="s">
        <v>5938</v>
      </c>
      <c r="O969" s="62" t="s">
        <v>44</v>
      </c>
      <c r="P969" s="62" t="s">
        <v>5945</v>
      </c>
      <c r="Q969" s="62" t="s">
        <v>5946</v>
      </c>
      <c r="R969" s="53"/>
      <c r="S969" s="53"/>
      <c r="T969" s="82"/>
      <c r="U969" s="53"/>
      <c r="V969" s="62"/>
      <c r="W969" s="64"/>
      <c r="X969" s="223"/>
      <c r="Y969" s="223"/>
      <c r="Z969" s="223"/>
      <c r="AA969" s="223"/>
    </row>
    <row r="970">
      <c r="A970" s="42">
        <f t="shared" si="3"/>
        <v>969</v>
      </c>
      <c r="B970" s="51" t="s">
        <v>41</v>
      </c>
      <c r="C970" s="53" t="s">
        <v>5950</v>
      </c>
      <c r="D970" s="42" t="s">
        <v>44</v>
      </c>
      <c r="E970" s="42" t="s">
        <v>44</v>
      </c>
      <c r="F970" s="53" t="s">
        <v>5724</v>
      </c>
      <c r="G970" s="53" t="s">
        <v>47</v>
      </c>
      <c r="H970" s="53" t="s">
        <v>48</v>
      </c>
      <c r="I970" s="53" t="s">
        <v>401</v>
      </c>
      <c r="J970" s="53" t="s">
        <v>5725</v>
      </c>
      <c r="K970" s="53" t="s">
        <v>1615</v>
      </c>
      <c r="L970" s="53" t="s">
        <v>52</v>
      </c>
      <c r="M970" s="53" t="s">
        <v>52</v>
      </c>
      <c r="N970" s="62" t="s">
        <v>5915</v>
      </c>
      <c r="O970" s="62" t="s">
        <v>44</v>
      </c>
      <c r="P970" s="62" t="s">
        <v>5951</v>
      </c>
      <c r="Q970" s="62" t="s">
        <v>5952</v>
      </c>
      <c r="R970" s="53"/>
      <c r="S970" s="53"/>
      <c r="T970" s="82"/>
      <c r="U970" s="42"/>
      <c r="V970" s="62"/>
      <c r="W970" s="64"/>
      <c r="X970" s="223"/>
      <c r="Y970" s="223"/>
      <c r="Z970" s="223"/>
      <c r="AA970" s="223"/>
    </row>
    <row r="971">
      <c r="A971" s="42">
        <f t="shared" si="3"/>
        <v>970</v>
      </c>
      <c r="B971" s="51" t="s">
        <v>41</v>
      </c>
      <c r="C971" s="53" t="s">
        <v>5956</v>
      </c>
      <c r="D971" s="42" t="s">
        <v>44</v>
      </c>
      <c r="E971" s="42" t="s">
        <v>44</v>
      </c>
      <c r="F971" s="53" t="s">
        <v>5724</v>
      </c>
      <c r="G971" s="53" t="s">
        <v>47</v>
      </c>
      <c r="H971" s="53" t="s">
        <v>91</v>
      </c>
      <c r="I971" s="53" t="s">
        <v>401</v>
      </c>
      <c r="J971" s="53" t="s">
        <v>5725</v>
      </c>
      <c r="K971" s="53" t="s">
        <v>1615</v>
      </c>
      <c r="L971" s="53" t="s">
        <v>52</v>
      </c>
      <c r="M971" s="53" t="s">
        <v>52</v>
      </c>
      <c r="N971" s="62" t="s">
        <v>5915</v>
      </c>
      <c r="O971" s="62" t="s">
        <v>44</v>
      </c>
      <c r="P971" s="62" t="s">
        <v>5958</v>
      </c>
      <c r="Q971" s="62" t="s">
        <v>5933</v>
      </c>
      <c r="R971" s="53"/>
      <c r="S971" s="53"/>
      <c r="T971" s="82"/>
      <c r="U971" s="42"/>
      <c r="V971" s="62"/>
      <c r="W971" s="64"/>
      <c r="X971" s="223"/>
      <c r="Y971" s="223"/>
      <c r="Z971" s="223"/>
      <c r="AA971" s="223"/>
    </row>
    <row r="972">
      <c r="A972" s="42">
        <f t="shared" si="3"/>
        <v>971</v>
      </c>
      <c r="B972" s="51" t="s">
        <v>41</v>
      </c>
      <c r="C972" s="53" t="s">
        <v>5962</v>
      </c>
      <c r="D972" s="42" t="s">
        <v>44</v>
      </c>
      <c r="E972" s="42" t="s">
        <v>44</v>
      </c>
      <c r="F972" s="53" t="s">
        <v>5724</v>
      </c>
      <c r="G972" s="53" t="s">
        <v>47</v>
      </c>
      <c r="H972" s="53" t="s">
        <v>95</v>
      </c>
      <c r="I972" s="53" t="s">
        <v>401</v>
      </c>
      <c r="J972" s="53" t="s">
        <v>5725</v>
      </c>
      <c r="K972" s="53" t="s">
        <v>1615</v>
      </c>
      <c r="L972" s="53" t="s">
        <v>52</v>
      </c>
      <c r="M972" s="53" t="s">
        <v>52</v>
      </c>
      <c r="N972" s="62" t="s">
        <v>5963</v>
      </c>
      <c r="O972" s="62" t="s">
        <v>44</v>
      </c>
      <c r="P972" s="62" t="s">
        <v>5964</v>
      </c>
      <c r="Q972" s="62" t="s">
        <v>5965</v>
      </c>
      <c r="R972" s="53"/>
      <c r="S972" s="53"/>
      <c r="T972" s="82"/>
      <c r="U972" s="42"/>
      <c r="V972" s="62"/>
      <c r="W972" s="64"/>
      <c r="X972" s="223"/>
      <c r="Y972" s="223"/>
      <c r="Z972" s="223"/>
      <c r="AA972" s="223"/>
    </row>
    <row r="973">
      <c r="A973" s="42">
        <f t="shared" si="3"/>
        <v>972</v>
      </c>
      <c r="B973" s="51" t="s">
        <v>41</v>
      </c>
      <c r="C973" s="53" t="s">
        <v>5969</v>
      </c>
      <c r="D973" s="42" t="s">
        <v>44</v>
      </c>
      <c r="E973" s="42" t="s">
        <v>44</v>
      </c>
      <c r="F973" s="53" t="s">
        <v>5724</v>
      </c>
      <c r="G973" s="53" t="s">
        <v>197</v>
      </c>
      <c r="H973" s="53" t="s">
        <v>198</v>
      </c>
      <c r="I973" s="53" t="s">
        <v>401</v>
      </c>
      <c r="J973" s="53" t="s">
        <v>5725</v>
      </c>
      <c r="K973" s="53" t="s">
        <v>1615</v>
      </c>
      <c r="L973" s="53" t="s">
        <v>52</v>
      </c>
      <c r="M973" s="53" t="s">
        <v>52</v>
      </c>
      <c r="N973" s="62" t="s">
        <v>5963</v>
      </c>
      <c r="O973" s="62" t="s">
        <v>44</v>
      </c>
      <c r="P973" s="62" t="s">
        <v>5971</v>
      </c>
      <c r="Q973" s="62" t="s">
        <v>5972</v>
      </c>
      <c r="R973" s="53"/>
      <c r="S973" s="53"/>
      <c r="T973" s="82"/>
      <c r="U973" s="42"/>
      <c r="V973" s="62"/>
      <c r="W973" s="64"/>
      <c r="X973" s="223"/>
      <c r="Y973" s="223"/>
      <c r="Z973" s="223"/>
      <c r="AA973" s="223"/>
    </row>
    <row r="974">
      <c r="A974" s="42">
        <f t="shared" si="3"/>
        <v>973</v>
      </c>
      <c r="B974" s="51" t="s">
        <v>41</v>
      </c>
      <c r="C974" s="53" t="s">
        <v>5994</v>
      </c>
      <c r="D974" s="42" t="s">
        <v>44</v>
      </c>
      <c r="E974" s="42" t="s">
        <v>44</v>
      </c>
      <c r="F974" s="53" t="s">
        <v>5724</v>
      </c>
      <c r="G974" s="53" t="s">
        <v>47</v>
      </c>
      <c r="H974" s="53" t="s">
        <v>95</v>
      </c>
      <c r="I974" s="53" t="s">
        <v>401</v>
      </c>
      <c r="J974" s="53" t="s">
        <v>5725</v>
      </c>
      <c r="K974" s="53" t="s">
        <v>1615</v>
      </c>
      <c r="L974" s="53" t="s">
        <v>52</v>
      </c>
      <c r="M974" s="53" t="s">
        <v>52</v>
      </c>
      <c r="N974" s="62" t="s">
        <v>5995</v>
      </c>
      <c r="O974" s="62" t="s">
        <v>44</v>
      </c>
      <c r="P974" s="62" t="s">
        <v>5996</v>
      </c>
      <c r="Q974" s="62" t="s">
        <v>5997</v>
      </c>
      <c r="R974" s="53"/>
      <c r="S974" s="53"/>
      <c r="T974" s="82"/>
      <c r="U974" s="53"/>
      <c r="V974" s="62"/>
      <c r="W974" s="64"/>
      <c r="X974" s="223"/>
      <c r="Y974" s="223"/>
      <c r="Z974" s="223"/>
      <c r="AA974" s="223"/>
    </row>
    <row r="975">
      <c r="A975" s="42">
        <f t="shared" si="3"/>
        <v>974</v>
      </c>
      <c r="B975" s="51" t="s">
        <v>41</v>
      </c>
      <c r="C975" s="53" t="s">
        <v>5998</v>
      </c>
      <c r="D975" s="42" t="s">
        <v>44</v>
      </c>
      <c r="E975" s="42" t="s">
        <v>44</v>
      </c>
      <c r="F975" s="53" t="s">
        <v>5724</v>
      </c>
      <c r="G975" s="53" t="s">
        <v>47</v>
      </c>
      <c r="H975" s="53" t="s">
        <v>48</v>
      </c>
      <c r="I975" s="53" t="s">
        <v>401</v>
      </c>
      <c r="J975" s="53" t="s">
        <v>5725</v>
      </c>
      <c r="K975" s="53" t="s">
        <v>1615</v>
      </c>
      <c r="L975" s="53" t="s">
        <v>52</v>
      </c>
      <c r="M975" s="53" t="s">
        <v>52</v>
      </c>
      <c r="N975" s="62" t="s">
        <v>5915</v>
      </c>
      <c r="O975" s="62" t="s">
        <v>44</v>
      </c>
      <c r="P975" s="62" t="s">
        <v>5999</v>
      </c>
      <c r="Q975" s="62" t="s">
        <v>6000</v>
      </c>
      <c r="R975" s="53"/>
      <c r="S975" s="53"/>
      <c r="T975" s="82"/>
      <c r="U975" s="42"/>
      <c r="V975" s="62"/>
      <c r="W975" s="64"/>
      <c r="X975" s="223"/>
      <c r="Y975" s="223"/>
      <c r="Z975" s="223"/>
      <c r="AA975" s="223"/>
    </row>
    <row r="976">
      <c r="A976" s="42">
        <f t="shared" si="3"/>
        <v>975</v>
      </c>
      <c r="B976" s="51" t="s">
        <v>41</v>
      </c>
      <c r="C976" s="53" t="s">
        <v>6001</v>
      </c>
      <c r="D976" s="42" t="s">
        <v>44</v>
      </c>
      <c r="E976" s="42" t="s">
        <v>44</v>
      </c>
      <c r="F976" s="53" t="s">
        <v>5724</v>
      </c>
      <c r="G976" s="53" t="s">
        <v>47</v>
      </c>
      <c r="H976" s="53" t="s">
        <v>91</v>
      </c>
      <c r="I976" s="53" t="s">
        <v>401</v>
      </c>
      <c r="J976" s="53" t="s">
        <v>5725</v>
      </c>
      <c r="K976" s="53" t="s">
        <v>1615</v>
      </c>
      <c r="L976" s="53" t="s">
        <v>52</v>
      </c>
      <c r="M976" s="53" t="s">
        <v>52</v>
      </c>
      <c r="N976" s="62" t="s">
        <v>6002</v>
      </c>
      <c r="O976" s="62" t="s">
        <v>44</v>
      </c>
      <c r="P976" s="62" t="s">
        <v>6003</v>
      </c>
      <c r="Q976" s="62" t="s">
        <v>6004</v>
      </c>
      <c r="R976" s="53"/>
      <c r="S976" s="53"/>
      <c r="T976" s="82"/>
      <c r="U976" s="42"/>
      <c r="V976" s="62"/>
      <c r="W976" s="64"/>
      <c r="X976" s="223"/>
      <c r="Y976" s="223"/>
      <c r="Z976" s="223"/>
      <c r="AA976" s="223"/>
    </row>
    <row r="977">
      <c r="A977" s="42">
        <f t="shared" si="3"/>
        <v>976</v>
      </c>
      <c r="B977" s="51" t="s">
        <v>41</v>
      </c>
      <c r="C977" s="53" t="s">
        <v>6005</v>
      </c>
      <c r="D977" s="42" t="s">
        <v>44</v>
      </c>
      <c r="E977" s="42" t="s">
        <v>44</v>
      </c>
      <c r="F977" s="53" t="s">
        <v>5724</v>
      </c>
      <c r="G977" s="53" t="s">
        <v>47</v>
      </c>
      <c r="H977" s="53" t="s">
        <v>95</v>
      </c>
      <c r="I977" s="53" t="s">
        <v>401</v>
      </c>
      <c r="J977" s="53" t="s">
        <v>5725</v>
      </c>
      <c r="K977" s="53" t="s">
        <v>1615</v>
      </c>
      <c r="L977" s="53" t="s">
        <v>52</v>
      </c>
      <c r="M977" s="53" t="s">
        <v>52</v>
      </c>
      <c r="N977" s="62" t="s">
        <v>6006</v>
      </c>
      <c r="O977" s="62" t="s">
        <v>44</v>
      </c>
      <c r="P977" s="62" t="s">
        <v>6007</v>
      </c>
      <c r="Q977" s="62" t="s">
        <v>6008</v>
      </c>
      <c r="R977" s="53"/>
      <c r="S977" s="53"/>
      <c r="T977" s="82"/>
      <c r="U977" s="42"/>
      <c r="V977" s="62"/>
      <c r="W977" s="64"/>
      <c r="X977" s="223"/>
      <c r="Y977" s="223"/>
      <c r="Z977" s="223"/>
      <c r="AA977" s="223"/>
    </row>
    <row r="978">
      <c r="A978" s="42">
        <f t="shared" si="3"/>
        <v>977</v>
      </c>
      <c r="B978" s="51" t="s">
        <v>41</v>
      </c>
      <c r="C978" s="53" t="s">
        <v>6009</v>
      </c>
      <c r="D978" s="42" t="s">
        <v>44</v>
      </c>
      <c r="E978" s="42" t="s">
        <v>44</v>
      </c>
      <c r="F978" s="53" t="s">
        <v>5724</v>
      </c>
      <c r="G978" s="53" t="s">
        <v>47</v>
      </c>
      <c r="H978" s="53" t="s">
        <v>95</v>
      </c>
      <c r="I978" s="53" t="s">
        <v>401</v>
      </c>
      <c r="J978" s="53" t="s">
        <v>5725</v>
      </c>
      <c r="K978" s="53" t="s">
        <v>1615</v>
      </c>
      <c r="L978" s="53" t="s">
        <v>52</v>
      </c>
      <c r="M978" s="53" t="s">
        <v>52</v>
      </c>
      <c r="N978" s="62" t="s">
        <v>6010</v>
      </c>
      <c r="O978" s="62" t="s">
        <v>44</v>
      </c>
      <c r="P978" s="62" t="s">
        <v>6011</v>
      </c>
      <c r="Q978" s="62" t="s">
        <v>6012</v>
      </c>
      <c r="R978" s="53"/>
      <c r="S978" s="53"/>
      <c r="T978" s="82"/>
      <c r="U978" s="42"/>
      <c r="V978" s="62"/>
      <c r="W978" s="64"/>
      <c r="X978" s="223"/>
      <c r="Y978" s="223"/>
      <c r="Z978" s="223"/>
      <c r="AA978" s="223"/>
    </row>
    <row r="979">
      <c r="A979" s="42">
        <f t="shared" si="3"/>
        <v>978</v>
      </c>
      <c r="B979" s="51" t="s">
        <v>41</v>
      </c>
      <c r="C979" s="53" t="s">
        <v>6013</v>
      </c>
      <c r="D979" s="42" t="s">
        <v>44</v>
      </c>
      <c r="E979" s="42" t="s">
        <v>44</v>
      </c>
      <c r="F979" s="53" t="s">
        <v>5724</v>
      </c>
      <c r="G979" s="53" t="s">
        <v>197</v>
      </c>
      <c r="H979" s="53" t="s">
        <v>198</v>
      </c>
      <c r="I979" s="53" t="s">
        <v>401</v>
      </c>
      <c r="J979" s="53" t="s">
        <v>5725</v>
      </c>
      <c r="K979" s="53" t="s">
        <v>1615</v>
      </c>
      <c r="L979" s="53" t="s">
        <v>52</v>
      </c>
      <c r="M979" s="53" t="s">
        <v>52</v>
      </c>
      <c r="N979" s="62" t="s">
        <v>6010</v>
      </c>
      <c r="O979" s="62" t="s">
        <v>44</v>
      </c>
      <c r="P979" s="62" t="s">
        <v>6014</v>
      </c>
      <c r="Q979" s="62" t="s">
        <v>6015</v>
      </c>
      <c r="R979" s="53"/>
      <c r="S979" s="53"/>
      <c r="T979" s="82"/>
      <c r="U979" s="42"/>
      <c r="V979" s="62"/>
      <c r="W979" s="64"/>
      <c r="X979" s="223"/>
      <c r="Y979" s="223"/>
      <c r="Z979" s="223"/>
      <c r="AA979" s="223"/>
    </row>
    <row r="980">
      <c r="A980" s="42">
        <f t="shared" si="3"/>
        <v>979</v>
      </c>
      <c r="B980" s="51" t="s">
        <v>41</v>
      </c>
      <c r="C980" s="53" t="s">
        <v>6016</v>
      </c>
      <c r="D980" s="42" t="s">
        <v>44</v>
      </c>
      <c r="E980" s="42" t="s">
        <v>44</v>
      </c>
      <c r="F980" s="53" t="s">
        <v>5724</v>
      </c>
      <c r="G980" s="53" t="s">
        <v>47</v>
      </c>
      <c r="H980" s="53" t="s">
        <v>91</v>
      </c>
      <c r="I980" s="53" t="s">
        <v>401</v>
      </c>
      <c r="J980" s="53" t="s">
        <v>5725</v>
      </c>
      <c r="K980" s="53" t="s">
        <v>1615</v>
      </c>
      <c r="L980" s="53" t="s">
        <v>52</v>
      </c>
      <c r="M980" s="53" t="s">
        <v>52</v>
      </c>
      <c r="N980" s="62" t="s">
        <v>6017</v>
      </c>
      <c r="O980" s="62" t="s">
        <v>44</v>
      </c>
      <c r="P980" s="62" t="s">
        <v>6018</v>
      </c>
      <c r="Q980" s="62" t="s">
        <v>6019</v>
      </c>
      <c r="R980" s="53"/>
      <c r="S980" s="53"/>
      <c r="T980" s="82"/>
      <c r="U980" s="42"/>
      <c r="V980" s="62"/>
      <c r="W980" s="64"/>
      <c r="X980" s="223"/>
      <c r="Y980" s="223"/>
      <c r="Z980" s="223"/>
      <c r="AA980" s="223"/>
    </row>
    <row r="981">
      <c r="A981" s="42">
        <f t="shared" si="3"/>
        <v>980</v>
      </c>
      <c r="B981" s="51" t="s">
        <v>41</v>
      </c>
      <c r="C981" s="53" t="s">
        <v>6020</v>
      </c>
      <c r="D981" s="42" t="s">
        <v>44</v>
      </c>
      <c r="E981" s="42" t="s">
        <v>44</v>
      </c>
      <c r="F981" s="53" t="s">
        <v>5724</v>
      </c>
      <c r="G981" s="53" t="s">
        <v>47</v>
      </c>
      <c r="H981" s="53" t="s">
        <v>95</v>
      </c>
      <c r="I981" s="53" t="s">
        <v>401</v>
      </c>
      <c r="J981" s="53" t="s">
        <v>5725</v>
      </c>
      <c r="K981" s="53" t="s">
        <v>1615</v>
      </c>
      <c r="L981" s="53" t="s">
        <v>52</v>
      </c>
      <c r="M981" s="53" t="s">
        <v>52</v>
      </c>
      <c r="N981" s="62" t="s">
        <v>6021</v>
      </c>
      <c r="O981" s="62" t="s">
        <v>44</v>
      </c>
      <c r="P981" s="62" t="s">
        <v>6022</v>
      </c>
      <c r="Q981" s="62" t="s">
        <v>6023</v>
      </c>
      <c r="R981" s="53"/>
      <c r="S981" s="53"/>
      <c r="T981" s="82"/>
      <c r="U981" s="42"/>
      <c r="V981" s="62"/>
      <c r="W981" s="64"/>
      <c r="X981" s="223"/>
      <c r="Y981" s="223"/>
      <c r="Z981" s="223"/>
      <c r="AA981" s="223"/>
    </row>
    <row r="982">
      <c r="A982" s="42">
        <f t="shared" si="3"/>
        <v>981</v>
      </c>
      <c r="B982" s="51" t="s">
        <v>41</v>
      </c>
      <c r="C982" s="53" t="s">
        <v>6024</v>
      </c>
      <c r="D982" s="42" t="s">
        <v>44</v>
      </c>
      <c r="E982" s="42" t="s">
        <v>44</v>
      </c>
      <c r="F982" s="53" t="s">
        <v>5724</v>
      </c>
      <c r="G982" s="53" t="s">
        <v>47</v>
      </c>
      <c r="H982" s="53" t="s">
        <v>48</v>
      </c>
      <c r="I982" s="53" t="s">
        <v>401</v>
      </c>
      <c r="J982" s="53" t="s">
        <v>5725</v>
      </c>
      <c r="K982" s="53" t="s">
        <v>1615</v>
      </c>
      <c r="L982" s="53" t="s">
        <v>52</v>
      </c>
      <c r="M982" s="53" t="s">
        <v>52</v>
      </c>
      <c r="N982" s="62" t="s">
        <v>6025</v>
      </c>
      <c r="O982" s="62" t="s">
        <v>44</v>
      </c>
      <c r="P982" s="62" t="s">
        <v>6026</v>
      </c>
      <c r="Q982" s="62" t="s">
        <v>6027</v>
      </c>
      <c r="R982" s="53"/>
      <c r="S982" s="53"/>
      <c r="T982" s="82"/>
      <c r="U982" s="42"/>
      <c r="V982" s="62"/>
      <c r="W982" s="64"/>
      <c r="X982" s="223"/>
      <c r="Y982" s="223"/>
      <c r="Z982" s="223"/>
      <c r="AA982" s="223"/>
    </row>
    <row r="983">
      <c r="A983" s="42">
        <f t="shared" si="3"/>
        <v>982</v>
      </c>
      <c r="B983" s="51" t="s">
        <v>41</v>
      </c>
      <c r="C983" s="53" t="s">
        <v>6028</v>
      </c>
      <c r="D983" s="42" t="s">
        <v>44</v>
      </c>
      <c r="E983" s="42" t="s">
        <v>44</v>
      </c>
      <c r="F983" s="53" t="s">
        <v>5724</v>
      </c>
      <c r="G983" s="53" t="s">
        <v>47</v>
      </c>
      <c r="H983" s="53" t="s">
        <v>48</v>
      </c>
      <c r="I983" s="53" t="s">
        <v>401</v>
      </c>
      <c r="J983" s="53" t="s">
        <v>5725</v>
      </c>
      <c r="K983" s="53" t="s">
        <v>1615</v>
      </c>
      <c r="L983" s="53" t="s">
        <v>52</v>
      </c>
      <c r="M983" s="53" t="s">
        <v>52</v>
      </c>
      <c r="N983" s="62" t="s">
        <v>6025</v>
      </c>
      <c r="O983" s="62" t="s">
        <v>44</v>
      </c>
      <c r="P983" s="62" t="s">
        <v>6029</v>
      </c>
      <c r="Q983" s="62" t="s">
        <v>6030</v>
      </c>
      <c r="R983" s="53"/>
      <c r="S983" s="53"/>
      <c r="T983" s="82"/>
      <c r="U983" s="42"/>
      <c r="V983" s="62"/>
      <c r="W983" s="64"/>
      <c r="X983" s="223"/>
      <c r="Y983" s="223"/>
      <c r="Z983" s="223"/>
      <c r="AA983" s="223"/>
    </row>
    <row r="984">
      <c r="A984" s="42">
        <f t="shared" si="3"/>
        <v>983</v>
      </c>
      <c r="B984" s="51" t="s">
        <v>41</v>
      </c>
      <c r="C984" s="53" t="s">
        <v>6031</v>
      </c>
      <c r="D984" s="42" t="s">
        <v>44</v>
      </c>
      <c r="E984" s="42" t="s">
        <v>44</v>
      </c>
      <c r="F984" s="53" t="s">
        <v>5724</v>
      </c>
      <c r="G984" s="53" t="s">
        <v>47</v>
      </c>
      <c r="H984" s="53" t="s">
        <v>48</v>
      </c>
      <c r="I984" s="53" t="s">
        <v>401</v>
      </c>
      <c r="J984" s="53" t="s">
        <v>5725</v>
      </c>
      <c r="K984" s="53" t="s">
        <v>1615</v>
      </c>
      <c r="L984" s="53" t="s">
        <v>52</v>
      </c>
      <c r="M984" s="53" t="s">
        <v>52</v>
      </c>
      <c r="N984" s="62" t="s">
        <v>6025</v>
      </c>
      <c r="O984" s="62" t="s">
        <v>44</v>
      </c>
      <c r="P984" s="62" t="s">
        <v>6032</v>
      </c>
      <c r="Q984" s="62" t="s">
        <v>6033</v>
      </c>
      <c r="R984" s="53"/>
      <c r="S984" s="53"/>
      <c r="T984" s="82"/>
      <c r="U984" s="42"/>
      <c r="V984" s="62"/>
      <c r="W984" s="64"/>
      <c r="X984" s="223"/>
      <c r="Y984" s="223"/>
      <c r="Z984" s="223"/>
      <c r="AA984" s="223"/>
    </row>
    <row r="985">
      <c r="A985" s="42">
        <f t="shared" si="3"/>
        <v>984</v>
      </c>
      <c r="B985" s="51" t="s">
        <v>41</v>
      </c>
      <c r="C985" s="53" t="s">
        <v>6034</v>
      </c>
      <c r="D985" s="42" t="s">
        <v>44</v>
      </c>
      <c r="E985" s="42" t="s">
        <v>44</v>
      </c>
      <c r="F985" s="53" t="s">
        <v>5724</v>
      </c>
      <c r="G985" s="53" t="s">
        <v>47</v>
      </c>
      <c r="H985" s="53" t="s">
        <v>95</v>
      </c>
      <c r="I985" s="53" t="s">
        <v>401</v>
      </c>
      <c r="J985" s="53" t="s">
        <v>5725</v>
      </c>
      <c r="K985" s="53" t="s">
        <v>1615</v>
      </c>
      <c r="L985" s="53" t="s">
        <v>52</v>
      </c>
      <c r="M985" s="53" t="s">
        <v>52</v>
      </c>
      <c r="N985" s="62" t="s">
        <v>6035</v>
      </c>
      <c r="O985" s="62" t="s">
        <v>44</v>
      </c>
      <c r="P985" s="62" t="s">
        <v>6036</v>
      </c>
      <c r="Q985" s="62" t="s">
        <v>6037</v>
      </c>
      <c r="R985" s="53"/>
      <c r="S985" s="53"/>
      <c r="T985" s="82"/>
      <c r="U985" s="42"/>
      <c r="V985" s="62"/>
      <c r="W985" s="64"/>
      <c r="X985" s="223"/>
      <c r="Y985" s="223"/>
      <c r="Z985" s="223"/>
      <c r="AA985" s="223"/>
    </row>
    <row r="986">
      <c r="A986" s="42">
        <f t="shared" si="3"/>
        <v>985</v>
      </c>
      <c r="B986" s="51" t="s">
        <v>41</v>
      </c>
      <c r="C986" s="53" t="s">
        <v>6038</v>
      </c>
      <c r="D986" s="42" t="s">
        <v>44</v>
      </c>
      <c r="E986" s="42" t="s">
        <v>44</v>
      </c>
      <c r="F986" s="53" t="s">
        <v>5724</v>
      </c>
      <c r="G986" s="53" t="s">
        <v>47</v>
      </c>
      <c r="H986" s="53" t="s">
        <v>95</v>
      </c>
      <c r="I986" s="53" t="s">
        <v>401</v>
      </c>
      <c r="J986" s="53" t="s">
        <v>5725</v>
      </c>
      <c r="K986" s="53" t="s">
        <v>1615</v>
      </c>
      <c r="L986" s="53" t="s">
        <v>52</v>
      </c>
      <c r="M986" s="53" t="s">
        <v>52</v>
      </c>
      <c r="N986" s="62" t="s">
        <v>6039</v>
      </c>
      <c r="O986" s="62" t="s">
        <v>44</v>
      </c>
      <c r="P986" s="62" t="s">
        <v>6036</v>
      </c>
      <c r="Q986" s="62" t="s">
        <v>6040</v>
      </c>
      <c r="R986" s="53"/>
      <c r="S986" s="53"/>
      <c r="T986" s="82"/>
      <c r="U986" s="42"/>
      <c r="V986" s="62"/>
      <c r="W986" s="64"/>
      <c r="X986" s="223"/>
      <c r="Y986" s="223"/>
      <c r="Z986" s="223"/>
      <c r="AA986" s="223"/>
    </row>
    <row r="987">
      <c r="A987" s="42">
        <f t="shared" si="3"/>
        <v>986</v>
      </c>
      <c r="B987" s="51" t="s">
        <v>41</v>
      </c>
      <c r="C987" s="53" t="s">
        <v>6041</v>
      </c>
      <c r="D987" s="42" t="s">
        <v>44</v>
      </c>
      <c r="E987" s="42" t="s">
        <v>44</v>
      </c>
      <c r="F987" s="53" t="s">
        <v>5724</v>
      </c>
      <c r="G987" s="53" t="s">
        <v>47</v>
      </c>
      <c r="H987" s="53" t="s">
        <v>48</v>
      </c>
      <c r="I987" s="53" t="s">
        <v>401</v>
      </c>
      <c r="J987" s="53" t="s">
        <v>5725</v>
      </c>
      <c r="K987" s="53" t="s">
        <v>1615</v>
      </c>
      <c r="L987" s="53" t="s">
        <v>52</v>
      </c>
      <c r="M987" s="53" t="s">
        <v>52</v>
      </c>
      <c r="N987" s="62" t="s">
        <v>5773</v>
      </c>
      <c r="O987" s="62" t="s">
        <v>44</v>
      </c>
      <c r="P987" s="62" t="s">
        <v>6042</v>
      </c>
      <c r="Q987" s="62" t="s">
        <v>6043</v>
      </c>
      <c r="R987" s="53"/>
      <c r="S987" s="53"/>
      <c r="T987" s="82"/>
      <c r="U987" s="42"/>
      <c r="V987" s="62"/>
      <c r="W987" s="64"/>
      <c r="X987" s="223"/>
      <c r="Y987" s="223"/>
      <c r="Z987" s="223"/>
      <c r="AA987" s="223"/>
    </row>
    <row r="988">
      <c r="A988" s="42">
        <f t="shared" si="3"/>
        <v>987</v>
      </c>
      <c r="B988" s="51" t="s">
        <v>41</v>
      </c>
      <c r="C988" s="53" t="s">
        <v>6044</v>
      </c>
      <c r="D988" s="42" t="s">
        <v>44</v>
      </c>
      <c r="E988" s="42" t="s">
        <v>44</v>
      </c>
      <c r="F988" s="53" t="s">
        <v>5724</v>
      </c>
      <c r="G988" s="53" t="s">
        <v>85</v>
      </c>
      <c r="H988" s="53" t="s">
        <v>86</v>
      </c>
      <c r="I988" s="53" t="s">
        <v>401</v>
      </c>
      <c r="J988" s="53" t="s">
        <v>5725</v>
      </c>
      <c r="K988" s="53" t="s">
        <v>1615</v>
      </c>
      <c r="L988" s="53" t="s">
        <v>52</v>
      </c>
      <c r="M988" s="53" t="s">
        <v>52</v>
      </c>
      <c r="N988" s="62" t="s">
        <v>5773</v>
      </c>
      <c r="O988" s="62" t="s">
        <v>44</v>
      </c>
      <c r="P988" s="62" t="s">
        <v>6045</v>
      </c>
      <c r="Q988" s="62" t="s">
        <v>5753</v>
      </c>
      <c r="R988" s="53"/>
      <c r="S988" s="53"/>
      <c r="T988" s="82"/>
      <c r="U988" s="42"/>
      <c r="V988" s="62"/>
      <c r="W988" s="64"/>
      <c r="X988" s="223"/>
      <c r="Y988" s="223"/>
      <c r="Z988" s="223"/>
      <c r="AA988" s="223"/>
    </row>
    <row r="989">
      <c r="A989" s="42">
        <f t="shared" si="3"/>
        <v>988</v>
      </c>
      <c r="B989" s="51" t="s">
        <v>41</v>
      </c>
      <c r="C989" s="53" t="s">
        <v>6046</v>
      </c>
      <c r="D989" s="42" t="s">
        <v>44</v>
      </c>
      <c r="E989" s="42" t="s">
        <v>44</v>
      </c>
      <c r="F989" s="53" t="s">
        <v>5724</v>
      </c>
      <c r="G989" s="53" t="s">
        <v>47</v>
      </c>
      <c r="H989" s="53" t="s">
        <v>91</v>
      </c>
      <c r="I989" s="53" t="s">
        <v>401</v>
      </c>
      <c r="J989" s="53" t="s">
        <v>5725</v>
      </c>
      <c r="K989" s="53" t="s">
        <v>1615</v>
      </c>
      <c r="L989" s="53" t="s">
        <v>52</v>
      </c>
      <c r="M989" s="53" t="s">
        <v>52</v>
      </c>
      <c r="N989" s="62" t="s">
        <v>6047</v>
      </c>
      <c r="O989" s="62" t="s">
        <v>44</v>
      </c>
      <c r="P989" s="62" t="s">
        <v>6048</v>
      </c>
      <c r="Q989" s="62" t="s">
        <v>5753</v>
      </c>
      <c r="R989" s="53"/>
      <c r="S989" s="53"/>
      <c r="T989" s="82"/>
      <c r="U989" s="42"/>
      <c r="V989" s="62"/>
      <c r="W989" s="64"/>
      <c r="X989" s="223"/>
      <c r="Y989" s="223"/>
      <c r="Z989" s="223"/>
      <c r="AA989" s="223"/>
    </row>
    <row r="990">
      <c r="A990" s="42">
        <f t="shared" si="3"/>
        <v>989</v>
      </c>
      <c r="B990" s="51" t="s">
        <v>41</v>
      </c>
      <c r="C990" s="53" t="s">
        <v>6049</v>
      </c>
      <c r="D990" s="42" t="s">
        <v>44</v>
      </c>
      <c r="E990" s="42" t="s">
        <v>44</v>
      </c>
      <c r="F990" s="53" t="s">
        <v>5724</v>
      </c>
      <c r="G990" s="53" t="s">
        <v>47</v>
      </c>
      <c r="H990" s="53" t="s">
        <v>95</v>
      </c>
      <c r="I990" s="53" t="s">
        <v>401</v>
      </c>
      <c r="J990" s="53" t="s">
        <v>5725</v>
      </c>
      <c r="K990" s="53" t="s">
        <v>1615</v>
      </c>
      <c r="L990" s="53" t="s">
        <v>52</v>
      </c>
      <c r="M990" s="53" t="s">
        <v>52</v>
      </c>
      <c r="N990" s="62" t="s">
        <v>6050</v>
      </c>
      <c r="O990" s="62" t="s">
        <v>44</v>
      </c>
      <c r="P990" s="62" t="s">
        <v>6048</v>
      </c>
      <c r="Q990" s="62" t="s">
        <v>6051</v>
      </c>
      <c r="R990" s="53"/>
      <c r="S990" s="53"/>
      <c r="T990" s="82"/>
      <c r="U990" s="42"/>
      <c r="V990" s="62"/>
      <c r="W990" s="64"/>
      <c r="X990" s="223"/>
      <c r="Y990" s="223"/>
      <c r="Z990" s="223"/>
      <c r="AA990" s="223"/>
    </row>
    <row r="991">
      <c r="A991" s="42">
        <f t="shared" si="3"/>
        <v>990</v>
      </c>
      <c r="B991" s="51" t="s">
        <v>41</v>
      </c>
      <c r="C991" s="53" t="s">
        <v>6052</v>
      </c>
      <c r="D991" s="42" t="s">
        <v>44</v>
      </c>
      <c r="E991" s="42" t="s">
        <v>44</v>
      </c>
      <c r="F991" s="53" t="s">
        <v>5724</v>
      </c>
      <c r="G991" s="53" t="s">
        <v>47</v>
      </c>
      <c r="H991" s="53" t="s">
        <v>48</v>
      </c>
      <c r="I991" s="53" t="s">
        <v>401</v>
      </c>
      <c r="J991" s="53" t="s">
        <v>5725</v>
      </c>
      <c r="K991" s="53" t="s">
        <v>1615</v>
      </c>
      <c r="L991" s="53" t="s">
        <v>52</v>
      </c>
      <c r="M991" s="53" t="s">
        <v>52</v>
      </c>
      <c r="N991" s="62" t="s">
        <v>5838</v>
      </c>
      <c r="O991" s="62" t="s">
        <v>44</v>
      </c>
      <c r="P991" s="62" t="s">
        <v>6053</v>
      </c>
      <c r="Q991" s="62" t="s">
        <v>6054</v>
      </c>
      <c r="R991" s="53"/>
      <c r="S991" s="53"/>
      <c r="T991" s="82"/>
      <c r="U991" s="42"/>
      <c r="V991" s="62"/>
      <c r="W991" s="64"/>
      <c r="X991" s="223"/>
      <c r="Y991" s="223"/>
      <c r="Z991" s="223"/>
      <c r="AA991" s="223"/>
    </row>
    <row r="992">
      <c r="A992" s="42">
        <f t="shared" si="3"/>
        <v>991</v>
      </c>
      <c r="B992" s="51" t="s">
        <v>41</v>
      </c>
      <c r="C992" s="53" t="s">
        <v>6055</v>
      </c>
      <c r="D992" s="42" t="s">
        <v>44</v>
      </c>
      <c r="E992" s="42" t="s">
        <v>44</v>
      </c>
      <c r="F992" s="53" t="s">
        <v>5724</v>
      </c>
      <c r="G992" s="53" t="s">
        <v>47</v>
      </c>
      <c r="H992" s="53" t="s">
        <v>48</v>
      </c>
      <c r="I992" s="53" t="s">
        <v>401</v>
      </c>
      <c r="J992" s="53" t="s">
        <v>5725</v>
      </c>
      <c r="K992" s="53" t="s">
        <v>1615</v>
      </c>
      <c r="L992" s="53" t="s">
        <v>52</v>
      </c>
      <c r="M992" s="53" t="s">
        <v>52</v>
      </c>
      <c r="N992" s="62" t="s">
        <v>5838</v>
      </c>
      <c r="O992" s="62" t="s">
        <v>44</v>
      </c>
      <c r="P992" s="62" t="s">
        <v>6056</v>
      </c>
      <c r="Q992" s="62" t="s">
        <v>6057</v>
      </c>
      <c r="R992" s="53"/>
      <c r="S992" s="53"/>
      <c r="T992" s="82"/>
      <c r="U992" s="42"/>
      <c r="V992" s="62"/>
      <c r="W992" s="64"/>
      <c r="X992" s="223"/>
      <c r="Y992" s="223"/>
      <c r="Z992" s="223"/>
      <c r="AA992" s="223"/>
    </row>
    <row r="993">
      <c r="A993" s="42">
        <f t="shared" si="3"/>
        <v>992</v>
      </c>
      <c r="B993" s="51" t="s">
        <v>41</v>
      </c>
      <c r="C993" s="53" t="s">
        <v>6058</v>
      </c>
      <c r="D993" s="42" t="s">
        <v>44</v>
      </c>
      <c r="E993" s="42" t="s">
        <v>44</v>
      </c>
      <c r="F993" s="53" t="s">
        <v>5724</v>
      </c>
      <c r="G993" s="53" t="s">
        <v>47</v>
      </c>
      <c r="H993" s="53" t="s">
        <v>48</v>
      </c>
      <c r="I993" s="53" t="s">
        <v>401</v>
      </c>
      <c r="J993" s="53" t="s">
        <v>5725</v>
      </c>
      <c r="K993" s="53" t="s">
        <v>1615</v>
      </c>
      <c r="L993" s="53" t="s">
        <v>52</v>
      </c>
      <c r="M993" s="53" t="s">
        <v>52</v>
      </c>
      <c r="N993" s="62" t="s">
        <v>5838</v>
      </c>
      <c r="O993" s="62" t="s">
        <v>44</v>
      </c>
      <c r="P993" s="62" t="s">
        <v>6059</v>
      </c>
      <c r="Q993" s="62" t="s">
        <v>6060</v>
      </c>
      <c r="R993" s="53"/>
      <c r="S993" s="53"/>
      <c r="T993" s="82"/>
      <c r="U993" s="42"/>
      <c r="V993" s="62"/>
      <c r="W993" s="64"/>
      <c r="X993" s="223"/>
      <c r="Y993" s="223"/>
      <c r="Z993" s="223"/>
      <c r="AA993" s="223"/>
    </row>
    <row r="994">
      <c r="A994" s="42">
        <f t="shared" si="3"/>
        <v>993</v>
      </c>
      <c r="B994" s="51" t="s">
        <v>41</v>
      </c>
      <c r="C994" s="53" t="s">
        <v>6061</v>
      </c>
      <c r="D994" s="42" t="s">
        <v>44</v>
      </c>
      <c r="E994" s="42" t="s">
        <v>44</v>
      </c>
      <c r="F994" s="53" t="s">
        <v>5724</v>
      </c>
      <c r="G994" s="53" t="s">
        <v>47</v>
      </c>
      <c r="H994" s="53" t="s">
        <v>48</v>
      </c>
      <c r="I994" s="53" t="s">
        <v>401</v>
      </c>
      <c r="J994" s="53" t="s">
        <v>5725</v>
      </c>
      <c r="K994" s="53" t="s">
        <v>1615</v>
      </c>
      <c r="L994" s="53" t="s">
        <v>52</v>
      </c>
      <c r="M994" s="53" t="s">
        <v>52</v>
      </c>
      <c r="N994" s="62" t="s">
        <v>5838</v>
      </c>
      <c r="O994" s="62" t="s">
        <v>44</v>
      </c>
      <c r="P994" s="62" t="s">
        <v>6062</v>
      </c>
      <c r="Q994" s="62" t="s">
        <v>6063</v>
      </c>
      <c r="R994" s="53"/>
      <c r="S994" s="53"/>
      <c r="T994" s="82"/>
      <c r="U994" s="42"/>
      <c r="V994" s="62"/>
      <c r="W994" s="64"/>
      <c r="X994" s="223"/>
      <c r="Y994" s="223"/>
      <c r="Z994" s="223"/>
      <c r="AA994" s="223"/>
    </row>
    <row r="995">
      <c r="A995" s="42">
        <f t="shared" si="3"/>
        <v>994</v>
      </c>
      <c r="B995" s="51" t="s">
        <v>41</v>
      </c>
      <c r="C995" s="53" t="s">
        <v>6064</v>
      </c>
      <c r="D995" s="42" t="s">
        <v>44</v>
      </c>
      <c r="E995" s="42" t="s">
        <v>44</v>
      </c>
      <c r="F995" s="53" t="s">
        <v>5724</v>
      </c>
      <c r="G995" s="53" t="s">
        <v>47</v>
      </c>
      <c r="H995" s="53" t="s">
        <v>48</v>
      </c>
      <c r="I995" s="53" t="s">
        <v>401</v>
      </c>
      <c r="J995" s="53" t="s">
        <v>5725</v>
      </c>
      <c r="K995" s="53" t="s">
        <v>1615</v>
      </c>
      <c r="L995" s="53" t="s">
        <v>52</v>
      </c>
      <c r="M995" s="53" t="s">
        <v>52</v>
      </c>
      <c r="N995" s="62" t="s">
        <v>5838</v>
      </c>
      <c r="O995" s="62" t="s">
        <v>44</v>
      </c>
      <c r="P995" s="62" t="s">
        <v>6065</v>
      </c>
      <c r="Q995" s="62" t="s">
        <v>6066</v>
      </c>
      <c r="R995" s="53"/>
      <c r="S995" s="53"/>
      <c r="T995" s="82"/>
      <c r="U995" s="42"/>
      <c r="V995" s="62"/>
      <c r="W995" s="64"/>
      <c r="X995" s="223"/>
      <c r="Y995" s="223"/>
      <c r="Z995" s="223"/>
      <c r="AA995" s="223"/>
    </row>
    <row r="996">
      <c r="A996" s="42">
        <f t="shared" si="3"/>
        <v>995</v>
      </c>
      <c r="B996" s="51" t="s">
        <v>41</v>
      </c>
      <c r="C996" s="53" t="s">
        <v>6067</v>
      </c>
      <c r="D996" s="42" t="s">
        <v>44</v>
      </c>
      <c r="E996" s="42" t="s">
        <v>44</v>
      </c>
      <c r="F996" s="53" t="s">
        <v>6068</v>
      </c>
      <c r="G996" s="53" t="s">
        <v>111</v>
      </c>
      <c r="H996" s="53" t="s">
        <v>112</v>
      </c>
      <c r="I996" s="53" t="s">
        <v>401</v>
      </c>
      <c r="J996" s="53" t="s">
        <v>6069</v>
      </c>
      <c r="K996" s="53" t="s">
        <v>3753</v>
      </c>
      <c r="L996" s="53" t="s">
        <v>52</v>
      </c>
      <c r="M996" s="53" t="s">
        <v>52</v>
      </c>
      <c r="N996" s="62" t="s">
        <v>6070</v>
      </c>
      <c r="O996" s="62" t="s">
        <v>44</v>
      </c>
      <c r="P996" s="62" t="s">
        <v>6071</v>
      </c>
      <c r="Q996" s="62" t="s">
        <v>5728</v>
      </c>
      <c r="R996" s="53"/>
      <c r="S996" s="53"/>
      <c r="T996" s="82"/>
      <c r="U996" s="42"/>
      <c r="V996" s="62"/>
      <c r="W996" s="64"/>
      <c r="X996" s="223"/>
      <c r="Y996" s="223"/>
      <c r="Z996" s="223"/>
      <c r="AA996" s="223"/>
    </row>
    <row r="997">
      <c r="A997" s="42">
        <f t="shared" si="3"/>
        <v>996</v>
      </c>
      <c r="B997" s="51" t="s">
        <v>41</v>
      </c>
      <c r="C997" s="53" t="s">
        <v>6072</v>
      </c>
      <c r="D997" s="42" t="s">
        <v>44</v>
      </c>
      <c r="E997" s="42" t="s">
        <v>44</v>
      </c>
      <c r="F997" s="53" t="s">
        <v>6068</v>
      </c>
      <c r="G997" s="53" t="s">
        <v>47</v>
      </c>
      <c r="H997" s="53" t="s">
        <v>48</v>
      </c>
      <c r="I997" s="53" t="s">
        <v>401</v>
      </c>
      <c r="J997" s="53" t="s">
        <v>6069</v>
      </c>
      <c r="K997" s="53" t="s">
        <v>3753</v>
      </c>
      <c r="L997" s="53" t="s">
        <v>52</v>
      </c>
      <c r="M997" s="53" t="s">
        <v>52</v>
      </c>
      <c r="N997" s="62" t="s">
        <v>6073</v>
      </c>
      <c r="O997" s="62" t="s">
        <v>44</v>
      </c>
      <c r="P997" s="62" t="s">
        <v>5384</v>
      </c>
      <c r="Q997" s="62" t="s">
        <v>6074</v>
      </c>
      <c r="R997" s="53"/>
      <c r="S997" s="53"/>
      <c r="T997" s="82"/>
      <c r="U997" s="42"/>
      <c r="V997" s="62"/>
      <c r="W997" s="64"/>
      <c r="X997" s="223"/>
      <c r="Y997" s="223"/>
      <c r="Z997" s="223"/>
      <c r="AA997" s="223"/>
    </row>
    <row r="998">
      <c r="A998" s="42">
        <f t="shared" si="3"/>
        <v>997</v>
      </c>
      <c r="B998" s="51" t="s">
        <v>41</v>
      </c>
      <c r="C998" s="53" t="s">
        <v>6075</v>
      </c>
      <c r="D998" s="42" t="s">
        <v>44</v>
      </c>
      <c r="E998" s="42" t="s">
        <v>44</v>
      </c>
      <c r="F998" s="53" t="s">
        <v>6068</v>
      </c>
      <c r="G998" s="53" t="s">
        <v>47</v>
      </c>
      <c r="H998" s="53" t="s">
        <v>48</v>
      </c>
      <c r="I998" s="53" t="s">
        <v>401</v>
      </c>
      <c r="J998" s="53" t="s">
        <v>6069</v>
      </c>
      <c r="K998" s="53" t="s">
        <v>3753</v>
      </c>
      <c r="L998" s="53" t="s">
        <v>52</v>
      </c>
      <c r="M998" s="53" t="s">
        <v>52</v>
      </c>
      <c r="N998" s="62" t="s">
        <v>6073</v>
      </c>
      <c r="O998" s="62" t="s">
        <v>44</v>
      </c>
      <c r="P998" s="62" t="s">
        <v>5389</v>
      </c>
      <c r="Q998" s="62" t="s">
        <v>6076</v>
      </c>
      <c r="R998" s="53"/>
      <c r="S998" s="53"/>
      <c r="T998" s="82"/>
      <c r="U998" s="42"/>
      <c r="V998" s="62"/>
      <c r="W998" s="64"/>
      <c r="X998" s="223"/>
      <c r="Y998" s="223"/>
      <c r="Z998" s="223"/>
      <c r="AA998" s="223"/>
    </row>
    <row r="999">
      <c r="A999" s="42">
        <f t="shared" si="3"/>
        <v>998</v>
      </c>
      <c r="B999" s="51" t="s">
        <v>41</v>
      </c>
      <c r="C999" s="53" t="s">
        <v>6077</v>
      </c>
      <c r="D999" s="42" t="s">
        <v>44</v>
      </c>
      <c r="E999" s="42" t="s">
        <v>44</v>
      </c>
      <c r="F999" s="53" t="s">
        <v>6068</v>
      </c>
      <c r="G999" s="53" t="s">
        <v>47</v>
      </c>
      <c r="H999" s="53" t="s">
        <v>48</v>
      </c>
      <c r="I999" s="53" t="s">
        <v>401</v>
      </c>
      <c r="J999" s="53" t="s">
        <v>6069</v>
      </c>
      <c r="K999" s="53" t="s">
        <v>3753</v>
      </c>
      <c r="L999" s="53" t="s">
        <v>52</v>
      </c>
      <c r="M999" s="53" t="s">
        <v>52</v>
      </c>
      <c r="N999" s="62" t="s">
        <v>6073</v>
      </c>
      <c r="O999" s="62" t="s">
        <v>44</v>
      </c>
      <c r="P999" s="62" t="s">
        <v>5741</v>
      </c>
      <c r="Q999" s="62" t="s">
        <v>6078</v>
      </c>
      <c r="R999" s="53"/>
      <c r="S999" s="53"/>
      <c r="T999" s="82"/>
      <c r="U999" s="42"/>
      <c r="V999" s="62"/>
      <c r="W999" s="64"/>
      <c r="X999" s="223"/>
      <c r="Y999" s="223"/>
      <c r="Z999" s="223"/>
      <c r="AA999" s="223"/>
    </row>
    <row r="1000">
      <c r="A1000" s="42">
        <f t="shared" si="3"/>
        <v>999</v>
      </c>
      <c r="B1000" s="51" t="s">
        <v>41</v>
      </c>
      <c r="C1000" s="53" t="s">
        <v>6079</v>
      </c>
      <c r="D1000" s="42" t="s">
        <v>44</v>
      </c>
      <c r="E1000" s="42" t="s">
        <v>44</v>
      </c>
      <c r="F1000" s="53" t="s">
        <v>6068</v>
      </c>
      <c r="G1000" s="53" t="s">
        <v>47</v>
      </c>
      <c r="H1000" s="53" t="s">
        <v>48</v>
      </c>
      <c r="I1000" s="53" t="s">
        <v>401</v>
      </c>
      <c r="J1000" s="53" t="s">
        <v>6069</v>
      </c>
      <c r="K1000" s="53" t="s">
        <v>3753</v>
      </c>
      <c r="L1000" s="53" t="s">
        <v>52</v>
      </c>
      <c r="M1000" s="53" t="s">
        <v>52</v>
      </c>
      <c r="N1000" s="62" t="s">
        <v>6073</v>
      </c>
      <c r="O1000" s="62" t="s">
        <v>44</v>
      </c>
      <c r="P1000" s="62" t="s">
        <v>5746</v>
      </c>
      <c r="Q1000" s="62" t="s">
        <v>5747</v>
      </c>
      <c r="R1000" s="53"/>
      <c r="S1000" s="53"/>
      <c r="T1000" s="82"/>
      <c r="U1000" s="42"/>
      <c r="V1000" s="62"/>
      <c r="W1000" s="64"/>
      <c r="X1000" s="223"/>
      <c r="Y1000" s="223"/>
      <c r="Z1000" s="223"/>
      <c r="AA1000" s="223"/>
    </row>
    <row r="1001">
      <c r="A1001" s="42">
        <f t="shared" si="3"/>
        <v>1000</v>
      </c>
      <c r="B1001" s="51" t="s">
        <v>41</v>
      </c>
      <c r="C1001" s="53" t="s">
        <v>6080</v>
      </c>
      <c r="D1001" s="42" t="s">
        <v>44</v>
      </c>
      <c r="E1001" s="42" t="s">
        <v>44</v>
      </c>
      <c r="F1001" s="53" t="s">
        <v>6068</v>
      </c>
      <c r="G1001" s="53" t="s">
        <v>47</v>
      </c>
      <c r="H1001" s="53" t="s">
        <v>91</v>
      </c>
      <c r="I1001" s="53" t="s">
        <v>401</v>
      </c>
      <c r="J1001" s="53" t="s">
        <v>6069</v>
      </c>
      <c r="K1001" s="53" t="s">
        <v>3753</v>
      </c>
      <c r="L1001" s="53" t="s">
        <v>52</v>
      </c>
      <c r="M1001" s="53" t="s">
        <v>52</v>
      </c>
      <c r="N1001" s="62" t="s">
        <v>6073</v>
      </c>
      <c r="O1001" s="62" t="s">
        <v>44</v>
      </c>
      <c r="P1001" s="62" t="s">
        <v>5752</v>
      </c>
      <c r="Q1001" s="62" t="s">
        <v>5753</v>
      </c>
      <c r="R1001" s="53"/>
      <c r="S1001" s="53"/>
      <c r="T1001" s="82"/>
      <c r="U1001" s="42"/>
      <c r="V1001" s="62"/>
      <c r="W1001" s="64"/>
      <c r="X1001" s="223"/>
      <c r="Y1001" s="223"/>
      <c r="Z1001" s="223"/>
      <c r="AA1001" s="223"/>
    </row>
    <row r="1002">
      <c r="A1002" s="42">
        <f t="shared" si="3"/>
        <v>1001</v>
      </c>
      <c r="B1002" s="51" t="s">
        <v>41</v>
      </c>
      <c r="C1002" s="53" t="s">
        <v>6081</v>
      </c>
      <c r="D1002" s="42" t="s">
        <v>44</v>
      </c>
      <c r="E1002" s="42" t="s">
        <v>44</v>
      </c>
      <c r="F1002" s="53" t="s">
        <v>6068</v>
      </c>
      <c r="G1002" s="53" t="s">
        <v>47</v>
      </c>
      <c r="H1002" s="53" t="s">
        <v>48</v>
      </c>
      <c r="I1002" s="53" t="s">
        <v>401</v>
      </c>
      <c r="J1002" s="53" t="s">
        <v>6069</v>
      </c>
      <c r="K1002" s="53" t="s">
        <v>3753</v>
      </c>
      <c r="L1002" s="53" t="s">
        <v>52</v>
      </c>
      <c r="M1002" s="53" t="s">
        <v>52</v>
      </c>
      <c r="N1002" s="62" t="s">
        <v>6073</v>
      </c>
      <c r="O1002" s="62" t="s">
        <v>44</v>
      </c>
      <c r="P1002" s="62" t="s">
        <v>6082</v>
      </c>
      <c r="Q1002" s="62" t="s">
        <v>6083</v>
      </c>
      <c r="R1002" s="53"/>
      <c r="S1002" s="53"/>
      <c r="T1002" s="82"/>
      <c r="U1002" s="42"/>
      <c r="V1002" s="62"/>
      <c r="W1002" s="64"/>
      <c r="X1002" s="223"/>
      <c r="Y1002" s="223"/>
      <c r="Z1002" s="223"/>
      <c r="AA1002" s="223"/>
    </row>
    <row r="1003">
      <c r="A1003" s="42">
        <f t="shared" si="3"/>
        <v>1002</v>
      </c>
      <c r="B1003" s="51" t="s">
        <v>41</v>
      </c>
      <c r="C1003" s="53" t="s">
        <v>6084</v>
      </c>
      <c r="D1003" s="42" t="s">
        <v>44</v>
      </c>
      <c r="E1003" s="42" t="s">
        <v>44</v>
      </c>
      <c r="F1003" s="53" t="s">
        <v>6068</v>
      </c>
      <c r="G1003" s="53" t="s">
        <v>47</v>
      </c>
      <c r="H1003" s="53" t="s">
        <v>48</v>
      </c>
      <c r="I1003" s="53" t="s">
        <v>401</v>
      </c>
      <c r="J1003" s="53" t="s">
        <v>6069</v>
      </c>
      <c r="K1003" s="53" t="s">
        <v>3753</v>
      </c>
      <c r="L1003" s="53" t="s">
        <v>52</v>
      </c>
      <c r="M1003" s="53" t="s">
        <v>52</v>
      </c>
      <c r="N1003" s="306" t="s">
        <v>6073</v>
      </c>
      <c r="O1003" s="62" t="s">
        <v>44</v>
      </c>
      <c r="P1003" s="62" t="s">
        <v>6085</v>
      </c>
      <c r="Q1003" s="62" t="s">
        <v>6086</v>
      </c>
      <c r="R1003" s="53"/>
      <c r="S1003" s="53"/>
      <c r="T1003" s="82"/>
      <c r="U1003" s="42"/>
      <c r="V1003" s="62"/>
      <c r="W1003" s="64"/>
      <c r="X1003" s="223"/>
      <c r="Y1003" s="223"/>
      <c r="Z1003" s="223"/>
      <c r="AA1003" s="223"/>
    </row>
    <row r="1004">
      <c r="A1004" s="42">
        <f t="shared" si="3"/>
        <v>1003</v>
      </c>
      <c r="B1004" s="51" t="s">
        <v>41</v>
      </c>
      <c r="C1004" s="53" t="s">
        <v>6087</v>
      </c>
      <c r="D1004" s="42" t="s">
        <v>44</v>
      </c>
      <c r="E1004" s="42" t="s">
        <v>44</v>
      </c>
      <c r="F1004" s="53" t="s">
        <v>6068</v>
      </c>
      <c r="G1004" s="53" t="s">
        <v>47</v>
      </c>
      <c r="H1004" s="53" t="s">
        <v>48</v>
      </c>
      <c r="I1004" s="53" t="s">
        <v>401</v>
      </c>
      <c r="J1004" s="53" t="s">
        <v>6069</v>
      </c>
      <c r="K1004" s="53" t="s">
        <v>3753</v>
      </c>
      <c r="L1004" s="53" t="s">
        <v>52</v>
      </c>
      <c r="M1004" s="53" t="s">
        <v>52</v>
      </c>
      <c r="N1004" s="62" t="s">
        <v>6088</v>
      </c>
      <c r="O1004" s="62" t="s">
        <v>44</v>
      </c>
      <c r="P1004" s="62" t="s">
        <v>6089</v>
      </c>
      <c r="Q1004" s="62" t="s">
        <v>6090</v>
      </c>
      <c r="R1004" s="53"/>
      <c r="S1004" s="53"/>
      <c r="T1004" s="82"/>
      <c r="U1004" s="42"/>
      <c r="V1004" s="62"/>
      <c r="W1004" s="64"/>
      <c r="X1004" s="223"/>
      <c r="Y1004" s="223"/>
      <c r="Z1004" s="223"/>
      <c r="AA1004" s="223"/>
    </row>
    <row r="1005">
      <c r="A1005" s="42">
        <f t="shared" si="3"/>
        <v>1004</v>
      </c>
      <c r="B1005" s="51" t="s">
        <v>41</v>
      </c>
      <c r="C1005" s="53" t="s">
        <v>6091</v>
      </c>
      <c r="D1005" s="42" t="s">
        <v>44</v>
      </c>
      <c r="E1005" s="42" t="s">
        <v>44</v>
      </c>
      <c r="F1005" s="53" t="s">
        <v>6068</v>
      </c>
      <c r="G1005" s="53" t="s">
        <v>47</v>
      </c>
      <c r="H1005" s="53" t="s">
        <v>48</v>
      </c>
      <c r="I1005" s="53" t="s">
        <v>401</v>
      </c>
      <c r="J1005" s="53" t="s">
        <v>6069</v>
      </c>
      <c r="K1005" s="53" t="s">
        <v>3753</v>
      </c>
      <c r="L1005" s="53" t="s">
        <v>52</v>
      </c>
      <c r="M1005" s="53" t="s">
        <v>52</v>
      </c>
      <c r="N1005" s="62" t="s">
        <v>6073</v>
      </c>
      <c r="O1005" s="62" t="s">
        <v>44</v>
      </c>
      <c r="P1005" s="62" t="s">
        <v>5448</v>
      </c>
      <c r="Q1005" s="62" t="s">
        <v>5763</v>
      </c>
      <c r="R1005" s="53"/>
      <c r="S1005" s="53"/>
      <c r="T1005" s="82"/>
      <c r="U1005" s="42"/>
      <c r="V1005" s="62"/>
      <c r="W1005" s="64"/>
      <c r="X1005" s="223"/>
      <c r="Y1005" s="223"/>
      <c r="Z1005" s="223"/>
      <c r="AA1005" s="223"/>
    </row>
    <row r="1006">
      <c r="A1006" s="42">
        <f t="shared" si="3"/>
        <v>1005</v>
      </c>
      <c r="B1006" s="51" t="s">
        <v>41</v>
      </c>
      <c r="C1006" s="53" t="s">
        <v>6092</v>
      </c>
      <c r="D1006" s="42" t="s">
        <v>44</v>
      </c>
      <c r="E1006" s="42" t="s">
        <v>44</v>
      </c>
      <c r="F1006" s="53" t="s">
        <v>6068</v>
      </c>
      <c r="G1006" s="53" t="s">
        <v>47</v>
      </c>
      <c r="H1006" s="53" t="s">
        <v>48</v>
      </c>
      <c r="I1006" s="53" t="s">
        <v>401</v>
      </c>
      <c r="J1006" s="53" t="s">
        <v>6069</v>
      </c>
      <c r="K1006" s="53" t="s">
        <v>3753</v>
      </c>
      <c r="L1006" s="53" t="s">
        <v>52</v>
      </c>
      <c r="M1006" s="53" t="s">
        <v>52</v>
      </c>
      <c r="N1006" s="62" t="s">
        <v>6073</v>
      </c>
      <c r="O1006" s="62" t="s">
        <v>44</v>
      </c>
      <c r="P1006" s="62" t="s">
        <v>1002</v>
      </c>
      <c r="Q1006" s="62" t="s">
        <v>5768</v>
      </c>
      <c r="R1006" s="53"/>
      <c r="S1006" s="53"/>
      <c r="T1006" s="82"/>
      <c r="U1006" s="42"/>
      <c r="V1006" s="62"/>
      <c r="W1006" s="64"/>
      <c r="X1006" s="223"/>
      <c r="Y1006" s="223"/>
      <c r="Z1006" s="223"/>
      <c r="AA1006" s="223"/>
    </row>
    <row r="1007">
      <c r="A1007" s="42">
        <f t="shared" si="3"/>
        <v>1006</v>
      </c>
      <c r="B1007" s="51" t="s">
        <v>41</v>
      </c>
      <c r="C1007" s="53" t="s">
        <v>6093</v>
      </c>
      <c r="D1007" s="42" t="s">
        <v>44</v>
      </c>
      <c r="E1007" s="42" t="s">
        <v>44</v>
      </c>
      <c r="F1007" s="53" t="s">
        <v>6068</v>
      </c>
      <c r="G1007" s="53" t="s">
        <v>47</v>
      </c>
      <c r="H1007" s="53" t="s">
        <v>48</v>
      </c>
      <c r="I1007" s="53" t="s">
        <v>401</v>
      </c>
      <c r="J1007" s="53" t="s">
        <v>6069</v>
      </c>
      <c r="K1007" s="53" t="s">
        <v>3753</v>
      </c>
      <c r="L1007" s="53" t="s">
        <v>52</v>
      </c>
      <c r="M1007" s="53" t="s">
        <v>52</v>
      </c>
      <c r="N1007" s="62" t="s">
        <v>6094</v>
      </c>
      <c r="O1007" s="62" t="s">
        <v>44</v>
      </c>
      <c r="P1007" s="62" t="s">
        <v>6095</v>
      </c>
      <c r="Q1007" s="62" t="s">
        <v>6096</v>
      </c>
      <c r="R1007" s="53"/>
      <c r="S1007" s="53"/>
      <c r="T1007" s="82"/>
      <c r="U1007" s="42"/>
      <c r="V1007" s="62"/>
      <c r="W1007" s="64"/>
      <c r="X1007" s="223"/>
      <c r="Y1007" s="223"/>
      <c r="Z1007" s="223"/>
      <c r="AA1007" s="223"/>
    </row>
    <row r="1008">
      <c r="A1008" s="42">
        <f t="shared" si="3"/>
        <v>1007</v>
      </c>
      <c r="B1008" s="51" t="s">
        <v>41</v>
      </c>
      <c r="C1008" s="53" t="s">
        <v>6097</v>
      </c>
      <c r="D1008" s="42" t="s">
        <v>44</v>
      </c>
      <c r="E1008" s="42" t="s">
        <v>44</v>
      </c>
      <c r="F1008" s="53" t="s">
        <v>6068</v>
      </c>
      <c r="G1008" s="53" t="s">
        <v>47</v>
      </c>
      <c r="H1008" s="53" t="s">
        <v>48</v>
      </c>
      <c r="I1008" s="53" t="s">
        <v>401</v>
      </c>
      <c r="J1008" s="53" t="s">
        <v>6069</v>
      </c>
      <c r="K1008" s="53" t="s">
        <v>3753</v>
      </c>
      <c r="L1008" s="53" t="s">
        <v>52</v>
      </c>
      <c r="M1008" s="53" t="s">
        <v>52</v>
      </c>
      <c r="N1008" s="62" t="s">
        <v>6098</v>
      </c>
      <c r="O1008" s="62" t="s">
        <v>44</v>
      </c>
      <c r="P1008" s="62" t="s">
        <v>5774</v>
      </c>
      <c r="Q1008" s="62" t="s">
        <v>5775</v>
      </c>
      <c r="R1008" s="53"/>
      <c r="S1008" s="53"/>
      <c r="T1008" s="82"/>
      <c r="U1008" s="42"/>
      <c r="V1008" s="62"/>
      <c r="W1008" s="64"/>
      <c r="X1008" s="223"/>
      <c r="Y1008" s="223"/>
      <c r="Z1008" s="223"/>
      <c r="AA1008" s="223"/>
    </row>
    <row r="1009">
      <c r="A1009" s="42">
        <f t="shared" si="3"/>
        <v>1008</v>
      </c>
      <c r="B1009" s="51" t="s">
        <v>41</v>
      </c>
      <c r="C1009" s="53" t="s">
        <v>6099</v>
      </c>
      <c r="D1009" s="42" t="s">
        <v>44</v>
      </c>
      <c r="E1009" s="42" t="s">
        <v>44</v>
      </c>
      <c r="F1009" s="53" t="s">
        <v>6068</v>
      </c>
      <c r="G1009" s="53" t="s">
        <v>47</v>
      </c>
      <c r="H1009" s="53" t="s">
        <v>48</v>
      </c>
      <c r="I1009" s="53" t="s">
        <v>401</v>
      </c>
      <c r="J1009" s="53" t="s">
        <v>6069</v>
      </c>
      <c r="K1009" s="53" t="s">
        <v>3753</v>
      </c>
      <c r="L1009" s="53" t="s">
        <v>52</v>
      </c>
      <c r="M1009" s="53" t="s">
        <v>52</v>
      </c>
      <c r="N1009" s="62" t="s">
        <v>6098</v>
      </c>
      <c r="O1009" s="62" t="s">
        <v>44</v>
      </c>
      <c r="P1009" s="62" t="s">
        <v>6100</v>
      </c>
      <c r="Q1009" s="62" t="s">
        <v>6101</v>
      </c>
      <c r="R1009" s="53"/>
      <c r="S1009" s="53"/>
      <c r="T1009" s="82"/>
      <c r="U1009" s="42"/>
      <c r="V1009" s="62"/>
      <c r="W1009" s="64"/>
      <c r="X1009" s="223"/>
      <c r="Y1009" s="223"/>
      <c r="Z1009" s="223"/>
      <c r="AA1009" s="223"/>
    </row>
    <row r="1010">
      <c r="A1010" s="42">
        <f t="shared" si="3"/>
        <v>1009</v>
      </c>
      <c r="B1010" s="51" t="s">
        <v>41</v>
      </c>
      <c r="C1010" s="53" t="s">
        <v>6102</v>
      </c>
      <c r="D1010" s="42" t="s">
        <v>44</v>
      </c>
      <c r="E1010" s="42" t="s">
        <v>44</v>
      </c>
      <c r="F1010" s="53" t="s">
        <v>6068</v>
      </c>
      <c r="G1010" s="53" t="s">
        <v>47</v>
      </c>
      <c r="H1010" s="53" t="s">
        <v>48</v>
      </c>
      <c r="I1010" s="53" t="s">
        <v>401</v>
      </c>
      <c r="J1010" s="53" t="s">
        <v>6069</v>
      </c>
      <c r="K1010" s="53" t="s">
        <v>3753</v>
      </c>
      <c r="L1010" s="53" t="s">
        <v>52</v>
      </c>
      <c r="M1010" s="53" t="s">
        <v>52</v>
      </c>
      <c r="N1010" s="62" t="s">
        <v>6103</v>
      </c>
      <c r="O1010" s="62" t="s">
        <v>44</v>
      </c>
      <c r="P1010" s="62" t="s">
        <v>6104</v>
      </c>
      <c r="Q1010" s="62" t="s">
        <v>6105</v>
      </c>
      <c r="R1010" s="53"/>
      <c r="S1010" s="53"/>
      <c r="T1010" s="82"/>
      <c r="U1010" s="42"/>
      <c r="V1010" s="62"/>
      <c r="W1010" s="64"/>
      <c r="X1010" s="223"/>
      <c r="Y1010" s="223"/>
      <c r="Z1010" s="223"/>
      <c r="AA1010" s="223"/>
    </row>
    <row r="1011">
      <c r="A1011" s="42">
        <f t="shared" si="3"/>
        <v>1010</v>
      </c>
      <c r="B1011" s="51" t="s">
        <v>41</v>
      </c>
      <c r="C1011" s="53" t="s">
        <v>6106</v>
      </c>
      <c r="D1011" s="42" t="s">
        <v>44</v>
      </c>
      <c r="E1011" s="42" t="s">
        <v>44</v>
      </c>
      <c r="F1011" s="53" t="s">
        <v>6068</v>
      </c>
      <c r="G1011" s="53" t="s">
        <v>47</v>
      </c>
      <c r="H1011" s="53" t="s">
        <v>48</v>
      </c>
      <c r="I1011" s="53" t="s">
        <v>401</v>
      </c>
      <c r="J1011" s="53" t="s">
        <v>6069</v>
      </c>
      <c r="K1011" s="53" t="s">
        <v>3753</v>
      </c>
      <c r="L1011" s="53" t="s">
        <v>52</v>
      </c>
      <c r="M1011" s="53" t="s">
        <v>52</v>
      </c>
      <c r="N1011" s="62" t="s">
        <v>6103</v>
      </c>
      <c r="O1011" s="62" t="s">
        <v>44</v>
      </c>
      <c r="P1011" s="62" t="s">
        <v>6107</v>
      </c>
      <c r="Q1011" s="62" t="s">
        <v>6108</v>
      </c>
      <c r="R1011" s="53"/>
      <c r="S1011" s="53"/>
      <c r="T1011" s="82"/>
      <c r="U1011" s="42"/>
      <c r="V1011" s="62"/>
      <c r="W1011" s="64"/>
      <c r="X1011" s="223"/>
      <c r="Y1011" s="223"/>
      <c r="Z1011" s="223"/>
      <c r="AA1011" s="223"/>
    </row>
    <row r="1012">
      <c r="A1012" s="42">
        <f t="shared" si="3"/>
        <v>1011</v>
      </c>
      <c r="B1012" s="51" t="s">
        <v>41</v>
      </c>
      <c r="C1012" s="53" t="s">
        <v>6109</v>
      </c>
      <c r="D1012" s="42" t="s">
        <v>44</v>
      </c>
      <c r="E1012" s="42" t="s">
        <v>44</v>
      </c>
      <c r="F1012" s="53" t="s">
        <v>6068</v>
      </c>
      <c r="G1012" s="53" t="s">
        <v>47</v>
      </c>
      <c r="H1012" s="53" t="s">
        <v>48</v>
      </c>
      <c r="I1012" s="53" t="s">
        <v>401</v>
      </c>
      <c r="J1012" s="53" t="s">
        <v>6069</v>
      </c>
      <c r="K1012" s="53" t="s">
        <v>3753</v>
      </c>
      <c r="L1012" s="53" t="s">
        <v>52</v>
      </c>
      <c r="M1012" s="53" t="s">
        <v>52</v>
      </c>
      <c r="N1012" s="62" t="s">
        <v>6098</v>
      </c>
      <c r="O1012" s="62" t="s">
        <v>44</v>
      </c>
      <c r="P1012" s="62" t="s">
        <v>6110</v>
      </c>
      <c r="Q1012" s="62" t="s">
        <v>6111</v>
      </c>
      <c r="R1012" s="53"/>
      <c r="S1012" s="53"/>
      <c r="T1012" s="82"/>
      <c r="U1012" s="42"/>
      <c r="V1012" s="62"/>
      <c r="W1012" s="64"/>
      <c r="X1012" s="223"/>
      <c r="Y1012" s="223"/>
      <c r="Z1012" s="223"/>
      <c r="AA1012" s="223"/>
    </row>
    <row r="1013">
      <c r="A1013" s="42">
        <f t="shared" si="3"/>
        <v>1012</v>
      </c>
      <c r="B1013" s="51" t="s">
        <v>41</v>
      </c>
      <c r="C1013" s="53" t="s">
        <v>6112</v>
      </c>
      <c r="D1013" s="42" t="s">
        <v>44</v>
      </c>
      <c r="E1013" s="42" t="s">
        <v>44</v>
      </c>
      <c r="F1013" s="53" t="s">
        <v>6068</v>
      </c>
      <c r="G1013" s="53" t="s">
        <v>47</v>
      </c>
      <c r="H1013" s="53" t="s">
        <v>48</v>
      </c>
      <c r="I1013" s="53" t="s">
        <v>401</v>
      </c>
      <c r="J1013" s="53" t="s">
        <v>6069</v>
      </c>
      <c r="K1013" s="53" t="s">
        <v>3753</v>
      </c>
      <c r="L1013" s="53" t="s">
        <v>52</v>
      </c>
      <c r="M1013" s="53" t="s">
        <v>52</v>
      </c>
      <c r="N1013" s="62" t="s">
        <v>6098</v>
      </c>
      <c r="O1013" s="62" t="s">
        <v>44</v>
      </c>
      <c r="P1013" s="62" t="s">
        <v>5814</v>
      </c>
      <c r="Q1013" s="62" t="s">
        <v>5815</v>
      </c>
      <c r="R1013" s="53"/>
      <c r="S1013" s="53"/>
      <c r="T1013" s="82"/>
      <c r="U1013" s="42"/>
      <c r="V1013" s="62"/>
      <c r="W1013" s="64"/>
      <c r="X1013" s="223"/>
      <c r="Y1013" s="223"/>
      <c r="Z1013" s="223"/>
      <c r="AA1013" s="223"/>
    </row>
    <row r="1014">
      <c r="A1014" s="42">
        <f t="shared" si="3"/>
        <v>1013</v>
      </c>
      <c r="B1014" s="51" t="s">
        <v>41</v>
      </c>
      <c r="C1014" s="53" t="s">
        <v>6113</v>
      </c>
      <c r="D1014" s="42" t="s">
        <v>44</v>
      </c>
      <c r="E1014" s="42" t="s">
        <v>44</v>
      </c>
      <c r="F1014" s="53" t="s">
        <v>6068</v>
      </c>
      <c r="G1014" s="53" t="s">
        <v>47</v>
      </c>
      <c r="H1014" s="53" t="s">
        <v>48</v>
      </c>
      <c r="I1014" s="53" t="s">
        <v>401</v>
      </c>
      <c r="J1014" s="53" t="s">
        <v>6069</v>
      </c>
      <c r="K1014" s="53" t="s">
        <v>3753</v>
      </c>
      <c r="L1014" s="53" t="s">
        <v>52</v>
      </c>
      <c r="M1014" s="53" t="s">
        <v>52</v>
      </c>
      <c r="N1014" s="62" t="s">
        <v>6098</v>
      </c>
      <c r="O1014" s="62" t="s">
        <v>44</v>
      </c>
      <c r="P1014" s="62" t="s">
        <v>5820</v>
      </c>
      <c r="Q1014" s="62" t="s">
        <v>5821</v>
      </c>
      <c r="R1014" s="53"/>
      <c r="S1014" s="53"/>
      <c r="T1014" s="82"/>
      <c r="U1014" s="42"/>
      <c r="V1014" s="62"/>
      <c r="W1014" s="64"/>
      <c r="X1014" s="223"/>
      <c r="Y1014" s="223"/>
      <c r="Z1014" s="223"/>
      <c r="AA1014" s="223"/>
    </row>
    <row r="1015">
      <c r="A1015" s="42">
        <f t="shared" si="3"/>
        <v>1014</v>
      </c>
      <c r="B1015" s="51" t="s">
        <v>41</v>
      </c>
      <c r="C1015" s="53" t="s">
        <v>6114</v>
      </c>
      <c r="D1015" s="42" t="s">
        <v>44</v>
      </c>
      <c r="E1015" s="42" t="s">
        <v>44</v>
      </c>
      <c r="F1015" s="53" t="s">
        <v>6068</v>
      </c>
      <c r="G1015" s="53" t="s">
        <v>47</v>
      </c>
      <c r="H1015" s="53" t="s">
        <v>48</v>
      </c>
      <c r="I1015" s="53" t="s">
        <v>401</v>
      </c>
      <c r="J1015" s="53" t="s">
        <v>6069</v>
      </c>
      <c r="K1015" s="53" t="s">
        <v>3753</v>
      </c>
      <c r="L1015" s="53" t="s">
        <v>52</v>
      </c>
      <c r="M1015" s="53" t="s">
        <v>52</v>
      </c>
      <c r="N1015" s="62" t="s">
        <v>6098</v>
      </c>
      <c r="O1015" s="62" t="s">
        <v>44</v>
      </c>
      <c r="P1015" s="62" t="s">
        <v>6115</v>
      </c>
      <c r="Q1015" s="62" t="s">
        <v>6116</v>
      </c>
      <c r="R1015" s="53"/>
      <c r="S1015" s="53"/>
      <c r="T1015" s="82"/>
      <c r="U1015" s="53"/>
      <c r="V1015" s="62"/>
      <c r="W1015" s="64"/>
      <c r="X1015" s="223"/>
      <c r="Y1015" s="223"/>
      <c r="Z1015" s="223"/>
      <c r="AA1015" s="223"/>
    </row>
    <row r="1016">
      <c r="A1016" s="42">
        <f t="shared" si="3"/>
        <v>1015</v>
      </c>
      <c r="B1016" s="51" t="s">
        <v>41</v>
      </c>
      <c r="C1016" s="53" t="s">
        <v>6117</v>
      </c>
      <c r="D1016" s="42" t="s">
        <v>44</v>
      </c>
      <c r="E1016" s="42" t="s">
        <v>44</v>
      </c>
      <c r="F1016" s="53" t="s">
        <v>6068</v>
      </c>
      <c r="G1016" s="53" t="s">
        <v>47</v>
      </c>
      <c r="H1016" s="53" t="s">
        <v>48</v>
      </c>
      <c r="I1016" s="53" t="s">
        <v>401</v>
      </c>
      <c r="J1016" s="53" t="s">
        <v>6069</v>
      </c>
      <c r="K1016" s="53" t="s">
        <v>3753</v>
      </c>
      <c r="L1016" s="53" t="s">
        <v>52</v>
      </c>
      <c r="M1016" s="53" t="s">
        <v>52</v>
      </c>
      <c r="N1016" s="62" t="s">
        <v>6103</v>
      </c>
      <c r="O1016" s="62" t="s">
        <v>44</v>
      </c>
      <c r="P1016" s="62" t="s">
        <v>6118</v>
      </c>
      <c r="Q1016" s="62" t="s">
        <v>6119</v>
      </c>
      <c r="R1016" s="53"/>
      <c r="S1016" s="53"/>
      <c r="T1016" s="82"/>
      <c r="U1016" s="42"/>
      <c r="V1016" s="62"/>
      <c r="W1016" s="64"/>
      <c r="X1016" s="223"/>
      <c r="Y1016" s="223"/>
      <c r="Z1016" s="223"/>
      <c r="AA1016" s="223"/>
    </row>
    <row r="1017">
      <c r="A1017" s="42">
        <f t="shared" si="3"/>
        <v>1016</v>
      </c>
      <c r="B1017" s="51" t="s">
        <v>41</v>
      </c>
      <c r="C1017" s="53" t="s">
        <v>6120</v>
      </c>
      <c r="D1017" s="42" t="s">
        <v>44</v>
      </c>
      <c r="E1017" s="42" t="s">
        <v>44</v>
      </c>
      <c r="F1017" s="53" t="s">
        <v>6068</v>
      </c>
      <c r="G1017" s="53" t="s">
        <v>47</v>
      </c>
      <c r="H1017" s="53" t="s">
        <v>48</v>
      </c>
      <c r="I1017" s="53" t="s">
        <v>401</v>
      </c>
      <c r="J1017" s="53" t="s">
        <v>6069</v>
      </c>
      <c r="K1017" s="53" t="s">
        <v>3753</v>
      </c>
      <c r="L1017" s="53" t="s">
        <v>52</v>
      </c>
      <c r="M1017" s="53" t="s">
        <v>52</v>
      </c>
      <c r="N1017" s="62" t="s">
        <v>6098</v>
      </c>
      <c r="O1017" s="62" t="s">
        <v>44</v>
      </c>
      <c r="P1017" s="62" t="s">
        <v>5845</v>
      </c>
      <c r="Q1017" s="62" t="s">
        <v>6121</v>
      </c>
      <c r="R1017" s="53"/>
      <c r="S1017" s="53"/>
      <c r="T1017" s="82"/>
      <c r="U1017" s="42"/>
      <c r="V1017" s="62"/>
      <c r="W1017" s="64"/>
      <c r="X1017" s="223"/>
      <c r="Y1017" s="223"/>
      <c r="Z1017" s="223"/>
      <c r="AA1017" s="223"/>
    </row>
    <row r="1018">
      <c r="A1018" s="42">
        <f t="shared" si="3"/>
        <v>1017</v>
      </c>
      <c r="B1018" s="51" t="s">
        <v>41</v>
      </c>
      <c r="C1018" s="53" t="s">
        <v>6122</v>
      </c>
      <c r="D1018" s="42" t="s">
        <v>44</v>
      </c>
      <c r="E1018" s="42" t="s">
        <v>44</v>
      </c>
      <c r="F1018" s="53" t="s">
        <v>6068</v>
      </c>
      <c r="G1018" s="53" t="s">
        <v>47</v>
      </c>
      <c r="H1018" s="53" t="s">
        <v>48</v>
      </c>
      <c r="I1018" s="53" t="s">
        <v>401</v>
      </c>
      <c r="J1018" s="53" t="s">
        <v>6069</v>
      </c>
      <c r="K1018" s="53" t="s">
        <v>3753</v>
      </c>
      <c r="L1018" s="53" t="s">
        <v>52</v>
      </c>
      <c r="M1018" s="53" t="s">
        <v>52</v>
      </c>
      <c r="N1018" s="62" t="s">
        <v>6098</v>
      </c>
      <c r="O1018" s="62" t="s">
        <v>44</v>
      </c>
      <c r="P1018" s="62" t="s">
        <v>5851</v>
      </c>
      <c r="Q1018" s="62" t="s">
        <v>6121</v>
      </c>
      <c r="R1018" s="53"/>
      <c r="S1018" s="53"/>
      <c r="T1018" s="82"/>
      <c r="U1018" s="42"/>
      <c r="V1018" s="62"/>
      <c r="W1018" s="64"/>
      <c r="X1018" s="223"/>
      <c r="Y1018" s="223"/>
      <c r="Z1018" s="223"/>
      <c r="AA1018" s="223"/>
    </row>
    <row r="1019">
      <c r="A1019" s="42">
        <f t="shared" si="3"/>
        <v>1018</v>
      </c>
      <c r="B1019" s="51" t="s">
        <v>41</v>
      </c>
      <c r="C1019" s="53" t="s">
        <v>6123</v>
      </c>
      <c r="D1019" s="42" t="s">
        <v>44</v>
      </c>
      <c r="E1019" s="42" t="s">
        <v>44</v>
      </c>
      <c r="F1019" s="53" t="s">
        <v>6068</v>
      </c>
      <c r="G1019" s="53" t="s">
        <v>47</v>
      </c>
      <c r="H1019" s="53" t="s">
        <v>48</v>
      </c>
      <c r="I1019" s="53" t="s">
        <v>401</v>
      </c>
      <c r="J1019" s="53" t="s">
        <v>6069</v>
      </c>
      <c r="K1019" s="53" t="s">
        <v>3753</v>
      </c>
      <c r="L1019" s="53" t="s">
        <v>52</v>
      </c>
      <c r="M1019" s="53" t="s">
        <v>52</v>
      </c>
      <c r="N1019" s="62" t="s">
        <v>6098</v>
      </c>
      <c r="O1019" s="62" t="s">
        <v>44</v>
      </c>
      <c r="P1019" s="62" t="s">
        <v>5864</v>
      </c>
      <c r="Q1019" s="62" t="s">
        <v>6124</v>
      </c>
      <c r="R1019" s="53"/>
      <c r="S1019" s="53"/>
      <c r="T1019" s="82"/>
      <c r="U1019" s="42"/>
      <c r="V1019" s="62"/>
      <c r="W1019" s="64"/>
      <c r="X1019" s="223"/>
      <c r="Y1019" s="223"/>
      <c r="Z1019" s="223"/>
      <c r="AA1019" s="223"/>
    </row>
    <row r="1020">
      <c r="A1020" s="42">
        <f t="shared" si="3"/>
        <v>1019</v>
      </c>
      <c r="B1020" s="51" t="s">
        <v>41</v>
      </c>
      <c r="C1020" s="53" t="s">
        <v>6125</v>
      </c>
      <c r="D1020" s="42" t="s">
        <v>44</v>
      </c>
      <c r="E1020" s="42" t="s">
        <v>44</v>
      </c>
      <c r="F1020" s="53" t="s">
        <v>6068</v>
      </c>
      <c r="G1020" s="53" t="s">
        <v>47</v>
      </c>
      <c r="H1020" s="53" t="s">
        <v>48</v>
      </c>
      <c r="I1020" s="53" t="s">
        <v>401</v>
      </c>
      <c r="J1020" s="53" t="s">
        <v>6069</v>
      </c>
      <c r="K1020" s="53" t="s">
        <v>3753</v>
      </c>
      <c r="L1020" s="53" t="s">
        <v>52</v>
      </c>
      <c r="M1020" s="53" t="s">
        <v>52</v>
      </c>
      <c r="N1020" s="62" t="s">
        <v>6098</v>
      </c>
      <c r="O1020" s="62" t="s">
        <v>44</v>
      </c>
      <c r="P1020" s="62" t="s">
        <v>5870</v>
      </c>
      <c r="Q1020" s="62" t="s">
        <v>6126</v>
      </c>
      <c r="R1020" s="53"/>
      <c r="S1020" s="53"/>
      <c r="T1020" s="82"/>
      <c r="U1020" s="42"/>
      <c r="V1020" s="62"/>
      <c r="W1020" s="64"/>
      <c r="X1020" s="223"/>
      <c r="Y1020" s="223"/>
      <c r="Z1020" s="223"/>
      <c r="AA1020" s="223"/>
    </row>
    <row r="1021">
      <c r="A1021" s="42">
        <f t="shared" si="3"/>
        <v>1020</v>
      </c>
      <c r="B1021" s="51" t="s">
        <v>41</v>
      </c>
      <c r="C1021" s="53" t="s">
        <v>6127</v>
      </c>
      <c r="D1021" s="42" t="s">
        <v>44</v>
      </c>
      <c r="E1021" s="42" t="s">
        <v>44</v>
      </c>
      <c r="F1021" s="53" t="s">
        <v>6068</v>
      </c>
      <c r="G1021" s="53" t="s">
        <v>47</v>
      </c>
      <c r="H1021" s="53" t="s">
        <v>48</v>
      </c>
      <c r="I1021" s="53" t="s">
        <v>401</v>
      </c>
      <c r="J1021" s="53" t="s">
        <v>6069</v>
      </c>
      <c r="K1021" s="53" t="s">
        <v>3753</v>
      </c>
      <c r="L1021" s="53" t="s">
        <v>52</v>
      </c>
      <c r="M1021" s="53" t="s">
        <v>52</v>
      </c>
      <c r="N1021" s="62" t="s">
        <v>6098</v>
      </c>
      <c r="O1021" s="62" t="s">
        <v>44</v>
      </c>
      <c r="P1021" s="62" t="s">
        <v>5876</v>
      </c>
      <c r="Q1021" s="62" t="s">
        <v>5877</v>
      </c>
      <c r="R1021" s="53"/>
      <c r="S1021" s="53"/>
      <c r="T1021" s="82"/>
      <c r="U1021" s="42"/>
      <c r="V1021" s="62"/>
      <c r="W1021" s="64"/>
      <c r="X1021" s="223"/>
      <c r="Y1021" s="223"/>
      <c r="Z1021" s="223"/>
      <c r="AA1021" s="223"/>
    </row>
    <row r="1022">
      <c r="A1022" s="42">
        <f t="shared" si="3"/>
        <v>1021</v>
      </c>
      <c r="B1022" s="51" t="s">
        <v>41</v>
      </c>
      <c r="C1022" s="53" t="s">
        <v>6128</v>
      </c>
      <c r="D1022" s="42" t="s">
        <v>44</v>
      </c>
      <c r="E1022" s="42" t="s">
        <v>44</v>
      </c>
      <c r="F1022" s="53" t="s">
        <v>6068</v>
      </c>
      <c r="G1022" s="53" t="s">
        <v>47</v>
      </c>
      <c r="H1022" s="53" t="s">
        <v>48</v>
      </c>
      <c r="I1022" s="53" t="s">
        <v>401</v>
      </c>
      <c r="J1022" s="53" t="s">
        <v>6069</v>
      </c>
      <c r="K1022" s="53" t="s">
        <v>3753</v>
      </c>
      <c r="L1022" s="53" t="s">
        <v>52</v>
      </c>
      <c r="M1022" s="53" t="s">
        <v>52</v>
      </c>
      <c r="N1022" s="62" t="s">
        <v>6129</v>
      </c>
      <c r="O1022" s="62" t="s">
        <v>44</v>
      </c>
      <c r="P1022" s="62" t="s">
        <v>5883</v>
      </c>
      <c r="Q1022" s="62" t="s">
        <v>5884</v>
      </c>
      <c r="R1022" s="53"/>
      <c r="S1022" s="53"/>
      <c r="T1022" s="82"/>
      <c r="U1022" s="42"/>
      <c r="V1022" s="62"/>
      <c r="W1022" s="64"/>
      <c r="X1022" s="223"/>
      <c r="Y1022" s="223"/>
      <c r="Z1022" s="223"/>
      <c r="AA1022" s="223"/>
    </row>
    <row r="1023">
      <c r="A1023" s="42">
        <f t="shared" si="3"/>
        <v>1022</v>
      </c>
      <c r="B1023" s="51" t="s">
        <v>41</v>
      </c>
      <c r="C1023" s="53" t="s">
        <v>6130</v>
      </c>
      <c r="D1023" s="42" t="s">
        <v>44</v>
      </c>
      <c r="E1023" s="42" t="s">
        <v>44</v>
      </c>
      <c r="F1023" s="53" t="s">
        <v>6068</v>
      </c>
      <c r="G1023" s="53" t="s">
        <v>47</v>
      </c>
      <c r="H1023" s="53" t="s">
        <v>48</v>
      </c>
      <c r="I1023" s="53" t="s">
        <v>401</v>
      </c>
      <c r="J1023" s="53" t="s">
        <v>6069</v>
      </c>
      <c r="K1023" s="53" t="s">
        <v>3753</v>
      </c>
      <c r="L1023" s="53" t="s">
        <v>52</v>
      </c>
      <c r="M1023" s="53" t="s">
        <v>52</v>
      </c>
      <c r="N1023" s="62" t="s">
        <v>6098</v>
      </c>
      <c r="O1023" s="62" t="s">
        <v>44</v>
      </c>
      <c r="P1023" s="62" t="s">
        <v>5897</v>
      </c>
      <c r="Q1023" s="62" t="s">
        <v>5821</v>
      </c>
      <c r="R1023" s="53"/>
      <c r="S1023" s="53"/>
      <c r="T1023" s="82"/>
      <c r="U1023" s="42"/>
      <c r="V1023" s="62"/>
      <c r="W1023" s="64"/>
      <c r="X1023" s="223"/>
      <c r="Y1023" s="223"/>
      <c r="Z1023" s="223"/>
      <c r="AA1023" s="223"/>
    </row>
    <row r="1024">
      <c r="A1024" s="42">
        <f t="shared" si="3"/>
        <v>1023</v>
      </c>
      <c r="B1024" s="51" t="s">
        <v>41</v>
      </c>
      <c r="C1024" s="53" t="s">
        <v>6131</v>
      </c>
      <c r="D1024" s="42" t="s">
        <v>44</v>
      </c>
      <c r="E1024" s="42" t="s">
        <v>44</v>
      </c>
      <c r="F1024" s="53" t="s">
        <v>6068</v>
      </c>
      <c r="G1024" s="53" t="s">
        <v>47</v>
      </c>
      <c r="H1024" s="53" t="s">
        <v>48</v>
      </c>
      <c r="I1024" s="53" t="s">
        <v>401</v>
      </c>
      <c r="J1024" s="53" t="s">
        <v>6069</v>
      </c>
      <c r="K1024" s="53" t="s">
        <v>3753</v>
      </c>
      <c r="L1024" s="53" t="s">
        <v>52</v>
      </c>
      <c r="M1024" s="53" t="s">
        <v>52</v>
      </c>
      <c r="N1024" s="62" t="s">
        <v>6098</v>
      </c>
      <c r="O1024" s="62" t="s">
        <v>44</v>
      </c>
      <c r="P1024" s="62" t="s">
        <v>5910</v>
      </c>
      <c r="Q1024" s="62" t="s">
        <v>5911</v>
      </c>
      <c r="R1024" s="53"/>
      <c r="S1024" s="53"/>
      <c r="T1024" s="82"/>
      <c r="U1024" s="42"/>
      <c r="V1024" s="62"/>
      <c r="W1024" s="64"/>
      <c r="X1024" s="223"/>
      <c r="Y1024" s="223"/>
      <c r="Z1024" s="223"/>
      <c r="AA1024" s="223"/>
    </row>
    <row r="1025">
      <c r="A1025" s="42">
        <f t="shared" si="3"/>
        <v>1024</v>
      </c>
      <c r="B1025" s="51" t="s">
        <v>41</v>
      </c>
      <c r="C1025" s="53" t="s">
        <v>6132</v>
      </c>
      <c r="D1025" s="42" t="s">
        <v>44</v>
      </c>
      <c r="E1025" s="42" t="s">
        <v>44</v>
      </c>
      <c r="F1025" s="53" t="s">
        <v>6068</v>
      </c>
      <c r="G1025" s="53" t="s">
        <v>47</v>
      </c>
      <c r="H1025" s="53" t="s">
        <v>48</v>
      </c>
      <c r="I1025" s="53" t="s">
        <v>401</v>
      </c>
      <c r="J1025" s="53" t="s">
        <v>6069</v>
      </c>
      <c r="K1025" s="53" t="s">
        <v>3753</v>
      </c>
      <c r="L1025" s="53" t="s">
        <v>52</v>
      </c>
      <c r="M1025" s="53" t="s">
        <v>52</v>
      </c>
      <c r="N1025" s="62" t="s">
        <v>6133</v>
      </c>
      <c r="O1025" s="62" t="s">
        <v>44</v>
      </c>
      <c r="P1025" s="62" t="s">
        <v>6134</v>
      </c>
      <c r="Q1025" s="62" t="s">
        <v>6135</v>
      </c>
      <c r="R1025" s="53"/>
      <c r="S1025" s="53"/>
      <c r="T1025" s="82"/>
      <c r="U1025" s="42"/>
      <c r="V1025" s="62"/>
      <c r="W1025" s="64"/>
      <c r="X1025" s="223"/>
      <c r="Y1025" s="223"/>
      <c r="Z1025" s="223"/>
      <c r="AA1025" s="223"/>
    </row>
    <row r="1026">
      <c r="A1026" s="42">
        <f t="shared" si="3"/>
        <v>1025</v>
      </c>
      <c r="B1026" s="51" t="s">
        <v>41</v>
      </c>
      <c r="C1026" s="53" t="s">
        <v>6136</v>
      </c>
      <c r="D1026" s="42" t="s">
        <v>44</v>
      </c>
      <c r="E1026" s="42" t="s">
        <v>44</v>
      </c>
      <c r="F1026" s="53" t="s">
        <v>6068</v>
      </c>
      <c r="G1026" s="53" t="s">
        <v>47</v>
      </c>
      <c r="H1026" s="53" t="s">
        <v>48</v>
      </c>
      <c r="I1026" s="53" t="s">
        <v>401</v>
      </c>
      <c r="J1026" s="53" t="s">
        <v>6069</v>
      </c>
      <c r="K1026" s="53" t="s">
        <v>3753</v>
      </c>
      <c r="L1026" s="53" t="s">
        <v>52</v>
      </c>
      <c r="M1026" s="53" t="s">
        <v>52</v>
      </c>
      <c r="N1026" s="62" t="s">
        <v>6137</v>
      </c>
      <c r="O1026" s="62" t="s">
        <v>44</v>
      </c>
      <c r="P1026" s="62" t="s">
        <v>6138</v>
      </c>
      <c r="Q1026" s="62" t="s">
        <v>6139</v>
      </c>
      <c r="R1026" s="53"/>
      <c r="S1026" s="53"/>
      <c r="T1026" s="82"/>
      <c r="U1026" s="42"/>
      <c r="V1026" s="62"/>
      <c r="W1026" s="64"/>
      <c r="X1026" s="223"/>
      <c r="Y1026" s="223"/>
      <c r="Z1026" s="223"/>
      <c r="AA1026" s="223"/>
    </row>
    <row r="1027">
      <c r="A1027" s="42">
        <f t="shared" si="3"/>
        <v>1026</v>
      </c>
      <c r="B1027" s="51" t="s">
        <v>41</v>
      </c>
      <c r="C1027" s="53" t="s">
        <v>6140</v>
      </c>
      <c r="D1027" s="42" t="s">
        <v>44</v>
      </c>
      <c r="E1027" s="42" t="s">
        <v>44</v>
      </c>
      <c r="F1027" s="53" t="s">
        <v>6068</v>
      </c>
      <c r="G1027" s="53" t="s">
        <v>47</v>
      </c>
      <c r="H1027" s="53" t="s">
        <v>95</v>
      </c>
      <c r="I1027" s="53" t="s">
        <v>401</v>
      </c>
      <c r="J1027" s="53" t="s">
        <v>6069</v>
      </c>
      <c r="K1027" s="53" t="s">
        <v>3753</v>
      </c>
      <c r="L1027" s="53" t="s">
        <v>52</v>
      </c>
      <c r="M1027" s="53" t="s">
        <v>52</v>
      </c>
      <c r="N1027" s="62" t="s">
        <v>6137</v>
      </c>
      <c r="O1027" s="62" t="s">
        <v>44</v>
      </c>
      <c r="P1027" s="62" t="s">
        <v>6141</v>
      </c>
      <c r="Q1027" s="62" t="s">
        <v>6142</v>
      </c>
      <c r="R1027" s="53"/>
      <c r="S1027" s="53"/>
      <c r="T1027" s="82"/>
      <c r="U1027" s="42"/>
      <c r="V1027" s="62"/>
      <c r="W1027" s="64"/>
      <c r="X1027" s="223"/>
      <c r="Y1027" s="223"/>
      <c r="Z1027" s="223"/>
      <c r="AA1027" s="223"/>
    </row>
    <row r="1028">
      <c r="A1028" s="42">
        <f t="shared" si="3"/>
        <v>1027</v>
      </c>
      <c r="B1028" s="51" t="s">
        <v>41</v>
      </c>
      <c r="C1028" s="53" t="s">
        <v>6143</v>
      </c>
      <c r="D1028" s="42" t="s">
        <v>44</v>
      </c>
      <c r="E1028" s="42" t="s">
        <v>44</v>
      </c>
      <c r="F1028" s="53" t="s">
        <v>6068</v>
      </c>
      <c r="G1028" s="53" t="s">
        <v>47</v>
      </c>
      <c r="H1028" s="53" t="s">
        <v>48</v>
      </c>
      <c r="I1028" s="53" t="s">
        <v>401</v>
      </c>
      <c r="J1028" s="53" t="s">
        <v>6069</v>
      </c>
      <c r="K1028" s="53" t="s">
        <v>3753</v>
      </c>
      <c r="L1028" s="53" t="s">
        <v>52</v>
      </c>
      <c r="M1028" s="53" t="s">
        <v>52</v>
      </c>
      <c r="N1028" s="62" t="s">
        <v>6137</v>
      </c>
      <c r="O1028" s="62" t="s">
        <v>44</v>
      </c>
      <c r="P1028" s="62" t="s">
        <v>6144</v>
      </c>
      <c r="Q1028" s="62" t="s">
        <v>6145</v>
      </c>
      <c r="R1028" s="53"/>
      <c r="S1028" s="53"/>
      <c r="T1028" s="82"/>
      <c r="U1028" s="42"/>
      <c r="V1028" s="62"/>
      <c r="W1028" s="64"/>
      <c r="X1028" s="223"/>
      <c r="Y1028" s="223"/>
      <c r="Z1028" s="223"/>
      <c r="AA1028" s="223"/>
    </row>
    <row r="1029">
      <c r="A1029" s="42">
        <f t="shared" si="3"/>
        <v>1028</v>
      </c>
      <c r="B1029" s="51" t="s">
        <v>41</v>
      </c>
      <c r="C1029" s="53" t="s">
        <v>6146</v>
      </c>
      <c r="D1029" s="42" t="s">
        <v>44</v>
      </c>
      <c r="E1029" s="42" t="s">
        <v>44</v>
      </c>
      <c r="F1029" s="53" t="s">
        <v>6068</v>
      </c>
      <c r="G1029" s="53" t="s">
        <v>47</v>
      </c>
      <c r="H1029" s="53" t="s">
        <v>95</v>
      </c>
      <c r="I1029" s="53" t="s">
        <v>401</v>
      </c>
      <c r="J1029" s="53" t="s">
        <v>6069</v>
      </c>
      <c r="K1029" s="53" t="s">
        <v>3753</v>
      </c>
      <c r="L1029" s="53" t="s">
        <v>52</v>
      </c>
      <c r="M1029" s="53" t="s">
        <v>52</v>
      </c>
      <c r="N1029" s="62" t="s">
        <v>6147</v>
      </c>
      <c r="O1029" s="62" t="s">
        <v>44</v>
      </c>
      <c r="P1029" s="62" t="s">
        <v>6148</v>
      </c>
      <c r="Q1029" s="62" t="s">
        <v>6149</v>
      </c>
      <c r="R1029" s="53"/>
      <c r="S1029" s="53"/>
      <c r="T1029" s="82"/>
      <c r="U1029" s="42"/>
      <c r="V1029" s="62"/>
      <c r="W1029" s="64"/>
      <c r="X1029" s="223"/>
      <c r="Y1029" s="223"/>
      <c r="Z1029" s="223"/>
      <c r="AA1029" s="223"/>
    </row>
    <row r="1030">
      <c r="A1030" s="42">
        <f t="shared" si="3"/>
        <v>1029</v>
      </c>
      <c r="B1030" s="51" t="s">
        <v>41</v>
      </c>
      <c r="C1030" s="53" t="s">
        <v>6150</v>
      </c>
      <c r="D1030" s="42" t="s">
        <v>44</v>
      </c>
      <c r="E1030" s="42" t="s">
        <v>44</v>
      </c>
      <c r="F1030" s="53" t="s">
        <v>6068</v>
      </c>
      <c r="G1030" s="53" t="s">
        <v>47</v>
      </c>
      <c r="H1030" s="53" t="s">
        <v>95</v>
      </c>
      <c r="I1030" s="53" t="s">
        <v>401</v>
      </c>
      <c r="J1030" s="53" t="s">
        <v>6069</v>
      </c>
      <c r="K1030" s="53" t="s">
        <v>3753</v>
      </c>
      <c r="L1030" s="53" t="s">
        <v>52</v>
      </c>
      <c r="M1030" s="53" t="s">
        <v>52</v>
      </c>
      <c r="N1030" s="62" t="s">
        <v>6147</v>
      </c>
      <c r="O1030" s="62" t="s">
        <v>44</v>
      </c>
      <c r="P1030" s="62" t="s">
        <v>6151</v>
      </c>
      <c r="Q1030" s="62" t="s">
        <v>6152</v>
      </c>
      <c r="R1030" s="53"/>
      <c r="S1030" s="53"/>
      <c r="T1030" s="82"/>
      <c r="U1030" s="42"/>
      <c r="V1030" s="62"/>
      <c r="W1030" s="64"/>
      <c r="X1030" s="223"/>
      <c r="Y1030" s="223"/>
      <c r="Z1030" s="223"/>
      <c r="AA1030" s="223"/>
    </row>
    <row r="1031">
      <c r="A1031" s="42">
        <f t="shared" si="3"/>
        <v>1030</v>
      </c>
      <c r="B1031" s="51" t="s">
        <v>41</v>
      </c>
      <c r="C1031" s="53" t="s">
        <v>6153</v>
      </c>
      <c r="D1031" s="42" t="s">
        <v>44</v>
      </c>
      <c r="E1031" s="42" t="s">
        <v>44</v>
      </c>
      <c r="F1031" s="53" t="s">
        <v>6068</v>
      </c>
      <c r="G1031" s="53" t="s">
        <v>47</v>
      </c>
      <c r="H1031" s="53" t="s">
        <v>48</v>
      </c>
      <c r="I1031" s="53" t="s">
        <v>401</v>
      </c>
      <c r="J1031" s="53" t="s">
        <v>6069</v>
      </c>
      <c r="K1031" s="53" t="s">
        <v>3753</v>
      </c>
      <c r="L1031" s="53" t="s">
        <v>52</v>
      </c>
      <c r="M1031" s="53" t="s">
        <v>52</v>
      </c>
      <c r="N1031" s="62" t="s">
        <v>6133</v>
      </c>
      <c r="O1031" s="62" t="s">
        <v>44</v>
      </c>
      <c r="P1031" s="62" t="s">
        <v>6154</v>
      </c>
      <c r="Q1031" s="62" t="s">
        <v>6155</v>
      </c>
      <c r="R1031" s="53"/>
      <c r="S1031" s="53"/>
      <c r="T1031" s="82"/>
      <c r="U1031" s="42"/>
      <c r="V1031" s="62"/>
      <c r="W1031" s="64"/>
      <c r="X1031" s="223"/>
      <c r="Y1031" s="223"/>
      <c r="Z1031" s="223"/>
      <c r="AA1031" s="223"/>
    </row>
    <row r="1032">
      <c r="A1032" s="42">
        <f t="shared" si="3"/>
        <v>1031</v>
      </c>
      <c r="B1032" s="51" t="s">
        <v>41</v>
      </c>
      <c r="C1032" s="53" t="s">
        <v>6156</v>
      </c>
      <c r="D1032" s="42" t="s">
        <v>44</v>
      </c>
      <c r="E1032" s="42" t="s">
        <v>44</v>
      </c>
      <c r="F1032" s="53" t="s">
        <v>6068</v>
      </c>
      <c r="G1032" s="53" t="s">
        <v>47</v>
      </c>
      <c r="H1032" s="53" t="s">
        <v>48</v>
      </c>
      <c r="I1032" s="53" t="s">
        <v>401</v>
      </c>
      <c r="J1032" s="53" t="s">
        <v>6069</v>
      </c>
      <c r="K1032" s="53" t="s">
        <v>3753</v>
      </c>
      <c r="L1032" s="53" t="s">
        <v>52</v>
      </c>
      <c r="M1032" s="53" t="s">
        <v>52</v>
      </c>
      <c r="N1032" s="62" t="s">
        <v>6133</v>
      </c>
      <c r="O1032" s="62" t="s">
        <v>44</v>
      </c>
      <c r="P1032" s="62" t="s">
        <v>5999</v>
      </c>
      <c r="Q1032" s="62" t="s">
        <v>6157</v>
      </c>
      <c r="R1032" s="53"/>
      <c r="S1032" s="53"/>
      <c r="T1032" s="82"/>
      <c r="U1032" s="42"/>
      <c r="V1032" s="62"/>
      <c r="W1032" s="64"/>
      <c r="X1032" s="223"/>
      <c r="Y1032" s="223"/>
      <c r="Z1032" s="223"/>
      <c r="AA1032" s="223"/>
    </row>
    <row r="1033">
      <c r="A1033" s="42">
        <f t="shared" si="3"/>
        <v>1032</v>
      </c>
      <c r="B1033" s="51" t="s">
        <v>41</v>
      </c>
      <c r="C1033" s="53" t="s">
        <v>6158</v>
      </c>
      <c r="D1033" s="42" t="s">
        <v>44</v>
      </c>
      <c r="E1033" s="42" t="s">
        <v>44</v>
      </c>
      <c r="F1033" s="53" t="s">
        <v>6068</v>
      </c>
      <c r="G1033" s="53" t="s">
        <v>47</v>
      </c>
      <c r="H1033" s="53" t="s">
        <v>48</v>
      </c>
      <c r="I1033" s="53" t="s">
        <v>401</v>
      </c>
      <c r="J1033" s="53" t="s">
        <v>6069</v>
      </c>
      <c r="K1033" s="53" t="s">
        <v>3753</v>
      </c>
      <c r="L1033" s="53" t="s">
        <v>52</v>
      </c>
      <c r="M1033" s="53" t="s">
        <v>52</v>
      </c>
      <c r="N1033" s="62" t="s">
        <v>6098</v>
      </c>
      <c r="O1033" s="62" t="s">
        <v>44</v>
      </c>
      <c r="P1033" s="62" t="s">
        <v>6159</v>
      </c>
      <c r="Q1033" s="62" t="s">
        <v>6160</v>
      </c>
      <c r="R1033" s="53"/>
      <c r="S1033" s="53"/>
      <c r="T1033" s="82"/>
      <c r="U1033" s="42"/>
      <c r="V1033" s="62"/>
      <c r="W1033" s="64"/>
      <c r="X1033" s="223"/>
      <c r="Y1033" s="223"/>
      <c r="Z1033" s="223"/>
      <c r="AA1033" s="223"/>
    </row>
    <row r="1034">
      <c r="A1034" s="42">
        <f t="shared" si="3"/>
        <v>1033</v>
      </c>
      <c r="B1034" s="51" t="s">
        <v>41</v>
      </c>
      <c r="C1034" s="53" t="s">
        <v>6161</v>
      </c>
      <c r="D1034" s="42" t="s">
        <v>44</v>
      </c>
      <c r="E1034" s="42" t="s">
        <v>44</v>
      </c>
      <c r="F1034" s="53" t="s">
        <v>6068</v>
      </c>
      <c r="G1034" s="53" t="s">
        <v>47</v>
      </c>
      <c r="H1034" s="53" t="s">
        <v>48</v>
      </c>
      <c r="I1034" s="53" t="s">
        <v>401</v>
      </c>
      <c r="J1034" s="53" t="s">
        <v>6069</v>
      </c>
      <c r="K1034" s="53" t="s">
        <v>3753</v>
      </c>
      <c r="L1034" s="53" t="s">
        <v>52</v>
      </c>
      <c r="M1034" s="53" t="s">
        <v>52</v>
      </c>
      <c r="N1034" s="62" t="s">
        <v>6162</v>
      </c>
      <c r="O1034" s="62" t="s">
        <v>44</v>
      </c>
      <c r="P1034" s="62" t="s">
        <v>6163</v>
      </c>
      <c r="Q1034" s="62" t="s">
        <v>6164</v>
      </c>
      <c r="R1034" s="53"/>
      <c r="S1034" s="53"/>
      <c r="T1034" s="82"/>
      <c r="U1034" s="42"/>
      <c r="V1034" s="62"/>
      <c r="W1034" s="64"/>
      <c r="X1034" s="223"/>
      <c r="Y1034" s="223"/>
      <c r="Z1034" s="223"/>
      <c r="AA1034" s="223"/>
    </row>
    <row r="1035">
      <c r="A1035" s="42">
        <f t="shared" si="3"/>
        <v>1034</v>
      </c>
      <c r="B1035" s="51" t="s">
        <v>41</v>
      </c>
      <c r="C1035" s="53" t="s">
        <v>6165</v>
      </c>
      <c r="D1035" s="42" t="s">
        <v>44</v>
      </c>
      <c r="E1035" s="42" t="s">
        <v>44</v>
      </c>
      <c r="F1035" s="53" t="s">
        <v>6068</v>
      </c>
      <c r="G1035" s="53" t="s">
        <v>47</v>
      </c>
      <c r="H1035" s="53" t="s">
        <v>48</v>
      </c>
      <c r="I1035" s="53" t="s">
        <v>401</v>
      </c>
      <c r="J1035" s="53" t="s">
        <v>6069</v>
      </c>
      <c r="K1035" s="53" t="s">
        <v>3753</v>
      </c>
      <c r="L1035" s="53" t="s">
        <v>52</v>
      </c>
      <c r="M1035" s="53" t="s">
        <v>52</v>
      </c>
      <c r="N1035" s="62" t="s">
        <v>6166</v>
      </c>
      <c r="O1035" s="62" t="s">
        <v>44</v>
      </c>
      <c r="P1035" s="62" t="s">
        <v>6167</v>
      </c>
      <c r="Q1035" s="62" t="s">
        <v>6168</v>
      </c>
      <c r="R1035" s="53"/>
      <c r="S1035" s="53"/>
      <c r="T1035" s="82"/>
      <c r="U1035" s="42"/>
      <c r="V1035" s="62"/>
      <c r="W1035" s="64"/>
      <c r="X1035" s="223"/>
      <c r="Y1035" s="223"/>
      <c r="Z1035" s="223"/>
      <c r="AA1035" s="223"/>
    </row>
    <row r="1036">
      <c r="A1036" s="42">
        <f t="shared" si="3"/>
        <v>1035</v>
      </c>
      <c r="B1036" s="51" t="s">
        <v>41</v>
      </c>
      <c r="C1036" s="53" t="s">
        <v>6169</v>
      </c>
      <c r="D1036" s="42" t="s">
        <v>44</v>
      </c>
      <c r="E1036" s="42" t="s">
        <v>44</v>
      </c>
      <c r="F1036" s="53" t="s">
        <v>6068</v>
      </c>
      <c r="G1036" s="53" t="s">
        <v>47</v>
      </c>
      <c r="H1036" s="53" t="s">
        <v>48</v>
      </c>
      <c r="I1036" s="53" t="s">
        <v>401</v>
      </c>
      <c r="J1036" s="53" t="s">
        <v>6069</v>
      </c>
      <c r="K1036" s="53" t="s">
        <v>3753</v>
      </c>
      <c r="L1036" s="53" t="s">
        <v>52</v>
      </c>
      <c r="M1036" s="53" t="s">
        <v>52</v>
      </c>
      <c r="N1036" s="62" t="s">
        <v>6166</v>
      </c>
      <c r="O1036" s="62" t="s">
        <v>44</v>
      </c>
      <c r="P1036" s="62" t="s">
        <v>6170</v>
      </c>
      <c r="Q1036" s="62" t="s">
        <v>6171</v>
      </c>
      <c r="R1036" s="53"/>
      <c r="S1036" s="53"/>
      <c r="T1036" s="82"/>
      <c r="U1036" s="42"/>
      <c r="V1036" s="62"/>
      <c r="W1036" s="64"/>
      <c r="X1036" s="223"/>
      <c r="Y1036" s="223"/>
      <c r="Z1036" s="223"/>
      <c r="AA1036" s="223"/>
    </row>
    <row r="1037">
      <c r="A1037" s="42">
        <f t="shared" si="3"/>
        <v>1036</v>
      </c>
      <c r="B1037" s="51" t="s">
        <v>41</v>
      </c>
      <c r="C1037" s="53" t="s">
        <v>6172</v>
      </c>
      <c r="D1037" s="42" t="s">
        <v>44</v>
      </c>
      <c r="E1037" s="42" t="s">
        <v>44</v>
      </c>
      <c r="F1037" s="53" t="s">
        <v>6068</v>
      </c>
      <c r="G1037" s="53" t="s">
        <v>47</v>
      </c>
      <c r="H1037" s="53" t="s">
        <v>48</v>
      </c>
      <c r="I1037" s="53" t="s">
        <v>401</v>
      </c>
      <c r="J1037" s="53" t="s">
        <v>6069</v>
      </c>
      <c r="K1037" s="53" t="s">
        <v>3753</v>
      </c>
      <c r="L1037" s="53" t="s">
        <v>52</v>
      </c>
      <c r="M1037" s="53" t="s">
        <v>52</v>
      </c>
      <c r="N1037" s="62" t="s">
        <v>6166</v>
      </c>
      <c r="O1037" s="62" t="s">
        <v>44</v>
      </c>
      <c r="P1037" s="62" t="s">
        <v>6173</v>
      </c>
      <c r="Q1037" s="62" t="s">
        <v>6174</v>
      </c>
      <c r="R1037" s="53"/>
      <c r="S1037" s="53"/>
      <c r="T1037" s="82"/>
      <c r="U1037" s="42"/>
      <c r="V1037" s="62"/>
      <c r="W1037" s="64"/>
      <c r="X1037" s="223"/>
      <c r="Y1037" s="223"/>
      <c r="Z1037" s="223"/>
      <c r="AA1037" s="223"/>
    </row>
    <row r="1038">
      <c r="A1038" s="42">
        <f t="shared" si="3"/>
        <v>1037</v>
      </c>
      <c r="B1038" s="51" t="s">
        <v>41</v>
      </c>
      <c r="C1038" s="53" t="s">
        <v>6175</v>
      </c>
      <c r="D1038" s="42" t="s">
        <v>44</v>
      </c>
      <c r="E1038" s="42" t="s">
        <v>44</v>
      </c>
      <c r="F1038" s="53" t="s">
        <v>6068</v>
      </c>
      <c r="G1038" s="53" t="s">
        <v>47</v>
      </c>
      <c r="H1038" s="53" t="s">
        <v>48</v>
      </c>
      <c r="I1038" s="53" t="s">
        <v>401</v>
      </c>
      <c r="J1038" s="53" t="s">
        <v>6069</v>
      </c>
      <c r="K1038" s="53" t="s">
        <v>3753</v>
      </c>
      <c r="L1038" s="53" t="s">
        <v>52</v>
      </c>
      <c r="M1038" s="53" t="s">
        <v>52</v>
      </c>
      <c r="N1038" s="62" t="s">
        <v>6162</v>
      </c>
      <c r="O1038" s="62" t="s">
        <v>44</v>
      </c>
      <c r="P1038" s="62" t="s">
        <v>6176</v>
      </c>
      <c r="Q1038" s="62" t="s">
        <v>6177</v>
      </c>
      <c r="R1038" s="53"/>
      <c r="S1038" s="53"/>
      <c r="T1038" s="82"/>
      <c r="U1038" s="42"/>
      <c r="V1038" s="62"/>
      <c r="W1038" s="64"/>
      <c r="X1038" s="223"/>
      <c r="Y1038" s="223"/>
      <c r="Z1038" s="223"/>
      <c r="AA1038" s="223"/>
    </row>
    <row r="1039">
      <c r="A1039" s="42">
        <f t="shared" si="3"/>
        <v>1038</v>
      </c>
      <c r="B1039" s="51" t="s">
        <v>41</v>
      </c>
      <c r="C1039" s="53" t="s">
        <v>6178</v>
      </c>
      <c r="D1039" s="42" t="s">
        <v>44</v>
      </c>
      <c r="E1039" s="42" t="s">
        <v>44</v>
      </c>
      <c r="F1039" s="53" t="s">
        <v>6068</v>
      </c>
      <c r="G1039" s="53" t="s">
        <v>47</v>
      </c>
      <c r="H1039" s="53" t="s">
        <v>48</v>
      </c>
      <c r="I1039" s="53" t="s">
        <v>401</v>
      </c>
      <c r="J1039" s="53" t="s">
        <v>6069</v>
      </c>
      <c r="K1039" s="53" t="s">
        <v>3753</v>
      </c>
      <c r="L1039" s="53" t="s">
        <v>52</v>
      </c>
      <c r="M1039" s="53" t="s">
        <v>52</v>
      </c>
      <c r="N1039" s="62" t="s">
        <v>6162</v>
      </c>
      <c r="O1039" s="62" t="s">
        <v>44</v>
      </c>
      <c r="P1039" s="62" t="s">
        <v>6179</v>
      </c>
      <c r="Q1039" s="62" t="s">
        <v>4789</v>
      </c>
      <c r="R1039" s="53"/>
      <c r="S1039" s="53"/>
      <c r="T1039" s="82"/>
      <c r="U1039" s="42"/>
      <c r="V1039" s="62"/>
      <c r="W1039" s="64"/>
      <c r="X1039" s="223"/>
      <c r="Y1039" s="223"/>
      <c r="Z1039" s="223"/>
      <c r="AA1039" s="223"/>
    </row>
    <row r="1040">
      <c r="A1040" s="42">
        <f t="shared" si="3"/>
        <v>1039</v>
      </c>
      <c r="B1040" s="51" t="s">
        <v>41</v>
      </c>
      <c r="C1040" s="53" t="s">
        <v>6180</v>
      </c>
      <c r="D1040" s="42" t="s">
        <v>44</v>
      </c>
      <c r="E1040" s="42" t="s">
        <v>44</v>
      </c>
      <c r="F1040" s="53" t="s">
        <v>6068</v>
      </c>
      <c r="G1040" s="53" t="s">
        <v>47</v>
      </c>
      <c r="H1040" s="53" t="s">
        <v>48</v>
      </c>
      <c r="I1040" s="53" t="s">
        <v>401</v>
      </c>
      <c r="J1040" s="53" t="s">
        <v>6069</v>
      </c>
      <c r="K1040" s="53" t="s">
        <v>3753</v>
      </c>
      <c r="L1040" s="53" t="s">
        <v>52</v>
      </c>
      <c r="M1040" s="53" t="s">
        <v>52</v>
      </c>
      <c r="N1040" s="62" t="s">
        <v>6162</v>
      </c>
      <c r="O1040" s="62" t="s">
        <v>44</v>
      </c>
      <c r="P1040" s="62" t="s">
        <v>6181</v>
      </c>
      <c r="Q1040" s="62" t="s">
        <v>6182</v>
      </c>
      <c r="R1040" s="53"/>
      <c r="S1040" s="53"/>
      <c r="T1040" s="82"/>
      <c r="U1040" s="42"/>
      <c r="V1040" s="62"/>
      <c r="W1040" s="64"/>
      <c r="X1040" s="223"/>
      <c r="Y1040" s="223"/>
      <c r="Z1040" s="223"/>
      <c r="AA1040" s="223"/>
    </row>
    <row r="1041">
      <c r="A1041" s="42">
        <f t="shared" si="3"/>
        <v>1040</v>
      </c>
      <c r="B1041" s="51" t="s">
        <v>41</v>
      </c>
      <c r="C1041" s="53" t="s">
        <v>6183</v>
      </c>
      <c r="D1041" s="42" t="s">
        <v>44</v>
      </c>
      <c r="E1041" s="42" t="s">
        <v>44</v>
      </c>
      <c r="F1041" s="53" t="s">
        <v>6068</v>
      </c>
      <c r="G1041" s="53" t="s">
        <v>47</v>
      </c>
      <c r="H1041" s="53" t="s">
        <v>95</v>
      </c>
      <c r="I1041" s="53" t="s">
        <v>401</v>
      </c>
      <c r="J1041" s="53" t="s">
        <v>6069</v>
      </c>
      <c r="K1041" s="53" t="s">
        <v>3753</v>
      </c>
      <c r="L1041" s="53" t="s">
        <v>52</v>
      </c>
      <c r="M1041" s="53" t="s">
        <v>52</v>
      </c>
      <c r="N1041" s="62" t="s">
        <v>6184</v>
      </c>
      <c r="O1041" s="62" t="s">
        <v>44</v>
      </c>
      <c r="P1041" s="62" t="s">
        <v>6185</v>
      </c>
      <c r="Q1041" s="62" t="s">
        <v>6186</v>
      </c>
      <c r="R1041" s="53"/>
      <c r="S1041" s="53"/>
      <c r="T1041" s="82"/>
      <c r="U1041" s="42"/>
      <c r="V1041" s="62"/>
      <c r="W1041" s="64"/>
      <c r="X1041" s="223"/>
      <c r="Y1041" s="223"/>
      <c r="Z1041" s="223"/>
      <c r="AA1041" s="223"/>
    </row>
    <row r="1042">
      <c r="A1042" s="42">
        <f t="shared" si="3"/>
        <v>1041</v>
      </c>
      <c r="B1042" s="51" t="s">
        <v>41</v>
      </c>
      <c r="C1042" s="53" t="s">
        <v>6187</v>
      </c>
      <c r="D1042" s="42" t="s">
        <v>44</v>
      </c>
      <c r="E1042" s="42" t="s">
        <v>44</v>
      </c>
      <c r="F1042" s="53" t="s">
        <v>6068</v>
      </c>
      <c r="G1042" s="53" t="s">
        <v>47</v>
      </c>
      <c r="H1042" s="53" t="s">
        <v>95</v>
      </c>
      <c r="I1042" s="53" t="s">
        <v>401</v>
      </c>
      <c r="J1042" s="53" t="s">
        <v>6069</v>
      </c>
      <c r="K1042" s="53" t="s">
        <v>3753</v>
      </c>
      <c r="L1042" s="53" t="s">
        <v>52</v>
      </c>
      <c r="M1042" s="53" t="s">
        <v>52</v>
      </c>
      <c r="N1042" s="62" t="s">
        <v>6188</v>
      </c>
      <c r="O1042" s="62" t="s">
        <v>44</v>
      </c>
      <c r="P1042" s="62" t="s">
        <v>6189</v>
      </c>
      <c r="Q1042" s="62" t="s">
        <v>6190</v>
      </c>
      <c r="R1042" s="53"/>
      <c r="S1042" s="53"/>
      <c r="T1042" s="82"/>
      <c r="U1042" s="42"/>
      <c r="V1042" s="62"/>
      <c r="W1042" s="64"/>
      <c r="X1042" s="223"/>
      <c r="Y1042" s="223"/>
      <c r="Z1042" s="223"/>
      <c r="AA1042" s="223"/>
    </row>
    <row r="1043">
      <c r="A1043" s="42">
        <f t="shared" si="3"/>
        <v>1042</v>
      </c>
      <c r="B1043" s="51" t="s">
        <v>41</v>
      </c>
      <c r="C1043" s="53" t="s">
        <v>6191</v>
      </c>
      <c r="D1043" s="42" t="s">
        <v>44</v>
      </c>
      <c r="E1043" s="42" t="s">
        <v>44</v>
      </c>
      <c r="F1043" s="53" t="s">
        <v>6068</v>
      </c>
      <c r="G1043" s="53" t="s">
        <v>47</v>
      </c>
      <c r="H1043" s="53" t="s">
        <v>95</v>
      </c>
      <c r="I1043" s="53" t="s">
        <v>401</v>
      </c>
      <c r="J1043" s="53" t="s">
        <v>6069</v>
      </c>
      <c r="K1043" s="53" t="s">
        <v>3753</v>
      </c>
      <c r="L1043" s="53" t="s">
        <v>52</v>
      </c>
      <c r="M1043" s="53" t="s">
        <v>52</v>
      </c>
      <c r="N1043" s="62" t="s">
        <v>6192</v>
      </c>
      <c r="O1043" s="62" t="s">
        <v>44</v>
      </c>
      <c r="P1043" s="62" t="s">
        <v>6185</v>
      </c>
      <c r="Q1043" s="62" t="s">
        <v>6193</v>
      </c>
      <c r="R1043" s="53"/>
      <c r="S1043" s="53"/>
      <c r="T1043" s="82"/>
      <c r="U1043" s="42"/>
      <c r="V1043" s="62"/>
      <c r="W1043" s="64"/>
      <c r="X1043" s="223"/>
      <c r="Y1043" s="223"/>
      <c r="Z1043" s="223"/>
      <c r="AA1043" s="223"/>
    </row>
    <row r="1044">
      <c r="A1044" s="42">
        <f t="shared" si="3"/>
        <v>1043</v>
      </c>
      <c r="B1044" s="51" t="s">
        <v>41</v>
      </c>
      <c r="C1044" s="53" t="s">
        <v>6194</v>
      </c>
      <c r="D1044" s="42" t="s">
        <v>44</v>
      </c>
      <c r="E1044" s="42" t="s">
        <v>44</v>
      </c>
      <c r="F1044" s="53" t="s">
        <v>6068</v>
      </c>
      <c r="G1044" s="53" t="s">
        <v>47</v>
      </c>
      <c r="H1044" s="53" t="s">
        <v>48</v>
      </c>
      <c r="I1044" s="53" t="s">
        <v>401</v>
      </c>
      <c r="J1044" s="53" t="s">
        <v>6069</v>
      </c>
      <c r="K1044" s="53" t="s">
        <v>3753</v>
      </c>
      <c r="L1044" s="53" t="s">
        <v>52</v>
      </c>
      <c r="M1044" s="53" t="s">
        <v>52</v>
      </c>
      <c r="N1044" s="62" t="s">
        <v>6166</v>
      </c>
      <c r="O1044" s="62" t="s">
        <v>44</v>
      </c>
      <c r="P1044" s="62" t="s">
        <v>6195</v>
      </c>
      <c r="Q1044" s="62" t="s">
        <v>6196</v>
      </c>
      <c r="R1044" s="53"/>
      <c r="S1044" s="53"/>
      <c r="T1044" s="82"/>
      <c r="U1044" s="42"/>
      <c r="V1044" s="62"/>
      <c r="W1044" s="64"/>
      <c r="X1044" s="223"/>
      <c r="Y1044" s="223"/>
      <c r="Z1044" s="223"/>
      <c r="AA1044" s="223"/>
    </row>
    <row r="1045">
      <c r="A1045" s="42">
        <f t="shared" si="3"/>
        <v>1044</v>
      </c>
      <c r="B1045" s="51" t="s">
        <v>41</v>
      </c>
      <c r="C1045" s="53" t="s">
        <v>6197</v>
      </c>
      <c r="D1045" s="42" t="s">
        <v>44</v>
      </c>
      <c r="E1045" s="42" t="s">
        <v>44</v>
      </c>
      <c r="F1045" s="53" t="s">
        <v>6068</v>
      </c>
      <c r="G1045" s="53" t="s">
        <v>47</v>
      </c>
      <c r="H1045" s="53" t="s">
        <v>48</v>
      </c>
      <c r="I1045" s="53" t="s">
        <v>401</v>
      </c>
      <c r="J1045" s="53" t="s">
        <v>6069</v>
      </c>
      <c r="K1045" s="53" t="s">
        <v>3753</v>
      </c>
      <c r="L1045" s="53" t="s">
        <v>52</v>
      </c>
      <c r="M1045" s="53" t="s">
        <v>52</v>
      </c>
      <c r="N1045" s="62" t="s">
        <v>6166</v>
      </c>
      <c r="O1045" s="62" t="s">
        <v>44</v>
      </c>
      <c r="P1045" s="62" t="s">
        <v>6198</v>
      </c>
      <c r="Q1045" s="62" t="s">
        <v>6199</v>
      </c>
      <c r="R1045" s="53"/>
      <c r="S1045" s="53"/>
      <c r="T1045" s="82"/>
      <c r="U1045" s="53"/>
      <c r="V1045" s="62"/>
      <c r="W1045" s="64"/>
      <c r="X1045" s="223"/>
      <c r="Y1045" s="223"/>
      <c r="Z1045" s="223"/>
      <c r="AA1045" s="223"/>
    </row>
    <row r="1046">
      <c r="A1046" s="42">
        <f t="shared" si="3"/>
        <v>1045</v>
      </c>
      <c r="B1046" s="51" t="s">
        <v>41</v>
      </c>
      <c r="C1046" s="53" t="s">
        <v>6200</v>
      </c>
      <c r="D1046" s="42" t="s">
        <v>44</v>
      </c>
      <c r="E1046" s="42" t="s">
        <v>44</v>
      </c>
      <c r="F1046" s="53" t="s">
        <v>6068</v>
      </c>
      <c r="G1046" s="53" t="s">
        <v>47</v>
      </c>
      <c r="H1046" s="53" t="s">
        <v>48</v>
      </c>
      <c r="I1046" s="53" t="s">
        <v>401</v>
      </c>
      <c r="J1046" s="53" t="s">
        <v>6069</v>
      </c>
      <c r="K1046" s="53" t="s">
        <v>3753</v>
      </c>
      <c r="L1046" s="53" t="s">
        <v>52</v>
      </c>
      <c r="M1046" s="53" t="s">
        <v>52</v>
      </c>
      <c r="N1046" s="62" t="s">
        <v>6166</v>
      </c>
      <c r="O1046" s="62" t="s">
        <v>44</v>
      </c>
      <c r="P1046" s="62" t="s">
        <v>6201</v>
      </c>
      <c r="Q1046" s="62" t="s">
        <v>6202</v>
      </c>
      <c r="R1046" s="53"/>
      <c r="S1046" s="53"/>
      <c r="T1046" s="82"/>
      <c r="U1046" s="42"/>
      <c r="V1046" s="62"/>
      <c r="W1046" s="64"/>
      <c r="X1046" s="223"/>
      <c r="Y1046" s="223"/>
      <c r="Z1046" s="223"/>
      <c r="AA1046" s="223"/>
    </row>
    <row r="1047">
      <c r="A1047" s="42">
        <f t="shared" si="3"/>
        <v>1046</v>
      </c>
      <c r="B1047" s="51" t="s">
        <v>41</v>
      </c>
      <c r="C1047" s="53" t="s">
        <v>6203</v>
      </c>
      <c r="D1047" s="42" t="s">
        <v>44</v>
      </c>
      <c r="E1047" s="42" t="s">
        <v>44</v>
      </c>
      <c r="F1047" s="53" t="s">
        <v>6068</v>
      </c>
      <c r="G1047" s="53" t="s">
        <v>47</v>
      </c>
      <c r="H1047" s="53" t="s">
        <v>48</v>
      </c>
      <c r="I1047" s="53" t="s">
        <v>401</v>
      </c>
      <c r="J1047" s="53" t="s">
        <v>6069</v>
      </c>
      <c r="K1047" s="53" t="s">
        <v>3753</v>
      </c>
      <c r="L1047" s="53" t="s">
        <v>52</v>
      </c>
      <c r="M1047" s="53" t="s">
        <v>52</v>
      </c>
      <c r="N1047" s="62" t="s">
        <v>6098</v>
      </c>
      <c r="O1047" s="62" t="s">
        <v>44</v>
      </c>
      <c r="P1047" s="62" t="s">
        <v>6042</v>
      </c>
      <c r="Q1047" s="62" t="s">
        <v>6204</v>
      </c>
      <c r="R1047" s="53"/>
      <c r="S1047" s="53"/>
      <c r="T1047" s="82"/>
      <c r="U1047" s="42"/>
      <c r="V1047" s="62"/>
      <c r="W1047" s="64"/>
      <c r="X1047" s="223"/>
      <c r="Y1047" s="223"/>
      <c r="Z1047" s="223"/>
      <c r="AA1047" s="223"/>
    </row>
    <row r="1048">
      <c r="A1048" s="42">
        <f t="shared" si="3"/>
        <v>1047</v>
      </c>
      <c r="B1048" s="51" t="s">
        <v>41</v>
      </c>
      <c r="C1048" s="53" t="s">
        <v>6205</v>
      </c>
      <c r="D1048" s="42" t="s">
        <v>44</v>
      </c>
      <c r="E1048" s="42" t="s">
        <v>44</v>
      </c>
      <c r="F1048" s="53" t="s">
        <v>6068</v>
      </c>
      <c r="G1048" s="53" t="s">
        <v>85</v>
      </c>
      <c r="H1048" s="53" t="s">
        <v>86</v>
      </c>
      <c r="I1048" s="53" t="s">
        <v>401</v>
      </c>
      <c r="J1048" s="53" t="s">
        <v>6069</v>
      </c>
      <c r="K1048" s="53" t="s">
        <v>3753</v>
      </c>
      <c r="L1048" s="53" t="s">
        <v>52</v>
      </c>
      <c r="M1048" s="53" t="s">
        <v>52</v>
      </c>
      <c r="N1048" s="62" t="s">
        <v>6098</v>
      </c>
      <c r="O1048" s="62" t="s">
        <v>44</v>
      </c>
      <c r="P1048" s="62" t="s">
        <v>6045</v>
      </c>
      <c r="Q1048" s="62" t="s">
        <v>5753</v>
      </c>
      <c r="R1048" s="53"/>
      <c r="S1048" s="53"/>
      <c r="T1048" s="82"/>
      <c r="U1048" s="42"/>
      <c r="V1048" s="62"/>
      <c r="W1048" s="64"/>
      <c r="X1048" s="223"/>
      <c r="Y1048" s="223"/>
      <c r="Z1048" s="223"/>
      <c r="AA1048" s="223"/>
    </row>
    <row r="1049">
      <c r="A1049" s="42">
        <f t="shared" si="3"/>
        <v>1048</v>
      </c>
      <c r="B1049" s="51" t="s">
        <v>41</v>
      </c>
      <c r="C1049" s="53" t="s">
        <v>6206</v>
      </c>
      <c r="D1049" s="42" t="s">
        <v>44</v>
      </c>
      <c r="E1049" s="42" t="s">
        <v>44</v>
      </c>
      <c r="F1049" s="53" t="s">
        <v>6068</v>
      </c>
      <c r="G1049" s="53" t="s">
        <v>47</v>
      </c>
      <c r="H1049" s="53" t="s">
        <v>91</v>
      </c>
      <c r="I1049" s="53" t="s">
        <v>401</v>
      </c>
      <c r="J1049" s="53" t="s">
        <v>6069</v>
      </c>
      <c r="K1049" s="53" t="s">
        <v>3753</v>
      </c>
      <c r="L1049" s="53" t="s">
        <v>52</v>
      </c>
      <c r="M1049" s="53" t="s">
        <v>52</v>
      </c>
      <c r="N1049" s="62" t="s">
        <v>6207</v>
      </c>
      <c r="O1049" s="62" t="s">
        <v>44</v>
      </c>
      <c r="P1049" s="62" t="s">
        <v>6208</v>
      </c>
      <c r="Q1049" s="62" t="s">
        <v>5753</v>
      </c>
      <c r="R1049" s="53"/>
      <c r="S1049" s="53"/>
      <c r="T1049" s="82"/>
      <c r="U1049" s="42"/>
      <c r="V1049" s="62"/>
      <c r="W1049" s="64"/>
      <c r="X1049" s="223"/>
      <c r="Y1049" s="223"/>
      <c r="Z1049" s="223"/>
      <c r="AA1049" s="223"/>
    </row>
    <row r="1050">
      <c r="A1050" s="42">
        <f t="shared" si="3"/>
        <v>1049</v>
      </c>
      <c r="B1050" s="51" t="s">
        <v>41</v>
      </c>
      <c r="C1050" s="53" t="s">
        <v>6209</v>
      </c>
      <c r="D1050" s="42" t="s">
        <v>44</v>
      </c>
      <c r="E1050" s="42" t="s">
        <v>44</v>
      </c>
      <c r="F1050" s="53" t="s">
        <v>6068</v>
      </c>
      <c r="G1050" s="53" t="s">
        <v>47</v>
      </c>
      <c r="H1050" s="53" t="s">
        <v>95</v>
      </c>
      <c r="I1050" s="53" t="s">
        <v>401</v>
      </c>
      <c r="J1050" s="53" t="s">
        <v>6069</v>
      </c>
      <c r="K1050" s="53" t="s">
        <v>3753</v>
      </c>
      <c r="L1050" s="53" t="s">
        <v>52</v>
      </c>
      <c r="M1050" s="53" t="s">
        <v>52</v>
      </c>
      <c r="N1050" s="62" t="s">
        <v>6210</v>
      </c>
      <c r="O1050" s="62" t="s">
        <v>44</v>
      </c>
      <c r="P1050" s="62" t="s">
        <v>6208</v>
      </c>
      <c r="Q1050" s="62" t="s">
        <v>6051</v>
      </c>
      <c r="R1050" s="53"/>
      <c r="S1050" s="53"/>
      <c r="T1050" s="82"/>
      <c r="U1050" s="42"/>
      <c r="V1050" s="62"/>
      <c r="W1050" s="64"/>
      <c r="X1050" s="223"/>
      <c r="Y1050" s="223"/>
      <c r="Z1050" s="223"/>
      <c r="AA1050" s="223"/>
    </row>
    <row r="1051">
      <c r="A1051" s="42">
        <f t="shared" si="3"/>
        <v>1050</v>
      </c>
      <c r="B1051" s="51" t="s">
        <v>41</v>
      </c>
      <c r="C1051" s="53" t="s">
        <v>6211</v>
      </c>
      <c r="D1051" s="42" t="s">
        <v>44</v>
      </c>
      <c r="E1051" s="42" t="s">
        <v>44</v>
      </c>
      <c r="F1051" s="53" t="s">
        <v>6068</v>
      </c>
      <c r="G1051" s="53" t="s">
        <v>47</v>
      </c>
      <c r="H1051" s="53" t="s">
        <v>48</v>
      </c>
      <c r="I1051" s="53" t="s">
        <v>401</v>
      </c>
      <c r="J1051" s="53" t="s">
        <v>6069</v>
      </c>
      <c r="K1051" s="53" t="s">
        <v>3753</v>
      </c>
      <c r="L1051" s="53" t="s">
        <v>52</v>
      </c>
      <c r="M1051" s="53" t="s">
        <v>52</v>
      </c>
      <c r="N1051" s="62" t="s">
        <v>6212</v>
      </c>
      <c r="O1051" s="62" t="s">
        <v>44</v>
      </c>
      <c r="P1051" s="62" t="s">
        <v>6053</v>
      </c>
      <c r="Q1051" s="62" t="s">
        <v>6054</v>
      </c>
      <c r="R1051" s="53"/>
      <c r="S1051" s="53"/>
      <c r="T1051" s="82"/>
      <c r="U1051" s="42"/>
      <c r="V1051" s="62"/>
      <c r="W1051" s="64"/>
      <c r="X1051" s="223"/>
      <c r="Y1051" s="223"/>
      <c r="Z1051" s="223"/>
      <c r="AA1051" s="223"/>
    </row>
    <row r="1052">
      <c r="A1052" s="42">
        <f t="shared" si="3"/>
        <v>1051</v>
      </c>
      <c r="B1052" s="51" t="s">
        <v>41</v>
      </c>
      <c r="C1052" s="53" t="s">
        <v>6213</v>
      </c>
      <c r="D1052" s="42" t="s">
        <v>44</v>
      </c>
      <c r="E1052" s="42" t="s">
        <v>44</v>
      </c>
      <c r="F1052" s="53" t="s">
        <v>6068</v>
      </c>
      <c r="G1052" s="53" t="s">
        <v>47</v>
      </c>
      <c r="H1052" s="53" t="s">
        <v>48</v>
      </c>
      <c r="I1052" s="53" t="s">
        <v>401</v>
      </c>
      <c r="J1052" s="53" t="s">
        <v>6069</v>
      </c>
      <c r="K1052" s="53" t="s">
        <v>3753</v>
      </c>
      <c r="L1052" s="53" t="s">
        <v>52</v>
      </c>
      <c r="M1052" s="53" t="s">
        <v>52</v>
      </c>
      <c r="N1052" s="62" t="s">
        <v>6212</v>
      </c>
      <c r="O1052" s="62" t="s">
        <v>44</v>
      </c>
      <c r="P1052" s="62" t="s">
        <v>6056</v>
      </c>
      <c r="Q1052" s="62" t="s">
        <v>6057</v>
      </c>
      <c r="R1052" s="53"/>
      <c r="S1052" s="53"/>
      <c r="T1052" s="82"/>
      <c r="U1052" s="42"/>
      <c r="V1052" s="62"/>
      <c r="W1052" s="64"/>
      <c r="X1052" s="223"/>
      <c r="Y1052" s="223"/>
      <c r="Z1052" s="223"/>
      <c r="AA1052" s="223"/>
    </row>
    <row r="1053">
      <c r="A1053" s="42">
        <f t="shared" si="3"/>
        <v>1052</v>
      </c>
      <c r="B1053" s="51" t="s">
        <v>41</v>
      </c>
      <c r="C1053" s="53" t="s">
        <v>6214</v>
      </c>
      <c r="D1053" s="42" t="s">
        <v>44</v>
      </c>
      <c r="E1053" s="42" t="s">
        <v>44</v>
      </c>
      <c r="F1053" s="53" t="s">
        <v>6068</v>
      </c>
      <c r="G1053" s="53" t="s">
        <v>47</v>
      </c>
      <c r="H1053" s="53" t="s">
        <v>48</v>
      </c>
      <c r="I1053" s="53" t="s">
        <v>401</v>
      </c>
      <c r="J1053" s="53" t="s">
        <v>6069</v>
      </c>
      <c r="K1053" s="53" t="s">
        <v>3753</v>
      </c>
      <c r="L1053" s="53" t="s">
        <v>52</v>
      </c>
      <c r="M1053" s="53" t="s">
        <v>52</v>
      </c>
      <c r="N1053" s="62" t="s">
        <v>6212</v>
      </c>
      <c r="O1053" s="62" t="s">
        <v>44</v>
      </c>
      <c r="P1053" s="62" t="s">
        <v>5839</v>
      </c>
      <c r="Q1053" s="62" t="s">
        <v>6215</v>
      </c>
      <c r="R1053" s="53"/>
      <c r="S1053" s="53"/>
      <c r="T1053" s="82"/>
      <c r="U1053" s="53"/>
      <c r="V1053" s="62"/>
      <c r="W1053" s="64"/>
      <c r="X1053" s="223"/>
      <c r="Y1053" s="223"/>
      <c r="Z1053" s="223"/>
      <c r="AA1053" s="223"/>
    </row>
    <row r="1054">
      <c r="A1054" s="42">
        <f t="shared" si="3"/>
        <v>1053</v>
      </c>
      <c r="B1054" s="51" t="s">
        <v>41</v>
      </c>
      <c r="C1054" s="53" t="s">
        <v>6216</v>
      </c>
      <c r="D1054" s="42" t="s">
        <v>44</v>
      </c>
      <c r="E1054" s="42" t="s">
        <v>44</v>
      </c>
      <c r="F1054" s="53" t="s">
        <v>6068</v>
      </c>
      <c r="G1054" s="53" t="s">
        <v>47</v>
      </c>
      <c r="H1054" s="53" t="s">
        <v>48</v>
      </c>
      <c r="I1054" s="53" t="s">
        <v>401</v>
      </c>
      <c r="J1054" s="53" t="s">
        <v>6069</v>
      </c>
      <c r="K1054" s="53" t="s">
        <v>3753</v>
      </c>
      <c r="L1054" s="53" t="s">
        <v>52</v>
      </c>
      <c r="M1054" s="53" t="s">
        <v>52</v>
      </c>
      <c r="N1054" s="62" t="s">
        <v>6212</v>
      </c>
      <c r="O1054" s="62" t="s">
        <v>44</v>
      </c>
      <c r="P1054" s="62" t="s">
        <v>6059</v>
      </c>
      <c r="Q1054" s="62" t="s">
        <v>6060</v>
      </c>
      <c r="R1054" s="53"/>
      <c r="S1054" s="53"/>
      <c r="T1054" s="82"/>
      <c r="U1054" s="42"/>
      <c r="V1054" s="62"/>
      <c r="W1054" s="64"/>
      <c r="X1054" s="223"/>
      <c r="Y1054" s="223"/>
      <c r="Z1054" s="223"/>
      <c r="AA1054" s="223"/>
    </row>
    <row r="1055">
      <c r="A1055" s="42">
        <f t="shared" si="3"/>
        <v>1054</v>
      </c>
      <c r="B1055" s="51" t="s">
        <v>41</v>
      </c>
      <c r="C1055" s="53" t="s">
        <v>6217</v>
      </c>
      <c r="D1055" s="42" t="s">
        <v>44</v>
      </c>
      <c r="E1055" s="42" t="s">
        <v>44</v>
      </c>
      <c r="F1055" s="53" t="s">
        <v>6068</v>
      </c>
      <c r="G1055" s="53" t="s">
        <v>47</v>
      </c>
      <c r="H1055" s="53" t="s">
        <v>48</v>
      </c>
      <c r="I1055" s="53" t="s">
        <v>401</v>
      </c>
      <c r="J1055" s="53" t="s">
        <v>6069</v>
      </c>
      <c r="K1055" s="53" t="s">
        <v>3753</v>
      </c>
      <c r="L1055" s="53" t="s">
        <v>52</v>
      </c>
      <c r="M1055" s="53" t="s">
        <v>52</v>
      </c>
      <c r="N1055" s="62" t="s">
        <v>6212</v>
      </c>
      <c r="O1055" s="62" t="s">
        <v>44</v>
      </c>
      <c r="P1055" s="62" t="s">
        <v>6062</v>
      </c>
      <c r="Q1055" s="62" t="s">
        <v>6063</v>
      </c>
      <c r="R1055" s="53"/>
      <c r="S1055" s="53"/>
      <c r="T1055" s="82"/>
      <c r="U1055" s="42"/>
      <c r="V1055" s="62"/>
      <c r="W1055" s="64"/>
      <c r="X1055" s="223"/>
      <c r="Y1055" s="223"/>
      <c r="Z1055" s="223"/>
      <c r="AA1055" s="223"/>
    </row>
    <row r="1056">
      <c r="A1056" s="42">
        <f t="shared" si="3"/>
        <v>1055</v>
      </c>
      <c r="B1056" s="51" t="s">
        <v>41</v>
      </c>
      <c r="C1056" s="53" t="s">
        <v>6218</v>
      </c>
      <c r="D1056" s="42" t="s">
        <v>44</v>
      </c>
      <c r="E1056" s="42" t="s">
        <v>44</v>
      </c>
      <c r="F1056" s="53" t="s">
        <v>6068</v>
      </c>
      <c r="G1056" s="53" t="s">
        <v>47</v>
      </c>
      <c r="H1056" s="53" t="s">
        <v>48</v>
      </c>
      <c r="I1056" s="53" t="s">
        <v>401</v>
      </c>
      <c r="J1056" s="53" t="s">
        <v>6069</v>
      </c>
      <c r="K1056" s="53" t="s">
        <v>3753</v>
      </c>
      <c r="L1056" s="53" t="s">
        <v>52</v>
      </c>
      <c r="M1056" s="53" t="s">
        <v>52</v>
      </c>
      <c r="N1056" s="62" t="s">
        <v>6212</v>
      </c>
      <c r="O1056" s="62" t="s">
        <v>44</v>
      </c>
      <c r="P1056" s="62" t="s">
        <v>6219</v>
      </c>
      <c r="Q1056" s="62" t="s">
        <v>5904</v>
      </c>
      <c r="R1056" s="53"/>
      <c r="S1056" s="53"/>
      <c r="T1056" s="82"/>
      <c r="U1056" s="42"/>
      <c r="V1056" s="62"/>
      <c r="W1056" s="64"/>
      <c r="X1056" s="223"/>
      <c r="Y1056" s="223"/>
      <c r="Z1056" s="223"/>
      <c r="AA1056" s="223"/>
    </row>
    <row r="1057">
      <c r="A1057" s="42">
        <f t="shared" si="3"/>
        <v>1056</v>
      </c>
      <c r="B1057" s="51" t="s">
        <v>41</v>
      </c>
      <c r="C1057" s="53" t="s">
        <v>6220</v>
      </c>
      <c r="D1057" s="42" t="s">
        <v>44</v>
      </c>
      <c r="E1057" s="42" t="s">
        <v>44</v>
      </c>
      <c r="F1057" s="53" t="s">
        <v>6068</v>
      </c>
      <c r="G1057" s="53" t="s">
        <v>47</v>
      </c>
      <c r="H1057" s="53" t="s">
        <v>48</v>
      </c>
      <c r="I1057" s="53" t="s">
        <v>401</v>
      </c>
      <c r="J1057" s="53" t="s">
        <v>6069</v>
      </c>
      <c r="K1057" s="53" t="s">
        <v>3753</v>
      </c>
      <c r="L1057" s="53" t="s">
        <v>52</v>
      </c>
      <c r="M1057" s="53" t="s">
        <v>52</v>
      </c>
      <c r="N1057" s="62" t="s">
        <v>6212</v>
      </c>
      <c r="O1057" s="62" t="s">
        <v>44</v>
      </c>
      <c r="P1057" s="62" t="s">
        <v>6065</v>
      </c>
      <c r="Q1057" s="62" t="s">
        <v>6066</v>
      </c>
      <c r="R1057" s="53"/>
      <c r="S1057" s="53"/>
      <c r="T1057" s="82"/>
      <c r="U1057" s="42"/>
      <c r="V1057" s="62"/>
      <c r="W1057" s="64"/>
      <c r="X1057" s="223"/>
      <c r="Y1057" s="223"/>
      <c r="Z1057" s="223"/>
      <c r="AA1057" s="223"/>
    </row>
    <row r="1058">
      <c r="A1058" s="42">
        <f t="shared" si="3"/>
        <v>1057</v>
      </c>
      <c r="B1058" s="51" t="s">
        <v>41</v>
      </c>
      <c r="C1058" s="53" t="s">
        <v>6221</v>
      </c>
      <c r="D1058" s="42" t="s">
        <v>44</v>
      </c>
      <c r="E1058" s="42" t="s">
        <v>44</v>
      </c>
      <c r="F1058" s="53" t="s">
        <v>6222</v>
      </c>
      <c r="G1058" s="53" t="s">
        <v>111</v>
      </c>
      <c r="H1058" s="53" t="s">
        <v>112</v>
      </c>
      <c r="I1058" s="53" t="s">
        <v>401</v>
      </c>
      <c r="J1058" s="53" t="s">
        <v>6223</v>
      </c>
      <c r="K1058" s="53" t="s">
        <v>51</v>
      </c>
      <c r="L1058" s="53" t="s">
        <v>52</v>
      </c>
      <c r="M1058" s="53" t="s">
        <v>52</v>
      </c>
      <c r="N1058" s="62" t="s">
        <v>6224</v>
      </c>
      <c r="O1058" s="62" t="s">
        <v>44</v>
      </c>
      <c r="P1058" s="62" t="s">
        <v>6225</v>
      </c>
      <c r="Q1058" s="62" t="s">
        <v>6226</v>
      </c>
      <c r="R1058" s="53"/>
      <c r="S1058" s="53"/>
      <c r="T1058" s="82"/>
      <c r="U1058" s="42"/>
      <c r="V1058" s="62"/>
      <c r="W1058" s="64"/>
      <c r="X1058" s="223"/>
      <c r="Y1058" s="223"/>
      <c r="Z1058" s="223"/>
      <c r="AA1058" s="223"/>
    </row>
    <row r="1059">
      <c r="A1059" s="42">
        <f t="shared" si="3"/>
        <v>1058</v>
      </c>
      <c r="B1059" s="51" t="s">
        <v>41</v>
      </c>
      <c r="C1059" s="53" t="s">
        <v>6227</v>
      </c>
      <c r="D1059" s="42" t="s">
        <v>44</v>
      </c>
      <c r="E1059" s="42" t="s">
        <v>44</v>
      </c>
      <c r="F1059" s="53" t="s">
        <v>6222</v>
      </c>
      <c r="G1059" s="53" t="s">
        <v>47</v>
      </c>
      <c r="H1059" s="53" t="s">
        <v>48</v>
      </c>
      <c r="I1059" s="53" t="s">
        <v>401</v>
      </c>
      <c r="J1059" s="53" t="s">
        <v>6223</v>
      </c>
      <c r="K1059" s="53" t="s">
        <v>51</v>
      </c>
      <c r="L1059" s="53" t="s">
        <v>52</v>
      </c>
      <c r="M1059" s="53" t="s">
        <v>52</v>
      </c>
      <c r="N1059" s="62" t="s">
        <v>6228</v>
      </c>
      <c r="O1059" s="62" t="s">
        <v>44</v>
      </c>
      <c r="P1059" s="62" t="s">
        <v>5384</v>
      </c>
      <c r="Q1059" s="62" t="s">
        <v>6229</v>
      </c>
      <c r="R1059" s="53"/>
      <c r="S1059" s="53"/>
      <c r="T1059" s="82"/>
      <c r="U1059" s="42"/>
      <c r="V1059" s="62"/>
      <c r="W1059" s="64"/>
      <c r="X1059" s="223"/>
      <c r="Y1059" s="223"/>
      <c r="Z1059" s="223"/>
      <c r="AA1059" s="223"/>
    </row>
    <row r="1060">
      <c r="A1060" s="42">
        <f t="shared" si="3"/>
        <v>1059</v>
      </c>
      <c r="B1060" s="51" t="s">
        <v>41</v>
      </c>
      <c r="C1060" s="53" t="s">
        <v>6230</v>
      </c>
      <c r="D1060" s="42" t="s">
        <v>44</v>
      </c>
      <c r="E1060" s="42" t="s">
        <v>44</v>
      </c>
      <c r="F1060" s="53" t="s">
        <v>6222</v>
      </c>
      <c r="G1060" s="53" t="s">
        <v>47</v>
      </c>
      <c r="H1060" s="53" t="s">
        <v>48</v>
      </c>
      <c r="I1060" s="53" t="s">
        <v>401</v>
      </c>
      <c r="J1060" s="53" t="s">
        <v>6223</v>
      </c>
      <c r="K1060" s="53" t="s">
        <v>51</v>
      </c>
      <c r="L1060" s="53" t="s">
        <v>52</v>
      </c>
      <c r="M1060" s="53" t="s">
        <v>52</v>
      </c>
      <c r="N1060" s="62" t="s">
        <v>6228</v>
      </c>
      <c r="O1060" s="62" t="s">
        <v>44</v>
      </c>
      <c r="P1060" s="62" t="s">
        <v>5389</v>
      </c>
      <c r="Q1060" s="62" t="s">
        <v>6231</v>
      </c>
      <c r="R1060" s="53"/>
      <c r="S1060" s="53"/>
      <c r="T1060" s="82"/>
      <c r="U1060" s="42"/>
      <c r="V1060" s="62"/>
      <c r="W1060" s="64"/>
      <c r="X1060" s="223"/>
      <c r="Y1060" s="223"/>
      <c r="Z1060" s="223"/>
      <c r="AA1060" s="223"/>
    </row>
    <row r="1061">
      <c r="A1061" s="42">
        <f t="shared" si="3"/>
        <v>1060</v>
      </c>
      <c r="B1061" s="51" t="s">
        <v>41</v>
      </c>
      <c r="C1061" s="53" t="s">
        <v>6232</v>
      </c>
      <c r="D1061" s="42" t="s">
        <v>44</v>
      </c>
      <c r="E1061" s="42" t="s">
        <v>44</v>
      </c>
      <c r="F1061" s="53" t="s">
        <v>6222</v>
      </c>
      <c r="G1061" s="53" t="s">
        <v>47</v>
      </c>
      <c r="H1061" s="53" t="s">
        <v>48</v>
      </c>
      <c r="I1061" s="53" t="s">
        <v>401</v>
      </c>
      <c r="J1061" s="53" t="s">
        <v>6223</v>
      </c>
      <c r="K1061" s="53" t="s">
        <v>51</v>
      </c>
      <c r="L1061" s="53" t="s">
        <v>52</v>
      </c>
      <c r="M1061" s="53" t="s">
        <v>52</v>
      </c>
      <c r="N1061" s="62" t="s">
        <v>6228</v>
      </c>
      <c r="O1061" s="62" t="s">
        <v>44</v>
      </c>
      <c r="P1061" s="62" t="s">
        <v>6233</v>
      </c>
      <c r="Q1061" s="62" t="s">
        <v>6234</v>
      </c>
      <c r="R1061" s="53"/>
      <c r="S1061" s="53"/>
      <c r="T1061" s="82"/>
      <c r="U1061" s="42"/>
      <c r="V1061" s="62"/>
      <c r="W1061" s="64"/>
      <c r="X1061" s="223"/>
      <c r="Y1061" s="223"/>
      <c r="Z1061" s="223"/>
      <c r="AA1061" s="223"/>
    </row>
    <row r="1062">
      <c r="A1062" s="42">
        <f t="shared" si="3"/>
        <v>1061</v>
      </c>
      <c r="B1062" s="51" t="s">
        <v>41</v>
      </c>
      <c r="C1062" s="53" t="s">
        <v>6235</v>
      </c>
      <c r="D1062" s="42" t="s">
        <v>44</v>
      </c>
      <c r="E1062" s="42" t="s">
        <v>44</v>
      </c>
      <c r="F1062" s="53" t="s">
        <v>6222</v>
      </c>
      <c r="G1062" s="53" t="s">
        <v>47</v>
      </c>
      <c r="H1062" s="53" t="s">
        <v>48</v>
      </c>
      <c r="I1062" s="53" t="s">
        <v>401</v>
      </c>
      <c r="J1062" s="53" t="s">
        <v>6223</v>
      </c>
      <c r="K1062" s="53" t="s">
        <v>51</v>
      </c>
      <c r="L1062" s="53" t="s">
        <v>52</v>
      </c>
      <c r="M1062" s="53" t="s">
        <v>52</v>
      </c>
      <c r="N1062" s="62" t="s">
        <v>6228</v>
      </c>
      <c r="O1062" s="62" t="s">
        <v>44</v>
      </c>
      <c r="P1062" s="62" t="s">
        <v>6236</v>
      </c>
      <c r="Q1062" s="62" t="s">
        <v>5747</v>
      </c>
      <c r="R1062" s="53"/>
      <c r="S1062" s="53"/>
      <c r="T1062" s="82"/>
      <c r="U1062" s="42"/>
      <c r="V1062" s="62"/>
      <c r="W1062" s="64"/>
      <c r="X1062" s="223"/>
      <c r="Y1062" s="223"/>
      <c r="Z1062" s="223"/>
      <c r="AA1062" s="223"/>
    </row>
    <row r="1063">
      <c r="A1063" s="42">
        <f t="shared" si="3"/>
        <v>1062</v>
      </c>
      <c r="B1063" s="51" t="s">
        <v>41</v>
      </c>
      <c r="C1063" s="53" t="s">
        <v>6237</v>
      </c>
      <c r="D1063" s="42" t="s">
        <v>44</v>
      </c>
      <c r="E1063" s="42" t="s">
        <v>44</v>
      </c>
      <c r="F1063" s="53" t="s">
        <v>6222</v>
      </c>
      <c r="G1063" s="53" t="s">
        <v>47</v>
      </c>
      <c r="H1063" s="53" t="s">
        <v>91</v>
      </c>
      <c r="I1063" s="53" t="s">
        <v>401</v>
      </c>
      <c r="J1063" s="53" t="s">
        <v>6223</v>
      </c>
      <c r="K1063" s="53" t="s">
        <v>51</v>
      </c>
      <c r="L1063" s="53" t="s">
        <v>52</v>
      </c>
      <c r="M1063" s="53" t="s">
        <v>52</v>
      </c>
      <c r="N1063" s="62" t="s">
        <v>6228</v>
      </c>
      <c r="O1063" s="62" t="s">
        <v>44</v>
      </c>
      <c r="P1063" s="62" t="s">
        <v>6238</v>
      </c>
      <c r="Q1063" s="62" t="s">
        <v>5753</v>
      </c>
      <c r="R1063" s="53"/>
      <c r="S1063" s="53"/>
      <c r="T1063" s="82"/>
      <c r="U1063" s="42"/>
      <c r="V1063" s="62"/>
      <c r="W1063" s="64"/>
      <c r="X1063" s="223"/>
      <c r="Y1063" s="223"/>
      <c r="Z1063" s="223"/>
      <c r="AA1063" s="223"/>
    </row>
    <row r="1064">
      <c r="A1064" s="42">
        <f t="shared" si="3"/>
        <v>1063</v>
      </c>
      <c r="B1064" s="51" t="s">
        <v>41</v>
      </c>
      <c r="C1064" s="53" t="s">
        <v>6239</v>
      </c>
      <c r="D1064" s="42" t="s">
        <v>44</v>
      </c>
      <c r="E1064" s="42" t="s">
        <v>44</v>
      </c>
      <c r="F1064" s="53" t="s">
        <v>6222</v>
      </c>
      <c r="G1064" s="53" t="s">
        <v>47</v>
      </c>
      <c r="H1064" s="53" t="s">
        <v>48</v>
      </c>
      <c r="I1064" s="53" t="s">
        <v>401</v>
      </c>
      <c r="J1064" s="53" t="s">
        <v>6223</v>
      </c>
      <c r="K1064" s="53" t="s">
        <v>51</v>
      </c>
      <c r="L1064" s="53" t="s">
        <v>52</v>
      </c>
      <c r="M1064" s="53" t="s">
        <v>52</v>
      </c>
      <c r="N1064" s="62" t="s">
        <v>6228</v>
      </c>
      <c r="O1064" s="62" t="s">
        <v>44</v>
      </c>
      <c r="P1064" s="62" t="s">
        <v>6082</v>
      </c>
      <c r="Q1064" s="62" t="s">
        <v>6083</v>
      </c>
      <c r="R1064" s="53"/>
      <c r="S1064" s="53"/>
      <c r="T1064" s="82"/>
      <c r="U1064" s="42"/>
      <c r="V1064" s="62"/>
      <c r="W1064" s="64"/>
      <c r="X1064" s="223"/>
      <c r="Y1064" s="223"/>
      <c r="Z1064" s="223"/>
      <c r="AA1064" s="223"/>
    </row>
    <row r="1065">
      <c r="A1065" s="42">
        <f t="shared" si="3"/>
        <v>1064</v>
      </c>
      <c r="B1065" s="51" t="s">
        <v>41</v>
      </c>
      <c r="C1065" s="53" t="s">
        <v>6240</v>
      </c>
      <c r="D1065" s="42" t="s">
        <v>44</v>
      </c>
      <c r="E1065" s="42" t="s">
        <v>44</v>
      </c>
      <c r="F1065" s="53" t="s">
        <v>6222</v>
      </c>
      <c r="G1065" s="53" t="s">
        <v>47</v>
      </c>
      <c r="H1065" s="53" t="s">
        <v>48</v>
      </c>
      <c r="I1065" s="53" t="s">
        <v>401</v>
      </c>
      <c r="J1065" s="53" t="s">
        <v>6223</v>
      </c>
      <c r="K1065" s="53" t="s">
        <v>51</v>
      </c>
      <c r="L1065" s="53" t="s">
        <v>52</v>
      </c>
      <c r="M1065" s="53" t="s">
        <v>52</v>
      </c>
      <c r="N1065" s="62" t="s">
        <v>6228</v>
      </c>
      <c r="O1065" s="62" t="s">
        <v>44</v>
      </c>
      <c r="P1065" s="62" t="s">
        <v>6085</v>
      </c>
      <c r="Q1065" s="62" t="s">
        <v>6241</v>
      </c>
      <c r="R1065" s="53"/>
      <c r="S1065" s="53"/>
      <c r="T1065" s="82"/>
      <c r="U1065" s="42"/>
      <c r="V1065" s="62"/>
      <c r="W1065" s="64"/>
      <c r="X1065" s="223"/>
      <c r="Y1065" s="223"/>
      <c r="Z1065" s="223"/>
      <c r="AA1065" s="223"/>
    </row>
    <row r="1066">
      <c r="A1066" s="42">
        <f t="shared" si="3"/>
        <v>1065</v>
      </c>
      <c r="B1066" s="51" t="s">
        <v>41</v>
      </c>
      <c r="C1066" s="53" t="s">
        <v>6242</v>
      </c>
      <c r="D1066" s="42" t="s">
        <v>44</v>
      </c>
      <c r="E1066" s="42" t="s">
        <v>44</v>
      </c>
      <c r="F1066" s="53" t="s">
        <v>6222</v>
      </c>
      <c r="G1066" s="53" t="s">
        <v>47</v>
      </c>
      <c r="H1066" s="53" t="s">
        <v>48</v>
      </c>
      <c r="I1066" s="53" t="s">
        <v>401</v>
      </c>
      <c r="J1066" s="53" t="s">
        <v>6223</v>
      </c>
      <c r="K1066" s="53" t="s">
        <v>51</v>
      </c>
      <c r="L1066" s="53" t="s">
        <v>52</v>
      </c>
      <c r="M1066" s="53" t="s">
        <v>52</v>
      </c>
      <c r="N1066" s="62" t="s">
        <v>6243</v>
      </c>
      <c r="O1066" s="62" t="s">
        <v>44</v>
      </c>
      <c r="P1066" s="62" t="s">
        <v>6089</v>
      </c>
      <c r="Q1066" s="62" t="s">
        <v>6090</v>
      </c>
      <c r="R1066" s="53"/>
      <c r="S1066" s="53"/>
      <c r="T1066" s="82"/>
      <c r="U1066" s="42"/>
      <c r="V1066" s="62"/>
      <c r="W1066" s="64"/>
      <c r="X1066" s="223"/>
      <c r="Y1066" s="223"/>
      <c r="Z1066" s="223"/>
      <c r="AA1066" s="223"/>
    </row>
    <row r="1067">
      <c r="A1067" s="42">
        <f t="shared" si="3"/>
        <v>1066</v>
      </c>
      <c r="B1067" s="51" t="s">
        <v>41</v>
      </c>
      <c r="C1067" s="53" t="s">
        <v>6244</v>
      </c>
      <c r="D1067" s="42" t="s">
        <v>44</v>
      </c>
      <c r="E1067" s="42" t="s">
        <v>44</v>
      </c>
      <c r="F1067" s="53" t="s">
        <v>6222</v>
      </c>
      <c r="G1067" s="53" t="s">
        <v>47</v>
      </c>
      <c r="H1067" s="53" t="s">
        <v>48</v>
      </c>
      <c r="I1067" s="53" t="s">
        <v>401</v>
      </c>
      <c r="J1067" s="53" t="s">
        <v>6223</v>
      </c>
      <c r="K1067" s="53" t="s">
        <v>51</v>
      </c>
      <c r="L1067" s="53" t="s">
        <v>52</v>
      </c>
      <c r="M1067" s="53" t="s">
        <v>52</v>
      </c>
      <c r="N1067" s="62" t="s">
        <v>6228</v>
      </c>
      <c r="O1067" s="62" t="s">
        <v>44</v>
      </c>
      <c r="P1067" s="62" t="s">
        <v>5448</v>
      </c>
      <c r="Q1067" s="62" t="s">
        <v>5763</v>
      </c>
      <c r="R1067" s="53"/>
      <c r="S1067" s="53"/>
      <c r="T1067" s="82"/>
      <c r="U1067" s="42"/>
      <c r="V1067" s="62"/>
      <c r="W1067" s="64"/>
      <c r="X1067" s="223"/>
      <c r="Y1067" s="223"/>
      <c r="Z1067" s="223"/>
      <c r="AA1067" s="223"/>
    </row>
    <row r="1068">
      <c r="A1068" s="42">
        <f t="shared" si="3"/>
        <v>1067</v>
      </c>
      <c r="B1068" s="51" t="s">
        <v>41</v>
      </c>
      <c r="C1068" s="53" t="s">
        <v>6245</v>
      </c>
      <c r="D1068" s="42" t="s">
        <v>44</v>
      </c>
      <c r="E1068" s="42" t="s">
        <v>44</v>
      </c>
      <c r="F1068" s="53" t="s">
        <v>6222</v>
      </c>
      <c r="G1068" s="53" t="s">
        <v>47</v>
      </c>
      <c r="H1068" s="53" t="s">
        <v>48</v>
      </c>
      <c r="I1068" s="53" t="s">
        <v>401</v>
      </c>
      <c r="J1068" s="53" t="s">
        <v>6223</v>
      </c>
      <c r="K1068" s="53" t="s">
        <v>51</v>
      </c>
      <c r="L1068" s="53" t="s">
        <v>52</v>
      </c>
      <c r="M1068" s="53" t="s">
        <v>52</v>
      </c>
      <c r="N1068" s="62" t="s">
        <v>6228</v>
      </c>
      <c r="O1068" s="62" t="s">
        <v>44</v>
      </c>
      <c r="P1068" s="62" t="s">
        <v>1002</v>
      </c>
      <c r="Q1068" s="62" t="s">
        <v>6246</v>
      </c>
      <c r="R1068" s="53"/>
      <c r="S1068" s="53"/>
      <c r="T1068" s="82"/>
      <c r="U1068" s="42"/>
      <c r="V1068" s="62"/>
      <c r="W1068" s="64"/>
      <c r="X1068" s="223"/>
      <c r="Y1068" s="223"/>
      <c r="Z1068" s="223"/>
      <c r="AA1068" s="223"/>
    </row>
    <row r="1069">
      <c r="A1069" s="42">
        <f t="shared" si="3"/>
        <v>1068</v>
      </c>
      <c r="B1069" s="51" t="s">
        <v>41</v>
      </c>
      <c r="C1069" s="53" t="s">
        <v>6247</v>
      </c>
      <c r="D1069" s="42" t="s">
        <v>44</v>
      </c>
      <c r="E1069" s="42" t="s">
        <v>44</v>
      </c>
      <c r="F1069" s="53" t="s">
        <v>6222</v>
      </c>
      <c r="G1069" s="53" t="s">
        <v>47</v>
      </c>
      <c r="H1069" s="53" t="s">
        <v>48</v>
      </c>
      <c r="I1069" s="53" t="s">
        <v>401</v>
      </c>
      <c r="J1069" s="53" t="s">
        <v>6223</v>
      </c>
      <c r="K1069" s="53" t="s">
        <v>51</v>
      </c>
      <c r="L1069" s="53" t="s">
        <v>52</v>
      </c>
      <c r="M1069" s="53" t="s">
        <v>52</v>
      </c>
      <c r="N1069" s="62" t="s">
        <v>6228</v>
      </c>
      <c r="O1069" s="62" t="s">
        <v>44</v>
      </c>
      <c r="P1069" s="62" t="s">
        <v>6248</v>
      </c>
      <c r="Q1069" s="62" t="s">
        <v>6249</v>
      </c>
      <c r="R1069" s="53"/>
      <c r="S1069" s="53"/>
      <c r="T1069" s="82"/>
      <c r="U1069" s="53"/>
      <c r="V1069" s="62"/>
      <c r="W1069" s="64"/>
      <c r="X1069" s="223"/>
      <c r="Y1069" s="223"/>
      <c r="Z1069" s="223"/>
      <c r="AA1069" s="223"/>
    </row>
    <row r="1070">
      <c r="A1070" s="42">
        <f t="shared" si="3"/>
        <v>1069</v>
      </c>
      <c r="B1070" s="51" t="s">
        <v>41</v>
      </c>
      <c r="C1070" s="53" t="s">
        <v>6250</v>
      </c>
      <c r="D1070" s="42" t="s">
        <v>44</v>
      </c>
      <c r="E1070" s="42" t="s">
        <v>44</v>
      </c>
      <c r="F1070" s="53" t="s">
        <v>6222</v>
      </c>
      <c r="G1070" s="53" t="s">
        <v>47</v>
      </c>
      <c r="H1070" s="53" t="s">
        <v>48</v>
      </c>
      <c r="I1070" s="53" t="s">
        <v>401</v>
      </c>
      <c r="J1070" s="53" t="s">
        <v>6223</v>
      </c>
      <c r="K1070" s="53" t="s">
        <v>51</v>
      </c>
      <c r="L1070" s="53" t="s">
        <v>52</v>
      </c>
      <c r="M1070" s="53" t="s">
        <v>52</v>
      </c>
      <c r="N1070" s="62" t="s">
        <v>6228</v>
      </c>
      <c r="O1070" s="62" t="s">
        <v>44</v>
      </c>
      <c r="P1070" s="62" t="s">
        <v>6251</v>
      </c>
      <c r="Q1070" s="62" t="s">
        <v>6252</v>
      </c>
      <c r="R1070" s="53"/>
      <c r="S1070" s="53"/>
      <c r="T1070" s="82"/>
      <c r="U1070" s="42"/>
      <c r="V1070" s="62"/>
      <c r="W1070" s="64"/>
      <c r="X1070" s="223"/>
      <c r="Y1070" s="223"/>
      <c r="Z1070" s="223"/>
      <c r="AA1070" s="223"/>
    </row>
    <row r="1071">
      <c r="A1071" s="42">
        <f t="shared" si="3"/>
        <v>1070</v>
      </c>
      <c r="B1071" s="51" t="s">
        <v>41</v>
      </c>
      <c r="C1071" s="53" t="s">
        <v>6253</v>
      </c>
      <c r="D1071" s="42" t="s">
        <v>44</v>
      </c>
      <c r="E1071" s="42" t="s">
        <v>44</v>
      </c>
      <c r="F1071" s="53" t="s">
        <v>6222</v>
      </c>
      <c r="G1071" s="53" t="s">
        <v>47</v>
      </c>
      <c r="H1071" s="53" t="s">
        <v>48</v>
      </c>
      <c r="I1071" s="53" t="s">
        <v>401</v>
      </c>
      <c r="J1071" s="53" t="s">
        <v>6223</v>
      </c>
      <c r="K1071" s="53" t="s">
        <v>51</v>
      </c>
      <c r="L1071" s="53" t="s">
        <v>52</v>
      </c>
      <c r="M1071" s="53" t="s">
        <v>52</v>
      </c>
      <c r="N1071" s="62" t="s">
        <v>6228</v>
      </c>
      <c r="O1071" s="62" t="s">
        <v>44</v>
      </c>
      <c r="P1071" s="62" t="s">
        <v>6254</v>
      </c>
      <c r="Q1071" s="62" t="s">
        <v>6255</v>
      </c>
      <c r="R1071" s="53"/>
      <c r="S1071" s="53"/>
      <c r="T1071" s="82"/>
      <c r="U1071" s="42"/>
      <c r="V1071" s="62"/>
      <c r="W1071" s="64"/>
      <c r="X1071" s="223"/>
      <c r="Y1071" s="223"/>
      <c r="Z1071" s="223"/>
      <c r="AA1071" s="223"/>
    </row>
    <row r="1072">
      <c r="A1072" s="42">
        <f t="shared" si="3"/>
        <v>1071</v>
      </c>
      <c r="B1072" s="51" t="s">
        <v>41</v>
      </c>
      <c r="C1072" s="53" t="s">
        <v>6256</v>
      </c>
      <c r="D1072" s="42" t="s">
        <v>44</v>
      </c>
      <c r="E1072" s="42" t="s">
        <v>44</v>
      </c>
      <c r="F1072" s="53" t="s">
        <v>6222</v>
      </c>
      <c r="G1072" s="53" t="s">
        <v>111</v>
      </c>
      <c r="H1072" s="53" t="s">
        <v>91</v>
      </c>
      <c r="I1072" s="53" t="s">
        <v>401</v>
      </c>
      <c r="J1072" s="53" t="s">
        <v>6223</v>
      </c>
      <c r="K1072" s="53" t="s">
        <v>51</v>
      </c>
      <c r="L1072" s="53" t="s">
        <v>52</v>
      </c>
      <c r="M1072" s="53" t="s">
        <v>52</v>
      </c>
      <c r="N1072" s="62" t="s">
        <v>6228</v>
      </c>
      <c r="O1072" s="62" t="s">
        <v>44</v>
      </c>
      <c r="P1072" s="62" t="s">
        <v>6257</v>
      </c>
      <c r="Q1072" s="62" t="s">
        <v>5684</v>
      </c>
      <c r="R1072" s="53"/>
      <c r="S1072" s="53"/>
      <c r="T1072" s="82"/>
      <c r="U1072" s="42"/>
      <c r="V1072" s="62"/>
      <c r="W1072" s="64"/>
      <c r="X1072" s="223"/>
      <c r="Y1072" s="223"/>
      <c r="Z1072" s="223"/>
      <c r="AA1072" s="223"/>
    </row>
    <row r="1073">
      <c r="A1073" s="42">
        <f t="shared" si="3"/>
        <v>1072</v>
      </c>
      <c r="B1073" s="51" t="s">
        <v>41</v>
      </c>
      <c r="C1073" s="53" t="s">
        <v>6258</v>
      </c>
      <c r="D1073" s="42" t="s">
        <v>44</v>
      </c>
      <c r="E1073" s="42" t="s">
        <v>44</v>
      </c>
      <c r="F1073" s="53" t="s">
        <v>6222</v>
      </c>
      <c r="G1073" s="53" t="s">
        <v>111</v>
      </c>
      <c r="H1073" s="53" t="s">
        <v>91</v>
      </c>
      <c r="I1073" s="53" t="s">
        <v>401</v>
      </c>
      <c r="J1073" s="53" t="s">
        <v>6223</v>
      </c>
      <c r="K1073" s="53" t="s">
        <v>51</v>
      </c>
      <c r="L1073" s="53" t="s">
        <v>52</v>
      </c>
      <c r="M1073" s="53" t="s">
        <v>52</v>
      </c>
      <c r="N1073" s="62" t="s">
        <v>6228</v>
      </c>
      <c r="O1073" s="62" t="s">
        <v>44</v>
      </c>
      <c r="P1073" s="62" t="s">
        <v>6259</v>
      </c>
      <c r="Q1073" s="62" t="s">
        <v>5689</v>
      </c>
      <c r="R1073" s="53"/>
      <c r="S1073" s="53"/>
      <c r="T1073" s="82"/>
      <c r="U1073" s="42"/>
      <c r="V1073" s="62"/>
      <c r="W1073" s="64"/>
      <c r="X1073" s="223"/>
      <c r="Y1073" s="223"/>
      <c r="Z1073" s="223"/>
      <c r="AA1073" s="223"/>
    </row>
    <row r="1074">
      <c r="A1074" s="42">
        <f t="shared" si="3"/>
        <v>1073</v>
      </c>
      <c r="B1074" s="51" t="s">
        <v>41</v>
      </c>
      <c r="C1074" s="53" t="s">
        <v>6260</v>
      </c>
      <c r="D1074" s="42" t="s">
        <v>44</v>
      </c>
      <c r="E1074" s="42" t="s">
        <v>44</v>
      </c>
      <c r="F1074" s="53" t="s">
        <v>6222</v>
      </c>
      <c r="G1074" s="53" t="s">
        <v>47</v>
      </c>
      <c r="H1074" s="53" t="s">
        <v>48</v>
      </c>
      <c r="I1074" s="53" t="s">
        <v>401</v>
      </c>
      <c r="J1074" s="53" t="s">
        <v>6223</v>
      </c>
      <c r="K1074" s="53" t="s">
        <v>51</v>
      </c>
      <c r="L1074" s="53" t="s">
        <v>52</v>
      </c>
      <c r="M1074" s="53" t="s">
        <v>52</v>
      </c>
      <c r="N1074" s="62" t="s">
        <v>6261</v>
      </c>
      <c r="O1074" s="62" t="s">
        <v>44</v>
      </c>
      <c r="P1074" s="62" t="s">
        <v>6262</v>
      </c>
      <c r="Q1074" s="62" t="s">
        <v>6263</v>
      </c>
      <c r="R1074" s="53"/>
      <c r="S1074" s="53"/>
      <c r="T1074" s="82"/>
      <c r="U1074" s="42"/>
      <c r="V1074" s="62"/>
      <c r="W1074" s="64"/>
      <c r="X1074" s="223"/>
      <c r="Y1074" s="223"/>
      <c r="Z1074" s="223"/>
      <c r="AA1074" s="223"/>
    </row>
    <row r="1075">
      <c r="A1075" s="42">
        <f t="shared" si="3"/>
        <v>1074</v>
      </c>
      <c r="B1075" s="51" t="s">
        <v>41</v>
      </c>
      <c r="C1075" s="53" t="s">
        <v>6264</v>
      </c>
      <c r="D1075" s="42" t="s">
        <v>44</v>
      </c>
      <c r="E1075" s="42" t="s">
        <v>44</v>
      </c>
      <c r="F1075" s="53" t="s">
        <v>6222</v>
      </c>
      <c r="G1075" s="53" t="s">
        <v>47</v>
      </c>
      <c r="H1075" s="53" t="s">
        <v>48</v>
      </c>
      <c r="I1075" s="53" t="s">
        <v>401</v>
      </c>
      <c r="J1075" s="53" t="s">
        <v>6223</v>
      </c>
      <c r="K1075" s="53" t="s">
        <v>51</v>
      </c>
      <c r="L1075" s="53" t="s">
        <v>52</v>
      </c>
      <c r="M1075" s="53" t="s">
        <v>52</v>
      </c>
      <c r="N1075" s="62" t="s">
        <v>6261</v>
      </c>
      <c r="O1075" s="62" t="s">
        <v>44</v>
      </c>
      <c r="P1075" s="62" t="s">
        <v>6265</v>
      </c>
      <c r="Q1075" s="62" t="s">
        <v>6266</v>
      </c>
      <c r="R1075" s="53"/>
      <c r="S1075" s="53"/>
      <c r="T1075" s="82"/>
      <c r="U1075" s="42"/>
      <c r="V1075" s="62"/>
      <c r="W1075" s="64"/>
      <c r="X1075" s="223"/>
      <c r="Y1075" s="223"/>
      <c r="Z1075" s="223"/>
      <c r="AA1075" s="223"/>
    </row>
    <row r="1076">
      <c r="A1076" s="42">
        <f t="shared" si="3"/>
        <v>1075</v>
      </c>
      <c r="B1076" s="51" t="s">
        <v>41</v>
      </c>
      <c r="C1076" s="53" t="s">
        <v>6267</v>
      </c>
      <c r="D1076" s="42" t="s">
        <v>44</v>
      </c>
      <c r="E1076" s="42" t="s">
        <v>44</v>
      </c>
      <c r="F1076" s="53" t="s">
        <v>6222</v>
      </c>
      <c r="G1076" s="53" t="s">
        <v>47</v>
      </c>
      <c r="H1076" s="53" t="s">
        <v>48</v>
      </c>
      <c r="I1076" s="53" t="s">
        <v>401</v>
      </c>
      <c r="J1076" s="53" t="s">
        <v>6223</v>
      </c>
      <c r="K1076" s="53" t="s">
        <v>51</v>
      </c>
      <c r="L1076" s="53" t="s">
        <v>52</v>
      </c>
      <c r="M1076" s="53" t="s">
        <v>52</v>
      </c>
      <c r="N1076" s="62" t="s">
        <v>6268</v>
      </c>
      <c r="O1076" s="62" t="s">
        <v>44</v>
      </c>
      <c r="P1076" s="62" t="s">
        <v>6269</v>
      </c>
      <c r="Q1076" s="62" t="s">
        <v>6270</v>
      </c>
      <c r="R1076" s="53"/>
      <c r="S1076" s="53"/>
      <c r="T1076" s="82"/>
      <c r="U1076" s="42"/>
      <c r="V1076" s="62"/>
      <c r="W1076" s="64"/>
      <c r="X1076" s="223"/>
      <c r="Y1076" s="223"/>
      <c r="Z1076" s="223"/>
      <c r="AA1076" s="223"/>
    </row>
    <row r="1077">
      <c r="A1077" s="42">
        <f t="shared" si="3"/>
        <v>1076</v>
      </c>
      <c r="B1077" s="51" t="s">
        <v>41</v>
      </c>
      <c r="C1077" s="53" t="s">
        <v>6271</v>
      </c>
      <c r="D1077" s="42" t="s">
        <v>44</v>
      </c>
      <c r="E1077" s="42" t="s">
        <v>44</v>
      </c>
      <c r="F1077" s="53" t="s">
        <v>6222</v>
      </c>
      <c r="G1077" s="53" t="s">
        <v>47</v>
      </c>
      <c r="H1077" s="53" t="s">
        <v>48</v>
      </c>
      <c r="I1077" s="53" t="s">
        <v>401</v>
      </c>
      <c r="J1077" s="53" t="s">
        <v>6223</v>
      </c>
      <c r="K1077" s="53" t="s">
        <v>51</v>
      </c>
      <c r="L1077" s="53" t="s">
        <v>52</v>
      </c>
      <c r="M1077" s="53" t="s">
        <v>52</v>
      </c>
      <c r="N1077" s="62" t="s">
        <v>6261</v>
      </c>
      <c r="O1077" s="62" t="s">
        <v>44</v>
      </c>
      <c r="P1077" s="62" t="s">
        <v>6272</v>
      </c>
      <c r="Q1077" s="62" t="s">
        <v>6273</v>
      </c>
      <c r="R1077" s="53"/>
      <c r="S1077" s="53"/>
      <c r="T1077" s="82"/>
      <c r="U1077" s="42"/>
      <c r="V1077" s="62"/>
      <c r="W1077" s="64"/>
      <c r="X1077" s="223"/>
      <c r="Y1077" s="223"/>
      <c r="Z1077" s="223"/>
      <c r="AA1077" s="223"/>
    </row>
    <row r="1078">
      <c r="A1078" s="42">
        <f t="shared" si="3"/>
        <v>1077</v>
      </c>
      <c r="B1078" s="51" t="s">
        <v>41</v>
      </c>
      <c r="C1078" s="53" t="s">
        <v>6274</v>
      </c>
      <c r="D1078" s="42" t="s">
        <v>44</v>
      </c>
      <c r="E1078" s="42" t="s">
        <v>44</v>
      </c>
      <c r="F1078" s="53" t="s">
        <v>6222</v>
      </c>
      <c r="G1078" s="53" t="s">
        <v>47</v>
      </c>
      <c r="H1078" s="53" t="s">
        <v>48</v>
      </c>
      <c r="I1078" s="53" t="s">
        <v>401</v>
      </c>
      <c r="J1078" s="53" t="s">
        <v>6223</v>
      </c>
      <c r="K1078" s="53" t="s">
        <v>51</v>
      </c>
      <c r="L1078" s="53" t="s">
        <v>52</v>
      </c>
      <c r="M1078" s="53" t="s">
        <v>52</v>
      </c>
      <c r="N1078" s="62" t="s">
        <v>6261</v>
      </c>
      <c r="O1078" s="62" t="s">
        <v>44</v>
      </c>
      <c r="P1078" s="62" t="s">
        <v>6275</v>
      </c>
      <c r="Q1078" s="62" t="s">
        <v>6276</v>
      </c>
      <c r="R1078" s="53"/>
      <c r="S1078" s="53"/>
      <c r="T1078" s="82"/>
      <c r="U1078" s="42"/>
      <c r="V1078" s="62"/>
      <c r="W1078" s="64"/>
      <c r="X1078" s="223"/>
      <c r="Y1078" s="223"/>
      <c r="Z1078" s="223"/>
      <c r="AA1078" s="223"/>
    </row>
    <row r="1079">
      <c r="A1079" s="42">
        <f t="shared" si="3"/>
        <v>1078</v>
      </c>
      <c r="B1079" s="51" t="s">
        <v>41</v>
      </c>
      <c r="C1079" s="53" t="s">
        <v>6277</v>
      </c>
      <c r="D1079" s="42" t="s">
        <v>44</v>
      </c>
      <c r="E1079" s="42" t="s">
        <v>44</v>
      </c>
      <c r="F1079" s="53" t="s">
        <v>6222</v>
      </c>
      <c r="G1079" s="53" t="s">
        <v>47</v>
      </c>
      <c r="H1079" s="53" t="s">
        <v>48</v>
      </c>
      <c r="I1079" s="53" t="s">
        <v>401</v>
      </c>
      <c r="J1079" s="53" t="s">
        <v>6223</v>
      </c>
      <c r="K1079" s="53" t="s">
        <v>51</v>
      </c>
      <c r="L1079" s="53" t="s">
        <v>52</v>
      </c>
      <c r="M1079" s="53" t="s">
        <v>52</v>
      </c>
      <c r="N1079" s="62" t="s">
        <v>6261</v>
      </c>
      <c r="O1079" s="62" t="s">
        <v>44</v>
      </c>
      <c r="P1079" s="62" t="s">
        <v>6278</v>
      </c>
      <c r="Q1079" s="62" t="s">
        <v>6279</v>
      </c>
      <c r="R1079" s="53"/>
      <c r="S1079" s="53"/>
      <c r="T1079" s="82"/>
      <c r="U1079" s="42"/>
      <c r="V1079" s="62"/>
      <c r="W1079" s="64"/>
      <c r="X1079" s="223"/>
      <c r="Y1079" s="223"/>
      <c r="Z1079" s="223"/>
      <c r="AA1079" s="223"/>
    </row>
    <row r="1080">
      <c r="A1080" s="42">
        <f t="shared" si="3"/>
        <v>1079</v>
      </c>
      <c r="B1080" s="51" t="s">
        <v>41</v>
      </c>
      <c r="C1080" s="53" t="s">
        <v>6280</v>
      </c>
      <c r="D1080" s="42" t="s">
        <v>44</v>
      </c>
      <c r="E1080" s="42" t="s">
        <v>44</v>
      </c>
      <c r="F1080" s="53" t="s">
        <v>6222</v>
      </c>
      <c r="G1080" s="53" t="s">
        <v>47</v>
      </c>
      <c r="H1080" s="53" t="s">
        <v>48</v>
      </c>
      <c r="I1080" s="53" t="s">
        <v>401</v>
      </c>
      <c r="J1080" s="53" t="s">
        <v>6223</v>
      </c>
      <c r="K1080" s="53" t="s">
        <v>51</v>
      </c>
      <c r="L1080" s="53" t="s">
        <v>52</v>
      </c>
      <c r="M1080" s="53" t="s">
        <v>52</v>
      </c>
      <c r="N1080" s="62" t="s">
        <v>6261</v>
      </c>
      <c r="O1080" s="62" t="s">
        <v>44</v>
      </c>
      <c r="P1080" s="62" t="s">
        <v>6281</v>
      </c>
      <c r="Q1080" s="62" t="s">
        <v>6282</v>
      </c>
      <c r="R1080" s="53"/>
      <c r="S1080" s="53"/>
      <c r="T1080" s="82"/>
      <c r="U1080" s="42"/>
      <c r="V1080" s="62"/>
      <c r="W1080" s="64"/>
      <c r="X1080" s="223"/>
      <c r="Y1080" s="223"/>
      <c r="Z1080" s="223"/>
      <c r="AA1080" s="223"/>
    </row>
    <row r="1081">
      <c r="A1081" s="42">
        <f t="shared" si="3"/>
        <v>1080</v>
      </c>
      <c r="B1081" s="51" t="s">
        <v>41</v>
      </c>
      <c r="C1081" s="53" t="s">
        <v>6283</v>
      </c>
      <c r="D1081" s="42" t="s">
        <v>44</v>
      </c>
      <c r="E1081" s="42" t="s">
        <v>44</v>
      </c>
      <c r="F1081" s="53" t="s">
        <v>6222</v>
      </c>
      <c r="G1081" s="53" t="s">
        <v>47</v>
      </c>
      <c r="H1081" s="53" t="s">
        <v>91</v>
      </c>
      <c r="I1081" s="53" t="s">
        <v>401</v>
      </c>
      <c r="J1081" s="53" t="s">
        <v>6223</v>
      </c>
      <c r="K1081" s="53" t="s">
        <v>51</v>
      </c>
      <c r="L1081" s="53" t="s">
        <v>52</v>
      </c>
      <c r="M1081" s="53" t="s">
        <v>52</v>
      </c>
      <c r="N1081" s="62" t="s">
        <v>6261</v>
      </c>
      <c r="O1081" s="62" t="s">
        <v>44</v>
      </c>
      <c r="P1081" s="62" t="s">
        <v>6284</v>
      </c>
      <c r="Q1081" s="62" t="s">
        <v>5753</v>
      </c>
      <c r="R1081" s="53"/>
      <c r="S1081" s="53"/>
      <c r="T1081" s="82"/>
      <c r="U1081" s="42"/>
      <c r="V1081" s="62"/>
      <c r="W1081" s="64"/>
      <c r="X1081" s="223"/>
      <c r="Y1081" s="223"/>
      <c r="Z1081" s="223"/>
      <c r="AA1081" s="223"/>
    </row>
    <row r="1082">
      <c r="A1082" s="42">
        <f t="shared" si="3"/>
        <v>1081</v>
      </c>
      <c r="B1082" s="51" t="s">
        <v>41</v>
      </c>
      <c r="C1082" s="53" t="s">
        <v>6285</v>
      </c>
      <c r="D1082" s="42" t="s">
        <v>44</v>
      </c>
      <c r="E1082" s="42" t="s">
        <v>44</v>
      </c>
      <c r="F1082" s="53" t="s">
        <v>6222</v>
      </c>
      <c r="G1082" s="53" t="s">
        <v>47</v>
      </c>
      <c r="H1082" s="53" t="s">
        <v>48</v>
      </c>
      <c r="I1082" s="53" t="s">
        <v>401</v>
      </c>
      <c r="J1082" s="53" t="s">
        <v>6223</v>
      </c>
      <c r="K1082" s="53" t="s">
        <v>51</v>
      </c>
      <c r="L1082" s="53" t="s">
        <v>52</v>
      </c>
      <c r="M1082" s="53" t="s">
        <v>52</v>
      </c>
      <c r="N1082" s="62" t="s">
        <v>6261</v>
      </c>
      <c r="O1082" s="62" t="s">
        <v>44</v>
      </c>
      <c r="P1082" s="62" t="s">
        <v>6286</v>
      </c>
      <c r="Q1082" s="62" t="s">
        <v>6287</v>
      </c>
      <c r="R1082" s="53"/>
      <c r="S1082" s="53"/>
      <c r="T1082" s="82"/>
      <c r="U1082" s="42"/>
      <c r="V1082" s="62"/>
      <c r="W1082" s="64"/>
      <c r="X1082" s="223"/>
      <c r="Y1082" s="223"/>
      <c r="Z1082" s="223"/>
      <c r="AA1082" s="223"/>
    </row>
    <row r="1083">
      <c r="A1083" s="42">
        <f t="shared" si="3"/>
        <v>1082</v>
      </c>
      <c r="B1083" s="51" t="s">
        <v>41</v>
      </c>
      <c r="C1083" s="53" t="s">
        <v>6288</v>
      </c>
      <c r="D1083" s="42" t="s">
        <v>44</v>
      </c>
      <c r="E1083" s="42" t="s">
        <v>44</v>
      </c>
      <c r="F1083" s="53" t="s">
        <v>6222</v>
      </c>
      <c r="G1083" s="53" t="s">
        <v>47</v>
      </c>
      <c r="H1083" s="53" t="s">
        <v>48</v>
      </c>
      <c r="I1083" s="53" t="s">
        <v>401</v>
      </c>
      <c r="J1083" s="53" t="s">
        <v>6223</v>
      </c>
      <c r="K1083" s="53" t="s">
        <v>51</v>
      </c>
      <c r="L1083" s="53" t="s">
        <v>52</v>
      </c>
      <c r="M1083" s="53" t="s">
        <v>52</v>
      </c>
      <c r="N1083" s="62" t="s">
        <v>6261</v>
      </c>
      <c r="O1083" s="62" t="s">
        <v>44</v>
      </c>
      <c r="P1083" s="62" t="s">
        <v>6289</v>
      </c>
      <c r="Q1083" s="62" t="s">
        <v>6290</v>
      </c>
      <c r="R1083" s="53"/>
      <c r="S1083" s="53"/>
      <c r="T1083" s="82"/>
      <c r="U1083" s="42"/>
      <c r="V1083" s="62"/>
      <c r="W1083" s="64"/>
      <c r="X1083" s="223"/>
      <c r="Y1083" s="223"/>
      <c r="Z1083" s="223"/>
      <c r="AA1083" s="223"/>
    </row>
    <row r="1084">
      <c r="A1084" s="42">
        <f t="shared" si="3"/>
        <v>1083</v>
      </c>
      <c r="B1084" s="51" t="s">
        <v>41</v>
      </c>
      <c r="C1084" s="53" t="s">
        <v>6291</v>
      </c>
      <c r="D1084" s="42" t="s">
        <v>44</v>
      </c>
      <c r="E1084" s="42" t="s">
        <v>44</v>
      </c>
      <c r="F1084" s="53" t="s">
        <v>6222</v>
      </c>
      <c r="G1084" s="53" t="s">
        <v>47</v>
      </c>
      <c r="H1084" s="53" t="s">
        <v>48</v>
      </c>
      <c r="I1084" s="53" t="s">
        <v>401</v>
      </c>
      <c r="J1084" s="53" t="s">
        <v>6223</v>
      </c>
      <c r="K1084" s="53" t="s">
        <v>51</v>
      </c>
      <c r="L1084" s="53" t="s">
        <v>52</v>
      </c>
      <c r="M1084" s="53" t="s">
        <v>52</v>
      </c>
      <c r="N1084" s="62" t="s">
        <v>6261</v>
      </c>
      <c r="O1084" s="62" t="s">
        <v>44</v>
      </c>
      <c r="P1084" s="62" t="s">
        <v>6292</v>
      </c>
      <c r="Q1084" s="62" t="s">
        <v>6293</v>
      </c>
      <c r="R1084" s="53"/>
      <c r="S1084" s="53"/>
      <c r="T1084" s="82"/>
      <c r="U1084" s="42"/>
      <c r="V1084" s="62"/>
      <c r="W1084" s="64"/>
      <c r="X1084" s="223"/>
      <c r="Y1084" s="223"/>
      <c r="Z1084" s="223"/>
      <c r="AA1084" s="223"/>
    </row>
    <row r="1085">
      <c r="A1085" s="42">
        <f t="shared" si="3"/>
        <v>1084</v>
      </c>
      <c r="B1085" s="51" t="s">
        <v>41</v>
      </c>
      <c r="C1085" s="53" t="s">
        <v>6294</v>
      </c>
      <c r="D1085" s="42" t="s">
        <v>44</v>
      </c>
      <c r="E1085" s="42" t="s">
        <v>44</v>
      </c>
      <c r="F1085" s="53" t="s">
        <v>6222</v>
      </c>
      <c r="G1085" s="53" t="s">
        <v>47</v>
      </c>
      <c r="H1085" s="53" t="s">
        <v>48</v>
      </c>
      <c r="I1085" s="53" t="s">
        <v>401</v>
      </c>
      <c r="J1085" s="53" t="s">
        <v>6223</v>
      </c>
      <c r="K1085" s="53" t="s">
        <v>51</v>
      </c>
      <c r="L1085" s="53" t="s">
        <v>52</v>
      </c>
      <c r="M1085" s="53" t="s">
        <v>52</v>
      </c>
      <c r="N1085" s="62" t="s">
        <v>6261</v>
      </c>
      <c r="O1085" s="62" t="s">
        <v>44</v>
      </c>
      <c r="P1085" s="62" t="s">
        <v>6295</v>
      </c>
      <c r="Q1085" s="62" t="s">
        <v>6296</v>
      </c>
      <c r="R1085" s="53"/>
      <c r="S1085" s="53"/>
      <c r="T1085" s="82"/>
      <c r="U1085" s="42"/>
      <c r="V1085" s="62"/>
      <c r="W1085" s="64"/>
      <c r="X1085" s="223"/>
      <c r="Y1085" s="223"/>
      <c r="Z1085" s="223"/>
      <c r="AA1085" s="223"/>
    </row>
    <row r="1086">
      <c r="A1086" s="42">
        <f t="shared" si="3"/>
        <v>1085</v>
      </c>
      <c r="B1086" s="51" t="s">
        <v>41</v>
      </c>
      <c r="C1086" s="53" t="s">
        <v>6297</v>
      </c>
      <c r="D1086" s="42" t="s">
        <v>44</v>
      </c>
      <c r="E1086" s="42" t="s">
        <v>44</v>
      </c>
      <c r="F1086" s="53" t="s">
        <v>6222</v>
      </c>
      <c r="G1086" s="53" t="s">
        <v>47</v>
      </c>
      <c r="H1086" s="53" t="s">
        <v>48</v>
      </c>
      <c r="I1086" s="53" t="s">
        <v>401</v>
      </c>
      <c r="J1086" s="53" t="s">
        <v>6223</v>
      </c>
      <c r="K1086" s="53" t="s">
        <v>51</v>
      </c>
      <c r="L1086" s="53" t="s">
        <v>52</v>
      </c>
      <c r="M1086" s="53" t="s">
        <v>52</v>
      </c>
      <c r="N1086" s="62" t="s">
        <v>6298</v>
      </c>
      <c r="O1086" s="62" t="s">
        <v>44</v>
      </c>
      <c r="P1086" s="62" t="s">
        <v>6299</v>
      </c>
      <c r="Q1086" s="62" t="s">
        <v>6300</v>
      </c>
      <c r="R1086" s="53"/>
      <c r="S1086" s="53"/>
      <c r="T1086" s="82"/>
      <c r="U1086" s="42"/>
      <c r="V1086" s="62"/>
      <c r="W1086" s="64"/>
      <c r="X1086" s="223"/>
      <c r="Y1086" s="223"/>
      <c r="Z1086" s="223"/>
      <c r="AA1086" s="223"/>
    </row>
    <row r="1087">
      <c r="A1087" s="42">
        <f t="shared" si="3"/>
        <v>1086</v>
      </c>
      <c r="B1087" s="51" t="s">
        <v>41</v>
      </c>
      <c r="C1087" s="53" t="s">
        <v>6301</v>
      </c>
      <c r="D1087" s="42" t="s">
        <v>44</v>
      </c>
      <c r="E1087" s="42" t="s">
        <v>44</v>
      </c>
      <c r="F1087" s="53" t="s">
        <v>6222</v>
      </c>
      <c r="G1087" s="53" t="s">
        <v>47</v>
      </c>
      <c r="H1087" s="53" t="s">
        <v>48</v>
      </c>
      <c r="I1087" s="53" t="s">
        <v>401</v>
      </c>
      <c r="J1087" s="53" t="s">
        <v>6223</v>
      </c>
      <c r="K1087" s="53" t="s">
        <v>51</v>
      </c>
      <c r="L1087" s="53" t="s">
        <v>52</v>
      </c>
      <c r="M1087" s="53" t="s">
        <v>52</v>
      </c>
      <c r="N1087" s="62" t="s">
        <v>6298</v>
      </c>
      <c r="O1087" s="62" t="s">
        <v>44</v>
      </c>
      <c r="P1087" s="62" t="s">
        <v>6302</v>
      </c>
      <c r="Q1087" s="62" t="s">
        <v>6303</v>
      </c>
      <c r="R1087" s="53"/>
      <c r="S1087" s="53"/>
      <c r="T1087" s="82"/>
      <c r="U1087" s="42"/>
      <c r="V1087" s="62"/>
      <c r="W1087" s="64"/>
      <c r="X1087" s="223"/>
      <c r="Y1087" s="223"/>
      <c r="Z1087" s="223"/>
      <c r="AA1087" s="223"/>
    </row>
    <row r="1088">
      <c r="A1088" s="42">
        <f t="shared" si="3"/>
        <v>1087</v>
      </c>
      <c r="B1088" s="51" t="s">
        <v>41</v>
      </c>
      <c r="C1088" s="53" t="s">
        <v>6304</v>
      </c>
      <c r="D1088" s="42" t="s">
        <v>44</v>
      </c>
      <c r="E1088" s="42" t="s">
        <v>44</v>
      </c>
      <c r="F1088" s="53" t="s">
        <v>6222</v>
      </c>
      <c r="G1088" s="53" t="s">
        <v>47</v>
      </c>
      <c r="H1088" s="53" t="s">
        <v>48</v>
      </c>
      <c r="I1088" s="53" t="s">
        <v>401</v>
      </c>
      <c r="J1088" s="53" t="s">
        <v>6223</v>
      </c>
      <c r="K1088" s="53" t="s">
        <v>51</v>
      </c>
      <c r="L1088" s="53" t="s">
        <v>52</v>
      </c>
      <c r="M1088" s="53" t="s">
        <v>52</v>
      </c>
      <c r="N1088" s="62" t="s">
        <v>6305</v>
      </c>
      <c r="O1088" s="62" t="s">
        <v>44</v>
      </c>
      <c r="P1088" s="62" t="s">
        <v>6306</v>
      </c>
      <c r="Q1088" s="62" t="s">
        <v>6307</v>
      </c>
      <c r="R1088" s="53"/>
      <c r="S1088" s="53"/>
      <c r="T1088" s="82"/>
      <c r="U1088" s="42"/>
      <c r="V1088" s="62"/>
      <c r="W1088" s="64"/>
      <c r="X1088" s="223"/>
      <c r="Y1088" s="223"/>
      <c r="Z1088" s="223"/>
      <c r="AA1088" s="223"/>
    </row>
    <row r="1089">
      <c r="A1089" s="42">
        <f t="shared" si="3"/>
        <v>1088</v>
      </c>
      <c r="B1089" s="51" t="s">
        <v>41</v>
      </c>
      <c r="C1089" s="53" t="s">
        <v>6308</v>
      </c>
      <c r="D1089" s="42" t="s">
        <v>44</v>
      </c>
      <c r="E1089" s="42" t="s">
        <v>44</v>
      </c>
      <c r="F1089" s="53" t="s">
        <v>6222</v>
      </c>
      <c r="G1089" s="53" t="s">
        <v>47</v>
      </c>
      <c r="H1089" s="53" t="s">
        <v>48</v>
      </c>
      <c r="I1089" s="53" t="s">
        <v>401</v>
      </c>
      <c r="J1089" s="53" t="s">
        <v>6223</v>
      </c>
      <c r="K1089" s="53" t="s">
        <v>51</v>
      </c>
      <c r="L1089" s="53" t="s">
        <v>52</v>
      </c>
      <c r="M1089" s="53" t="s">
        <v>52</v>
      </c>
      <c r="N1089" s="62" t="s">
        <v>6298</v>
      </c>
      <c r="O1089" s="62" t="s">
        <v>44</v>
      </c>
      <c r="P1089" s="62" t="s">
        <v>6309</v>
      </c>
      <c r="Q1089" s="62" t="s">
        <v>6310</v>
      </c>
      <c r="R1089" s="53"/>
      <c r="S1089" s="53"/>
      <c r="T1089" s="82"/>
      <c r="U1089" s="42"/>
      <c r="V1089" s="62"/>
      <c r="W1089" s="64"/>
      <c r="X1089" s="223"/>
      <c r="Y1089" s="223"/>
      <c r="Z1089" s="223"/>
      <c r="AA1089" s="223"/>
    </row>
    <row r="1090">
      <c r="A1090" s="42">
        <f t="shared" si="3"/>
        <v>1089</v>
      </c>
      <c r="B1090" s="51" t="s">
        <v>41</v>
      </c>
      <c r="C1090" s="53" t="s">
        <v>6311</v>
      </c>
      <c r="D1090" s="42" t="s">
        <v>44</v>
      </c>
      <c r="E1090" s="42" t="s">
        <v>44</v>
      </c>
      <c r="F1090" s="53" t="s">
        <v>6222</v>
      </c>
      <c r="G1090" s="53" t="s">
        <v>47</v>
      </c>
      <c r="H1090" s="53" t="s">
        <v>48</v>
      </c>
      <c r="I1090" s="53" t="s">
        <v>401</v>
      </c>
      <c r="J1090" s="53" t="s">
        <v>6223</v>
      </c>
      <c r="K1090" s="53" t="s">
        <v>51</v>
      </c>
      <c r="L1090" s="53" t="s">
        <v>52</v>
      </c>
      <c r="M1090" s="53" t="s">
        <v>52</v>
      </c>
      <c r="N1090" s="62" t="s">
        <v>6305</v>
      </c>
      <c r="O1090" s="62" t="s">
        <v>44</v>
      </c>
      <c r="P1090" s="62" t="s">
        <v>6312</v>
      </c>
      <c r="Q1090" s="62" t="s">
        <v>6313</v>
      </c>
      <c r="R1090" s="53"/>
      <c r="S1090" s="53"/>
      <c r="T1090" s="82"/>
      <c r="U1090" s="42"/>
      <c r="V1090" s="62"/>
      <c r="W1090" s="64"/>
      <c r="X1090" s="223"/>
      <c r="Y1090" s="223"/>
      <c r="Z1090" s="223"/>
      <c r="AA1090" s="223"/>
    </row>
    <row r="1091">
      <c r="A1091" s="42">
        <f t="shared" si="3"/>
        <v>1090</v>
      </c>
      <c r="B1091" s="51" t="s">
        <v>41</v>
      </c>
      <c r="C1091" s="53" t="s">
        <v>6314</v>
      </c>
      <c r="D1091" s="42" t="s">
        <v>44</v>
      </c>
      <c r="E1091" s="42" t="s">
        <v>44</v>
      </c>
      <c r="F1091" s="53" t="s">
        <v>6222</v>
      </c>
      <c r="G1091" s="53" t="s">
        <v>47</v>
      </c>
      <c r="H1091" s="53" t="s">
        <v>48</v>
      </c>
      <c r="I1091" s="53" t="s">
        <v>401</v>
      </c>
      <c r="J1091" s="53" t="s">
        <v>6223</v>
      </c>
      <c r="K1091" s="53" t="s">
        <v>51</v>
      </c>
      <c r="L1091" s="53" t="s">
        <v>52</v>
      </c>
      <c r="M1091" s="53" t="s">
        <v>52</v>
      </c>
      <c r="N1091" s="62" t="s">
        <v>6298</v>
      </c>
      <c r="O1091" s="62" t="s">
        <v>44</v>
      </c>
      <c r="P1091" s="62" t="s">
        <v>6315</v>
      </c>
      <c r="Q1091" s="62" t="s">
        <v>6316</v>
      </c>
      <c r="R1091" s="53"/>
      <c r="S1091" s="53"/>
      <c r="T1091" s="82"/>
      <c r="U1091" s="42"/>
      <c r="V1091" s="62"/>
      <c r="W1091" s="64"/>
      <c r="X1091" s="223"/>
      <c r="Y1091" s="223"/>
      <c r="Z1091" s="223"/>
      <c r="AA1091" s="223"/>
    </row>
    <row r="1092">
      <c r="A1092" s="42">
        <f t="shared" si="3"/>
        <v>1091</v>
      </c>
      <c r="B1092" s="51" t="s">
        <v>41</v>
      </c>
      <c r="C1092" s="53" t="s">
        <v>6317</v>
      </c>
      <c r="D1092" s="42" t="s">
        <v>44</v>
      </c>
      <c r="E1092" s="42" t="s">
        <v>44</v>
      </c>
      <c r="F1092" s="53" t="s">
        <v>6222</v>
      </c>
      <c r="G1092" s="53" t="s">
        <v>47</v>
      </c>
      <c r="H1092" s="53" t="s">
        <v>48</v>
      </c>
      <c r="I1092" s="53" t="s">
        <v>401</v>
      </c>
      <c r="J1092" s="53" t="s">
        <v>6223</v>
      </c>
      <c r="K1092" s="53" t="s">
        <v>51</v>
      </c>
      <c r="L1092" s="53" t="s">
        <v>52</v>
      </c>
      <c r="M1092" s="53" t="s">
        <v>52</v>
      </c>
      <c r="N1092" s="62" t="s">
        <v>6305</v>
      </c>
      <c r="O1092" s="62" t="s">
        <v>44</v>
      </c>
      <c r="P1092" s="62" t="s">
        <v>6176</v>
      </c>
      <c r="Q1092" s="62" t="s">
        <v>6318</v>
      </c>
      <c r="R1092" s="53"/>
      <c r="S1092" s="53"/>
      <c r="T1092" s="82"/>
      <c r="U1092" s="42"/>
      <c r="V1092" s="62"/>
      <c r="W1092" s="64"/>
      <c r="X1092" s="223"/>
      <c r="Y1092" s="223"/>
      <c r="Z1092" s="223"/>
      <c r="AA1092" s="223"/>
    </row>
    <row r="1093">
      <c r="A1093" s="42">
        <f t="shared" si="3"/>
        <v>1092</v>
      </c>
      <c r="B1093" s="51" t="s">
        <v>41</v>
      </c>
      <c r="C1093" s="53" t="s">
        <v>6319</v>
      </c>
      <c r="D1093" s="42" t="s">
        <v>44</v>
      </c>
      <c r="E1093" s="42" t="s">
        <v>44</v>
      </c>
      <c r="F1093" s="53" t="s">
        <v>6222</v>
      </c>
      <c r="G1093" s="53" t="s">
        <v>47</v>
      </c>
      <c r="H1093" s="53" t="s">
        <v>91</v>
      </c>
      <c r="I1093" s="53" t="s">
        <v>401</v>
      </c>
      <c r="J1093" s="53" t="s">
        <v>6223</v>
      </c>
      <c r="K1093" s="53" t="s">
        <v>51</v>
      </c>
      <c r="L1093" s="53" t="s">
        <v>52</v>
      </c>
      <c r="M1093" s="53" t="s">
        <v>52</v>
      </c>
      <c r="N1093" s="62" t="s">
        <v>6305</v>
      </c>
      <c r="O1093" s="62" t="s">
        <v>44</v>
      </c>
      <c r="P1093" s="62" t="s">
        <v>6320</v>
      </c>
      <c r="Q1093" s="62" t="s">
        <v>6321</v>
      </c>
      <c r="R1093" s="53"/>
      <c r="S1093" s="53"/>
      <c r="T1093" s="82"/>
      <c r="U1093" s="42"/>
      <c r="V1093" s="62"/>
      <c r="W1093" s="64"/>
      <c r="X1093" s="223"/>
      <c r="Y1093" s="223"/>
      <c r="Z1093" s="223"/>
      <c r="AA1093" s="223"/>
    </row>
    <row r="1094">
      <c r="A1094" s="42">
        <f t="shared" si="3"/>
        <v>1093</v>
      </c>
      <c r="B1094" s="51" t="s">
        <v>41</v>
      </c>
      <c r="C1094" s="53" t="s">
        <v>6322</v>
      </c>
      <c r="D1094" s="42" t="s">
        <v>44</v>
      </c>
      <c r="E1094" s="42" t="s">
        <v>44</v>
      </c>
      <c r="F1094" s="53" t="s">
        <v>6222</v>
      </c>
      <c r="G1094" s="53" t="s">
        <v>47</v>
      </c>
      <c r="H1094" s="53" t="s">
        <v>48</v>
      </c>
      <c r="I1094" s="53" t="s">
        <v>401</v>
      </c>
      <c r="J1094" s="53" t="s">
        <v>6223</v>
      </c>
      <c r="K1094" s="53" t="s">
        <v>51</v>
      </c>
      <c r="L1094" s="53" t="s">
        <v>52</v>
      </c>
      <c r="M1094" s="53" t="s">
        <v>52</v>
      </c>
      <c r="N1094" s="62" t="s">
        <v>6298</v>
      </c>
      <c r="O1094" s="62" t="s">
        <v>44</v>
      </c>
      <c r="P1094" s="62" t="s">
        <v>6323</v>
      </c>
      <c r="Q1094" s="62" t="s">
        <v>6324</v>
      </c>
      <c r="R1094" s="53"/>
      <c r="S1094" s="53"/>
      <c r="T1094" s="82"/>
      <c r="U1094" s="42"/>
      <c r="V1094" s="62"/>
      <c r="W1094" s="64"/>
      <c r="X1094" s="223"/>
      <c r="Y1094" s="223"/>
      <c r="Z1094" s="223"/>
      <c r="AA1094" s="223"/>
    </row>
    <row r="1095">
      <c r="A1095" s="42">
        <f t="shared" si="3"/>
        <v>1094</v>
      </c>
      <c r="B1095" s="51" t="s">
        <v>41</v>
      </c>
      <c r="C1095" s="53" t="s">
        <v>6325</v>
      </c>
      <c r="D1095" s="42" t="s">
        <v>44</v>
      </c>
      <c r="E1095" s="42" t="s">
        <v>44</v>
      </c>
      <c r="F1095" s="53" t="s">
        <v>6222</v>
      </c>
      <c r="G1095" s="53" t="s">
        <v>47</v>
      </c>
      <c r="H1095" s="53" t="s">
        <v>48</v>
      </c>
      <c r="I1095" s="53" t="s">
        <v>401</v>
      </c>
      <c r="J1095" s="53" t="s">
        <v>6223</v>
      </c>
      <c r="K1095" s="53" t="s">
        <v>51</v>
      </c>
      <c r="L1095" s="53" t="s">
        <v>52</v>
      </c>
      <c r="M1095" s="53" t="s">
        <v>52</v>
      </c>
      <c r="N1095" s="62" t="s">
        <v>6305</v>
      </c>
      <c r="O1095" s="62" t="s">
        <v>44</v>
      </c>
      <c r="P1095" s="62" t="s">
        <v>6326</v>
      </c>
      <c r="Q1095" s="62" t="s">
        <v>6327</v>
      </c>
      <c r="R1095" s="53"/>
      <c r="S1095" s="53"/>
      <c r="T1095" s="82"/>
      <c r="U1095" s="42"/>
      <c r="V1095" s="62"/>
      <c r="W1095" s="64"/>
      <c r="X1095" s="223"/>
      <c r="Y1095" s="223"/>
      <c r="Z1095" s="223"/>
      <c r="AA1095" s="223"/>
    </row>
    <row r="1096">
      <c r="A1096" s="42">
        <f t="shared" si="3"/>
        <v>1095</v>
      </c>
      <c r="B1096" s="51" t="s">
        <v>41</v>
      </c>
      <c r="C1096" s="53" t="s">
        <v>6328</v>
      </c>
      <c r="D1096" s="42" t="s">
        <v>44</v>
      </c>
      <c r="E1096" s="42" t="s">
        <v>44</v>
      </c>
      <c r="F1096" s="53" t="s">
        <v>6222</v>
      </c>
      <c r="G1096" s="53" t="s">
        <v>47</v>
      </c>
      <c r="H1096" s="53" t="s">
        <v>91</v>
      </c>
      <c r="I1096" s="53" t="s">
        <v>401</v>
      </c>
      <c r="J1096" s="53" t="s">
        <v>6223</v>
      </c>
      <c r="K1096" s="53" t="s">
        <v>51</v>
      </c>
      <c r="L1096" s="53" t="s">
        <v>52</v>
      </c>
      <c r="M1096" s="53" t="s">
        <v>52</v>
      </c>
      <c r="N1096" s="62" t="s">
        <v>6329</v>
      </c>
      <c r="O1096" s="62" t="s">
        <v>44</v>
      </c>
      <c r="P1096" s="62" t="s">
        <v>6330</v>
      </c>
      <c r="Q1096" s="62" t="s">
        <v>6331</v>
      </c>
      <c r="R1096" s="53"/>
      <c r="S1096" s="53"/>
      <c r="T1096" s="82"/>
      <c r="U1096" s="42"/>
      <c r="V1096" s="62"/>
      <c r="W1096" s="64"/>
      <c r="X1096" s="223"/>
      <c r="Y1096" s="223"/>
      <c r="Z1096" s="223"/>
      <c r="AA1096" s="223"/>
    </row>
    <row r="1097">
      <c r="A1097" s="42">
        <f t="shared" si="3"/>
        <v>1096</v>
      </c>
      <c r="B1097" s="51" t="s">
        <v>41</v>
      </c>
      <c r="C1097" s="53" t="s">
        <v>6332</v>
      </c>
      <c r="D1097" s="42" t="s">
        <v>44</v>
      </c>
      <c r="E1097" s="42" t="s">
        <v>44</v>
      </c>
      <c r="F1097" s="53" t="s">
        <v>6222</v>
      </c>
      <c r="G1097" s="53" t="s">
        <v>47</v>
      </c>
      <c r="H1097" s="53" t="s">
        <v>95</v>
      </c>
      <c r="I1097" s="53" t="s">
        <v>401</v>
      </c>
      <c r="J1097" s="53" t="s">
        <v>6223</v>
      </c>
      <c r="K1097" s="53" t="s">
        <v>51</v>
      </c>
      <c r="L1097" s="53" t="s">
        <v>52</v>
      </c>
      <c r="M1097" s="53" t="s">
        <v>52</v>
      </c>
      <c r="N1097" s="62" t="s">
        <v>6333</v>
      </c>
      <c r="O1097" s="62" t="s">
        <v>44</v>
      </c>
      <c r="P1097" s="62" t="s">
        <v>6334</v>
      </c>
      <c r="Q1097" s="62" t="s">
        <v>6335</v>
      </c>
      <c r="R1097" s="53"/>
      <c r="S1097" s="53"/>
      <c r="T1097" s="82"/>
      <c r="U1097" s="42"/>
      <c r="V1097" s="62"/>
      <c r="W1097" s="64"/>
      <c r="X1097" s="223"/>
      <c r="Y1097" s="223"/>
      <c r="Z1097" s="223"/>
      <c r="AA1097" s="223"/>
    </row>
    <row r="1098">
      <c r="A1098" s="42">
        <f t="shared" si="3"/>
        <v>1097</v>
      </c>
      <c r="B1098" s="51" t="s">
        <v>41</v>
      </c>
      <c r="C1098" s="53" t="s">
        <v>6336</v>
      </c>
      <c r="D1098" s="42" t="s">
        <v>44</v>
      </c>
      <c r="E1098" s="42" t="s">
        <v>44</v>
      </c>
      <c r="F1098" s="53" t="s">
        <v>6222</v>
      </c>
      <c r="G1098" s="53" t="s">
        <v>47</v>
      </c>
      <c r="H1098" s="53" t="s">
        <v>48</v>
      </c>
      <c r="I1098" s="53" t="s">
        <v>401</v>
      </c>
      <c r="J1098" s="53" t="s">
        <v>6223</v>
      </c>
      <c r="K1098" s="53" t="s">
        <v>51</v>
      </c>
      <c r="L1098" s="53" t="s">
        <v>52</v>
      </c>
      <c r="M1098" s="53" t="s">
        <v>52</v>
      </c>
      <c r="N1098" s="62" t="s">
        <v>6305</v>
      </c>
      <c r="O1098" s="62" t="s">
        <v>44</v>
      </c>
      <c r="P1098" s="62" t="s">
        <v>6337</v>
      </c>
      <c r="Q1098" s="62" t="s">
        <v>4789</v>
      </c>
      <c r="R1098" s="53"/>
      <c r="S1098" s="53"/>
      <c r="T1098" s="82"/>
      <c r="U1098" s="42"/>
      <c r="V1098" s="62"/>
      <c r="W1098" s="64"/>
      <c r="X1098" s="223"/>
      <c r="Y1098" s="223"/>
      <c r="Z1098" s="223"/>
      <c r="AA1098" s="223"/>
    </row>
    <row r="1099">
      <c r="A1099" s="42">
        <f t="shared" si="3"/>
        <v>1098</v>
      </c>
      <c r="B1099" s="51" t="s">
        <v>41</v>
      </c>
      <c r="C1099" s="53" t="s">
        <v>6338</v>
      </c>
      <c r="D1099" s="42" t="s">
        <v>44</v>
      </c>
      <c r="E1099" s="42" t="s">
        <v>44</v>
      </c>
      <c r="F1099" s="53" t="s">
        <v>6222</v>
      </c>
      <c r="G1099" s="53" t="s">
        <v>47</v>
      </c>
      <c r="H1099" s="53" t="s">
        <v>48</v>
      </c>
      <c r="I1099" s="53" t="s">
        <v>401</v>
      </c>
      <c r="J1099" s="53" t="s">
        <v>6223</v>
      </c>
      <c r="K1099" s="53" t="s">
        <v>51</v>
      </c>
      <c r="L1099" s="53" t="s">
        <v>52</v>
      </c>
      <c r="M1099" s="53" t="s">
        <v>52</v>
      </c>
      <c r="N1099" s="62" t="s">
        <v>6298</v>
      </c>
      <c r="O1099" s="62" t="s">
        <v>44</v>
      </c>
      <c r="P1099" s="62" t="s">
        <v>6339</v>
      </c>
      <c r="Q1099" s="62" t="s">
        <v>6340</v>
      </c>
      <c r="R1099" s="53"/>
      <c r="S1099" s="53"/>
      <c r="T1099" s="82"/>
      <c r="U1099" s="42"/>
      <c r="V1099" s="62"/>
      <c r="W1099" s="64"/>
      <c r="X1099" s="223"/>
      <c r="Y1099" s="223"/>
      <c r="Z1099" s="223"/>
      <c r="AA1099" s="223"/>
    </row>
    <row r="1100">
      <c r="A1100" s="42">
        <f t="shared" si="3"/>
        <v>1099</v>
      </c>
      <c r="B1100" s="51" t="s">
        <v>41</v>
      </c>
      <c r="C1100" s="53" t="s">
        <v>6341</v>
      </c>
      <c r="D1100" s="42" t="s">
        <v>44</v>
      </c>
      <c r="E1100" s="42" t="s">
        <v>44</v>
      </c>
      <c r="F1100" s="53" t="s">
        <v>6222</v>
      </c>
      <c r="G1100" s="53" t="s">
        <v>47</v>
      </c>
      <c r="H1100" s="53" t="s">
        <v>48</v>
      </c>
      <c r="I1100" s="53" t="s">
        <v>401</v>
      </c>
      <c r="J1100" s="53" t="s">
        <v>6223</v>
      </c>
      <c r="K1100" s="53" t="s">
        <v>51</v>
      </c>
      <c r="L1100" s="53" t="s">
        <v>52</v>
      </c>
      <c r="M1100" s="53" t="s">
        <v>52</v>
      </c>
      <c r="N1100" s="62" t="s">
        <v>6342</v>
      </c>
      <c r="O1100" s="62" t="s">
        <v>44</v>
      </c>
      <c r="P1100" s="62" t="s">
        <v>6343</v>
      </c>
      <c r="Q1100" s="62" t="s">
        <v>6344</v>
      </c>
      <c r="R1100" s="53"/>
      <c r="S1100" s="53"/>
      <c r="T1100" s="82"/>
      <c r="U1100" s="53"/>
      <c r="V1100" s="62"/>
      <c r="W1100" s="64"/>
      <c r="X1100" s="223"/>
      <c r="Y1100" s="223"/>
      <c r="Z1100" s="223"/>
      <c r="AA1100" s="223"/>
    </row>
    <row r="1101">
      <c r="A1101" s="42">
        <f t="shared" si="3"/>
        <v>1100</v>
      </c>
      <c r="B1101" s="51" t="s">
        <v>41</v>
      </c>
      <c r="C1101" s="53" t="s">
        <v>6345</v>
      </c>
      <c r="D1101" s="42" t="s">
        <v>44</v>
      </c>
      <c r="E1101" s="42" t="s">
        <v>44</v>
      </c>
      <c r="F1101" s="53" t="s">
        <v>6222</v>
      </c>
      <c r="G1101" s="53" t="s">
        <v>47</v>
      </c>
      <c r="H1101" s="53" t="s">
        <v>48</v>
      </c>
      <c r="I1101" s="53" t="s">
        <v>401</v>
      </c>
      <c r="J1101" s="53" t="s">
        <v>6223</v>
      </c>
      <c r="K1101" s="53" t="s">
        <v>51</v>
      </c>
      <c r="L1101" s="53" t="s">
        <v>52</v>
      </c>
      <c r="M1101" s="53" t="s">
        <v>52</v>
      </c>
      <c r="N1101" s="62" t="s">
        <v>6342</v>
      </c>
      <c r="O1101" s="62" t="s">
        <v>44</v>
      </c>
      <c r="P1101" s="62" t="s">
        <v>6346</v>
      </c>
      <c r="Q1101" s="62" t="s">
        <v>6303</v>
      </c>
      <c r="R1101" s="53"/>
      <c r="S1101" s="53"/>
      <c r="T1101" s="82"/>
      <c r="U1101" s="42"/>
      <c r="V1101" s="62"/>
      <c r="W1101" s="64"/>
      <c r="X1101" s="223"/>
      <c r="Y1101" s="223"/>
      <c r="Z1101" s="223"/>
      <c r="AA1101" s="223"/>
    </row>
    <row r="1102">
      <c r="A1102" s="42">
        <f t="shared" si="3"/>
        <v>1101</v>
      </c>
      <c r="B1102" s="51" t="s">
        <v>41</v>
      </c>
      <c r="C1102" s="53" t="s">
        <v>6347</v>
      </c>
      <c r="D1102" s="42" t="s">
        <v>44</v>
      </c>
      <c r="E1102" s="42" t="s">
        <v>44</v>
      </c>
      <c r="F1102" s="53" t="s">
        <v>6222</v>
      </c>
      <c r="G1102" s="53" t="s">
        <v>47</v>
      </c>
      <c r="H1102" s="53" t="s">
        <v>48</v>
      </c>
      <c r="I1102" s="53" t="s">
        <v>401</v>
      </c>
      <c r="J1102" s="53" t="s">
        <v>6223</v>
      </c>
      <c r="K1102" s="53" t="s">
        <v>51</v>
      </c>
      <c r="L1102" s="53" t="s">
        <v>52</v>
      </c>
      <c r="M1102" s="53" t="s">
        <v>52</v>
      </c>
      <c r="N1102" s="62" t="s">
        <v>6348</v>
      </c>
      <c r="O1102" s="62" t="s">
        <v>44</v>
      </c>
      <c r="P1102" s="62" t="s">
        <v>6349</v>
      </c>
      <c r="Q1102" s="62" t="s">
        <v>6350</v>
      </c>
      <c r="R1102" s="53"/>
      <c r="S1102" s="53"/>
      <c r="T1102" s="82"/>
      <c r="U1102" s="53"/>
      <c r="V1102" s="62"/>
      <c r="W1102" s="64"/>
      <c r="X1102" s="223"/>
      <c r="Y1102" s="223"/>
      <c r="Z1102" s="223"/>
      <c r="AA1102" s="223"/>
    </row>
    <row r="1103">
      <c r="A1103" s="42">
        <f t="shared" si="3"/>
        <v>1102</v>
      </c>
      <c r="B1103" s="51" t="s">
        <v>41</v>
      </c>
      <c r="C1103" s="53" t="s">
        <v>6351</v>
      </c>
      <c r="D1103" s="42" t="s">
        <v>44</v>
      </c>
      <c r="E1103" s="42" t="s">
        <v>44</v>
      </c>
      <c r="F1103" s="53" t="s">
        <v>6222</v>
      </c>
      <c r="G1103" s="53" t="s">
        <v>47</v>
      </c>
      <c r="H1103" s="53" t="s">
        <v>48</v>
      </c>
      <c r="I1103" s="53" t="s">
        <v>401</v>
      </c>
      <c r="J1103" s="53" t="s">
        <v>6223</v>
      </c>
      <c r="K1103" s="53" t="s">
        <v>51</v>
      </c>
      <c r="L1103" s="53" t="s">
        <v>52</v>
      </c>
      <c r="M1103" s="53" t="s">
        <v>52</v>
      </c>
      <c r="N1103" s="62" t="s">
        <v>6342</v>
      </c>
      <c r="O1103" s="62" t="s">
        <v>44</v>
      </c>
      <c r="P1103" s="62" t="s">
        <v>6352</v>
      </c>
      <c r="Q1103" s="62" t="s">
        <v>6310</v>
      </c>
      <c r="R1103" s="53"/>
      <c r="S1103" s="53"/>
      <c r="T1103" s="82"/>
      <c r="U1103" s="42"/>
      <c r="V1103" s="62"/>
      <c r="W1103" s="64"/>
      <c r="X1103" s="223"/>
      <c r="Y1103" s="223"/>
      <c r="Z1103" s="223"/>
      <c r="AA1103" s="223"/>
    </row>
    <row r="1104">
      <c r="A1104" s="42">
        <f t="shared" si="3"/>
        <v>1103</v>
      </c>
      <c r="B1104" s="51" t="s">
        <v>41</v>
      </c>
      <c r="C1104" s="53" t="s">
        <v>6353</v>
      </c>
      <c r="D1104" s="42" t="s">
        <v>44</v>
      </c>
      <c r="E1104" s="42" t="s">
        <v>44</v>
      </c>
      <c r="F1104" s="53" t="s">
        <v>6222</v>
      </c>
      <c r="G1104" s="53" t="s">
        <v>47</v>
      </c>
      <c r="H1104" s="53" t="s">
        <v>48</v>
      </c>
      <c r="I1104" s="53" t="s">
        <v>401</v>
      </c>
      <c r="J1104" s="53" t="s">
        <v>6223</v>
      </c>
      <c r="K1104" s="53" t="s">
        <v>51</v>
      </c>
      <c r="L1104" s="53" t="s">
        <v>52</v>
      </c>
      <c r="M1104" s="53" t="s">
        <v>52</v>
      </c>
      <c r="N1104" s="62" t="s">
        <v>6348</v>
      </c>
      <c r="O1104" s="62" t="s">
        <v>44</v>
      </c>
      <c r="P1104" s="62" t="s">
        <v>6354</v>
      </c>
      <c r="Q1104" s="62" t="s">
        <v>6355</v>
      </c>
      <c r="R1104" s="53"/>
      <c r="S1104" s="53"/>
      <c r="T1104" s="82"/>
      <c r="U1104" s="42"/>
      <c r="V1104" s="62"/>
      <c r="W1104" s="64"/>
      <c r="X1104" s="223"/>
      <c r="Y1104" s="223"/>
      <c r="Z1104" s="223"/>
      <c r="AA1104" s="223"/>
    </row>
    <row r="1105">
      <c r="A1105" s="42">
        <f t="shared" si="3"/>
        <v>1104</v>
      </c>
      <c r="B1105" s="51" t="s">
        <v>41</v>
      </c>
      <c r="C1105" s="53" t="s">
        <v>6356</v>
      </c>
      <c r="D1105" s="42" t="s">
        <v>44</v>
      </c>
      <c r="E1105" s="42" t="s">
        <v>44</v>
      </c>
      <c r="F1105" s="53" t="s">
        <v>6222</v>
      </c>
      <c r="G1105" s="53" t="s">
        <v>47</v>
      </c>
      <c r="H1105" s="53" t="s">
        <v>48</v>
      </c>
      <c r="I1105" s="53" t="s">
        <v>401</v>
      </c>
      <c r="J1105" s="53" t="s">
        <v>6223</v>
      </c>
      <c r="K1105" s="53" t="s">
        <v>51</v>
      </c>
      <c r="L1105" s="53" t="s">
        <v>52</v>
      </c>
      <c r="M1105" s="53" t="s">
        <v>52</v>
      </c>
      <c r="N1105" s="62" t="s">
        <v>6342</v>
      </c>
      <c r="O1105" s="62" t="s">
        <v>44</v>
      </c>
      <c r="P1105" s="62" t="s">
        <v>6357</v>
      </c>
      <c r="Q1105" s="62" t="s">
        <v>6358</v>
      </c>
      <c r="R1105" s="53"/>
      <c r="S1105" s="53"/>
      <c r="T1105" s="82"/>
      <c r="U1105" s="42"/>
      <c r="V1105" s="62"/>
      <c r="W1105" s="64"/>
      <c r="X1105" s="223"/>
      <c r="Y1105" s="223"/>
      <c r="Z1105" s="223"/>
      <c r="AA1105" s="223"/>
    </row>
    <row r="1106">
      <c r="A1106" s="42">
        <f t="shared" si="3"/>
        <v>1105</v>
      </c>
      <c r="B1106" s="51" t="s">
        <v>41</v>
      </c>
      <c r="C1106" s="53" t="s">
        <v>6359</v>
      </c>
      <c r="D1106" s="42" t="s">
        <v>44</v>
      </c>
      <c r="E1106" s="42" t="s">
        <v>44</v>
      </c>
      <c r="F1106" s="53" t="s">
        <v>6222</v>
      </c>
      <c r="G1106" s="53" t="s">
        <v>47</v>
      </c>
      <c r="H1106" s="53" t="s">
        <v>91</v>
      </c>
      <c r="I1106" s="53" t="s">
        <v>401</v>
      </c>
      <c r="J1106" s="53" t="s">
        <v>6223</v>
      </c>
      <c r="K1106" s="53" t="s">
        <v>51</v>
      </c>
      <c r="L1106" s="53" t="s">
        <v>52</v>
      </c>
      <c r="M1106" s="53" t="s">
        <v>52</v>
      </c>
      <c r="N1106" s="62" t="s">
        <v>6348</v>
      </c>
      <c r="O1106" s="62" t="s">
        <v>44</v>
      </c>
      <c r="P1106" s="62" t="s">
        <v>6360</v>
      </c>
      <c r="Q1106" s="62" t="s">
        <v>6361</v>
      </c>
      <c r="R1106" s="53"/>
      <c r="S1106" s="53"/>
      <c r="T1106" s="82"/>
      <c r="U1106" s="42"/>
      <c r="V1106" s="62"/>
      <c r="W1106" s="64"/>
      <c r="X1106" s="223"/>
      <c r="Y1106" s="223"/>
      <c r="Z1106" s="223"/>
      <c r="AA1106" s="223"/>
    </row>
    <row r="1107">
      <c r="A1107" s="42">
        <f t="shared" si="3"/>
        <v>1106</v>
      </c>
      <c r="B1107" s="51" t="s">
        <v>41</v>
      </c>
      <c r="C1107" s="53" t="s">
        <v>6362</v>
      </c>
      <c r="D1107" s="42" t="s">
        <v>44</v>
      </c>
      <c r="E1107" s="42" t="s">
        <v>44</v>
      </c>
      <c r="F1107" s="53" t="s">
        <v>6222</v>
      </c>
      <c r="G1107" s="53" t="s">
        <v>47</v>
      </c>
      <c r="H1107" s="53" t="s">
        <v>48</v>
      </c>
      <c r="I1107" s="53" t="s">
        <v>401</v>
      </c>
      <c r="J1107" s="53" t="s">
        <v>6223</v>
      </c>
      <c r="K1107" s="53" t="s">
        <v>51</v>
      </c>
      <c r="L1107" s="53" t="s">
        <v>52</v>
      </c>
      <c r="M1107" s="53" t="s">
        <v>52</v>
      </c>
      <c r="N1107" s="62" t="s">
        <v>6348</v>
      </c>
      <c r="O1107" s="62" t="s">
        <v>44</v>
      </c>
      <c r="P1107" s="62" t="s">
        <v>6363</v>
      </c>
      <c r="Q1107" s="62" t="s">
        <v>6364</v>
      </c>
      <c r="R1107" s="53"/>
      <c r="S1107" s="53"/>
      <c r="T1107" s="82"/>
      <c r="U1107" s="42"/>
      <c r="V1107" s="62"/>
      <c r="W1107" s="64"/>
      <c r="X1107" s="223"/>
      <c r="Y1107" s="223"/>
      <c r="Z1107" s="223"/>
      <c r="AA1107" s="223"/>
    </row>
    <row r="1108">
      <c r="A1108" s="42">
        <f t="shared" si="3"/>
        <v>1107</v>
      </c>
      <c r="B1108" s="51" t="s">
        <v>41</v>
      </c>
      <c r="C1108" s="53" t="s">
        <v>6365</v>
      </c>
      <c r="D1108" s="42" t="s">
        <v>44</v>
      </c>
      <c r="E1108" s="42" t="s">
        <v>44</v>
      </c>
      <c r="F1108" s="53" t="s">
        <v>6222</v>
      </c>
      <c r="G1108" s="53" t="s">
        <v>47</v>
      </c>
      <c r="H1108" s="53" t="s">
        <v>48</v>
      </c>
      <c r="I1108" s="53" t="s">
        <v>401</v>
      </c>
      <c r="J1108" s="53" t="s">
        <v>6223</v>
      </c>
      <c r="K1108" s="53" t="s">
        <v>51</v>
      </c>
      <c r="L1108" s="53" t="s">
        <v>52</v>
      </c>
      <c r="M1108" s="53" t="s">
        <v>52</v>
      </c>
      <c r="N1108" s="62" t="s">
        <v>6342</v>
      </c>
      <c r="O1108" s="62" t="s">
        <v>44</v>
      </c>
      <c r="P1108" s="62" t="s">
        <v>6366</v>
      </c>
      <c r="Q1108" s="62" t="s">
        <v>6367</v>
      </c>
      <c r="R1108" s="53"/>
      <c r="S1108" s="53"/>
      <c r="T1108" s="82"/>
      <c r="U1108" s="42"/>
      <c r="V1108" s="62"/>
      <c r="W1108" s="64"/>
      <c r="X1108" s="223"/>
      <c r="Y1108" s="223"/>
      <c r="Z1108" s="223"/>
      <c r="AA1108" s="223"/>
    </row>
    <row r="1109">
      <c r="A1109" s="42">
        <f t="shared" si="3"/>
        <v>1108</v>
      </c>
      <c r="B1109" s="51" t="s">
        <v>41</v>
      </c>
      <c r="C1109" s="53" t="s">
        <v>6368</v>
      </c>
      <c r="D1109" s="42" t="s">
        <v>44</v>
      </c>
      <c r="E1109" s="42" t="s">
        <v>44</v>
      </c>
      <c r="F1109" s="53" t="s">
        <v>6222</v>
      </c>
      <c r="G1109" s="53" t="s">
        <v>47</v>
      </c>
      <c r="H1109" s="53" t="s">
        <v>48</v>
      </c>
      <c r="I1109" s="53" t="s">
        <v>401</v>
      </c>
      <c r="J1109" s="53" t="s">
        <v>6369</v>
      </c>
      <c r="K1109" s="53" t="s">
        <v>51</v>
      </c>
      <c r="L1109" s="53" t="s">
        <v>52</v>
      </c>
      <c r="M1109" s="53" t="s">
        <v>52</v>
      </c>
      <c r="N1109" s="62" t="s">
        <v>6370</v>
      </c>
      <c r="O1109" s="62" t="s">
        <v>44</v>
      </c>
      <c r="P1109" s="62" t="s">
        <v>6371</v>
      </c>
      <c r="Q1109" s="62" t="s">
        <v>6372</v>
      </c>
      <c r="R1109" s="53"/>
      <c r="S1109" s="53"/>
      <c r="T1109" s="82"/>
      <c r="U1109" s="42"/>
      <c r="V1109" s="62"/>
      <c r="W1109" s="64"/>
      <c r="X1109" s="223"/>
      <c r="Y1109" s="223"/>
      <c r="Z1109" s="223"/>
      <c r="AA1109" s="223"/>
    </row>
    <row r="1110">
      <c r="A1110" s="42">
        <f t="shared" si="3"/>
        <v>1109</v>
      </c>
      <c r="B1110" s="51" t="s">
        <v>41</v>
      </c>
      <c r="C1110" s="53" t="s">
        <v>6373</v>
      </c>
      <c r="D1110" s="42" t="s">
        <v>44</v>
      </c>
      <c r="E1110" s="42" t="s">
        <v>44</v>
      </c>
      <c r="F1110" s="53" t="s">
        <v>6222</v>
      </c>
      <c r="G1110" s="53" t="s">
        <v>47</v>
      </c>
      <c r="H1110" s="53" t="s">
        <v>48</v>
      </c>
      <c r="I1110" s="53" t="s">
        <v>401</v>
      </c>
      <c r="J1110" s="53" t="s">
        <v>6369</v>
      </c>
      <c r="K1110" s="53" t="s">
        <v>51</v>
      </c>
      <c r="L1110" s="53" t="s">
        <v>52</v>
      </c>
      <c r="M1110" s="53" t="s">
        <v>52</v>
      </c>
      <c r="N1110" s="62" t="s">
        <v>6370</v>
      </c>
      <c r="O1110" s="62" t="s">
        <v>44</v>
      </c>
      <c r="P1110" s="62" t="s">
        <v>6374</v>
      </c>
      <c r="Q1110" s="62" t="s">
        <v>6375</v>
      </c>
      <c r="R1110" s="53"/>
      <c r="S1110" s="53"/>
      <c r="T1110" s="82"/>
      <c r="U1110" s="42"/>
      <c r="V1110" s="62"/>
      <c r="W1110" s="64"/>
      <c r="X1110" s="223"/>
      <c r="Y1110" s="223"/>
      <c r="Z1110" s="223"/>
      <c r="AA1110" s="223"/>
    </row>
    <row r="1111">
      <c r="A1111" s="42">
        <f t="shared" si="3"/>
        <v>1110</v>
      </c>
      <c r="B1111" s="51" t="s">
        <v>41</v>
      </c>
      <c r="C1111" s="53" t="s">
        <v>6376</v>
      </c>
      <c r="D1111" s="42" t="s">
        <v>44</v>
      </c>
      <c r="E1111" s="42" t="s">
        <v>44</v>
      </c>
      <c r="F1111" s="53" t="s">
        <v>6222</v>
      </c>
      <c r="G1111" s="53" t="s">
        <v>47</v>
      </c>
      <c r="H1111" s="53" t="s">
        <v>48</v>
      </c>
      <c r="I1111" s="53" t="s">
        <v>401</v>
      </c>
      <c r="J1111" s="53" t="s">
        <v>6369</v>
      </c>
      <c r="K1111" s="53" t="s">
        <v>51</v>
      </c>
      <c r="L1111" s="53" t="s">
        <v>52</v>
      </c>
      <c r="M1111" s="53" t="s">
        <v>52</v>
      </c>
      <c r="N1111" s="62" t="s">
        <v>6370</v>
      </c>
      <c r="O1111" s="62" t="s">
        <v>44</v>
      </c>
      <c r="P1111" s="62" t="s">
        <v>6377</v>
      </c>
      <c r="Q1111" s="62" t="s">
        <v>6378</v>
      </c>
      <c r="R1111" s="53"/>
      <c r="S1111" s="53"/>
      <c r="T1111" s="82"/>
      <c r="U1111" s="42"/>
      <c r="V1111" s="62"/>
      <c r="W1111" s="64"/>
      <c r="X1111" s="223"/>
      <c r="Y1111" s="223"/>
      <c r="Z1111" s="223"/>
      <c r="AA1111" s="223"/>
    </row>
    <row r="1112">
      <c r="A1112" s="42">
        <f t="shared" si="3"/>
        <v>1111</v>
      </c>
      <c r="B1112" s="51" t="s">
        <v>41</v>
      </c>
      <c r="C1112" s="53" t="s">
        <v>6379</v>
      </c>
      <c r="D1112" s="42" t="s">
        <v>44</v>
      </c>
      <c r="E1112" s="42" t="s">
        <v>44</v>
      </c>
      <c r="F1112" s="53" t="s">
        <v>6222</v>
      </c>
      <c r="G1112" s="53" t="s">
        <v>47</v>
      </c>
      <c r="H1112" s="53" t="s">
        <v>48</v>
      </c>
      <c r="I1112" s="53" t="s">
        <v>401</v>
      </c>
      <c r="J1112" s="53" t="s">
        <v>6369</v>
      </c>
      <c r="K1112" s="53" t="s">
        <v>51</v>
      </c>
      <c r="L1112" s="53" t="s">
        <v>52</v>
      </c>
      <c r="M1112" s="53" t="s">
        <v>52</v>
      </c>
      <c r="N1112" s="62" t="s">
        <v>6380</v>
      </c>
      <c r="O1112" s="62" t="s">
        <v>44</v>
      </c>
      <c r="P1112" s="62" t="s">
        <v>6381</v>
      </c>
      <c r="Q1112" s="62" t="s">
        <v>6382</v>
      </c>
      <c r="R1112" s="53"/>
      <c r="S1112" s="53"/>
      <c r="T1112" s="82"/>
      <c r="U1112" s="42"/>
      <c r="V1112" s="62"/>
      <c r="W1112" s="64"/>
      <c r="X1112" s="223"/>
      <c r="Y1112" s="223"/>
      <c r="Z1112" s="223"/>
      <c r="AA1112" s="223"/>
    </row>
    <row r="1113">
      <c r="A1113" s="42">
        <f t="shared" si="3"/>
        <v>1112</v>
      </c>
      <c r="B1113" s="51" t="s">
        <v>41</v>
      </c>
      <c r="C1113" s="53" t="s">
        <v>6383</v>
      </c>
      <c r="D1113" s="42" t="s">
        <v>44</v>
      </c>
      <c r="E1113" s="42" t="s">
        <v>44</v>
      </c>
      <c r="F1113" s="53" t="s">
        <v>6222</v>
      </c>
      <c r="G1113" s="53" t="s">
        <v>47</v>
      </c>
      <c r="H1113" s="53" t="s">
        <v>48</v>
      </c>
      <c r="I1113" s="53" t="s">
        <v>401</v>
      </c>
      <c r="J1113" s="53" t="s">
        <v>6369</v>
      </c>
      <c r="K1113" s="53" t="s">
        <v>51</v>
      </c>
      <c r="L1113" s="53" t="s">
        <v>52</v>
      </c>
      <c r="M1113" s="53" t="s">
        <v>52</v>
      </c>
      <c r="N1113" s="62" t="s">
        <v>6370</v>
      </c>
      <c r="O1113" s="62" t="s">
        <v>44</v>
      </c>
      <c r="P1113" s="62" t="s">
        <v>6384</v>
      </c>
      <c r="Q1113" s="62" t="s">
        <v>6385</v>
      </c>
      <c r="R1113" s="53"/>
      <c r="S1113" s="53"/>
      <c r="T1113" s="82"/>
      <c r="U1113" s="42"/>
      <c r="V1113" s="62"/>
      <c r="W1113" s="64"/>
      <c r="X1113" s="223"/>
      <c r="Y1113" s="223"/>
      <c r="Z1113" s="223"/>
      <c r="AA1113" s="223"/>
    </row>
    <row r="1114">
      <c r="A1114" s="42">
        <f t="shared" si="3"/>
        <v>1113</v>
      </c>
      <c r="B1114" s="51" t="s">
        <v>41</v>
      </c>
      <c r="C1114" s="53" t="s">
        <v>6386</v>
      </c>
      <c r="D1114" s="42" t="s">
        <v>44</v>
      </c>
      <c r="E1114" s="42" t="s">
        <v>44</v>
      </c>
      <c r="F1114" s="53" t="s">
        <v>6222</v>
      </c>
      <c r="G1114" s="53" t="s">
        <v>85</v>
      </c>
      <c r="H1114" s="53" t="s">
        <v>86</v>
      </c>
      <c r="I1114" s="53" t="s">
        <v>401</v>
      </c>
      <c r="J1114" s="53" t="s">
        <v>6369</v>
      </c>
      <c r="K1114" s="53" t="s">
        <v>51</v>
      </c>
      <c r="L1114" s="53" t="s">
        <v>52</v>
      </c>
      <c r="M1114" s="53" t="s">
        <v>52</v>
      </c>
      <c r="N1114" s="62" t="s">
        <v>6370</v>
      </c>
      <c r="O1114" s="62" t="s">
        <v>44</v>
      </c>
      <c r="P1114" s="62" t="s">
        <v>6387</v>
      </c>
      <c r="Q1114" s="62" t="s">
        <v>5753</v>
      </c>
      <c r="R1114" s="53"/>
      <c r="S1114" s="53"/>
      <c r="T1114" s="82"/>
      <c r="U1114" s="42"/>
      <c r="V1114" s="62"/>
      <c r="W1114" s="64"/>
      <c r="X1114" s="223"/>
      <c r="Y1114" s="223"/>
      <c r="Z1114" s="223"/>
      <c r="AA1114" s="223"/>
    </row>
    <row r="1115">
      <c r="A1115" s="42">
        <f t="shared" si="3"/>
        <v>1114</v>
      </c>
      <c r="B1115" s="51" t="s">
        <v>41</v>
      </c>
      <c r="C1115" s="53" t="s">
        <v>6388</v>
      </c>
      <c r="D1115" s="42" t="s">
        <v>44</v>
      </c>
      <c r="E1115" s="42" t="s">
        <v>44</v>
      </c>
      <c r="F1115" s="53" t="s">
        <v>6222</v>
      </c>
      <c r="G1115" s="53" t="s">
        <v>47</v>
      </c>
      <c r="H1115" s="53" t="s">
        <v>91</v>
      </c>
      <c r="I1115" s="53" t="s">
        <v>401</v>
      </c>
      <c r="J1115" s="53" t="s">
        <v>6369</v>
      </c>
      <c r="K1115" s="53" t="s">
        <v>51</v>
      </c>
      <c r="L1115" s="53" t="s">
        <v>52</v>
      </c>
      <c r="M1115" s="53" t="s">
        <v>52</v>
      </c>
      <c r="N1115" s="62" t="s">
        <v>6380</v>
      </c>
      <c r="O1115" s="62" t="s">
        <v>44</v>
      </c>
      <c r="P1115" s="62" t="s">
        <v>6389</v>
      </c>
      <c r="Q1115" s="62" t="s">
        <v>5753</v>
      </c>
      <c r="R1115" s="53"/>
      <c r="S1115" s="53"/>
      <c r="T1115" s="82"/>
      <c r="U1115" s="42"/>
      <c r="V1115" s="62"/>
      <c r="W1115" s="64"/>
      <c r="X1115" s="223"/>
      <c r="Y1115" s="223"/>
      <c r="Z1115" s="223"/>
      <c r="AA1115" s="223"/>
    </row>
    <row r="1116">
      <c r="A1116" s="42">
        <f t="shared" si="3"/>
        <v>1115</v>
      </c>
      <c r="B1116" s="51" t="s">
        <v>41</v>
      </c>
      <c r="C1116" s="53" t="s">
        <v>6390</v>
      </c>
      <c r="D1116" s="42" t="s">
        <v>44</v>
      </c>
      <c r="E1116" s="42" t="s">
        <v>44</v>
      </c>
      <c r="F1116" s="53" t="s">
        <v>6222</v>
      </c>
      <c r="G1116" s="53" t="s">
        <v>47</v>
      </c>
      <c r="H1116" s="53" t="s">
        <v>48</v>
      </c>
      <c r="I1116" s="53" t="s">
        <v>401</v>
      </c>
      <c r="J1116" s="53" t="s">
        <v>6369</v>
      </c>
      <c r="K1116" s="53" t="s">
        <v>51</v>
      </c>
      <c r="L1116" s="53" t="s">
        <v>52</v>
      </c>
      <c r="M1116" s="53" t="s">
        <v>52</v>
      </c>
      <c r="N1116" s="62" t="s">
        <v>6370</v>
      </c>
      <c r="O1116" s="62" t="s">
        <v>44</v>
      </c>
      <c r="P1116" s="62" t="s">
        <v>6391</v>
      </c>
      <c r="Q1116" s="62" t="s">
        <v>6392</v>
      </c>
      <c r="R1116" s="53"/>
      <c r="S1116" s="53"/>
      <c r="T1116" s="82"/>
      <c r="U1116" s="42"/>
      <c r="V1116" s="62"/>
      <c r="W1116" s="64"/>
      <c r="X1116" s="223"/>
      <c r="Y1116" s="223"/>
      <c r="Z1116" s="223"/>
      <c r="AA1116" s="223"/>
    </row>
    <row r="1117">
      <c r="A1117" s="42">
        <f t="shared" si="3"/>
        <v>1116</v>
      </c>
      <c r="B1117" s="51" t="s">
        <v>41</v>
      </c>
      <c r="C1117" s="53" t="s">
        <v>6393</v>
      </c>
      <c r="D1117" s="42" t="s">
        <v>44</v>
      </c>
      <c r="E1117" s="42" t="s">
        <v>44</v>
      </c>
      <c r="F1117" s="53" t="s">
        <v>6222</v>
      </c>
      <c r="G1117" s="53" t="s">
        <v>47</v>
      </c>
      <c r="H1117" s="53" t="s">
        <v>48</v>
      </c>
      <c r="I1117" s="53" t="s">
        <v>401</v>
      </c>
      <c r="J1117" s="53" t="s">
        <v>6369</v>
      </c>
      <c r="K1117" s="53" t="s">
        <v>51</v>
      </c>
      <c r="L1117" s="53" t="s">
        <v>52</v>
      </c>
      <c r="M1117" s="53" t="s">
        <v>52</v>
      </c>
      <c r="N1117" s="62" t="s">
        <v>6370</v>
      </c>
      <c r="O1117" s="62" t="s">
        <v>44</v>
      </c>
      <c r="P1117" s="62" t="s">
        <v>6394</v>
      </c>
      <c r="Q1117" s="62" t="s">
        <v>4789</v>
      </c>
      <c r="R1117" s="53"/>
      <c r="S1117" s="53"/>
      <c r="T1117" s="82"/>
      <c r="U1117" s="42"/>
      <c r="V1117" s="62"/>
      <c r="W1117" s="64"/>
      <c r="X1117" s="223"/>
      <c r="Y1117" s="223"/>
      <c r="Z1117" s="223"/>
      <c r="AA1117" s="223"/>
    </row>
    <row r="1118">
      <c r="A1118" s="42">
        <f t="shared" si="3"/>
        <v>1117</v>
      </c>
      <c r="B1118" s="51" t="s">
        <v>41</v>
      </c>
      <c r="C1118" s="53" t="s">
        <v>6395</v>
      </c>
      <c r="D1118" s="42" t="s">
        <v>44</v>
      </c>
      <c r="E1118" s="42" t="s">
        <v>44</v>
      </c>
      <c r="F1118" s="53" t="s">
        <v>6396</v>
      </c>
      <c r="G1118" s="53" t="s">
        <v>111</v>
      </c>
      <c r="H1118" s="53" t="s">
        <v>112</v>
      </c>
      <c r="I1118" s="53" t="s">
        <v>401</v>
      </c>
      <c r="J1118" s="53" t="s">
        <v>6397</v>
      </c>
      <c r="K1118" s="53" t="s">
        <v>927</v>
      </c>
      <c r="L1118" s="53" t="s">
        <v>52</v>
      </c>
      <c r="M1118" s="53" t="s">
        <v>52</v>
      </c>
      <c r="N1118" s="62" t="s">
        <v>6398</v>
      </c>
      <c r="O1118" s="62" t="s">
        <v>44</v>
      </c>
      <c r="P1118" s="62" t="s">
        <v>6399</v>
      </c>
      <c r="Q1118" s="62" t="s">
        <v>6400</v>
      </c>
      <c r="R1118" s="53"/>
      <c r="S1118" s="53"/>
      <c r="T1118" s="82"/>
      <c r="U1118" s="42"/>
      <c r="V1118" s="62"/>
      <c r="W1118" s="64"/>
      <c r="X1118" s="223"/>
      <c r="Y1118" s="223"/>
      <c r="Z1118" s="223"/>
      <c r="AA1118" s="223"/>
    </row>
    <row r="1119">
      <c r="A1119" s="42">
        <f t="shared" si="3"/>
        <v>1118</v>
      </c>
      <c r="B1119" s="51" t="s">
        <v>41</v>
      </c>
      <c r="C1119" s="53" t="s">
        <v>6401</v>
      </c>
      <c r="D1119" s="42" t="s">
        <v>44</v>
      </c>
      <c r="E1119" s="42" t="s">
        <v>44</v>
      </c>
      <c r="F1119" s="53" t="s">
        <v>6396</v>
      </c>
      <c r="G1119" s="53" t="s">
        <v>47</v>
      </c>
      <c r="H1119" s="53" t="s">
        <v>48</v>
      </c>
      <c r="I1119" s="53" t="s">
        <v>401</v>
      </c>
      <c r="J1119" s="53" t="s">
        <v>6397</v>
      </c>
      <c r="K1119" s="53" t="s">
        <v>927</v>
      </c>
      <c r="L1119" s="53" t="s">
        <v>52</v>
      </c>
      <c r="M1119" s="53" t="s">
        <v>52</v>
      </c>
      <c r="N1119" s="62" t="s">
        <v>6398</v>
      </c>
      <c r="O1119" s="62" t="s">
        <v>44</v>
      </c>
      <c r="P1119" s="62" t="s">
        <v>5384</v>
      </c>
      <c r="Q1119" s="62" t="s">
        <v>6402</v>
      </c>
      <c r="R1119" s="53"/>
      <c r="S1119" s="53"/>
      <c r="T1119" s="82"/>
      <c r="U1119" s="42"/>
      <c r="V1119" s="62"/>
      <c r="W1119" s="64"/>
      <c r="X1119" s="223"/>
      <c r="Y1119" s="223"/>
      <c r="Z1119" s="223"/>
      <c r="AA1119" s="223"/>
    </row>
    <row r="1120">
      <c r="A1120" s="42">
        <f t="shared" si="3"/>
        <v>1119</v>
      </c>
      <c r="B1120" s="51" t="s">
        <v>41</v>
      </c>
      <c r="C1120" s="53" t="s">
        <v>6403</v>
      </c>
      <c r="D1120" s="42" t="s">
        <v>44</v>
      </c>
      <c r="E1120" s="42" t="s">
        <v>44</v>
      </c>
      <c r="F1120" s="53" t="s">
        <v>6396</v>
      </c>
      <c r="G1120" s="53" t="s">
        <v>47</v>
      </c>
      <c r="H1120" s="53" t="s">
        <v>48</v>
      </c>
      <c r="I1120" s="53" t="s">
        <v>401</v>
      </c>
      <c r="J1120" s="53" t="s">
        <v>6397</v>
      </c>
      <c r="K1120" s="53" t="s">
        <v>927</v>
      </c>
      <c r="L1120" s="53" t="s">
        <v>52</v>
      </c>
      <c r="M1120" s="53" t="s">
        <v>52</v>
      </c>
      <c r="N1120" s="62" t="s">
        <v>6398</v>
      </c>
      <c r="O1120" s="62" t="s">
        <v>44</v>
      </c>
      <c r="P1120" s="62" t="s">
        <v>5389</v>
      </c>
      <c r="Q1120" s="62" t="s">
        <v>6404</v>
      </c>
      <c r="R1120" s="53"/>
      <c r="S1120" s="53"/>
      <c r="T1120" s="82"/>
      <c r="U1120" s="42"/>
      <c r="V1120" s="62"/>
      <c r="W1120" s="64"/>
      <c r="X1120" s="223"/>
      <c r="Y1120" s="223"/>
      <c r="Z1120" s="223"/>
      <c r="AA1120" s="223"/>
    </row>
    <row r="1121">
      <c r="A1121" s="42">
        <f t="shared" si="3"/>
        <v>1120</v>
      </c>
      <c r="B1121" s="51" t="s">
        <v>41</v>
      </c>
      <c r="C1121" s="53" t="s">
        <v>6405</v>
      </c>
      <c r="D1121" s="42" t="s">
        <v>44</v>
      </c>
      <c r="E1121" s="42" t="s">
        <v>44</v>
      </c>
      <c r="F1121" s="53" t="s">
        <v>6396</v>
      </c>
      <c r="G1121" s="53" t="s">
        <v>47</v>
      </c>
      <c r="H1121" s="53" t="s">
        <v>48</v>
      </c>
      <c r="I1121" s="53" t="s">
        <v>401</v>
      </c>
      <c r="J1121" s="53" t="s">
        <v>6397</v>
      </c>
      <c r="K1121" s="53" t="s">
        <v>927</v>
      </c>
      <c r="L1121" s="53" t="s">
        <v>52</v>
      </c>
      <c r="M1121" s="53" t="s">
        <v>52</v>
      </c>
      <c r="N1121" s="62" t="s">
        <v>6398</v>
      </c>
      <c r="O1121" s="62" t="s">
        <v>44</v>
      </c>
      <c r="P1121" s="62" t="s">
        <v>6406</v>
      </c>
      <c r="Q1121" s="62" t="s">
        <v>6407</v>
      </c>
      <c r="R1121" s="53"/>
      <c r="S1121" s="53"/>
      <c r="T1121" s="82"/>
      <c r="U1121" s="42"/>
      <c r="V1121" s="62"/>
      <c r="W1121" s="64"/>
      <c r="X1121" s="223"/>
      <c r="Y1121" s="223"/>
      <c r="Z1121" s="223"/>
      <c r="AA1121" s="223"/>
    </row>
    <row r="1122">
      <c r="A1122" s="42">
        <f t="shared" si="3"/>
        <v>1121</v>
      </c>
      <c r="B1122" s="51" t="s">
        <v>41</v>
      </c>
      <c r="C1122" s="53" t="s">
        <v>6408</v>
      </c>
      <c r="D1122" s="42" t="s">
        <v>44</v>
      </c>
      <c r="E1122" s="42" t="s">
        <v>44</v>
      </c>
      <c r="F1122" s="53" t="s">
        <v>6396</v>
      </c>
      <c r="G1122" s="53" t="s">
        <v>47</v>
      </c>
      <c r="H1122" s="53" t="s">
        <v>48</v>
      </c>
      <c r="I1122" s="53" t="s">
        <v>401</v>
      </c>
      <c r="J1122" s="53" t="s">
        <v>6397</v>
      </c>
      <c r="K1122" s="53" t="s">
        <v>927</v>
      </c>
      <c r="L1122" s="53" t="s">
        <v>52</v>
      </c>
      <c r="M1122" s="53" t="s">
        <v>52</v>
      </c>
      <c r="N1122" s="62" t="s">
        <v>6398</v>
      </c>
      <c r="O1122" s="62" t="s">
        <v>44</v>
      </c>
      <c r="P1122" s="62" t="s">
        <v>6409</v>
      </c>
      <c r="Q1122" s="62" t="s">
        <v>6410</v>
      </c>
      <c r="R1122" s="53"/>
      <c r="S1122" s="53"/>
      <c r="T1122" s="82"/>
      <c r="U1122" s="42"/>
      <c r="V1122" s="62"/>
      <c r="W1122" s="64"/>
      <c r="X1122" s="223"/>
      <c r="Y1122" s="223"/>
      <c r="Z1122" s="223"/>
      <c r="AA1122" s="223"/>
    </row>
    <row r="1123">
      <c r="A1123" s="42">
        <f t="shared" si="3"/>
        <v>1122</v>
      </c>
      <c r="B1123" s="51" t="s">
        <v>41</v>
      </c>
      <c r="C1123" s="53" t="s">
        <v>6411</v>
      </c>
      <c r="D1123" s="42" t="s">
        <v>44</v>
      </c>
      <c r="E1123" s="42" t="s">
        <v>44</v>
      </c>
      <c r="F1123" s="53" t="s">
        <v>6396</v>
      </c>
      <c r="G1123" s="53" t="s">
        <v>47</v>
      </c>
      <c r="H1123" s="53" t="s">
        <v>48</v>
      </c>
      <c r="I1123" s="53" t="s">
        <v>401</v>
      </c>
      <c r="J1123" s="53" t="s">
        <v>6397</v>
      </c>
      <c r="K1123" s="53" t="s">
        <v>927</v>
      </c>
      <c r="L1123" s="53" t="s">
        <v>52</v>
      </c>
      <c r="M1123" s="53" t="s">
        <v>52</v>
      </c>
      <c r="N1123" s="62" t="s">
        <v>6398</v>
      </c>
      <c r="O1123" s="62" t="s">
        <v>44</v>
      </c>
      <c r="P1123" s="62" t="s">
        <v>6412</v>
      </c>
      <c r="Q1123" s="62" t="s">
        <v>6413</v>
      </c>
      <c r="R1123" s="53"/>
      <c r="S1123" s="53"/>
      <c r="T1123" s="82"/>
      <c r="U1123" s="42"/>
      <c r="V1123" s="62"/>
      <c r="W1123" s="64"/>
      <c r="X1123" s="223"/>
      <c r="Y1123" s="223"/>
      <c r="Z1123" s="223"/>
      <c r="AA1123" s="223"/>
    </row>
    <row r="1124">
      <c r="A1124" s="42">
        <f t="shared" si="3"/>
        <v>1123</v>
      </c>
      <c r="B1124" s="51" t="s">
        <v>41</v>
      </c>
      <c r="C1124" s="53" t="s">
        <v>6414</v>
      </c>
      <c r="D1124" s="42" t="s">
        <v>44</v>
      </c>
      <c r="E1124" s="42" t="s">
        <v>44</v>
      </c>
      <c r="F1124" s="53" t="s">
        <v>6396</v>
      </c>
      <c r="G1124" s="53" t="s">
        <v>47</v>
      </c>
      <c r="H1124" s="53" t="s">
        <v>48</v>
      </c>
      <c r="I1124" s="53" t="s">
        <v>401</v>
      </c>
      <c r="J1124" s="53" t="s">
        <v>6397</v>
      </c>
      <c r="K1124" s="53" t="s">
        <v>927</v>
      </c>
      <c r="L1124" s="53" t="s">
        <v>52</v>
      </c>
      <c r="M1124" s="53" t="s">
        <v>52</v>
      </c>
      <c r="N1124" s="62" t="s">
        <v>6415</v>
      </c>
      <c r="O1124" s="62" t="s">
        <v>44</v>
      </c>
      <c r="P1124" s="62" t="s">
        <v>6416</v>
      </c>
      <c r="Q1124" s="62" t="s">
        <v>6417</v>
      </c>
      <c r="R1124" s="53"/>
      <c r="S1124" s="53"/>
      <c r="T1124" s="82"/>
      <c r="U1124" s="42"/>
      <c r="V1124" s="62"/>
      <c r="W1124" s="64"/>
      <c r="X1124" s="223"/>
      <c r="Y1124" s="223"/>
      <c r="Z1124" s="223"/>
      <c r="AA1124" s="223"/>
    </row>
    <row r="1125">
      <c r="A1125" s="42">
        <f t="shared" si="3"/>
        <v>1124</v>
      </c>
      <c r="B1125" s="51" t="s">
        <v>41</v>
      </c>
      <c r="C1125" s="53" t="s">
        <v>6418</v>
      </c>
      <c r="D1125" s="42" t="s">
        <v>44</v>
      </c>
      <c r="E1125" s="42" t="s">
        <v>44</v>
      </c>
      <c r="F1125" s="53" t="s">
        <v>6396</v>
      </c>
      <c r="G1125" s="53" t="s">
        <v>47</v>
      </c>
      <c r="H1125" s="53" t="s">
        <v>48</v>
      </c>
      <c r="I1125" s="53" t="s">
        <v>401</v>
      </c>
      <c r="J1125" s="53" t="s">
        <v>6397</v>
      </c>
      <c r="K1125" s="53" t="s">
        <v>927</v>
      </c>
      <c r="L1125" s="53" t="s">
        <v>52</v>
      </c>
      <c r="M1125" s="53" t="s">
        <v>52</v>
      </c>
      <c r="N1125" s="62" t="s">
        <v>6398</v>
      </c>
      <c r="O1125" s="62" t="s">
        <v>44</v>
      </c>
      <c r="P1125" s="62" t="s">
        <v>6419</v>
      </c>
      <c r="Q1125" s="62" t="s">
        <v>6420</v>
      </c>
      <c r="R1125" s="53"/>
      <c r="S1125" s="53"/>
      <c r="T1125" s="82"/>
      <c r="U1125" s="42"/>
      <c r="V1125" s="62"/>
      <c r="W1125" s="64"/>
      <c r="X1125" s="223"/>
      <c r="Y1125" s="223"/>
      <c r="Z1125" s="223"/>
      <c r="AA1125" s="223"/>
    </row>
    <row r="1126">
      <c r="A1126" s="42">
        <f t="shared" si="3"/>
        <v>1125</v>
      </c>
      <c r="B1126" s="51" t="s">
        <v>41</v>
      </c>
      <c r="C1126" s="53" t="s">
        <v>6421</v>
      </c>
      <c r="D1126" s="42" t="s">
        <v>44</v>
      </c>
      <c r="E1126" s="42" t="s">
        <v>44</v>
      </c>
      <c r="F1126" s="53" t="s">
        <v>6396</v>
      </c>
      <c r="G1126" s="53" t="s">
        <v>47</v>
      </c>
      <c r="H1126" s="53" t="s">
        <v>48</v>
      </c>
      <c r="I1126" s="53" t="s">
        <v>401</v>
      </c>
      <c r="J1126" s="53" t="s">
        <v>6397</v>
      </c>
      <c r="K1126" s="53" t="s">
        <v>927</v>
      </c>
      <c r="L1126" s="53" t="s">
        <v>52</v>
      </c>
      <c r="M1126" s="53" t="s">
        <v>52</v>
      </c>
      <c r="N1126" s="62" t="s">
        <v>6422</v>
      </c>
      <c r="O1126" s="62" t="s">
        <v>44</v>
      </c>
      <c r="P1126" s="62" t="s">
        <v>6423</v>
      </c>
      <c r="Q1126" s="62" t="s">
        <v>6424</v>
      </c>
      <c r="R1126" s="53"/>
      <c r="S1126" s="53"/>
      <c r="T1126" s="82"/>
      <c r="U1126" s="42"/>
      <c r="V1126" s="62"/>
      <c r="W1126" s="64"/>
      <c r="X1126" s="223"/>
      <c r="Y1126" s="223"/>
      <c r="Z1126" s="223"/>
      <c r="AA1126" s="223"/>
    </row>
    <row r="1127">
      <c r="A1127" s="42">
        <f t="shared" si="3"/>
        <v>1126</v>
      </c>
      <c r="B1127" s="51" t="s">
        <v>41</v>
      </c>
      <c r="C1127" s="53" t="s">
        <v>6425</v>
      </c>
      <c r="D1127" s="42" t="s">
        <v>44</v>
      </c>
      <c r="E1127" s="42" t="s">
        <v>44</v>
      </c>
      <c r="F1127" s="53" t="s">
        <v>6396</v>
      </c>
      <c r="G1127" s="53" t="s">
        <v>47</v>
      </c>
      <c r="H1127" s="53" t="s">
        <v>48</v>
      </c>
      <c r="I1127" s="53" t="s">
        <v>401</v>
      </c>
      <c r="J1127" s="53" t="s">
        <v>6397</v>
      </c>
      <c r="K1127" s="53" t="s">
        <v>927</v>
      </c>
      <c r="L1127" s="53" t="s">
        <v>52</v>
      </c>
      <c r="M1127" s="53" t="s">
        <v>52</v>
      </c>
      <c r="N1127" s="62" t="s">
        <v>6398</v>
      </c>
      <c r="O1127" s="62" t="s">
        <v>44</v>
      </c>
      <c r="P1127" s="62" t="s">
        <v>6082</v>
      </c>
      <c r="Q1127" s="62" t="s">
        <v>6083</v>
      </c>
      <c r="R1127" s="53"/>
      <c r="S1127" s="53"/>
      <c r="T1127" s="82"/>
      <c r="U1127" s="42"/>
      <c r="V1127" s="62"/>
      <c r="W1127" s="64"/>
      <c r="X1127" s="223"/>
      <c r="Y1127" s="223"/>
      <c r="Z1127" s="223"/>
      <c r="AA1127" s="223"/>
    </row>
    <row r="1128">
      <c r="A1128" s="42">
        <f t="shared" si="3"/>
        <v>1127</v>
      </c>
      <c r="B1128" s="51" t="s">
        <v>41</v>
      </c>
      <c r="C1128" s="53" t="s">
        <v>6426</v>
      </c>
      <c r="D1128" s="42" t="s">
        <v>44</v>
      </c>
      <c r="E1128" s="42" t="s">
        <v>44</v>
      </c>
      <c r="F1128" s="53" t="s">
        <v>6396</v>
      </c>
      <c r="G1128" s="53" t="s">
        <v>47</v>
      </c>
      <c r="H1128" s="53" t="s">
        <v>48</v>
      </c>
      <c r="I1128" s="53" t="s">
        <v>401</v>
      </c>
      <c r="J1128" s="53" t="s">
        <v>6397</v>
      </c>
      <c r="K1128" s="53" t="s">
        <v>927</v>
      </c>
      <c r="L1128" s="53" t="s">
        <v>52</v>
      </c>
      <c r="M1128" s="53" t="s">
        <v>52</v>
      </c>
      <c r="N1128" s="62" t="s">
        <v>6398</v>
      </c>
      <c r="O1128" s="62" t="s">
        <v>44</v>
      </c>
      <c r="P1128" s="62" t="s">
        <v>6085</v>
      </c>
      <c r="Q1128" s="62" t="s">
        <v>6241</v>
      </c>
      <c r="R1128" s="53"/>
      <c r="S1128" s="53"/>
      <c r="T1128" s="82"/>
      <c r="U1128" s="42"/>
      <c r="V1128" s="62"/>
      <c r="W1128" s="64"/>
      <c r="X1128" s="223"/>
      <c r="Y1128" s="223"/>
      <c r="Z1128" s="223"/>
      <c r="AA1128" s="223"/>
    </row>
    <row r="1129">
      <c r="A1129" s="42">
        <f t="shared" si="3"/>
        <v>1128</v>
      </c>
      <c r="B1129" s="51" t="s">
        <v>41</v>
      </c>
      <c r="C1129" s="53" t="s">
        <v>6427</v>
      </c>
      <c r="D1129" s="42" t="s">
        <v>44</v>
      </c>
      <c r="E1129" s="42" t="s">
        <v>44</v>
      </c>
      <c r="F1129" s="53" t="s">
        <v>6396</v>
      </c>
      <c r="G1129" s="53" t="s">
        <v>47</v>
      </c>
      <c r="H1129" s="53" t="s">
        <v>48</v>
      </c>
      <c r="I1129" s="53" t="s">
        <v>401</v>
      </c>
      <c r="J1129" s="53" t="s">
        <v>6397</v>
      </c>
      <c r="K1129" s="53" t="s">
        <v>927</v>
      </c>
      <c r="L1129" s="53" t="s">
        <v>52</v>
      </c>
      <c r="M1129" s="53" t="s">
        <v>52</v>
      </c>
      <c r="N1129" s="62" t="s">
        <v>6428</v>
      </c>
      <c r="O1129" s="62" t="s">
        <v>44</v>
      </c>
      <c r="P1129" s="62" t="s">
        <v>6429</v>
      </c>
      <c r="Q1129" s="62" t="s">
        <v>6430</v>
      </c>
      <c r="R1129" s="53"/>
      <c r="S1129" s="53"/>
      <c r="T1129" s="82"/>
      <c r="U1129" s="42"/>
      <c r="V1129" s="62"/>
      <c r="W1129" s="64"/>
      <c r="X1129" s="223"/>
      <c r="Y1129" s="223"/>
      <c r="Z1129" s="223"/>
      <c r="AA1129" s="223"/>
    </row>
    <row r="1130">
      <c r="A1130" s="42">
        <f t="shared" si="3"/>
        <v>1129</v>
      </c>
      <c r="B1130" s="51" t="s">
        <v>41</v>
      </c>
      <c r="C1130" s="53" t="s">
        <v>6431</v>
      </c>
      <c r="D1130" s="42" t="s">
        <v>44</v>
      </c>
      <c r="E1130" s="42" t="s">
        <v>44</v>
      </c>
      <c r="F1130" s="53" t="s">
        <v>6396</v>
      </c>
      <c r="G1130" s="53" t="s">
        <v>47</v>
      </c>
      <c r="H1130" s="53" t="s">
        <v>48</v>
      </c>
      <c r="I1130" s="53" t="s">
        <v>401</v>
      </c>
      <c r="J1130" s="53" t="s">
        <v>6397</v>
      </c>
      <c r="K1130" s="53" t="s">
        <v>927</v>
      </c>
      <c r="L1130" s="53" t="s">
        <v>52</v>
      </c>
      <c r="M1130" s="53" t="s">
        <v>52</v>
      </c>
      <c r="N1130" s="62" t="s">
        <v>6398</v>
      </c>
      <c r="O1130" s="62" t="s">
        <v>44</v>
      </c>
      <c r="P1130" s="62" t="s">
        <v>5448</v>
      </c>
      <c r="Q1130" s="62" t="s">
        <v>5449</v>
      </c>
      <c r="R1130" s="53"/>
      <c r="S1130" s="53"/>
      <c r="T1130" s="82"/>
      <c r="U1130" s="42"/>
      <c r="V1130" s="62"/>
      <c r="W1130" s="64"/>
      <c r="X1130" s="223"/>
      <c r="Y1130" s="223"/>
      <c r="Z1130" s="223"/>
      <c r="AA1130" s="223"/>
    </row>
    <row r="1131">
      <c r="A1131" s="42">
        <f t="shared" si="3"/>
        <v>1130</v>
      </c>
      <c r="B1131" s="51" t="s">
        <v>41</v>
      </c>
      <c r="C1131" s="53" t="s">
        <v>6432</v>
      </c>
      <c r="D1131" s="42" t="s">
        <v>44</v>
      </c>
      <c r="E1131" s="42" t="s">
        <v>44</v>
      </c>
      <c r="F1131" s="53" t="s">
        <v>6396</v>
      </c>
      <c r="G1131" s="53" t="s">
        <v>47</v>
      </c>
      <c r="H1131" s="53" t="s">
        <v>48</v>
      </c>
      <c r="I1131" s="53" t="s">
        <v>401</v>
      </c>
      <c r="J1131" s="53" t="s">
        <v>6397</v>
      </c>
      <c r="K1131" s="53" t="s">
        <v>927</v>
      </c>
      <c r="L1131" s="53" t="s">
        <v>52</v>
      </c>
      <c r="M1131" s="53" t="s">
        <v>52</v>
      </c>
      <c r="N1131" s="62" t="s">
        <v>6398</v>
      </c>
      <c r="O1131" s="62" t="s">
        <v>44</v>
      </c>
      <c r="P1131" s="62" t="s">
        <v>1002</v>
      </c>
      <c r="Q1131" s="62" t="s">
        <v>6246</v>
      </c>
      <c r="R1131" s="53"/>
      <c r="S1131" s="53"/>
      <c r="T1131" s="82"/>
      <c r="U1131" s="42"/>
      <c r="V1131" s="62"/>
      <c r="W1131" s="64"/>
      <c r="X1131" s="223"/>
      <c r="Y1131" s="223"/>
      <c r="Z1131" s="223"/>
      <c r="AA1131" s="223"/>
    </row>
    <row r="1132">
      <c r="A1132" s="42">
        <f t="shared" si="3"/>
        <v>1131</v>
      </c>
      <c r="B1132" s="51" t="s">
        <v>41</v>
      </c>
      <c r="C1132" s="53" t="s">
        <v>6433</v>
      </c>
      <c r="D1132" s="42" t="s">
        <v>44</v>
      </c>
      <c r="E1132" s="42" t="s">
        <v>44</v>
      </c>
      <c r="F1132" s="53" t="s">
        <v>6396</v>
      </c>
      <c r="G1132" s="53" t="s">
        <v>47</v>
      </c>
      <c r="H1132" s="53" t="s">
        <v>48</v>
      </c>
      <c r="I1132" s="53" t="s">
        <v>401</v>
      </c>
      <c r="J1132" s="53" t="s">
        <v>6397</v>
      </c>
      <c r="K1132" s="53" t="s">
        <v>927</v>
      </c>
      <c r="L1132" s="53" t="s">
        <v>52</v>
      </c>
      <c r="M1132" s="53" t="s">
        <v>52</v>
      </c>
      <c r="N1132" s="62" t="s">
        <v>6398</v>
      </c>
      <c r="O1132" s="62" t="s">
        <v>44</v>
      </c>
      <c r="P1132" s="62" t="s">
        <v>1009</v>
      </c>
      <c r="Q1132" s="62" t="s">
        <v>6434</v>
      </c>
      <c r="R1132" s="53"/>
      <c r="S1132" s="53"/>
      <c r="T1132" s="82"/>
      <c r="U1132" s="42"/>
      <c r="V1132" s="62"/>
      <c r="W1132" s="64"/>
      <c r="X1132" s="223"/>
      <c r="Y1132" s="223"/>
      <c r="Z1132" s="223"/>
      <c r="AA1132" s="223"/>
    </row>
    <row r="1133">
      <c r="A1133" s="42">
        <f t="shared" si="3"/>
        <v>1132</v>
      </c>
      <c r="B1133" s="51" t="s">
        <v>41</v>
      </c>
      <c r="C1133" s="53" t="s">
        <v>6435</v>
      </c>
      <c r="D1133" s="42" t="s">
        <v>44</v>
      </c>
      <c r="E1133" s="42" t="s">
        <v>44</v>
      </c>
      <c r="F1133" s="53" t="s">
        <v>6396</v>
      </c>
      <c r="G1133" s="53" t="s">
        <v>47</v>
      </c>
      <c r="H1133" s="53" t="s">
        <v>48</v>
      </c>
      <c r="I1133" s="53" t="s">
        <v>401</v>
      </c>
      <c r="J1133" s="53" t="s">
        <v>6397</v>
      </c>
      <c r="K1133" s="53" t="s">
        <v>927</v>
      </c>
      <c r="L1133" s="53" t="s">
        <v>52</v>
      </c>
      <c r="M1133" s="53" t="s">
        <v>52</v>
      </c>
      <c r="N1133" s="62" t="s">
        <v>6398</v>
      </c>
      <c r="O1133" s="62" t="s">
        <v>44</v>
      </c>
      <c r="P1133" s="62" t="s">
        <v>6436</v>
      </c>
      <c r="Q1133" s="62" t="s">
        <v>6437</v>
      </c>
      <c r="R1133" s="53"/>
      <c r="S1133" s="53"/>
      <c r="T1133" s="82"/>
      <c r="U1133" s="42"/>
      <c r="V1133" s="62"/>
      <c r="W1133" s="64"/>
      <c r="X1133" s="223"/>
      <c r="Y1133" s="223"/>
      <c r="Z1133" s="223"/>
      <c r="AA1133" s="223"/>
    </row>
    <row r="1134">
      <c r="A1134" s="42">
        <f t="shared" si="3"/>
        <v>1133</v>
      </c>
      <c r="B1134" s="51" t="s">
        <v>41</v>
      </c>
      <c r="C1134" s="53" t="s">
        <v>6438</v>
      </c>
      <c r="D1134" s="42" t="s">
        <v>44</v>
      </c>
      <c r="E1134" s="42" t="s">
        <v>44</v>
      </c>
      <c r="F1134" s="53" t="s">
        <v>6396</v>
      </c>
      <c r="G1134" s="53" t="s">
        <v>47</v>
      </c>
      <c r="H1134" s="53" t="s">
        <v>48</v>
      </c>
      <c r="I1134" s="53" t="s">
        <v>401</v>
      </c>
      <c r="J1134" s="53" t="s">
        <v>6397</v>
      </c>
      <c r="K1134" s="53" t="s">
        <v>927</v>
      </c>
      <c r="L1134" s="53" t="s">
        <v>52</v>
      </c>
      <c r="M1134" s="53" t="s">
        <v>52</v>
      </c>
      <c r="N1134" s="62" t="s">
        <v>6398</v>
      </c>
      <c r="O1134" s="62" t="s">
        <v>44</v>
      </c>
      <c r="P1134" s="62" t="s">
        <v>6439</v>
      </c>
      <c r="Q1134" s="62" t="s">
        <v>6440</v>
      </c>
      <c r="R1134" s="53"/>
      <c r="S1134" s="53"/>
      <c r="T1134" s="82"/>
      <c r="U1134" s="42"/>
      <c r="V1134" s="62"/>
      <c r="W1134" s="64"/>
      <c r="X1134" s="223"/>
      <c r="Y1134" s="223"/>
      <c r="Z1134" s="223"/>
      <c r="AA1134" s="223"/>
    </row>
    <row r="1135">
      <c r="A1135" s="42">
        <f t="shared" si="3"/>
        <v>1134</v>
      </c>
      <c r="B1135" s="51" t="s">
        <v>41</v>
      </c>
      <c r="C1135" s="53" t="s">
        <v>6441</v>
      </c>
      <c r="D1135" s="42" t="s">
        <v>44</v>
      </c>
      <c r="E1135" s="42" t="s">
        <v>44</v>
      </c>
      <c r="F1135" s="53" t="s">
        <v>6396</v>
      </c>
      <c r="G1135" s="53" t="s">
        <v>47</v>
      </c>
      <c r="H1135" s="53" t="s">
        <v>48</v>
      </c>
      <c r="I1135" s="53" t="s">
        <v>401</v>
      </c>
      <c r="J1135" s="53" t="s">
        <v>6397</v>
      </c>
      <c r="K1135" s="53" t="s">
        <v>927</v>
      </c>
      <c r="L1135" s="53" t="s">
        <v>52</v>
      </c>
      <c r="M1135" s="53" t="s">
        <v>52</v>
      </c>
      <c r="N1135" s="62" t="s">
        <v>6398</v>
      </c>
      <c r="O1135" s="62" t="s">
        <v>44</v>
      </c>
      <c r="P1135" s="62" t="s">
        <v>6442</v>
      </c>
      <c r="Q1135" s="62" t="s">
        <v>6443</v>
      </c>
      <c r="R1135" s="53"/>
      <c r="S1135" s="53"/>
      <c r="T1135" s="82"/>
      <c r="U1135" s="42"/>
      <c r="V1135" s="62"/>
      <c r="W1135" s="64"/>
      <c r="X1135" s="223"/>
      <c r="Y1135" s="223"/>
      <c r="Z1135" s="223"/>
      <c r="AA1135" s="223"/>
    </row>
    <row r="1136">
      <c r="A1136" s="42">
        <f t="shared" si="3"/>
        <v>1135</v>
      </c>
      <c r="B1136" s="51" t="s">
        <v>41</v>
      </c>
      <c r="C1136" s="53" t="s">
        <v>6444</v>
      </c>
      <c r="D1136" s="42" t="s">
        <v>44</v>
      </c>
      <c r="E1136" s="42" t="s">
        <v>44</v>
      </c>
      <c r="F1136" s="53" t="s">
        <v>6396</v>
      </c>
      <c r="G1136" s="53" t="s">
        <v>47</v>
      </c>
      <c r="H1136" s="53" t="s">
        <v>48</v>
      </c>
      <c r="I1136" s="53" t="s">
        <v>401</v>
      </c>
      <c r="J1136" s="53" t="s">
        <v>6397</v>
      </c>
      <c r="K1136" s="53" t="s">
        <v>927</v>
      </c>
      <c r="L1136" s="53" t="s">
        <v>52</v>
      </c>
      <c r="M1136" s="53" t="s">
        <v>52</v>
      </c>
      <c r="N1136" s="62" t="s">
        <v>6398</v>
      </c>
      <c r="O1136" s="62" t="s">
        <v>44</v>
      </c>
      <c r="P1136" s="62" t="s">
        <v>6445</v>
      </c>
      <c r="Q1136" s="62" t="s">
        <v>6446</v>
      </c>
      <c r="R1136" s="53"/>
      <c r="S1136" s="53"/>
      <c r="T1136" s="82"/>
      <c r="U1136" s="42"/>
      <c r="V1136" s="62"/>
      <c r="W1136" s="64"/>
      <c r="X1136" s="223"/>
      <c r="Y1136" s="223"/>
      <c r="Z1136" s="223"/>
      <c r="AA1136" s="223"/>
    </row>
    <row r="1137">
      <c r="A1137" s="42">
        <f t="shared" si="3"/>
        <v>1136</v>
      </c>
      <c r="B1137" s="51" t="s">
        <v>41</v>
      </c>
      <c r="C1137" s="53" t="s">
        <v>6447</v>
      </c>
      <c r="D1137" s="42" t="s">
        <v>44</v>
      </c>
      <c r="E1137" s="42" t="s">
        <v>44</v>
      </c>
      <c r="F1137" s="53" t="s">
        <v>6396</v>
      </c>
      <c r="G1137" s="53" t="s">
        <v>47</v>
      </c>
      <c r="H1137" s="53" t="s">
        <v>48</v>
      </c>
      <c r="I1137" s="53" t="s">
        <v>401</v>
      </c>
      <c r="J1137" s="53" t="s">
        <v>6397</v>
      </c>
      <c r="K1137" s="53" t="s">
        <v>927</v>
      </c>
      <c r="L1137" s="53" t="s">
        <v>52</v>
      </c>
      <c r="M1137" s="53" t="s">
        <v>52</v>
      </c>
      <c r="N1137" s="62" t="s">
        <v>6398</v>
      </c>
      <c r="O1137" s="62" t="s">
        <v>44</v>
      </c>
      <c r="P1137" s="62" t="s">
        <v>6448</v>
      </c>
      <c r="Q1137" s="62" t="s">
        <v>6449</v>
      </c>
      <c r="R1137" s="53"/>
      <c r="S1137" s="53"/>
      <c r="T1137" s="82"/>
      <c r="U1137" s="42"/>
      <c r="V1137" s="62"/>
      <c r="W1137" s="64"/>
      <c r="X1137" s="223"/>
      <c r="Y1137" s="223"/>
      <c r="Z1137" s="223"/>
      <c r="AA1137" s="223"/>
    </row>
    <row r="1138">
      <c r="A1138" s="42">
        <f t="shared" si="3"/>
        <v>1137</v>
      </c>
      <c r="B1138" s="51" t="s">
        <v>41</v>
      </c>
      <c r="C1138" s="53" t="s">
        <v>6450</v>
      </c>
      <c r="D1138" s="42" t="s">
        <v>44</v>
      </c>
      <c r="E1138" s="42" t="s">
        <v>44</v>
      </c>
      <c r="F1138" s="53" t="s">
        <v>6396</v>
      </c>
      <c r="G1138" s="53" t="s">
        <v>47</v>
      </c>
      <c r="H1138" s="53" t="s">
        <v>48</v>
      </c>
      <c r="I1138" s="53" t="s">
        <v>401</v>
      </c>
      <c r="J1138" s="53" t="s">
        <v>6397</v>
      </c>
      <c r="K1138" s="53" t="s">
        <v>927</v>
      </c>
      <c r="L1138" s="53" t="s">
        <v>52</v>
      </c>
      <c r="M1138" s="53" t="s">
        <v>52</v>
      </c>
      <c r="N1138" s="62" t="s">
        <v>6398</v>
      </c>
      <c r="O1138" s="62" t="s">
        <v>44</v>
      </c>
      <c r="P1138" s="62" t="s">
        <v>6451</v>
      </c>
      <c r="Q1138" s="62" t="s">
        <v>6452</v>
      </c>
      <c r="R1138" s="53"/>
      <c r="S1138" s="53"/>
      <c r="T1138" s="82"/>
      <c r="U1138" s="42"/>
      <c r="V1138" s="62"/>
      <c r="W1138" s="64"/>
      <c r="X1138" s="223"/>
      <c r="Y1138" s="223"/>
      <c r="Z1138" s="223"/>
      <c r="AA1138" s="223"/>
    </row>
    <row r="1139">
      <c r="A1139" s="42">
        <f t="shared" si="3"/>
        <v>1138</v>
      </c>
      <c r="B1139" s="51" t="s">
        <v>41</v>
      </c>
      <c r="C1139" s="53" t="s">
        <v>6453</v>
      </c>
      <c r="D1139" s="42" t="s">
        <v>44</v>
      </c>
      <c r="E1139" s="42" t="s">
        <v>44</v>
      </c>
      <c r="F1139" s="53" t="s">
        <v>6396</v>
      </c>
      <c r="G1139" s="53" t="s">
        <v>111</v>
      </c>
      <c r="H1139" s="53" t="s">
        <v>91</v>
      </c>
      <c r="I1139" s="53" t="s">
        <v>401</v>
      </c>
      <c r="J1139" s="53" t="s">
        <v>6397</v>
      </c>
      <c r="K1139" s="53" t="s">
        <v>927</v>
      </c>
      <c r="L1139" s="53" t="s">
        <v>52</v>
      </c>
      <c r="M1139" s="53" t="s">
        <v>52</v>
      </c>
      <c r="N1139" s="62" t="s">
        <v>6398</v>
      </c>
      <c r="O1139" s="62" t="s">
        <v>44</v>
      </c>
      <c r="P1139" s="62" t="s">
        <v>6454</v>
      </c>
      <c r="Q1139" s="62" t="s">
        <v>6455</v>
      </c>
      <c r="R1139" s="53"/>
      <c r="S1139" s="53"/>
      <c r="T1139" s="82"/>
      <c r="U1139" s="42"/>
      <c r="V1139" s="62"/>
      <c r="W1139" s="64"/>
      <c r="X1139" s="223"/>
      <c r="Y1139" s="223"/>
      <c r="Z1139" s="223"/>
      <c r="AA1139" s="223"/>
    </row>
    <row r="1140">
      <c r="A1140" s="42">
        <f t="shared" si="3"/>
        <v>1139</v>
      </c>
      <c r="B1140" s="51" t="s">
        <v>41</v>
      </c>
      <c r="C1140" s="53" t="s">
        <v>6456</v>
      </c>
      <c r="D1140" s="42" t="s">
        <v>44</v>
      </c>
      <c r="E1140" s="42" t="s">
        <v>44</v>
      </c>
      <c r="F1140" s="53" t="s">
        <v>6396</v>
      </c>
      <c r="G1140" s="53" t="s">
        <v>47</v>
      </c>
      <c r="H1140" s="53" t="s">
        <v>48</v>
      </c>
      <c r="I1140" s="53" t="s">
        <v>401</v>
      </c>
      <c r="J1140" s="53" t="s">
        <v>6397</v>
      </c>
      <c r="K1140" s="53" t="s">
        <v>927</v>
      </c>
      <c r="L1140" s="53" t="s">
        <v>52</v>
      </c>
      <c r="M1140" s="53" t="s">
        <v>52</v>
      </c>
      <c r="N1140" s="62" t="s">
        <v>6457</v>
      </c>
      <c r="O1140" s="62" t="s">
        <v>44</v>
      </c>
      <c r="P1140" s="62" t="s">
        <v>6458</v>
      </c>
      <c r="Q1140" s="62" t="s">
        <v>6459</v>
      </c>
      <c r="R1140" s="53"/>
      <c r="S1140" s="53"/>
      <c r="T1140" s="82"/>
      <c r="U1140" s="42"/>
      <c r="V1140" s="62"/>
      <c r="W1140" s="64"/>
      <c r="X1140" s="223"/>
      <c r="Y1140" s="223"/>
      <c r="Z1140" s="223"/>
      <c r="AA1140" s="223"/>
    </row>
    <row r="1141">
      <c r="A1141" s="42">
        <f t="shared" si="3"/>
        <v>1140</v>
      </c>
      <c r="B1141" s="51" t="s">
        <v>41</v>
      </c>
      <c r="C1141" s="53" t="s">
        <v>6460</v>
      </c>
      <c r="D1141" s="42" t="s">
        <v>44</v>
      </c>
      <c r="E1141" s="42" t="s">
        <v>44</v>
      </c>
      <c r="F1141" s="53" t="s">
        <v>6396</v>
      </c>
      <c r="G1141" s="53" t="s">
        <v>47</v>
      </c>
      <c r="H1141" s="53" t="s">
        <v>48</v>
      </c>
      <c r="I1141" s="53" t="s">
        <v>401</v>
      </c>
      <c r="J1141" s="53" t="s">
        <v>6397</v>
      </c>
      <c r="K1141" s="53" t="s">
        <v>927</v>
      </c>
      <c r="L1141" s="53" t="s">
        <v>52</v>
      </c>
      <c r="M1141" s="53" t="s">
        <v>52</v>
      </c>
      <c r="N1141" s="62" t="s">
        <v>6457</v>
      </c>
      <c r="O1141" s="62" t="s">
        <v>44</v>
      </c>
      <c r="P1141" s="62" t="s">
        <v>6461</v>
      </c>
      <c r="Q1141" s="62" t="s">
        <v>6462</v>
      </c>
      <c r="R1141" s="53"/>
      <c r="S1141" s="53"/>
      <c r="T1141" s="82"/>
      <c r="U1141" s="42"/>
      <c r="V1141" s="62"/>
      <c r="W1141" s="64"/>
      <c r="X1141" s="223"/>
      <c r="Y1141" s="223"/>
      <c r="Z1141" s="223"/>
      <c r="AA1141" s="223"/>
    </row>
    <row r="1142">
      <c r="A1142" s="42">
        <f t="shared" si="3"/>
        <v>1141</v>
      </c>
      <c r="B1142" s="51" t="s">
        <v>41</v>
      </c>
      <c r="C1142" s="53" t="s">
        <v>6463</v>
      </c>
      <c r="D1142" s="42" t="s">
        <v>44</v>
      </c>
      <c r="E1142" s="42" t="s">
        <v>44</v>
      </c>
      <c r="F1142" s="53" t="s">
        <v>6396</v>
      </c>
      <c r="G1142" s="53" t="s">
        <v>47</v>
      </c>
      <c r="H1142" s="53" t="s">
        <v>48</v>
      </c>
      <c r="I1142" s="53" t="s">
        <v>401</v>
      </c>
      <c r="J1142" s="53" t="s">
        <v>6397</v>
      </c>
      <c r="K1142" s="53" t="s">
        <v>927</v>
      </c>
      <c r="L1142" s="53" t="s">
        <v>52</v>
      </c>
      <c r="M1142" s="53" t="s">
        <v>52</v>
      </c>
      <c r="N1142" s="62" t="s">
        <v>6457</v>
      </c>
      <c r="O1142" s="62" t="s">
        <v>44</v>
      </c>
      <c r="P1142" s="62" t="s">
        <v>5525</v>
      </c>
      <c r="Q1142" s="62" t="s">
        <v>6452</v>
      </c>
      <c r="R1142" s="53"/>
      <c r="S1142" s="53"/>
      <c r="T1142" s="82"/>
      <c r="U1142" s="42"/>
      <c r="V1142" s="62"/>
      <c r="W1142" s="64"/>
      <c r="X1142" s="223"/>
      <c r="Y1142" s="223"/>
      <c r="Z1142" s="223"/>
      <c r="AA1142" s="223"/>
    </row>
    <row r="1143">
      <c r="A1143" s="42">
        <f t="shared" si="3"/>
        <v>1142</v>
      </c>
      <c r="B1143" s="51" t="s">
        <v>41</v>
      </c>
      <c r="C1143" s="53" t="s">
        <v>6464</v>
      </c>
      <c r="D1143" s="42" t="s">
        <v>44</v>
      </c>
      <c r="E1143" s="42" t="s">
        <v>44</v>
      </c>
      <c r="F1143" s="53" t="s">
        <v>6396</v>
      </c>
      <c r="G1143" s="53" t="s">
        <v>47</v>
      </c>
      <c r="H1143" s="53" t="s">
        <v>95</v>
      </c>
      <c r="I1143" s="53" t="s">
        <v>401</v>
      </c>
      <c r="J1143" s="53" t="s">
        <v>6397</v>
      </c>
      <c r="K1143" s="53" t="s">
        <v>927</v>
      </c>
      <c r="L1143" s="53" t="s">
        <v>52</v>
      </c>
      <c r="M1143" s="53" t="s">
        <v>52</v>
      </c>
      <c r="N1143" s="62" t="s">
        <v>6465</v>
      </c>
      <c r="O1143" s="62" t="s">
        <v>44</v>
      </c>
      <c r="P1143" s="62" t="s">
        <v>6466</v>
      </c>
      <c r="Q1143" s="62" t="s">
        <v>6467</v>
      </c>
      <c r="R1143" s="53"/>
      <c r="S1143" s="53"/>
      <c r="T1143" s="82"/>
      <c r="U1143" s="42"/>
      <c r="V1143" s="62"/>
      <c r="W1143" s="64"/>
      <c r="X1143" s="223"/>
      <c r="Y1143" s="223"/>
      <c r="Z1143" s="223"/>
      <c r="AA1143" s="223"/>
    </row>
    <row r="1144">
      <c r="A1144" s="42">
        <f t="shared" si="3"/>
        <v>1143</v>
      </c>
      <c r="B1144" s="51" t="s">
        <v>41</v>
      </c>
      <c r="C1144" s="53" t="s">
        <v>6468</v>
      </c>
      <c r="D1144" s="42" t="s">
        <v>44</v>
      </c>
      <c r="E1144" s="42" t="s">
        <v>44</v>
      </c>
      <c r="F1144" s="53" t="s">
        <v>6396</v>
      </c>
      <c r="G1144" s="53" t="s">
        <v>47</v>
      </c>
      <c r="H1144" s="53" t="s">
        <v>95</v>
      </c>
      <c r="I1144" s="53" t="s">
        <v>401</v>
      </c>
      <c r="J1144" s="53" t="s">
        <v>6397</v>
      </c>
      <c r="K1144" s="53" t="s">
        <v>927</v>
      </c>
      <c r="L1144" s="53" t="s">
        <v>52</v>
      </c>
      <c r="M1144" s="53" t="s">
        <v>52</v>
      </c>
      <c r="N1144" s="62" t="s">
        <v>6469</v>
      </c>
      <c r="O1144" s="62" t="s">
        <v>44</v>
      </c>
      <c r="P1144" s="62" t="s">
        <v>6470</v>
      </c>
      <c r="Q1144" s="62" t="s">
        <v>6471</v>
      </c>
      <c r="R1144" s="53"/>
      <c r="S1144" s="53"/>
      <c r="T1144" s="82"/>
      <c r="U1144" s="42"/>
      <c r="V1144" s="62"/>
      <c r="W1144" s="64"/>
      <c r="X1144" s="223"/>
      <c r="Y1144" s="223"/>
      <c r="Z1144" s="223"/>
      <c r="AA1144" s="223"/>
    </row>
    <row r="1145">
      <c r="A1145" s="42">
        <f t="shared" si="3"/>
        <v>1144</v>
      </c>
      <c r="B1145" s="51" t="s">
        <v>41</v>
      </c>
      <c r="C1145" s="53" t="s">
        <v>6472</v>
      </c>
      <c r="D1145" s="42" t="s">
        <v>44</v>
      </c>
      <c r="E1145" s="42" t="s">
        <v>44</v>
      </c>
      <c r="F1145" s="53" t="s">
        <v>6396</v>
      </c>
      <c r="G1145" s="53" t="s">
        <v>47</v>
      </c>
      <c r="H1145" s="53" t="s">
        <v>95</v>
      </c>
      <c r="I1145" s="53" t="s">
        <v>401</v>
      </c>
      <c r="J1145" s="53" t="s">
        <v>6397</v>
      </c>
      <c r="K1145" s="53" t="s">
        <v>927</v>
      </c>
      <c r="L1145" s="53" t="s">
        <v>52</v>
      </c>
      <c r="M1145" s="53" t="s">
        <v>52</v>
      </c>
      <c r="N1145" s="62" t="s">
        <v>6473</v>
      </c>
      <c r="O1145" s="62" t="s">
        <v>44</v>
      </c>
      <c r="P1145" s="62" t="s">
        <v>6474</v>
      </c>
      <c r="Q1145" s="62" t="s">
        <v>6475</v>
      </c>
      <c r="R1145" s="53"/>
      <c r="S1145" s="53"/>
      <c r="T1145" s="82"/>
      <c r="U1145" s="42"/>
      <c r="V1145" s="62"/>
      <c r="W1145" s="64"/>
      <c r="X1145" s="223"/>
      <c r="Y1145" s="223"/>
      <c r="Z1145" s="223"/>
      <c r="AA1145" s="223"/>
    </row>
    <row r="1146">
      <c r="A1146" s="42">
        <f t="shared" si="3"/>
        <v>1145</v>
      </c>
      <c r="B1146" s="51" t="s">
        <v>41</v>
      </c>
      <c r="C1146" s="53" t="s">
        <v>6476</v>
      </c>
      <c r="D1146" s="42" t="s">
        <v>44</v>
      </c>
      <c r="E1146" s="42" t="s">
        <v>44</v>
      </c>
      <c r="F1146" s="53" t="s">
        <v>6396</v>
      </c>
      <c r="G1146" s="53" t="s">
        <v>47</v>
      </c>
      <c r="H1146" s="53" t="s">
        <v>48</v>
      </c>
      <c r="I1146" s="53" t="s">
        <v>401</v>
      </c>
      <c r="J1146" s="53" t="s">
        <v>6397</v>
      </c>
      <c r="K1146" s="53" t="s">
        <v>927</v>
      </c>
      <c r="L1146" s="53" t="s">
        <v>52</v>
      </c>
      <c r="M1146" s="53" t="s">
        <v>52</v>
      </c>
      <c r="N1146" s="62" t="s">
        <v>6457</v>
      </c>
      <c r="O1146" s="62" t="s">
        <v>44</v>
      </c>
      <c r="P1146" s="62" t="s">
        <v>6477</v>
      </c>
      <c r="Q1146" s="62" t="s">
        <v>6478</v>
      </c>
      <c r="R1146" s="53"/>
      <c r="S1146" s="53"/>
      <c r="T1146" s="82"/>
      <c r="U1146" s="42"/>
      <c r="V1146" s="62"/>
      <c r="W1146" s="64"/>
      <c r="X1146" s="223"/>
      <c r="Y1146" s="223"/>
      <c r="Z1146" s="223"/>
      <c r="AA1146" s="223"/>
    </row>
    <row r="1147">
      <c r="A1147" s="42">
        <f t="shared" si="3"/>
        <v>1146</v>
      </c>
      <c r="B1147" s="51" t="s">
        <v>41</v>
      </c>
      <c r="C1147" s="53" t="s">
        <v>6479</v>
      </c>
      <c r="D1147" s="42" t="s">
        <v>44</v>
      </c>
      <c r="E1147" s="42" t="s">
        <v>44</v>
      </c>
      <c r="F1147" s="53" t="s">
        <v>6396</v>
      </c>
      <c r="G1147" s="53" t="s">
        <v>47</v>
      </c>
      <c r="H1147" s="53" t="s">
        <v>48</v>
      </c>
      <c r="I1147" s="53" t="s">
        <v>401</v>
      </c>
      <c r="J1147" s="53" t="s">
        <v>6397</v>
      </c>
      <c r="K1147" s="53" t="s">
        <v>927</v>
      </c>
      <c r="L1147" s="53" t="s">
        <v>52</v>
      </c>
      <c r="M1147" s="53" t="s">
        <v>52</v>
      </c>
      <c r="N1147" s="62" t="s">
        <v>6480</v>
      </c>
      <c r="O1147" s="62" t="s">
        <v>44</v>
      </c>
      <c r="P1147" s="62" t="s">
        <v>6481</v>
      </c>
      <c r="Q1147" s="62" t="s">
        <v>6482</v>
      </c>
      <c r="R1147" s="53"/>
      <c r="S1147" s="53"/>
      <c r="T1147" s="82"/>
      <c r="U1147" s="42"/>
      <c r="V1147" s="62"/>
      <c r="W1147" s="64"/>
      <c r="X1147" s="223"/>
      <c r="Y1147" s="223"/>
      <c r="Z1147" s="223"/>
      <c r="AA1147" s="223"/>
    </row>
    <row r="1148">
      <c r="A1148" s="42">
        <f t="shared" si="3"/>
        <v>1147</v>
      </c>
      <c r="B1148" s="51" t="s">
        <v>41</v>
      </c>
      <c r="C1148" s="53" t="s">
        <v>6483</v>
      </c>
      <c r="D1148" s="42" t="s">
        <v>44</v>
      </c>
      <c r="E1148" s="42" t="s">
        <v>44</v>
      </c>
      <c r="F1148" s="53" t="s">
        <v>6396</v>
      </c>
      <c r="G1148" s="53" t="s">
        <v>111</v>
      </c>
      <c r="H1148" s="53" t="s">
        <v>91</v>
      </c>
      <c r="I1148" s="53" t="s">
        <v>401</v>
      </c>
      <c r="J1148" s="53" t="s">
        <v>6397</v>
      </c>
      <c r="K1148" s="53" t="s">
        <v>927</v>
      </c>
      <c r="L1148" s="53" t="s">
        <v>52</v>
      </c>
      <c r="M1148" s="53" t="s">
        <v>52</v>
      </c>
      <c r="N1148" s="62" t="s">
        <v>6480</v>
      </c>
      <c r="O1148" s="62" t="s">
        <v>44</v>
      </c>
      <c r="P1148" s="62" t="s">
        <v>6484</v>
      </c>
      <c r="Q1148" s="62" t="s">
        <v>6485</v>
      </c>
      <c r="R1148" s="53"/>
      <c r="S1148" s="53"/>
      <c r="T1148" s="82"/>
      <c r="U1148" s="42"/>
      <c r="V1148" s="62"/>
      <c r="W1148" s="64"/>
      <c r="X1148" s="223"/>
      <c r="Y1148" s="223"/>
      <c r="Z1148" s="223"/>
      <c r="AA1148" s="223"/>
    </row>
    <row r="1149">
      <c r="A1149" s="42">
        <f t="shared" si="3"/>
        <v>1148</v>
      </c>
      <c r="B1149" s="51" t="s">
        <v>41</v>
      </c>
      <c r="C1149" s="53" t="s">
        <v>6486</v>
      </c>
      <c r="D1149" s="42" t="s">
        <v>44</v>
      </c>
      <c r="E1149" s="42" t="s">
        <v>44</v>
      </c>
      <c r="F1149" s="53" t="s">
        <v>6396</v>
      </c>
      <c r="G1149" s="53" t="s">
        <v>47</v>
      </c>
      <c r="H1149" s="53" t="s">
        <v>48</v>
      </c>
      <c r="I1149" s="53" t="s">
        <v>401</v>
      </c>
      <c r="J1149" s="53" t="s">
        <v>6397</v>
      </c>
      <c r="K1149" s="53" t="s">
        <v>927</v>
      </c>
      <c r="L1149" s="53" t="s">
        <v>52</v>
      </c>
      <c r="M1149" s="53" t="s">
        <v>52</v>
      </c>
      <c r="N1149" s="62" t="s">
        <v>6457</v>
      </c>
      <c r="O1149" s="62" t="s">
        <v>44</v>
      </c>
      <c r="P1149" s="62" t="s">
        <v>6487</v>
      </c>
      <c r="Q1149" s="62" t="s">
        <v>6488</v>
      </c>
      <c r="R1149" s="53"/>
      <c r="S1149" s="53"/>
      <c r="T1149" s="82"/>
      <c r="U1149" s="42"/>
      <c r="V1149" s="62"/>
      <c r="W1149" s="64"/>
      <c r="X1149" s="223"/>
      <c r="Y1149" s="223"/>
      <c r="Z1149" s="223"/>
      <c r="AA1149" s="223"/>
    </row>
    <row r="1150">
      <c r="A1150" s="42">
        <f t="shared" si="3"/>
        <v>1149</v>
      </c>
      <c r="B1150" s="51" t="s">
        <v>41</v>
      </c>
      <c r="C1150" s="53" t="s">
        <v>6489</v>
      </c>
      <c r="D1150" s="42" t="s">
        <v>44</v>
      </c>
      <c r="E1150" s="42" t="s">
        <v>44</v>
      </c>
      <c r="F1150" s="53" t="s">
        <v>6396</v>
      </c>
      <c r="G1150" s="53" t="s">
        <v>47</v>
      </c>
      <c r="H1150" s="53" t="s">
        <v>48</v>
      </c>
      <c r="I1150" s="53" t="s">
        <v>401</v>
      </c>
      <c r="J1150" s="53" t="s">
        <v>6397</v>
      </c>
      <c r="K1150" s="53" t="s">
        <v>927</v>
      </c>
      <c r="L1150" s="53" t="s">
        <v>52</v>
      </c>
      <c r="M1150" s="53" t="s">
        <v>52</v>
      </c>
      <c r="N1150" s="62" t="s">
        <v>6480</v>
      </c>
      <c r="O1150" s="62" t="s">
        <v>44</v>
      </c>
      <c r="P1150" s="62" t="s">
        <v>6490</v>
      </c>
      <c r="Q1150" s="62" t="s">
        <v>6491</v>
      </c>
      <c r="R1150" s="53"/>
      <c r="S1150" s="53"/>
      <c r="T1150" s="82"/>
      <c r="U1150" s="42"/>
      <c r="V1150" s="62"/>
      <c r="W1150" s="64"/>
      <c r="X1150" s="223"/>
      <c r="Y1150" s="223"/>
      <c r="Z1150" s="223"/>
      <c r="AA1150" s="223"/>
    </row>
    <row r="1151">
      <c r="A1151" s="42">
        <f t="shared" si="3"/>
        <v>1150</v>
      </c>
      <c r="B1151" s="51" t="s">
        <v>41</v>
      </c>
      <c r="C1151" s="53" t="s">
        <v>6492</v>
      </c>
      <c r="D1151" s="42" t="s">
        <v>44</v>
      </c>
      <c r="E1151" s="42" t="s">
        <v>44</v>
      </c>
      <c r="F1151" s="53" t="s">
        <v>6396</v>
      </c>
      <c r="G1151" s="53" t="s">
        <v>47</v>
      </c>
      <c r="H1151" s="53" t="s">
        <v>91</v>
      </c>
      <c r="I1151" s="53" t="s">
        <v>401</v>
      </c>
      <c r="J1151" s="53" t="s">
        <v>6397</v>
      </c>
      <c r="K1151" s="53" t="s">
        <v>927</v>
      </c>
      <c r="L1151" s="53" t="s">
        <v>52</v>
      </c>
      <c r="M1151" s="53" t="s">
        <v>52</v>
      </c>
      <c r="N1151" s="62" t="s">
        <v>6480</v>
      </c>
      <c r="O1151" s="62" t="s">
        <v>44</v>
      </c>
      <c r="P1151" s="62" t="s">
        <v>6493</v>
      </c>
      <c r="Q1151" s="62" t="s">
        <v>6321</v>
      </c>
      <c r="R1151" s="53"/>
      <c r="S1151" s="53"/>
      <c r="T1151" s="82"/>
      <c r="U1151" s="42"/>
      <c r="V1151" s="62"/>
      <c r="W1151" s="64"/>
      <c r="X1151" s="223"/>
      <c r="Y1151" s="223"/>
      <c r="Z1151" s="223"/>
      <c r="AA1151" s="223"/>
    </row>
    <row r="1152">
      <c r="A1152" s="42">
        <f t="shared" si="3"/>
        <v>1151</v>
      </c>
      <c r="B1152" s="51" t="s">
        <v>41</v>
      </c>
      <c r="C1152" s="53" t="s">
        <v>6494</v>
      </c>
      <c r="D1152" s="42" t="s">
        <v>44</v>
      </c>
      <c r="E1152" s="42" t="s">
        <v>44</v>
      </c>
      <c r="F1152" s="53" t="s">
        <v>6396</v>
      </c>
      <c r="G1152" s="53" t="s">
        <v>47</v>
      </c>
      <c r="H1152" s="53" t="s">
        <v>48</v>
      </c>
      <c r="I1152" s="53" t="s">
        <v>401</v>
      </c>
      <c r="J1152" s="53" t="s">
        <v>6397</v>
      </c>
      <c r="K1152" s="53" t="s">
        <v>927</v>
      </c>
      <c r="L1152" s="53" t="s">
        <v>52</v>
      </c>
      <c r="M1152" s="53" t="s">
        <v>52</v>
      </c>
      <c r="N1152" s="62" t="s">
        <v>6457</v>
      </c>
      <c r="O1152" s="62" t="s">
        <v>44</v>
      </c>
      <c r="P1152" s="62" t="s">
        <v>6495</v>
      </c>
      <c r="Q1152" s="62" t="s">
        <v>6496</v>
      </c>
      <c r="R1152" s="53"/>
      <c r="S1152" s="53"/>
      <c r="T1152" s="82"/>
      <c r="U1152" s="42"/>
      <c r="V1152" s="62"/>
      <c r="W1152" s="64"/>
      <c r="X1152" s="223"/>
      <c r="Y1152" s="223"/>
      <c r="Z1152" s="223"/>
      <c r="AA1152" s="223"/>
    </row>
    <row r="1153">
      <c r="A1153" s="42">
        <f t="shared" si="3"/>
        <v>1152</v>
      </c>
      <c r="B1153" s="51" t="s">
        <v>41</v>
      </c>
      <c r="C1153" s="53" t="s">
        <v>6497</v>
      </c>
      <c r="D1153" s="42" t="s">
        <v>44</v>
      </c>
      <c r="E1153" s="42" t="s">
        <v>44</v>
      </c>
      <c r="F1153" s="53" t="s">
        <v>6396</v>
      </c>
      <c r="G1153" s="53" t="s">
        <v>47</v>
      </c>
      <c r="H1153" s="53" t="s">
        <v>48</v>
      </c>
      <c r="I1153" s="53" t="s">
        <v>401</v>
      </c>
      <c r="J1153" s="53" t="s">
        <v>6397</v>
      </c>
      <c r="K1153" s="53" t="s">
        <v>927</v>
      </c>
      <c r="L1153" s="53" t="s">
        <v>52</v>
      </c>
      <c r="M1153" s="53" t="s">
        <v>52</v>
      </c>
      <c r="N1153" s="62" t="s">
        <v>6457</v>
      </c>
      <c r="O1153" s="62" t="s">
        <v>44</v>
      </c>
      <c r="P1153" s="62" t="s">
        <v>6498</v>
      </c>
      <c r="Q1153" s="62" t="s">
        <v>6499</v>
      </c>
      <c r="R1153" s="53"/>
      <c r="S1153" s="53"/>
      <c r="T1153" s="82"/>
      <c r="U1153" s="42"/>
      <c r="V1153" s="62"/>
      <c r="W1153" s="64"/>
      <c r="X1153" s="223"/>
      <c r="Y1153" s="223"/>
      <c r="Z1153" s="223"/>
      <c r="AA1153" s="223"/>
    </row>
    <row r="1154">
      <c r="A1154" s="42">
        <f t="shared" si="3"/>
        <v>1153</v>
      </c>
      <c r="B1154" s="51" t="s">
        <v>41</v>
      </c>
      <c r="C1154" s="53" t="s">
        <v>6500</v>
      </c>
      <c r="D1154" s="42" t="s">
        <v>44</v>
      </c>
      <c r="E1154" s="42" t="s">
        <v>44</v>
      </c>
      <c r="F1154" s="53" t="s">
        <v>6396</v>
      </c>
      <c r="G1154" s="53" t="s">
        <v>47</v>
      </c>
      <c r="H1154" s="53" t="s">
        <v>48</v>
      </c>
      <c r="I1154" s="53" t="s">
        <v>401</v>
      </c>
      <c r="J1154" s="53" t="s">
        <v>6397</v>
      </c>
      <c r="K1154" s="53" t="s">
        <v>927</v>
      </c>
      <c r="L1154" s="53" t="s">
        <v>52</v>
      </c>
      <c r="M1154" s="53" t="s">
        <v>52</v>
      </c>
      <c r="N1154" s="62" t="s">
        <v>6457</v>
      </c>
      <c r="O1154" s="62" t="s">
        <v>44</v>
      </c>
      <c r="P1154" s="62" t="s">
        <v>6501</v>
      </c>
      <c r="Q1154" s="62" t="s">
        <v>6502</v>
      </c>
      <c r="R1154" s="53"/>
      <c r="S1154" s="53"/>
      <c r="T1154" s="82"/>
      <c r="U1154" s="53"/>
      <c r="V1154" s="62"/>
      <c r="W1154" s="64"/>
      <c r="X1154" s="223"/>
      <c r="Y1154" s="223"/>
      <c r="Z1154" s="223"/>
      <c r="AA1154" s="223"/>
    </row>
    <row r="1155">
      <c r="A1155" s="42">
        <f t="shared" si="3"/>
        <v>1154</v>
      </c>
      <c r="B1155" s="51" t="s">
        <v>41</v>
      </c>
      <c r="C1155" s="53" t="s">
        <v>6503</v>
      </c>
      <c r="D1155" s="42" t="s">
        <v>44</v>
      </c>
      <c r="E1155" s="42" t="s">
        <v>44</v>
      </c>
      <c r="F1155" s="53" t="s">
        <v>6396</v>
      </c>
      <c r="G1155" s="53" t="s">
        <v>47</v>
      </c>
      <c r="H1155" s="53" t="s">
        <v>48</v>
      </c>
      <c r="I1155" s="53" t="s">
        <v>401</v>
      </c>
      <c r="J1155" s="53" t="s">
        <v>6397</v>
      </c>
      <c r="K1155" s="53" t="s">
        <v>927</v>
      </c>
      <c r="L1155" s="53" t="s">
        <v>52</v>
      </c>
      <c r="M1155" s="53" t="s">
        <v>52</v>
      </c>
      <c r="N1155" s="62" t="s">
        <v>6480</v>
      </c>
      <c r="O1155" s="62" t="s">
        <v>44</v>
      </c>
      <c r="P1155" s="62" t="s">
        <v>6504</v>
      </c>
      <c r="Q1155" s="62" t="s">
        <v>6505</v>
      </c>
      <c r="R1155" s="53"/>
      <c r="S1155" s="53"/>
      <c r="T1155" s="82"/>
      <c r="U1155" s="42"/>
      <c r="V1155" s="62"/>
      <c r="W1155" s="64"/>
      <c r="X1155" s="223"/>
      <c r="Y1155" s="223"/>
      <c r="Z1155" s="223"/>
      <c r="AA1155" s="223"/>
    </row>
    <row r="1156">
      <c r="A1156" s="42">
        <f t="shared" si="3"/>
        <v>1155</v>
      </c>
      <c r="B1156" s="51" t="s">
        <v>41</v>
      </c>
      <c r="C1156" s="53" t="s">
        <v>6506</v>
      </c>
      <c r="D1156" s="42" t="s">
        <v>44</v>
      </c>
      <c r="E1156" s="42" t="s">
        <v>44</v>
      </c>
      <c r="F1156" s="53" t="s">
        <v>6396</v>
      </c>
      <c r="G1156" s="53" t="s">
        <v>47</v>
      </c>
      <c r="H1156" s="53" t="s">
        <v>48</v>
      </c>
      <c r="I1156" s="53" t="s">
        <v>401</v>
      </c>
      <c r="J1156" s="53" t="s">
        <v>6397</v>
      </c>
      <c r="K1156" s="53" t="s">
        <v>927</v>
      </c>
      <c r="L1156" s="53" t="s">
        <v>52</v>
      </c>
      <c r="M1156" s="53" t="s">
        <v>52</v>
      </c>
      <c r="N1156" s="62" t="s">
        <v>6457</v>
      </c>
      <c r="O1156" s="62" t="s">
        <v>44</v>
      </c>
      <c r="P1156" s="62" t="s">
        <v>6507</v>
      </c>
      <c r="Q1156" s="62" t="s">
        <v>6508</v>
      </c>
      <c r="R1156" s="53"/>
      <c r="S1156" s="53"/>
      <c r="T1156" s="82"/>
      <c r="U1156" s="42"/>
      <c r="V1156" s="62"/>
      <c r="W1156" s="64"/>
      <c r="X1156" s="223"/>
      <c r="Y1156" s="223"/>
      <c r="Z1156" s="223"/>
      <c r="AA1156" s="223"/>
    </row>
    <row r="1157">
      <c r="A1157" s="42">
        <f t="shared" si="3"/>
        <v>1156</v>
      </c>
      <c r="B1157" s="51" t="s">
        <v>41</v>
      </c>
      <c r="C1157" s="53" t="s">
        <v>6509</v>
      </c>
      <c r="D1157" s="42" t="s">
        <v>44</v>
      </c>
      <c r="E1157" s="42" t="s">
        <v>44</v>
      </c>
      <c r="F1157" s="53" t="s">
        <v>6396</v>
      </c>
      <c r="G1157" s="53" t="s">
        <v>47</v>
      </c>
      <c r="H1157" s="53" t="s">
        <v>48</v>
      </c>
      <c r="I1157" s="53" t="s">
        <v>401</v>
      </c>
      <c r="J1157" s="53" t="s">
        <v>6397</v>
      </c>
      <c r="K1157" s="53" t="s">
        <v>927</v>
      </c>
      <c r="L1157" s="53" t="s">
        <v>52</v>
      </c>
      <c r="M1157" s="53" t="s">
        <v>52</v>
      </c>
      <c r="N1157" s="62" t="s">
        <v>6480</v>
      </c>
      <c r="O1157" s="62" t="s">
        <v>44</v>
      </c>
      <c r="P1157" s="62" t="s">
        <v>6510</v>
      </c>
      <c r="Q1157" s="62" t="s">
        <v>6511</v>
      </c>
      <c r="R1157" s="53"/>
      <c r="S1157" s="53"/>
      <c r="T1157" s="82"/>
      <c r="U1157" s="42"/>
      <c r="V1157" s="62"/>
      <c r="W1157" s="64"/>
      <c r="X1157" s="223"/>
      <c r="Y1157" s="223"/>
      <c r="Z1157" s="223"/>
      <c r="AA1157" s="223"/>
    </row>
    <row r="1158">
      <c r="A1158" s="42">
        <f t="shared" si="3"/>
        <v>1157</v>
      </c>
      <c r="B1158" s="51" t="s">
        <v>41</v>
      </c>
      <c r="C1158" s="53" t="s">
        <v>6512</v>
      </c>
      <c r="D1158" s="42" t="s">
        <v>44</v>
      </c>
      <c r="E1158" s="42" t="s">
        <v>44</v>
      </c>
      <c r="F1158" s="53" t="s">
        <v>6396</v>
      </c>
      <c r="G1158" s="53" t="s">
        <v>47</v>
      </c>
      <c r="H1158" s="53" t="s">
        <v>91</v>
      </c>
      <c r="I1158" s="53" t="s">
        <v>401</v>
      </c>
      <c r="J1158" s="53" t="s">
        <v>6397</v>
      </c>
      <c r="K1158" s="53" t="s">
        <v>927</v>
      </c>
      <c r="L1158" s="53" t="s">
        <v>52</v>
      </c>
      <c r="M1158" s="53" t="s">
        <v>52</v>
      </c>
      <c r="N1158" s="62" t="s">
        <v>6480</v>
      </c>
      <c r="O1158" s="62" t="s">
        <v>44</v>
      </c>
      <c r="P1158" s="62" t="s">
        <v>6513</v>
      </c>
      <c r="Q1158" s="62" t="s">
        <v>6514</v>
      </c>
      <c r="R1158" s="53"/>
      <c r="S1158" s="53"/>
      <c r="T1158" s="82"/>
      <c r="U1158" s="42"/>
      <c r="V1158" s="62"/>
      <c r="W1158" s="64"/>
      <c r="X1158" s="223"/>
      <c r="Y1158" s="223"/>
      <c r="Z1158" s="223"/>
      <c r="AA1158" s="223"/>
    </row>
    <row r="1159">
      <c r="A1159" s="42">
        <f t="shared" si="3"/>
        <v>1158</v>
      </c>
      <c r="B1159" s="51" t="s">
        <v>41</v>
      </c>
      <c r="C1159" s="53" t="s">
        <v>6515</v>
      </c>
      <c r="D1159" s="42" t="s">
        <v>44</v>
      </c>
      <c r="E1159" s="42" t="s">
        <v>44</v>
      </c>
      <c r="F1159" s="53" t="s">
        <v>6396</v>
      </c>
      <c r="G1159" s="53" t="s">
        <v>47</v>
      </c>
      <c r="H1159" s="53" t="s">
        <v>48</v>
      </c>
      <c r="I1159" s="53" t="s">
        <v>401</v>
      </c>
      <c r="J1159" s="53" t="s">
        <v>6397</v>
      </c>
      <c r="K1159" s="53" t="s">
        <v>927</v>
      </c>
      <c r="L1159" s="53" t="s">
        <v>52</v>
      </c>
      <c r="M1159" s="53" t="s">
        <v>52</v>
      </c>
      <c r="N1159" s="62" t="s">
        <v>6457</v>
      </c>
      <c r="O1159" s="62" t="s">
        <v>44</v>
      </c>
      <c r="P1159" s="62" t="s">
        <v>6516</v>
      </c>
      <c r="Q1159" s="62" t="s">
        <v>6517</v>
      </c>
      <c r="R1159" s="53"/>
      <c r="S1159" s="53"/>
      <c r="T1159" s="82"/>
      <c r="U1159" s="42"/>
      <c r="V1159" s="62"/>
      <c r="W1159" s="64"/>
      <c r="X1159" s="223"/>
      <c r="Y1159" s="223"/>
      <c r="Z1159" s="223"/>
      <c r="AA1159" s="223"/>
    </row>
    <row r="1160">
      <c r="A1160" s="42">
        <f t="shared" si="3"/>
        <v>1159</v>
      </c>
      <c r="B1160" s="51" t="s">
        <v>41</v>
      </c>
      <c r="C1160" s="53" t="s">
        <v>6518</v>
      </c>
      <c r="D1160" s="42" t="s">
        <v>44</v>
      </c>
      <c r="E1160" s="42" t="s">
        <v>44</v>
      </c>
      <c r="F1160" s="53" t="s">
        <v>6396</v>
      </c>
      <c r="G1160" s="53" t="s">
        <v>47</v>
      </c>
      <c r="H1160" s="53" t="s">
        <v>48</v>
      </c>
      <c r="I1160" s="53" t="s">
        <v>401</v>
      </c>
      <c r="J1160" s="53" t="s">
        <v>6397</v>
      </c>
      <c r="K1160" s="53" t="s">
        <v>927</v>
      </c>
      <c r="L1160" s="53" t="s">
        <v>52</v>
      </c>
      <c r="M1160" s="53" t="s">
        <v>52</v>
      </c>
      <c r="N1160" s="62" t="s">
        <v>6457</v>
      </c>
      <c r="O1160" s="62" t="s">
        <v>44</v>
      </c>
      <c r="P1160" s="62" t="s">
        <v>6519</v>
      </c>
      <c r="Q1160" s="62" t="s">
        <v>6520</v>
      </c>
      <c r="R1160" s="53"/>
      <c r="S1160" s="53"/>
      <c r="T1160" s="82"/>
      <c r="U1160" s="42"/>
      <c r="V1160" s="62"/>
      <c r="W1160" s="64"/>
      <c r="X1160" s="223"/>
      <c r="Y1160" s="223"/>
      <c r="Z1160" s="223"/>
      <c r="AA1160" s="223"/>
    </row>
    <row r="1161">
      <c r="A1161" s="42">
        <f t="shared" si="3"/>
        <v>1160</v>
      </c>
      <c r="B1161" s="51" t="s">
        <v>41</v>
      </c>
      <c r="C1161" s="53" t="s">
        <v>6521</v>
      </c>
      <c r="D1161" s="42" t="s">
        <v>44</v>
      </c>
      <c r="E1161" s="42" t="s">
        <v>44</v>
      </c>
      <c r="F1161" s="53" t="s">
        <v>6396</v>
      </c>
      <c r="G1161" s="53" t="s">
        <v>47</v>
      </c>
      <c r="H1161" s="53" t="s">
        <v>48</v>
      </c>
      <c r="I1161" s="53" t="s">
        <v>401</v>
      </c>
      <c r="J1161" s="53" t="s">
        <v>6397</v>
      </c>
      <c r="K1161" s="53" t="s">
        <v>927</v>
      </c>
      <c r="L1161" s="53" t="s">
        <v>52</v>
      </c>
      <c r="M1161" s="53" t="s">
        <v>52</v>
      </c>
      <c r="N1161" s="62" t="s">
        <v>6457</v>
      </c>
      <c r="O1161" s="62" t="s">
        <v>44</v>
      </c>
      <c r="P1161" s="62" t="s">
        <v>6522</v>
      </c>
      <c r="Q1161" s="62" t="s">
        <v>6523</v>
      </c>
      <c r="R1161" s="53"/>
      <c r="S1161" s="53"/>
      <c r="T1161" s="82"/>
      <c r="U1161" s="42"/>
      <c r="V1161" s="62"/>
      <c r="W1161" s="64"/>
      <c r="X1161" s="223"/>
      <c r="Y1161" s="223"/>
      <c r="Z1161" s="223"/>
      <c r="AA1161" s="223"/>
    </row>
    <row r="1162">
      <c r="A1162" s="42">
        <f t="shared" si="3"/>
        <v>1161</v>
      </c>
      <c r="B1162" s="51" t="s">
        <v>41</v>
      </c>
      <c r="C1162" s="53" t="s">
        <v>6524</v>
      </c>
      <c r="D1162" s="42" t="s">
        <v>44</v>
      </c>
      <c r="E1162" s="42" t="s">
        <v>44</v>
      </c>
      <c r="F1162" s="53" t="s">
        <v>6396</v>
      </c>
      <c r="G1162" s="53" t="s">
        <v>47</v>
      </c>
      <c r="H1162" s="53" t="s">
        <v>91</v>
      </c>
      <c r="I1162" s="53" t="s">
        <v>401</v>
      </c>
      <c r="J1162" s="53" t="s">
        <v>6397</v>
      </c>
      <c r="K1162" s="53" t="s">
        <v>927</v>
      </c>
      <c r="L1162" s="53" t="s">
        <v>52</v>
      </c>
      <c r="M1162" s="53" t="s">
        <v>52</v>
      </c>
      <c r="N1162" s="62" t="s">
        <v>6525</v>
      </c>
      <c r="O1162" s="62" t="s">
        <v>44</v>
      </c>
      <c r="P1162" s="62" t="s">
        <v>6526</v>
      </c>
      <c r="Q1162" s="62" t="s">
        <v>6527</v>
      </c>
      <c r="R1162" s="53"/>
      <c r="S1162" s="53"/>
      <c r="T1162" s="82"/>
      <c r="U1162" s="42"/>
      <c r="V1162" s="62"/>
      <c r="W1162" s="64"/>
      <c r="X1162" s="223"/>
      <c r="Y1162" s="223"/>
      <c r="Z1162" s="223"/>
      <c r="AA1162" s="223"/>
    </row>
    <row r="1163">
      <c r="A1163" s="42">
        <f t="shared" si="3"/>
        <v>1162</v>
      </c>
      <c r="B1163" s="51" t="s">
        <v>41</v>
      </c>
      <c r="C1163" s="53" t="s">
        <v>6528</v>
      </c>
      <c r="D1163" s="42" t="s">
        <v>44</v>
      </c>
      <c r="E1163" s="42" t="s">
        <v>44</v>
      </c>
      <c r="F1163" s="53" t="s">
        <v>6396</v>
      </c>
      <c r="G1163" s="53" t="s">
        <v>111</v>
      </c>
      <c r="H1163" s="53" t="s">
        <v>91</v>
      </c>
      <c r="I1163" s="53" t="s">
        <v>401</v>
      </c>
      <c r="J1163" s="53" t="s">
        <v>6397</v>
      </c>
      <c r="K1163" s="53" t="s">
        <v>927</v>
      </c>
      <c r="L1163" s="53" t="s">
        <v>52</v>
      </c>
      <c r="M1163" s="53" t="s">
        <v>52</v>
      </c>
      <c r="N1163" s="62" t="s">
        <v>6525</v>
      </c>
      <c r="O1163" s="62" t="s">
        <v>44</v>
      </c>
      <c r="P1163" s="62" t="s">
        <v>5683</v>
      </c>
      <c r="Q1163" s="62" t="s">
        <v>6529</v>
      </c>
      <c r="R1163" s="53"/>
      <c r="S1163" s="53"/>
      <c r="T1163" s="82"/>
      <c r="U1163" s="42"/>
      <c r="V1163" s="62"/>
      <c r="W1163" s="64"/>
      <c r="X1163" s="223"/>
      <c r="Y1163" s="223"/>
      <c r="Z1163" s="223"/>
      <c r="AA1163" s="223"/>
    </row>
    <row r="1164">
      <c r="A1164" s="42">
        <f t="shared" si="3"/>
        <v>1163</v>
      </c>
      <c r="B1164" s="51" t="s">
        <v>41</v>
      </c>
      <c r="C1164" s="53" t="s">
        <v>6530</v>
      </c>
      <c r="D1164" s="42" t="s">
        <v>44</v>
      </c>
      <c r="E1164" s="42" t="s">
        <v>44</v>
      </c>
      <c r="F1164" s="53" t="s">
        <v>6396</v>
      </c>
      <c r="G1164" s="53" t="s">
        <v>47</v>
      </c>
      <c r="H1164" s="53" t="s">
        <v>48</v>
      </c>
      <c r="I1164" s="53" t="s">
        <v>401</v>
      </c>
      <c r="J1164" s="53" t="s">
        <v>6397</v>
      </c>
      <c r="K1164" s="53" t="s">
        <v>927</v>
      </c>
      <c r="L1164" s="53" t="s">
        <v>52</v>
      </c>
      <c r="M1164" s="53" t="s">
        <v>52</v>
      </c>
      <c r="N1164" s="62" t="s">
        <v>6525</v>
      </c>
      <c r="O1164" s="62" t="s">
        <v>44</v>
      </c>
      <c r="P1164" s="62" t="s">
        <v>5678</v>
      </c>
      <c r="Q1164" s="62" t="s">
        <v>5985</v>
      </c>
      <c r="R1164" s="53"/>
      <c r="S1164" s="53"/>
      <c r="T1164" s="82"/>
      <c r="U1164" s="42"/>
      <c r="V1164" s="62"/>
      <c r="W1164" s="64"/>
      <c r="X1164" s="223"/>
      <c r="Y1164" s="223"/>
      <c r="Z1164" s="223"/>
      <c r="AA1164" s="223"/>
    </row>
    <row r="1165">
      <c r="A1165" s="42">
        <f t="shared" si="3"/>
        <v>1164</v>
      </c>
      <c r="B1165" s="51" t="s">
        <v>41</v>
      </c>
      <c r="C1165" s="53" t="s">
        <v>6531</v>
      </c>
      <c r="D1165" s="42" t="s">
        <v>44</v>
      </c>
      <c r="E1165" s="42" t="s">
        <v>44</v>
      </c>
      <c r="F1165" s="53" t="s">
        <v>6396</v>
      </c>
      <c r="G1165" s="53" t="s">
        <v>111</v>
      </c>
      <c r="H1165" s="53" t="s">
        <v>91</v>
      </c>
      <c r="I1165" s="53" t="s">
        <v>401</v>
      </c>
      <c r="J1165" s="53" t="s">
        <v>6397</v>
      </c>
      <c r="K1165" s="53" t="s">
        <v>927</v>
      </c>
      <c r="L1165" s="53" t="s">
        <v>52</v>
      </c>
      <c r="M1165" s="53" t="s">
        <v>52</v>
      </c>
      <c r="N1165" s="62" t="s">
        <v>6532</v>
      </c>
      <c r="O1165" s="62" t="s">
        <v>44</v>
      </c>
      <c r="P1165" s="62" t="s">
        <v>5688</v>
      </c>
      <c r="Q1165" s="62" t="s">
        <v>1407</v>
      </c>
      <c r="R1165" s="53"/>
      <c r="S1165" s="53"/>
      <c r="T1165" s="82"/>
      <c r="U1165" s="42"/>
      <c r="V1165" s="62"/>
      <c r="W1165" s="64"/>
      <c r="X1165" s="223"/>
      <c r="Y1165" s="223"/>
      <c r="Z1165" s="223"/>
      <c r="AA1165" s="223"/>
    </row>
    <row r="1166">
      <c r="A1166" s="42">
        <f t="shared" si="3"/>
        <v>1165</v>
      </c>
      <c r="B1166" s="51" t="s">
        <v>41</v>
      </c>
      <c r="C1166" s="53" t="s">
        <v>6533</v>
      </c>
      <c r="D1166" s="42" t="s">
        <v>44</v>
      </c>
      <c r="E1166" s="42" t="s">
        <v>44</v>
      </c>
      <c r="F1166" s="53" t="s">
        <v>6396</v>
      </c>
      <c r="G1166" s="53" t="s">
        <v>47</v>
      </c>
      <c r="H1166" s="53" t="s">
        <v>95</v>
      </c>
      <c r="I1166" s="53" t="s">
        <v>401</v>
      </c>
      <c r="J1166" s="53" t="s">
        <v>6397</v>
      </c>
      <c r="K1166" s="53" t="s">
        <v>927</v>
      </c>
      <c r="L1166" s="53" t="s">
        <v>52</v>
      </c>
      <c r="M1166" s="53" t="s">
        <v>52</v>
      </c>
      <c r="N1166" s="62" t="s">
        <v>6534</v>
      </c>
      <c r="O1166" s="62" t="s">
        <v>44</v>
      </c>
      <c r="P1166" s="62" t="s">
        <v>5688</v>
      </c>
      <c r="Q1166" s="62" t="s">
        <v>6535</v>
      </c>
      <c r="R1166" s="53"/>
      <c r="S1166" s="53"/>
      <c r="T1166" s="82"/>
      <c r="U1166" s="42"/>
      <c r="V1166" s="62"/>
      <c r="W1166" s="64"/>
      <c r="X1166" s="223"/>
      <c r="Y1166" s="223"/>
      <c r="Z1166" s="223"/>
      <c r="AA1166" s="223"/>
    </row>
    <row r="1167">
      <c r="A1167" s="42">
        <f t="shared" si="3"/>
        <v>1166</v>
      </c>
      <c r="B1167" s="51" t="s">
        <v>41</v>
      </c>
      <c r="C1167" s="53" t="s">
        <v>6536</v>
      </c>
      <c r="D1167" s="42" t="s">
        <v>44</v>
      </c>
      <c r="E1167" s="42" t="s">
        <v>44</v>
      </c>
      <c r="F1167" s="53" t="s">
        <v>6396</v>
      </c>
      <c r="G1167" s="53" t="s">
        <v>47</v>
      </c>
      <c r="H1167" s="53" t="s">
        <v>48</v>
      </c>
      <c r="I1167" s="53" t="s">
        <v>401</v>
      </c>
      <c r="J1167" s="53" t="s">
        <v>6397</v>
      </c>
      <c r="K1167" s="53" t="s">
        <v>927</v>
      </c>
      <c r="L1167" s="53" t="s">
        <v>52</v>
      </c>
      <c r="M1167" s="53" t="s">
        <v>52</v>
      </c>
      <c r="N1167" s="62" t="s">
        <v>6457</v>
      </c>
      <c r="O1167" s="62" t="s">
        <v>44</v>
      </c>
      <c r="P1167" s="62" t="s">
        <v>6537</v>
      </c>
      <c r="Q1167" s="62" t="s">
        <v>6538</v>
      </c>
      <c r="R1167" s="53"/>
      <c r="S1167" s="53"/>
      <c r="T1167" s="82"/>
      <c r="U1167" s="42"/>
      <c r="V1167" s="62"/>
      <c r="W1167" s="64"/>
      <c r="X1167" s="223"/>
      <c r="Y1167" s="223"/>
      <c r="Z1167" s="223"/>
      <c r="AA1167" s="223"/>
    </row>
    <row r="1168">
      <c r="A1168" s="42">
        <f t="shared" si="3"/>
        <v>1167</v>
      </c>
      <c r="B1168" s="51" t="s">
        <v>41</v>
      </c>
      <c r="C1168" s="53" t="s">
        <v>6539</v>
      </c>
      <c r="D1168" s="42" t="s">
        <v>44</v>
      </c>
      <c r="E1168" s="42" t="s">
        <v>44</v>
      </c>
      <c r="F1168" s="53" t="s">
        <v>6396</v>
      </c>
      <c r="G1168" s="53" t="s">
        <v>47</v>
      </c>
      <c r="H1168" s="53" t="s">
        <v>48</v>
      </c>
      <c r="I1168" s="53" t="s">
        <v>401</v>
      </c>
      <c r="J1168" s="53" t="s">
        <v>6397</v>
      </c>
      <c r="K1168" s="53" t="s">
        <v>927</v>
      </c>
      <c r="L1168" s="53" t="s">
        <v>52</v>
      </c>
      <c r="M1168" s="53" t="s">
        <v>52</v>
      </c>
      <c r="N1168" s="62" t="s">
        <v>6457</v>
      </c>
      <c r="O1168" s="62" t="s">
        <v>44</v>
      </c>
      <c r="P1168" s="62" t="s">
        <v>6540</v>
      </c>
      <c r="Q1168" s="62" t="s">
        <v>6541</v>
      </c>
      <c r="R1168" s="53"/>
      <c r="S1168" s="53"/>
      <c r="T1168" s="82"/>
      <c r="U1168" s="42"/>
      <c r="V1168" s="62"/>
      <c r="W1168" s="64"/>
      <c r="X1168" s="223"/>
      <c r="Y1168" s="223"/>
      <c r="Z1168" s="223"/>
      <c r="AA1168" s="223"/>
    </row>
    <row r="1169">
      <c r="A1169" s="42">
        <f t="shared" si="3"/>
        <v>1168</v>
      </c>
      <c r="B1169" s="51" t="s">
        <v>41</v>
      </c>
      <c r="C1169" s="53" t="s">
        <v>6542</v>
      </c>
      <c r="D1169" s="42" t="s">
        <v>44</v>
      </c>
      <c r="E1169" s="42" t="s">
        <v>44</v>
      </c>
      <c r="F1169" s="53" t="s">
        <v>6396</v>
      </c>
      <c r="G1169" s="53" t="s">
        <v>47</v>
      </c>
      <c r="H1169" s="53" t="s">
        <v>48</v>
      </c>
      <c r="I1169" s="53" t="s">
        <v>401</v>
      </c>
      <c r="J1169" s="53" t="s">
        <v>6397</v>
      </c>
      <c r="K1169" s="53" t="s">
        <v>927</v>
      </c>
      <c r="L1169" s="53" t="s">
        <v>52</v>
      </c>
      <c r="M1169" s="53" t="s">
        <v>52</v>
      </c>
      <c r="N1169" s="62" t="s">
        <v>6457</v>
      </c>
      <c r="O1169" s="62" t="s">
        <v>44</v>
      </c>
      <c r="P1169" s="62" t="s">
        <v>6543</v>
      </c>
      <c r="Q1169" s="62" t="s">
        <v>6544</v>
      </c>
      <c r="R1169" s="53"/>
      <c r="S1169" s="53"/>
      <c r="T1169" s="82"/>
      <c r="U1169" s="42"/>
      <c r="V1169" s="62"/>
      <c r="W1169" s="64"/>
      <c r="X1169" s="223"/>
      <c r="Y1169" s="223"/>
      <c r="Z1169" s="223"/>
      <c r="AA1169" s="223"/>
    </row>
    <row r="1170">
      <c r="A1170" s="42">
        <f t="shared" si="3"/>
        <v>1169</v>
      </c>
      <c r="B1170" s="51" t="s">
        <v>41</v>
      </c>
      <c r="C1170" s="53" t="s">
        <v>6545</v>
      </c>
      <c r="D1170" s="42" t="s">
        <v>44</v>
      </c>
      <c r="E1170" s="42" t="s">
        <v>44</v>
      </c>
      <c r="F1170" s="53" t="s">
        <v>6396</v>
      </c>
      <c r="G1170" s="53" t="s">
        <v>47</v>
      </c>
      <c r="H1170" s="53" t="s">
        <v>48</v>
      </c>
      <c r="I1170" s="53" t="s">
        <v>401</v>
      </c>
      <c r="J1170" s="53" t="s">
        <v>6546</v>
      </c>
      <c r="K1170" s="53" t="s">
        <v>51</v>
      </c>
      <c r="L1170" s="53" t="s">
        <v>52</v>
      </c>
      <c r="M1170" s="53" t="s">
        <v>52</v>
      </c>
      <c r="N1170" s="62" t="s">
        <v>6547</v>
      </c>
      <c r="O1170" s="62" t="s">
        <v>44</v>
      </c>
      <c r="P1170" s="62" t="s">
        <v>6371</v>
      </c>
      <c r="Q1170" s="62" t="s">
        <v>6548</v>
      </c>
      <c r="R1170" s="53"/>
      <c r="S1170" s="53"/>
      <c r="T1170" s="82"/>
      <c r="U1170" s="42"/>
      <c r="V1170" s="62"/>
      <c r="W1170" s="64"/>
      <c r="X1170" s="223"/>
      <c r="Y1170" s="223"/>
      <c r="Z1170" s="223"/>
      <c r="AA1170" s="223"/>
    </row>
    <row r="1171">
      <c r="A1171" s="42">
        <f t="shared" si="3"/>
        <v>1170</v>
      </c>
      <c r="B1171" s="51" t="s">
        <v>41</v>
      </c>
      <c r="C1171" s="53" t="s">
        <v>6549</v>
      </c>
      <c r="D1171" s="42" t="s">
        <v>44</v>
      </c>
      <c r="E1171" s="42" t="s">
        <v>44</v>
      </c>
      <c r="F1171" s="53" t="s">
        <v>6396</v>
      </c>
      <c r="G1171" s="53" t="s">
        <v>47</v>
      </c>
      <c r="H1171" s="53" t="s">
        <v>48</v>
      </c>
      <c r="I1171" s="53" t="s">
        <v>401</v>
      </c>
      <c r="J1171" s="53" t="s">
        <v>6546</v>
      </c>
      <c r="K1171" s="53" t="s">
        <v>51</v>
      </c>
      <c r="L1171" s="53" t="s">
        <v>52</v>
      </c>
      <c r="M1171" s="53" t="s">
        <v>52</v>
      </c>
      <c r="N1171" s="62" t="s">
        <v>6547</v>
      </c>
      <c r="O1171" s="62" t="s">
        <v>44</v>
      </c>
      <c r="P1171" s="62" t="s">
        <v>6377</v>
      </c>
      <c r="Q1171" s="62" t="s">
        <v>6550</v>
      </c>
      <c r="R1171" s="53"/>
      <c r="S1171" s="53"/>
      <c r="T1171" s="82"/>
      <c r="U1171" s="42"/>
      <c r="V1171" s="62"/>
      <c r="W1171" s="64"/>
      <c r="X1171" s="223"/>
      <c r="Y1171" s="223"/>
      <c r="Z1171" s="223"/>
      <c r="AA1171" s="223"/>
    </row>
    <row r="1172">
      <c r="A1172" s="42">
        <f t="shared" si="3"/>
        <v>1171</v>
      </c>
      <c r="B1172" s="51" t="s">
        <v>41</v>
      </c>
      <c r="C1172" s="53" t="s">
        <v>6551</v>
      </c>
      <c r="D1172" s="42" t="s">
        <v>44</v>
      </c>
      <c r="E1172" s="42" t="s">
        <v>44</v>
      </c>
      <c r="F1172" s="53" t="s">
        <v>6396</v>
      </c>
      <c r="G1172" s="53" t="s">
        <v>47</v>
      </c>
      <c r="H1172" s="53" t="s">
        <v>48</v>
      </c>
      <c r="I1172" s="53" t="s">
        <v>401</v>
      </c>
      <c r="J1172" s="53" t="s">
        <v>6546</v>
      </c>
      <c r="K1172" s="53" t="s">
        <v>51</v>
      </c>
      <c r="L1172" s="53" t="s">
        <v>52</v>
      </c>
      <c r="M1172" s="53" t="s">
        <v>52</v>
      </c>
      <c r="N1172" s="62" t="s">
        <v>6547</v>
      </c>
      <c r="O1172" s="62" t="s">
        <v>44</v>
      </c>
      <c r="P1172" s="62" t="s">
        <v>6374</v>
      </c>
      <c r="Q1172" s="62" t="s">
        <v>6552</v>
      </c>
      <c r="R1172" s="53"/>
      <c r="S1172" s="53"/>
      <c r="T1172" s="82"/>
      <c r="U1172" s="42"/>
      <c r="V1172" s="62"/>
      <c r="W1172" s="64"/>
      <c r="X1172" s="223"/>
      <c r="Y1172" s="223"/>
      <c r="Z1172" s="223"/>
      <c r="AA1172" s="223"/>
    </row>
    <row r="1173">
      <c r="A1173" s="42">
        <f t="shared" si="3"/>
        <v>1172</v>
      </c>
      <c r="B1173" s="51" t="s">
        <v>41</v>
      </c>
      <c r="C1173" s="53" t="s">
        <v>6553</v>
      </c>
      <c r="D1173" s="42" t="s">
        <v>44</v>
      </c>
      <c r="E1173" s="42" t="s">
        <v>44</v>
      </c>
      <c r="F1173" s="53" t="s">
        <v>6396</v>
      </c>
      <c r="G1173" s="53" t="s">
        <v>47</v>
      </c>
      <c r="H1173" s="53" t="s">
        <v>48</v>
      </c>
      <c r="I1173" s="53" t="s">
        <v>401</v>
      </c>
      <c r="J1173" s="53" t="s">
        <v>6546</v>
      </c>
      <c r="K1173" s="53" t="s">
        <v>51</v>
      </c>
      <c r="L1173" s="53" t="s">
        <v>52</v>
      </c>
      <c r="M1173" s="53" t="s">
        <v>52</v>
      </c>
      <c r="N1173" s="62" t="s">
        <v>6554</v>
      </c>
      <c r="O1173" s="62" t="s">
        <v>44</v>
      </c>
      <c r="P1173" s="62" t="s">
        <v>6381</v>
      </c>
      <c r="Q1173" s="62" t="s">
        <v>6555</v>
      </c>
      <c r="R1173" s="53"/>
      <c r="S1173" s="53"/>
      <c r="T1173" s="82"/>
      <c r="U1173" s="42"/>
      <c r="V1173" s="62"/>
      <c r="W1173" s="64"/>
      <c r="X1173" s="223"/>
      <c r="Y1173" s="223"/>
      <c r="Z1173" s="223"/>
      <c r="AA1173" s="223"/>
    </row>
    <row r="1174">
      <c r="A1174" s="42">
        <f t="shared" si="3"/>
        <v>1173</v>
      </c>
      <c r="B1174" s="51" t="s">
        <v>41</v>
      </c>
      <c r="C1174" s="53" t="s">
        <v>6556</v>
      </c>
      <c r="D1174" s="42" t="s">
        <v>44</v>
      </c>
      <c r="E1174" s="42" t="s">
        <v>44</v>
      </c>
      <c r="F1174" s="53" t="s">
        <v>6396</v>
      </c>
      <c r="G1174" s="53" t="s">
        <v>47</v>
      </c>
      <c r="H1174" s="53" t="s">
        <v>48</v>
      </c>
      <c r="I1174" s="53" t="s">
        <v>401</v>
      </c>
      <c r="J1174" s="53" t="s">
        <v>6546</v>
      </c>
      <c r="K1174" s="53" t="s">
        <v>51</v>
      </c>
      <c r="L1174" s="53" t="s">
        <v>52</v>
      </c>
      <c r="M1174" s="53" t="s">
        <v>52</v>
      </c>
      <c r="N1174" s="62" t="s">
        <v>6547</v>
      </c>
      <c r="O1174" s="62" t="s">
        <v>44</v>
      </c>
      <c r="P1174" s="62" t="s">
        <v>6557</v>
      </c>
      <c r="Q1174" s="62" t="s">
        <v>6558</v>
      </c>
      <c r="R1174" s="53"/>
      <c r="S1174" s="53"/>
      <c r="T1174" s="82"/>
      <c r="U1174" s="42"/>
      <c r="V1174" s="62"/>
      <c r="W1174" s="64"/>
      <c r="X1174" s="223"/>
      <c r="Y1174" s="223"/>
      <c r="Z1174" s="223"/>
      <c r="AA1174" s="223"/>
    </row>
    <row r="1175">
      <c r="A1175" s="42">
        <f t="shared" si="3"/>
        <v>1174</v>
      </c>
      <c r="B1175" s="51" t="s">
        <v>41</v>
      </c>
      <c r="C1175" s="53" t="s">
        <v>6559</v>
      </c>
      <c r="D1175" s="42" t="s">
        <v>44</v>
      </c>
      <c r="E1175" s="42" t="s">
        <v>44</v>
      </c>
      <c r="F1175" s="53" t="s">
        <v>6396</v>
      </c>
      <c r="G1175" s="53" t="s">
        <v>47</v>
      </c>
      <c r="H1175" s="53" t="s">
        <v>48</v>
      </c>
      <c r="I1175" s="53" t="s">
        <v>401</v>
      </c>
      <c r="J1175" s="53" t="s">
        <v>6546</v>
      </c>
      <c r="K1175" s="53" t="s">
        <v>51</v>
      </c>
      <c r="L1175" s="53" t="s">
        <v>52</v>
      </c>
      <c r="M1175" s="53" t="s">
        <v>52</v>
      </c>
      <c r="N1175" s="62" t="s">
        <v>6554</v>
      </c>
      <c r="O1175" s="62" t="s">
        <v>44</v>
      </c>
      <c r="P1175" s="62" t="s">
        <v>6384</v>
      </c>
      <c r="Q1175" s="62" t="s">
        <v>6560</v>
      </c>
      <c r="R1175" s="53"/>
      <c r="S1175" s="53"/>
      <c r="T1175" s="82"/>
      <c r="U1175" s="42"/>
      <c r="V1175" s="62"/>
      <c r="W1175" s="64"/>
      <c r="X1175" s="223"/>
      <c r="Y1175" s="223"/>
      <c r="Z1175" s="223"/>
      <c r="AA1175" s="223"/>
    </row>
    <row r="1176">
      <c r="A1176" s="42">
        <f t="shared" si="3"/>
        <v>1175</v>
      </c>
      <c r="B1176" s="51" t="s">
        <v>41</v>
      </c>
      <c r="C1176" s="53" t="s">
        <v>6561</v>
      </c>
      <c r="D1176" s="42" t="s">
        <v>44</v>
      </c>
      <c r="E1176" s="42" t="s">
        <v>44</v>
      </c>
      <c r="F1176" s="53" t="s">
        <v>6396</v>
      </c>
      <c r="G1176" s="53" t="s">
        <v>85</v>
      </c>
      <c r="H1176" s="53" t="s">
        <v>86</v>
      </c>
      <c r="I1176" s="53" t="s">
        <v>401</v>
      </c>
      <c r="J1176" s="53" t="s">
        <v>6546</v>
      </c>
      <c r="K1176" s="53" t="s">
        <v>51</v>
      </c>
      <c r="L1176" s="53" t="s">
        <v>52</v>
      </c>
      <c r="M1176" s="53" t="s">
        <v>52</v>
      </c>
      <c r="N1176" s="62" t="s">
        <v>6547</v>
      </c>
      <c r="O1176" s="62" t="s">
        <v>44</v>
      </c>
      <c r="P1176" s="62" t="s">
        <v>6387</v>
      </c>
      <c r="Q1176" s="62" t="s">
        <v>5753</v>
      </c>
      <c r="R1176" s="53"/>
      <c r="S1176" s="53"/>
      <c r="T1176" s="82"/>
      <c r="U1176" s="42"/>
      <c r="V1176" s="62"/>
      <c r="W1176" s="64"/>
      <c r="X1176" s="223"/>
      <c r="Y1176" s="223"/>
      <c r="Z1176" s="223"/>
      <c r="AA1176" s="223"/>
    </row>
    <row r="1177">
      <c r="A1177" s="42">
        <f t="shared" si="3"/>
        <v>1176</v>
      </c>
      <c r="B1177" s="51" t="s">
        <v>41</v>
      </c>
      <c r="C1177" s="53" t="s">
        <v>6562</v>
      </c>
      <c r="D1177" s="42" t="s">
        <v>44</v>
      </c>
      <c r="E1177" s="42" t="s">
        <v>44</v>
      </c>
      <c r="F1177" s="53" t="s">
        <v>6563</v>
      </c>
      <c r="G1177" s="53" t="s">
        <v>111</v>
      </c>
      <c r="H1177" s="53" t="s">
        <v>112</v>
      </c>
      <c r="I1177" s="53" t="s">
        <v>401</v>
      </c>
      <c r="J1177" s="53" t="s">
        <v>6564</v>
      </c>
      <c r="K1177" s="53" t="s">
        <v>1615</v>
      </c>
      <c r="L1177" s="53" t="s">
        <v>52</v>
      </c>
      <c r="M1177" s="53" t="s">
        <v>52</v>
      </c>
      <c r="N1177" s="62" t="s">
        <v>6565</v>
      </c>
      <c r="O1177" s="62" t="s">
        <v>44</v>
      </c>
      <c r="P1177" s="62" t="s">
        <v>6399</v>
      </c>
      <c r="Q1177" s="62" t="s">
        <v>6566</v>
      </c>
      <c r="R1177" s="53"/>
      <c r="S1177" s="53"/>
      <c r="T1177" s="82"/>
      <c r="U1177" s="42"/>
      <c r="V1177" s="62"/>
      <c r="W1177" s="64"/>
      <c r="X1177" s="223"/>
      <c r="Y1177" s="223"/>
      <c r="Z1177" s="223"/>
      <c r="AA1177" s="223"/>
    </row>
    <row r="1178">
      <c r="A1178" s="42">
        <f t="shared" si="3"/>
        <v>1177</v>
      </c>
      <c r="B1178" s="51" t="s">
        <v>41</v>
      </c>
      <c r="C1178" s="53" t="s">
        <v>6567</v>
      </c>
      <c r="D1178" s="42" t="s">
        <v>44</v>
      </c>
      <c r="E1178" s="42" t="s">
        <v>44</v>
      </c>
      <c r="F1178" s="53" t="s">
        <v>6563</v>
      </c>
      <c r="G1178" s="53" t="s">
        <v>47</v>
      </c>
      <c r="H1178" s="53" t="s">
        <v>48</v>
      </c>
      <c r="I1178" s="53" t="s">
        <v>401</v>
      </c>
      <c r="J1178" s="53" t="s">
        <v>6564</v>
      </c>
      <c r="K1178" s="53" t="s">
        <v>1615</v>
      </c>
      <c r="L1178" s="53" t="s">
        <v>52</v>
      </c>
      <c r="M1178" s="53" t="s">
        <v>52</v>
      </c>
      <c r="N1178" s="62" t="s">
        <v>6568</v>
      </c>
      <c r="O1178" s="62" t="s">
        <v>44</v>
      </c>
      <c r="P1178" s="62" t="s">
        <v>5384</v>
      </c>
      <c r="Q1178" s="62" t="s">
        <v>6569</v>
      </c>
      <c r="R1178" s="53"/>
      <c r="S1178" s="53"/>
      <c r="T1178" s="82"/>
      <c r="U1178" s="42"/>
      <c r="V1178" s="62"/>
      <c r="W1178" s="64"/>
      <c r="X1178" s="223"/>
      <c r="Y1178" s="223"/>
      <c r="Z1178" s="223"/>
      <c r="AA1178" s="223"/>
    </row>
    <row r="1179">
      <c r="A1179" s="42">
        <f t="shared" si="3"/>
        <v>1178</v>
      </c>
      <c r="B1179" s="51" t="s">
        <v>41</v>
      </c>
      <c r="C1179" s="53" t="s">
        <v>6570</v>
      </c>
      <c r="D1179" s="42" t="s">
        <v>44</v>
      </c>
      <c r="E1179" s="42" t="s">
        <v>44</v>
      </c>
      <c r="F1179" s="53" t="s">
        <v>6563</v>
      </c>
      <c r="G1179" s="53" t="s">
        <v>47</v>
      </c>
      <c r="H1179" s="53" t="s">
        <v>48</v>
      </c>
      <c r="I1179" s="53" t="s">
        <v>401</v>
      </c>
      <c r="J1179" s="53" t="s">
        <v>6564</v>
      </c>
      <c r="K1179" s="53" t="s">
        <v>1615</v>
      </c>
      <c r="L1179" s="53" t="s">
        <v>52</v>
      </c>
      <c r="M1179" s="53" t="s">
        <v>52</v>
      </c>
      <c r="N1179" s="62" t="s">
        <v>6568</v>
      </c>
      <c r="O1179" s="62" t="s">
        <v>44</v>
      </c>
      <c r="P1179" s="62" t="s">
        <v>5389</v>
      </c>
      <c r="Q1179" s="62" t="s">
        <v>6571</v>
      </c>
      <c r="R1179" s="53"/>
      <c r="S1179" s="53"/>
      <c r="T1179" s="82"/>
      <c r="U1179" s="42"/>
      <c r="V1179" s="62"/>
      <c r="W1179" s="64"/>
      <c r="X1179" s="223"/>
      <c r="Y1179" s="223"/>
      <c r="Z1179" s="223"/>
      <c r="AA1179" s="223"/>
    </row>
    <row r="1180">
      <c r="A1180" s="42">
        <f t="shared" si="3"/>
        <v>1179</v>
      </c>
      <c r="B1180" s="51" t="s">
        <v>41</v>
      </c>
      <c r="C1180" s="53" t="s">
        <v>6572</v>
      </c>
      <c r="D1180" s="42" t="s">
        <v>44</v>
      </c>
      <c r="E1180" s="42" t="s">
        <v>44</v>
      </c>
      <c r="F1180" s="53" t="s">
        <v>6563</v>
      </c>
      <c r="G1180" s="53" t="s">
        <v>47</v>
      </c>
      <c r="H1180" s="53" t="s">
        <v>48</v>
      </c>
      <c r="I1180" s="53" t="s">
        <v>401</v>
      </c>
      <c r="J1180" s="53" t="s">
        <v>6564</v>
      </c>
      <c r="K1180" s="53" t="s">
        <v>1615</v>
      </c>
      <c r="L1180" s="53" t="s">
        <v>52</v>
      </c>
      <c r="M1180" s="53" t="s">
        <v>52</v>
      </c>
      <c r="N1180" s="62" t="s">
        <v>6568</v>
      </c>
      <c r="O1180" s="62" t="s">
        <v>44</v>
      </c>
      <c r="P1180" s="62" t="s">
        <v>6573</v>
      </c>
      <c r="Q1180" s="62" t="s">
        <v>6574</v>
      </c>
      <c r="R1180" s="53"/>
      <c r="S1180" s="53"/>
      <c r="T1180" s="82"/>
      <c r="U1180" s="42"/>
      <c r="V1180" s="62"/>
      <c r="W1180" s="64"/>
      <c r="X1180" s="223"/>
      <c r="Y1180" s="223"/>
      <c r="Z1180" s="223"/>
      <c r="AA1180" s="223"/>
    </row>
    <row r="1181">
      <c r="A1181" s="42">
        <f t="shared" si="3"/>
        <v>1180</v>
      </c>
      <c r="B1181" s="51" t="s">
        <v>41</v>
      </c>
      <c r="C1181" s="53" t="s">
        <v>6575</v>
      </c>
      <c r="D1181" s="42" t="s">
        <v>44</v>
      </c>
      <c r="E1181" s="42" t="s">
        <v>44</v>
      </c>
      <c r="F1181" s="53" t="s">
        <v>6563</v>
      </c>
      <c r="G1181" s="53" t="s">
        <v>47</v>
      </c>
      <c r="H1181" s="53" t="s">
        <v>48</v>
      </c>
      <c r="I1181" s="53" t="s">
        <v>401</v>
      </c>
      <c r="J1181" s="53" t="s">
        <v>6564</v>
      </c>
      <c r="K1181" s="53" t="s">
        <v>1615</v>
      </c>
      <c r="L1181" s="53" t="s">
        <v>52</v>
      </c>
      <c r="M1181" s="53" t="s">
        <v>52</v>
      </c>
      <c r="N1181" s="62" t="s">
        <v>6568</v>
      </c>
      <c r="O1181" s="62" t="s">
        <v>44</v>
      </c>
      <c r="P1181" s="62" t="s">
        <v>6576</v>
      </c>
      <c r="Q1181" s="62" t="s">
        <v>6577</v>
      </c>
      <c r="R1181" s="53"/>
      <c r="S1181" s="53"/>
      <c r="T1181" s="82"/>
      <c r="U1181" s="42"/>
      <c r="V1181" s="62"/>
      <c r="W1181" s="64"/>
      <c r="X1181" s="223"/>
      <c r="Y1181" s="223"/>
      <c r="Z1181" s="223"/>
      <c r="AA1181" s="223"/>
    </row>
    <row r="1182">
      <c r="A1182" s="42">
        <f t="shared" si="3"/>
        <v>1181</v>
      </c>
      <c r="B1182" s="51" t="s">
        <v>41</v>
      </c>
      <c r="C1182" s="53" t="s">
        <v>6578</v>
      </c>
      <c r="D1182" s="42" t="s">
        <v>44</v>
      </c>
      <c r="E1182" s="42" t="s">
        <v>44</v>
      </c>
      <c r="F1182" s="53" t="s">
        <v>6563</v>
      </c>
      <c r="G1182" s="53" t="s">
        <v>47</v>
      </c>
      <c r="H1182" s="53" t="s">
        <v>48</v>
      </c>
      <c r="I1182" s="53" t="s">
        <v>401</v>
      </c>
      <c r="J1182" s="53" t="s">
        <v>6564</v>
      </c>
      <c r="K1182" s="53" t="s">
        <v>1615</v>
      </c>
      <c r="L1182" s="53" t="s">
        <v>52</v>
      </c>
      <c r="M1182" s="53" t="s">
        <v>52</v>
      </c>
      <c r="N1182" s="62" t="s">
        <v>6568</v>
      </c>
      <c r="O1182" s="62" t="s">
        <v>44</v>
      </c>
      <c r="P1182" s="62" t="s">
        <v>6082</v>
      </c>
      <c r="Q1182" s="62" t="s">
        <v>6083</v>
      </c>
      <c r="R1182" s="53"/>
      <c r="S1182" s="53"/>
      <c r="T1182" s="82"/>
      <c r="U1182" s="42"/>
      <c r="V1182" s="62"/>
      <c r="W1182" s="64"/>
      <c r="X1182" s="223"/>
      <c r="Y1182" s="223"/>
      <c r="Z1182" s="223"/>
      <c r="AA1182" s="223"/>
    </row>
    <row r="1183">
      <c r="A1183" s="42">
        <f t="shared" si="3"/>
        <v>1182</v>
      </c>
      <c r="B1183" s="51" t="s">
        <v>41</v>
      </c>
      <c r="C1183" s="53" t="s">
        <v>6579</v>
      </c>
      <c r="D1183" s="42" t="s">
        <v>44</v>
      </c>
      <c r="E1183" s="42" t="s">
        <v>44</v>
      </c>
      <c r="F1183" s="53" t="s">
        <v>6563</v>
      </c>
      <c r="G1183" s="53" t="s">
        <v>47</v>
      </c>
      <c r="H1183" s="53" t="s">
        <v>48</v>
      </c>
      <c r="I1183" s="53" t="s">
        <v>401</v>
      </c>
      <c r="J1183" s="53" t="s">
        <v>6564</v>
      </c>
      <c r="K1183" s="53" t="s">
        <v>1615</v>
      </c>
      <c r="L1183" s="53" t="s">
        <v>52</v>
      </c>
      <c r="M1183" s="53" t="s">
        <v>52</v>
      </c>
      <c r="N1183" s="62" t="s">
        <v>6568</v>
      </c>
      <c r="O1183" s="62" t="s">
        <v>44</v>
      </c>
      <c r="P1183" s="62" t="s">
        <v>6085</v>
      </c>
      <c r="Q1183" s="62" t="s">
        <v>6241</v>
      </c>
      <c r="R1183" s="53"/>
      <c r="S1183" s="53"/>
      <c r="T1183" s="82"/>
      <c r="U1183" s="42"/>
      <c r="V1183" s="62"/>
      <c r="W1183" s="64"/>
      <c r="X1183" s="223"/>
      <c r="Y1183" s="223"/>
      <c r="Z1183" s="223"/>
      <c r="AA1183" s="223"/>
    </row>
    <row r="1184">
      <c r="A1184" s="42">
        <f t="shared" si="3"/>
        <v>1183</v>
      </c>
      <c r="B1184" s="51" t="s">
        <v>41</v>
      </c>
      <c r="C1184" s="53" t="s">
        <v>6580</v>
      </c>
      <c r="D1184" s="42" t="s">
        <v>44</v>
      </c>
      <c r="E1184" s="42" t="s">
        <v>44</v>
      </c>
      <c r="F1184" s="53" t="s">
        <v>6563</v>
      </c>
      <c r="G1184" s="53" t="s">
        <v>47</v>
      </c>
      <c r="H1184" s="53" t="s">
        <v>48</v>
      </c>
      <c r="I1184" s="53" t="s">
        <v>401</v>
      </c>
      <c r="J1184" s="53" t="s">
        <v>6564</v>
      </c>
      <c r="K1184" s="53" t="s">
        <v>1615</v>
      </c>
      <c r="L1184" s="53" t="s">
        <v>52</v>
      </c>
      <c r="M1184" s="53" t="s">
        <v>52</v>
      </c>
      <c r="N1184" s="62" t="s">
        <v>6581</v>
      </c>
      <c r="O1184" s="62" t="s">
        <v>44</v>
      </c>
      <c r="P1184" s="62" t="s">
        <v>6429</v>
      </c>
      <c r="Q1184" s="62" t="s">
        <v>6430</v>
      </c>
      <c r="R1184" s="53"/>
      <c r="S1184" s="53"/>
      <c r="T1184" s="82"/>
      <c r="U1184" s="42"/>
      <c r="V1184" s="62"/>
      <c r="W1184" s="64"/>
      <c r="X1184" s="223"/>
      <c r="Y1184" s="223"/>
      <c r="Z1184" s="223"/>
      <c r="AA1184" s="223"/>
    </row>
    <row r="1185">
      <c r="A1185" s="42">
        <f t="shared" si="3"/>
        <v>1184</v>
      </c>
      <c r="B1185" s="51" t="s">
        <v>41</v>
      </c>
      <c r="C1185" s="53" t="s">
        <v>6582</v>
      </c>
      <c r="D1185" s="42" t="s">
        <v>44</v>
      </c>
      <c r="E1185" s="42" t="s">
        <v>44</v>
      </c>
      <c r="F1185" s="53" t="s">
        <v>6563</v>
      </c>
      <c r="G1185" s="53" t="s">
        <v>47</v>
      </c>
      <c r="H1185" s="53" t="s">
        <v>48</v>
      </c>
      <c r="I1185" s="53" t="s">
        <v>401</v>
      </c>
      <c r="J1185" s="53" t="s">
        <v>6564</v>
      </c>
      <c r="K1185" s="53" t="s">
        <v>1615</v>
      </c>
      <c r="L1185" s="53" t="s">
        <v>52</v>
      </c>
      <c r="M1185" s="53" t="s">
        <v>52</v>
      </c>
      <c r="N1185" s="62" t="s">
        <v>6568</v>
      </c>
      <c r="O1185" s="62" t="s">
        <v>44</v>
      </c>
      <c r="P1185" s="62" t="s">
        <v>5448</v>
      </c>
      <c r="Q1185" s="62" t="s">
        <v>5763</v>
      </c>
      <c r="R1185" s="53"/>
      <c r="S1185" s="53"/>
      <c r="T1185" s="82"/>
      <c r="U1185" s="42"/>
      <c r="V1185" s="62"/>
      <c r="W1185" s="64"/>
      <c r="X1185" s="223"/>
      <c r="Y1185" s="223"/>
      <c r="Z1185" s="223"/>
      <c r="AA1185" s="223"/>
    </row>
    <row r="1186">
      <c r="A1186" s="42">
        <f t="shared" si="3"/>
        <v>1185</v>
      </c>
      <c r="B1186" s="51" t="s">
        <v>41</v>
      </c>
      <c r="C1186" s="53" t="s">
        <v>6583</v>
      </c>
      <c r="D1186" s="42" t="s">
        <v>44</v>
      </c>
      <c r="E1186" s="42" t="s">
        <v>44</v>
      </c>
      <c r="F1186" s="53" t="s">
        <v>6563</v>
      </c>
      <c r="G1186" s="53" t="s">
        <v>47</v>
      </c>
      <c r="H1186" s="53" t="s">
        <v>48</v>
      </c>
      <c r="I1186" s="53" t="s">
        <v>401</v>
      </c>
      <c r="J1186" s="53" t="s">
        <v>6564</v>
      </c>
      <c r="K1186" s="53" t="s">
        <v>1615</v>
      </c>
      <c r="L1186" s="53" t="s">
        <v>52</v>
      </c>
      <c r="M1186" s="53" t="s">
        <v>52</v>
      </c>
      <c r="N1186" s="62" t="s">
        <v>6568</v>
      </c>
      <c r="O1186" s="62" t="s">
        <v>44</v>
      </c>
      <c r="P1186" s="62" t="s">
        <v>1002</v>
      </c>
      <c r="Q1186" s="62" t="s">
        <v>6246</v>
      </c>
      <c r="R1186" s="53"/>
      <c r="S1186" s="53"/>
      <c r="T1186" s="82"/>
      <c r="U1186" s="42"/>
      <c r="V1186" s="62"/>
      <c r="W1186" s="64"/>
      <c r="X1186" s="223"/>
      <c r="Y1186" s="223"/>
      <c r="Z1186" s="223"/>
      <c r="AA1186" s="223"/>
    </row>
    <row r="1187">
      <c r="A1187" s="42">
        <f t="shared" si="3"/>
        <v>1186</v>
      </c>
      <c r="B1187" s="51" t="s">
        <v>41</v>
      </c>
      <c r="C1187" s="53" t="s">
        <v>6584</v>
      </c>
      <c r="D1187" s="42" t="s">
        <v>44</v>
      </c>
      <c r="E1187" s="42" t="s">
        <v>44</v>
      </c>
      <c r="F1187" s="53" t="s">
        <v>6563</v>
      </c>
      <c r="G1187" s="53" t="s">
        <v>47</v>
      </c>
      <c r="H1187" s="53" t="s">
        <v>48</v>
      </c>
      <c r="I1187" s="53" t="s">
        <v>401</v>
      </c>
      <c r="J1187" s="53" t="s">
        <v>6564</v>
      </c>
      <c r="K1187" s="53" t="s">
        <v>1615</v>
      </c>
      <c r="L1187" s="53" t="s">
        <v>52</v>
      </c>
      <c r="M1187" s="53" t="s">
        <v>52</v>
      </c>
      <c r="N1187" s="62" t="s">
        <v>6568</v>
      </c>
      <c r="O1187" s="62" t="s">
        <v>44</v>
      </c>
      <c r="P1187" s="62" t="s">
        <v>1009</v>
      </c>
      <c r="Q1187" s="62" t="s">
        <v>6434</v>
      </c>
      <c r="R1187" s="53"/>
      <c r="S1187" s="53"/>
      <c r="T1187" s="82"/>
      <c r="U1187" s="42"/>
      <c r="V1187" s="62"/>
      <c r="W1187" s="64"/>
      <c r="X1187" s="223"/>
      <c r="Y1187" s="223"/>
      <c r="Z1187" s="223"/>
      <c r="AA1187" s="223"/>
    </row>
    <row r="1188">
      <c r="A1188" s="42">
        <f t="shared" si="3"/>
        <v>1187</v>
      </c>
      <c r="B1188" s="51" t="s">
        <v>41</v>
      </c>
      <c r="C1188" s="53" t="s">
        <v>6585</v>
      </c>
      <c r="D1188" s="42" t="s">
        <v>44</v>
      </c>
      <c r="E1188" s="42" t="s">
        <v>44</v>
      </c>
      <c r="F1188" s="53" t="s">
        <v>6563</v>
      </c>
      <c r="G1188" s="53" t="s">
        <v>47</v>
      </c>
      <c r="H1188" s="53" t="s">
        <v>48</v>
      </c>
      <c r="I1188" s="53" t="s">
        <v>401</v>
      </c>
      <c r="J1188" s="53" t="s">
        <v>6564</v>
      </c>
      <c r="K1188" s="53" t="s">
        <v>1615</v>
      </c>
      <c r="L1188" s="53" t="s">
        <v>52</v>
      </c>
      <c r="M1188" s="53" t="s">
        <v>52</v>
      </c>
      <c r="N1188" s="62" t="s">
        <v>6568</v>
      </c>
      <c r="O1188" s="62" t="s">
        <v>44</v>
      </c>
      <c r="P1188" s="62" t="s">
        <v>6586</v>
      </c>
      <c r="Q1188" s="62" t="s">
        <v>6587</v>
      </c>
      <c r="R1188" s="53"/>
      <c r="S1188" s="53"/>
      <c r="T1188" s="82"/>
      <c r="U1188" s="42"/>
      <c r="V1188" s="62"/>
      <c r="W1188" s="64"/>
      <c r="X1188" s="223"/>
      <c r="Y1188" s="223"/>
      <c r="Z1188" s="223"/>
      <c r="AA1188" s="223"/>
    </row>
    <row r="1189">
      <c r="A1189" s="42">
        <f t="shared" si="3"/>
        <v>1188</v>
      </c>
      <c r="B1189" s="51" t="s">
        <v>41</v>
      </c>
      <c r="C1189" s="53" t="s">
        <v>6588</v>
      </c>
      <c r="D1189" s="42" t="s">
        <v>44</v>
      </c>
      <c r="E1189" s="42" t="s">
        <v>44</v>
      </c>
      <c r="F1189" s="53" t="s">
        <v>6563</v>
      </c>
      <c r="G1189" s="53" t="s">
        <v>47</v>
      </c>
      <c r="H1189" s="53" t="s">
        <v>48</v>
      </c>
      <c r="I1189" s="53" t="s">
        <v>401</v>
      </c>
      <c r="J1189" s="53" t="s">
        <v>6564</v>
      </c>
      <c r="K1189" s="53" t="s">
        <v>1615</v>
      </c>
      <c r="L1189" s="53" t="s">
        <v>52</v>
      </c>
      <c r="M1189" s="53" t="s">
        <v>52</v>
      </c>
      <c r="N1189" s="62" t="s">
        <v>6568</v>
      </c>
      <c r="O1189" s="62" t="s">
        <v>44</v>
      </c>
      <c r="P1189" s="62" t="s">
        <v>5774</v>
      </c>
      <c r="Q1189" s="62" t="s">
        <v>6589</v>
      </c>
      <c r="R1189" s="53"/>
      <c r="S1189" s="53"/>
      <c r="T1189" s="82"/>
      <c r="U1189" s="53"/>
      <c r="V1189" s="62"/>
      <c r="W1189" s="64"/>
      <c r="X1189" s="223"/>
      <c r="Y1189" s="223"/>
      <c r="Z1189" s="223"/>
      <c r="AA1189" s="223"/>
    </row>
    <row r="1190">
      <c r="A1190" s="42">
        <f t="shared" si="3"/>
        <v>1189</v>
      </c>
      <c r="B1190" s="51" t="s">
        <v>41</v>
      </c>
      <c r="C1190" s="53" t="s">
        <v>6590</v>
      </c>
      <c r="D1190" s="42" t="s">
        <v>44</v>
      </c>
      <c r="E1190" s="42" t="s">
        <v>44</v>
      </c>
      <c r="F1190" s="53" t="s">
        <v>6563</v>
      </c>
      <c r="G1190" s="53" t="s">
        <v>47</v>
      </c>
      <c r="H1190" s="53" t="s">
        <v>48</v>
      </c>
      <c r="I1190" s="53" t="s">
        <v>401</v>
      </c>
      <c r="J1190" s="53" t="s">
        <v>6564</v>
      </c>
      <c r="K1190" s="53" t="s">
        <v>1615</v>
      </c>
      <c r="L1190" s="53" t="s">
        <v>52</v>
      </c>
      <c r="M1190" s="53" t="s">
        <v>52</v>
      </c>
      <c r="N1190" s="62" t="s">
        <v>6568</v>
      </c>
      <c r="O1190" s="62" t="s">
        <v>44</v>
      </c>
      <c r="P1190" s="62" t="s">
        <v>6591</v>
      </c>
      <c r="Q1190" s="62" t="s">
        <v>6592</v>
      </c>
      <c r="R1190" s="53"/>
      <c r="S1190" s="53"/>
      <c r="T1190" s="82"/>
      <c r="U1190" s="42"/>
      <c r="V1190" s="62"/>
      <c r="W1190" s="64"/>
      <c r="X1190" s="223"/>
      <c r="Y1190" s="223"/>
      <c r="Z1190" s="223"/>
      <c r="AA1190" s="223"/>
    </row>
    <row r="1191">
      <c r="A1191" s="42">
        <f t="shared" si="3"/>
        <v>1190</v>
      </c>
      <c r="B1191" s="51" t="s">
        <v>41</v>
      </c>
      <c r="C1191" s="53" t="s">
        <v>6593</v>
      </c>
      <c r="D1191" s="42" t="s">
        <v>44</v>
      </c>
      <c r="E1191" s="42" t="s">
        <v>44</v>
      </c>
      <c r="F1191" s="53" t="s">
        <v>6563</v>
      </c>
      <c r="G1191" s="53" t="s">
        <v>47</v>
      </c>
      <c r="H1191" s="53" t="s">
        <v>48</v>
      </c>
      <c r="I1191" s="53" t="s">
        <v>401</v>
      </c>
      <c r="J1191" s="53" t="s">
        <v>6564</v>
      </c>
      <c r="K1191" s="53" t="s">
        <v>1615</v>
      </c>
      <c r="L1191" s="53" t="s">
        <v>52</v>
      </c>
      <c r="M1191" s="53" t="s">
        <v>52</v>
      </c>
      <c r="N1191" s="62" t="s">
        <v>6568</v>
      </c>
      <c r="O1191" s="62" t="s">
        <v>44</v>
      </c>
      <c r="P1191" s="62" t="s">
        <v>6594</v>
      </c>
      <c r="Q1191" s="62" t="s">
        <v>6595</v>
      </c>
      <c r="R1191" s="53"/>
      <c r="S1191" s="53"/>
      <c r="T1191" s="82"/>
      <c r="U1191" s="42"/>
      <c r="V1191" s="62"/>
      <c r="W1191" s="64"/>
      <c r="X1191" s="223"/>
      <c r="Y1191" s="223"/>
      <c r="Z1191" s="223"/>
      <c r="AA1191" s="223"/>
    </row>
    <row r="1192">
      <c r="A1192" s="42">
        <f t="shared" si="3"/>
        <v>1191</v>
      </c>
      <c r="B1192" s="51" t="s">
        <v>41</v>
      </c>
      <c r="C1192" s="53" t="s">
        <v>6596</v>
      </c>
      <c r="D1192" s="42" t="s">
        <v>44</v>
      </c>
      <c r="E1192" s="42" t="s">
        <v>44</v>
      </c>
      <c r="F1192" s="53" t="s">
        <v>6563</v>
      </c>
      <c r="G1192" s="53" t="s">
        <v>47</v>
      </c>
      <c r="H1192" s="53" t="s">
        <v>48</v>
      </c>
      <c r="I1192" s="53" t="s">
        <v>401</v>
      </c>
      <c r="J1192" s="53" t="s">
        <v>6564</v>
      </c>
      <c r="K1192" s="53" t="s">
        <v>1615</v>
      </c>
      <c r="L1192" s="53" t="s">
        <v>52</v>
      </c>
      <c r="M1192" s="53" t="s">
        <v>52</v>
      </c>
      <c r="N1192" s="62" t="s">
        <v>6597</v>
      </c>
      <c r="O1192" s="62" t="s">
        <v>44</v>
      </c>
      <c r="P1192" s="62" t="s">
        <v>6598</v>
      </c>
      <c r="Q1192" s="62" t="s">
        <v>6599</v>
      </c>
      <c r="R1192" s="53"/>
      <c r="S1192" s="53"/>
      <c r="T1192" s="82"/>
      <c r="U1192" s="42"/>
      <c r="V1192" s="62"/>
      <c r="W1192" s="64"/>
      <c r="X1192" s="223"/>
      <c r="Y1192" s="223"/>
      <c r="Z1192" s="223"/>
      <c r="AA1192" s="223"/>
    </row>
    <row r="1193">
      <c r="A1193" s="42">
        <f t="shared" si="3"/>
        <v>1192</v>
      </c>
      <c r="B1193" s="51" t="s">
        <v>41</v>
      </c>
      <c r="C1193" s="53" t="s">
        <v>6600</v>
      </c>
      <c r="D1193" s="42" t="s">
        <v>44</v>
      </c>
      <c r="E1193" s="42" t="s">
        <v>44</v>
      </c>
      <c r="F1193" s="53" t="s">
        <v>6563</v>
      </c>
      <c r="G1193" s="53" t="s">
        <v>47</v>
      </c>
      <c r="H1193" s="53" t="s">
        <v>48</v>
      </c>
      <c r="I1193" s="53" t="s">
        <v>401</v>
      </c>
      <c r="J1193" s="53" t="s">
        <v>6564</v>
      </c>
      <c r="K1193" s="53" t="s">
        <v>1615</v>
      </c>
      <c r="L1193" s="53" t="s">
        <v>52</v>
      </c>
      <c r="M1193" s="53" t="s">
        <v>52</v>
      </c>
      <c r="N1193" s="62" t="s">
        <v>6568</v>
      </c>
      <c r="O1193" s="62" t="s">
        <v>44</v>
      </c>
      <c r="P1193" s="62" t="s">
        <v>6601</v>
      </c>
      <c r="Q1193" s="62" t="s">
        <v>6602</v>
      </c>
      <c r="R1193" s="53"/>
      <c r="S1193" s="53"/>
      <c r="T1193" s="82"/>
      <c r="U1193" s="42"/>
      <c r="V1193" s="62"/>
      <c r="W1193" s="64"/>
      <c r="X1193" s="223"/>
      <c r="Y1193" s="223"/>
      <c r="Z1193" s="223"/>
      <c r="AA1193" s="223"/>
    </row>
    <row r="1194">
      <c r="A1194" s="42">
        <f t="shared" si="3"/>
        <v>1193</v>
      </c>
      <c r="B1194" s="51" t="s">
        <v>41</v>
      </c>
      <c r="C1194" s="53" t="s">
        <v>6603</v>
      </c>
      <c r="D1194" s="42" t="s">
        <v>44</v>
      </c>
      <c r="E1194" s="42" t="s">
        <v>44</v>
      </c>
      <c r="F1194" s="53" t="s">
        <v>6563</v>
      </c>
      <c r="G1194" s="53" t="s">
        <v>47</v>
      </c>
      <c r="H1194" s="53" t="s">
        <v>48</v>
      </c>
      <c r="I1194" s="53" t="s">
        <v>401</v>
      </c>
      <c r="J1194" s="53" t="s">
        <v>6564</v>
      </c>
      <c r="K1194" s="53" t="s">
        <v>1615</v>
      </c>
      <c r="L1194" s="53" t="s">
        <v>52</v>
      </c>
      <c r="M1194" s="53" t="s">
        <v>52</v>
      </c>
      <c r="N1194" s="62" t="s">
        <v>6568</v>
      </c>
      <c r="O1194" s="62" t="s">
        <v>44</v>
      </c>
      <c r="P1194" s="62" t="s">
        <v>6604</v>
      </c>
      <c r="Q1194" s="62" t="s">
        <v>3777</v>
      </c>
      <c r="R1194" s="53"/>
      <c r="S1194" s="53"/>
      <c r="T1194" s="82"/>
      <c r="U1194" s="42"/>
      <c r="V1194" s="62"/>
      <c r="W1194" s="64"/>
      <c r="X1194" s="223"/>
      <c r="Y1194" s="223"/>
      <c r="Z1194" s="223"/>
      <c r="AA1194" s="223"/>
    </row>
    <row r="1195">
      <c r="A1195" s="42">
        <f t="shared" si="3"/>
        <v>1194</v>
      </c>
      <c r="B1195" s="51" t="s">
        <v>41</v>
      </c>
      <c r="C1195" s="53" t="s">
        <v>6605</v>
      </c>
      <c r="D1195" s="42" t="s">
        <v>44</v>
      </c>
      <c r="E1195" s="42" t="s">
        <v>44</v>
      </c>
      <c r="F1195" s="53" t="s">
        <v>6563</v>
      </c>
      <c r="G1195" s="53" t="s">
        <v>47</v>
      </c>
      <c r="H1195" s="53" t="s">
        <v>48</v>
      </c>
      <c r="I1195" s="53" t="s">
        <v>401</v>
      </c>
      <c r="J1195" s="53" t="s">
        <v>6564</v>
      </c>
      <c r="K1195" s="53" t="s">
        <v>1615</v>
      </c>
      <c r="L1195" s="53" t="s">
        <v>52</v>
      </c>
      <c r="M1195" s="53" t="s">
        <v>52</v>
      </c>
      <c r="N1195" s="62" t="s">
        <v>6568</v>
      </c>
      <c r="O1195" s="62" t="s">
        <v>44</v>
      </c>
      <c r="P1195" s="62" t="s">
        <v>1685</v>
      </c>
      <c r="Q1195" s="62" t="s">
        <v>6606</v>
      </c>
      <c r="R1195" s="53"/>
      <c r="S1195" s="53"/>
      <c r="T1195" s="82"/>
      <c r="U1195" s="42"/>
      <c r="V1195" s="62"/>
      <c r="W1195" s="64"/>
      <c r="X1195" s="223"/>
      <c r="Y1195" s="223"/>
      <c r="Z1195" s="223"/>
      <c r="AA1195" s="223"/>
    </row>
    <row r="1196">
      <c r="A1196" s="42">
        <f t="shared" si="3"/>
        <v>1195</v>
      </c>
      <c r="B1196" s="51" t="s">
        <v>41</v>
      </c>
      <c r="C1196" s="53" t="s">
        <v>6607</v>
      </c>
      <c r="D1196" s="42" t="s">
        <v>44</v>
      </c>
      <c r="E1196" s="42" t="s">
        <v>44</v>
      </c>
      <c r="F1196" s="53" t="s">
        <v>6563</v>
      </c>
      <c r="G1196" s="53" t="s">
        <v>47</v>
      </c>
      <c r="H1196" s="53" t="s">
        <v>48</v>
      </c>
      <c r="I1196" s="53" t="s">
        <v>401</v>
      </c>
      <c r="J1196" s="53" t="s">
        <v>6564</v>
      </c>
      <c r="K1196" s="53" t="s">
        <v>1615</v>
      </c>
      <c r="L1196" s="53" t="s">
        <v>52</v>
      </c>
      <c r="M1196" s="53" t="s">
        <v>52</v>
      </c>
      <c r="N1196" s="62" t="s">
        <v>6568</v>
      </c>
      <c r="O1196" s="62" t="s">
        <v>44</v>
      </c>
      <c r="P1196" s="62" t="s">
        <v>5796</v>
      </c>
      <c r="Q1196" s="62" t="s">
        <v>6608</v>
      </c>
      <c r="R1196" s="53"/>
      <c r="S1196" s="53"/>
      <c r="T1196" s="82"/>
      <c r="U1196" s="42"/>
      <c r="V1196" s="62"/>
      <c r="W1196" s="64"/>
      <c r="X1196" s="223"/>
      <c r="Y1196" s="223"/>
      <c r="Z1196" s="223"/>
      <c r="AA1196" s="223"/>
    </row>
    <row r="1197">
      <c r="A1197" s="42">
        <f t="shared" si="3"/>
        <v>1196</v>
      </c>
      <c r="B1197" s="51" t="s">
        <v>41</v>
      </c>
      <c r="C1197" s="53" t="s">
        <v>6609</v>
      </c>
      <c r="D1197" s="42" t="s">
        <v>44</v>
      </c>
      <c r="E1197" s="42" t="s">
        <v>44</v>
      </c>
      <c r="F1197" s="53" t="s">
        <v>6563</v>
      </c>
      <c r="G1197" s="53" t="s">
        <v>47</v>
      </c>
      <c r="H1197" s="53" t="s">
        <v>48</v>
      </c>
      <c r="I1197" s="53" t="s">
        <v>401</v>
      </c>
      <c r="J1197" s="53" t="s">
        <v>6564</v>
      </c>
      <c r="K1197" s="53" t="s">
        <v>1615</v>
      </c>
      <c r="L1197" s="53" t="s">
        <v>52</v>
      </c>
      <c r="M1197" s="53" t="s">
        <v>52</v>
      </c>
      <c r="N1197" s="62" t="s">
        <v>6610</v>
      </c>
      <c r="O1197" s="62" t="s">
        <v>44</v>
      </c>
      <c r="P1197" s="62" t="s">
        <v>1776</v>
      </c>
      <c r="Q1197" s="62" t="s">
        <v>6611</v>
      </c>
      <c r="R1197" s="53"/>
      <c r="S1197" s="53"/>
      <c r="T1197" s="82"/>
      <c r="U1197" s="42"/>
      <c r="V1197" s="62"/>
      <c r="W1197" s="64"/>
      <c r="X1197" s="223"/>
      <c r="Y1197" s="223"/>
      <c r="Z1197" s="223"/>
      <c r="AA1197" s="223"/>
    </row>
    <row r="1198">
      <c r="A1198" s="42">
        <f t="shared" si="3"/>
        <v>1197</v>
      </c>
      <c r="B1198" s="51" t="s">
        <v>41</v>
      </c>
      <c r="C1198" s="53" t="s">
        <v>6612</v>
      </c>
      <c r="D1198" s="42" t="s">
        <v>44</v>
      </c>
      <c r="E1198" s="42" t="s">
        <v>44</v>
      </c>
      <c r="F1198" s="53" t="s">
        <v>6563</v>
      </c>
      <c r="G1198" s="53" t="s">
        <v>47</v>
      </c>
      <c r="H1198" s="53" t="s">
        <v>48</v>
      </c>
      <c r="I1198" s="53" t="s">
        <v>401</v>
      </c>
      <c r="J1198" s="53" t="s">
        <v>6564</v>
      </c>
      <c r="K1198" s="53" t="s">
        <v>1615</v>
      </c>
      <c r="L1198" s="53" t="s">
        <v>52</v>
      </c>
      <c r="M1198" s="53" t="s">
        <v>52</v>
      </c>
      <c r="N1198" s="62" t="s">
        <v>6610</v>
      </c>
      <c r="O1198" s="62" t="s">
        <v>44</v>
      </c>
      <c r="P1198" s="62" t="s">
        <v>6613</v>
      </c>
      <c r="Q1198" s="62" t="s">
        <v>6614</v>
      </c>
      <c r="R1198" s="53"/>
      <c r="S1198" s="53"/>
      <c r="T1198" s="82"/>
      <c r="U1198" s="42"/>
      <c r="V1198" s="62"/>
      <c r="W1198" s="64"/>
      <c r="X1198" s="223"/>
      <c r="Y1198" s="223"/>
      <c r="Z1198" s="223"/>
      <c r="AA1198" s="223"/>
    </row>
    <row r="1199">
      <c r="A1199" s="42">
        <f t="shared" si="3"/>
        <v>1198</v>
      </c>
      <c r="B1199" s="51" t="s">
        <v>41</v>
      </c>
      <c r="C1199" s="53" t="s">
        <v>6615</v>
      </c>
      <c r="D1199" s="42" t="s">
        <v>44</v>
      </c>
      <c r="E1199" s="42" t="s">
        <v>44</v>
      </c>
      <c r="F1199" s="53" t="s">
        <v>6563</v>
      </c>
      <c r="G1199" s="53" t="s">
        <v>47</v>
      </c>
      <c r="H1199" s="53" t="s">
        <v>48</v>
      </c>
      <c r="I1199" s="53" t="s">
        <v>401</v>
      </c>
      <c r="J1199" s="53" t="s">
        <v>6564</v>
      </c>
      <c r="K1199" s="53" t="s">
        <v>1615</v>
      </c>
      <c r="L1199" s="53" t="s">
        <v>52</v>
      </c>
      <c r="M1199" s="53" t="s">
        <v>52</v>
      </c>
      <c r="N1199" s="62" t="s">
        <v>6568</v>
      </c>
      <c r="O1199" s="62" t="s">
        <v>44</v>
      </c>
      <c r="P1199" s="62" t="s">
        <v>6616</v>
      </c>
      <c r="Q1199" s="62" t="s">
        <v>6617</v>
      </c>
      <c r="R1199" s="53"/>
      <c r="S1199" s="53"/>
      <c r="T1199" s="82"/>
      <c r="U1199" s="42"/>
      <c r="V1199" s="62"/>
      <c r="W1199" s="64"/>
      <c r="X1199" s="223"/>
      <c r="Y1199" s="223"/>
      <c r="Z1199" s="223"/>
      <c r="AA1199" s="223"/>
    </row>
    <row r="1200">
      <c r="A1200" s="42">
        <f t="shared" si="3"/>
        <v>1199</v>
      </c>
      <c r="B1200" s="51" t="s">
        <v>41</v>
      </c>
      <c r="C1200" s="53" t="s">
        <v>6618</v>
      </c>
      <c r="D1200" s="42" t="s">
        <v>44</v>
      </c>
      <c r="E1200" s="42" t="s">
        <v>44</v>
      </c>
      <c r="F1200" s="53" t="s">
        <v>6563</v>
      </c>
      <c r="G1200" s="53" t="s">
        <v>47</v>
      </c>
      <c r="H1200" s="53" t="s">
        <v>48</v>
      </c>
      <c r="I1200" s="53" t="s">
        <v>401</v>
      </c>
      <c r="J1200" s="53" t="s">
        <v>6564</v>
      </c>
      <c r="K1200" s="53" t="s">
        <v>1615</v>
      </c>
      <c r="L1200" s="53" t="s">
        <v>52</v>
      </c>
      <c r="M1200" s="53" t="s">
        <v>52</v>
      </c>
      <c r="N1200" s="62" t="s">
        <v>6568</v>
      </c>
      <c r="O1200" s="62" t="s">
        <v>44</v>
      </c>
      <c r="P1200" s="62" t="s">
        <v>6619</v>
      </c>
      <c r="Q1200" s="62" t="s">
        <v>6620</v>
      </c>
      <c r="R1200" s="53"/>
      <c r="S1200" s="53"/>
      <c r="T1200" s="82"/>
      <c r="U1200" s="42"/>
      <c r="V1200" s="62"/>
      <c r="W1200" s="64"/>
      <c r="X1200" s="223"/>
      <c r="Y1200" s="223"/>
      <c r="Z1200" s="223"/>
      <c r="AA1200" s="223"/>
    </row>
    <row r="1201">
      <c r="A1201" s="42">
        <f t="shared" si="3"/>
        <v>1200</v>
      </c>
      <c r="B1201" s="51" t="s">
        <v>41</v>
      </c>
      <c r="C1201" s="53" t="s">
        <v>6621</v>
      </c>
      <c r="D1201" s="42" t="s">
        <v>44</v>
      </c>
      <c r="E1201" s="42" t="s">
        <v>44</v>
      </c>
      <c r="F1201" s="53" t="s">
        <v>6563</v>
      </c>
      <c r="G1201" s="53" t="s">
        <v>47</v>
      </c>
      <c r="H1201" s="53" t="s">
        <v>48</v>
      </c>
      <c r="I1201" s="53" t="s">
        <v>401</v>
      </c>
      <c r="J1201" s="53" t="s">
        <v>6564</v>
      </c>
      <c r="K1201" s="53" t="s">
        <v>1615</v>
      </c>
      <c r="L1201" s="53" t="s">
        <v>52</v>
      </c>
      <c r="M1201" s="53" t="s">
        <v>52</v>
      </c>
      <c r="N1201" s="62" t="s">
        <v>6568</v>
      </c>
      <c r="O1201" s="62" t="s">
        <v>44</v>
      </c>
      <c r="P1201" s="62" t="s">
        <v>6622</v>
      </c>
      <c r="Q1201" s="62" t="s">
        <v>6623</v>
      </c>
      <c r="R1201" s="53"/>
      <c r="S1201" s="53"/>
      <c r="T1201" s="82"/>
      <c r="U1201" s="42"/>
      <c r="V1201" s="62"/>
      <c r="W1201" s="64"/>
      <c r="X1201" s="223"/>
      <c r="Y1201" s="223"/>
      <c r="Z1201" s="223"/>
      <c r="AA1201" s="223"/>
    </row>
    <row r="1202">
      <c r="A1202" s="42">
        <f t="shared" si="3"/>
        <v>1201</v>
      </c>
      <c r="B1202" s="51" t="s">
        <v>41</v>
      </c>
      <c r="C1202" s="53" t="s">
        <v>6624</v>
      </c>
      <c r="D1202" s="42" t="s">
        <v>44</v>
      </c>
      <c r="E1202" s="42" t="s">
        <v>44</v>
      </c>
      <c r="F1202" s="53" t="s">
        <v>6563</v>
      </c>
      <c r="G1202" s="53" t="s">
        <v>47</v>
      </c>
      <c r="H1202" s="53" t="s">
        <v>48</v>
      </c>
      <c r="I1202" s="53" t="s">
        <v>401</v>
      </c>
      <c r="J1202" s="53" t="s">
        <v>6564</v>
      </c>
      <c r="K1202" s="53" t="s">
        <v>1615</v>
      </c>
      <c r="L1202" s="53" t="s">
        <v>52</v>
      </c>
      <c r="M1202" s="53" t="s">
        <v>52</v>
      </c>
      <c r="N1202" s="62" t="s">
        <v>6568</v>
      </c>
      <c r="O1202" s="62" t="s">
        <v>44</v>
      </c>
      <c r="P1202" s="62" t="s">
        <v>6625</v>
      </c>
      <c r="Q1202" s="62" t="s">
        <v>6626</v>
      </c>
      <c r="R1202" s="53"/>
      <c r="S1202" s="53"/>
      <c r="T1202" s="82"/>
      <c r="U1202" s="42"/>
      <c r="V1202" s="62"/>
      <c r="W1202" s="64"/>
      <c r="X1202" s="223"/>
      <c r="Y1202" s="223"/>
      <c r="Z1202" s="223"/>
      <c r="AA1202" s="223"/>
    </row>
    <row r="1203">
      <c r="A1203" s="42">
        <f t="shared" si="3"/>
        <v>1202</v>
      </c>
      <c r="B1203" s="51" t="s">
        <v>41</v>
      </c>
      <c r="C1203" s="53" t="s">
        <v>6627</v>
      </c>
      <c r="D1203" s="42" t="s">
        <v>44</v>
      </c>
      <c r="E1203" s="42" t="s">
        <v>44</v>
      </c>
      <c r="F1203" s="53" t="s">
        <v>6563</v>
      </c>
      <c r="G1203" s="53" t="s">
        <v>47</v>
      </c>
      <c r="H1203" s="53" t="s">
        <v>48</v>
      </c>
      <c r="I1203" s="53" t="s">
        <v>401</v>
      </c>
      <c r="J1203" s="53" t="s">
        <v>6564</v>
      </c>
      <c r="K1203" s="53" t="s">
        <v>1615</v>
      </c>
      <c r="L1203" s="53" t="s">
        <v>52</v>
      </c>
      <c r="M1203" s="53" t="s">
        <v>52</v>
      </c>
      <c r="N1203" s="62" t="s">
        <v>6628</v>
      </c>
      <c r="O1203" s="62" t="s">
        <v>44</v>
      </c>
      <c r="P1203" s="62" t="s">
        <v>6629</v>
      </c>
      <c r="Q1203" s="62" t="s">
        <v>6630</v>
      </c>
      <c r="R1203" s="53"/>
      <c r="S1203" s="53"/>
      <c r="T1203" s="82"/>
      <c r="U1203" s="42"/>
      <c r="V1203" s="62"/>
      <c r="W1203" s="64"/>
      <c r="X1203" s="223"/>
      <c r="Y1203" s="223"/>
      <c r="Z1203" s="223"/>
      <c r="AA1203" s="223"/>
    </row>
    <row r="1204">
      <c r="A1204" s="42">
        <f t="shared" si="3"/>
        <v>1203</v>
      </c>
      <c r="B1204" s="51" t="s">
        <v>41</v>
      </c>
      <c r="C1204" s="53" t="s">
        <v>6631</v>
      </c>
      <c r="D1204" s="42" t="s">
        <v>44</v>
      </c>
      <c r="E1204" s="42" t="s">
        <v>44</v>
      </c>
      <c r="F1204" s="53" t="s">
        <v>6563</v>
      </c>
      <c r="G1204" s="53" t="s">
        <v>47</v>
      </c>
      <c r="H1204" s="53" t="s">
        <v>48</v>
      </c>
      <c r="I1204" s="53" t="s">
        <v>401</v>
      </c>
      <c r="J1204" s="53" t="s">
        <v>6564</v>
      </c>
      <c r="K1204" s="53" t="s">
        <v>1615</v>
      </c>
      <c r="L1204" s="53" t="s">
        <v>52</v>
      </c>
      <c r="M1204" s="53" t="s">
        <v>52</v>
      </c>
      <c r="N1204" s="62" t="s">
        <v>6568</v>
      </c>
      <c r="O1204" s="62" t="s">
        <v>44</v>
      </c>
      <c r="P1204" s="62" t="s">
        <v>6632</v>
      </c>
      <c r="Q1204" s="62" t="s">
        <v>6633</v>
      </c>
      <c r="R1204" s="53"/>
      <c r="S1204" s="53"/>
      <c r="T1204" s="82"/>
      <c r="U1204" s="42"/>
      <c r="V1204" s="62"/>
      <c r="W1204" s="64"/>
      <c r="X1204" s="223"/>
      <c r="Y1204" s="223"/>
      <c r="Z1204" s="223"/>
      <c r="AA1204" s="223"/>
    </row>
    <row r="1205">
      <c r="A1205" s="42">
        <f t="shared" si="3"/>
        <v>1204</v>
      </c>
      <c r="B1205" s="51" t="s">
        <v>41</v>
      </c>
      <c r="C1205" s="53" t="s">
        <v>6634</v>
      </c>
      <c r="D1205" s="42" t="s">
        <v>44</v>
      </c>
      <c r="E1205" s="42" t="s">
        <v>44</v>
      </c>
      <c r="F1205" s="53" t="s">
        <v>6563</v>
      </c>
      <c r="G1205" s="53" t="s">
        <v>47</v>
      </c>
      <c r="H1205" s="53" t="s">
        <v>48</v>
      </c>
      <c r="I1205" s="53" t="s">
        <v>401</v>
      </c>
      <c r="J1205" s="53" t="s">
        <v>6564</v>
      </c>
      <c r="K1205" s="53" t="s">
        <v>1615</v>
      </c>
      <c r="L1205" s="53" t="s">
        <v>52</v>
      </c>
      <c r="M1205" s="53" t="s">
        <v>52</v>
      </c>
      <c r="N1205" s="62" t="s">
        <v>6568</v>
      </c>
      <c r="O1205" s="62" t="s">
        <v>44</v>
      </c>
      <c r="P1205" s="62" t="s">
        <v>6635</v>
      </c>
      <c r="Q1205" s="62" t="s">
        <v>6636</v>
      </c>
      <c r="R1205" s="53"/>
      <c r="S1205" s="53"/>
      <c r="T1205" s="82"/>
      <c r="U1205" s="42"/>
      <c r="V1205" s="62"/>
      <c r="W1205" s="64"/>
      <c r="X1205" s="223"/>
      <c r="Y1205" s="223"/>
      <c r="Z1205" s="223"/>
      <c r="AA1205" s="223"/>
    </row>
    <row r="1206">
      <c r="A1206" s="42">
        <f t="shared" si="3"/>
        <v>1205</v>
      </c>
      <c r="B1206" s="51" t="s">
        <v>41</v>
      </c>
      <c r="C1206" s="53" t="s">
        <v>6637</v>
      </c>
      <c r="D1206" s="42" t="s">
        <v>44</v>
      </c>
      <c r="E1206" s="42" t="s">
        <v>44</v>
      </c>
      <c r="F1206" s="53" t="s">
        <v>6563</v>
      </c>
      <c r="G1206" s="53" t="s">
        <v>197</v>
      </c>
      <c r="H1206" s="53" t="s">
        <v>198</v>
      </c>
      <c r="I1206" s="53" t="s">
        <v>401</v>
      </c>
      <c r="J1206" s="53" t="s">
        <v>6564</v>
      </c>
      <c r="K1206" s="53" t="s">
        <v>1615</v>
      </c>
      <c r="L1206" s="53" t="s">
        <v>52</v>
      </c>
      <c r="M1206" s="53" t="s">
        <v>52</v>
      </c>
      <c r="N1206" s="62" t="s">
        <v>6568</v>
      </c>
      <c r="O1206" s="62" t="s">
        <v>44</v>
      </c>
      <c r="P1206" s="62" t="s">
        <v>6638</v>
      </c>
      <c r="Q1206" s="62" t="s">
        <v>6639</v>
      </c>
      <c r="R1206" s="53"/>
      <c r="S1206" s="53"/>
      <c r="T1206" s="82"/>
      <c r="U1206" s="53"/>
      <c r="V1206" s="62"/>
      <c r="W1206" s="64"/>
      <c r="X1206" s="223"/>
      <c r="Y1206" s="223"/>
      <c r="Z1206" s="223"/>
      <c r="AA1206" s="223"/>
    </row>
    <row r="1207">
      <c r="A1207" s="42">
        <f t="shared" si="3"/>
        <v>1206</v>
      </c>
      <c r="B1207" s="51" t="s">
        <v>41</v>
      </c>
      <c r="C1207" s="53" t="s">
        <v>6640</v>
      </c>
      <c r="D1207" s="42" t="s">
        <v>44</v>
      </c>
      <c r="E1207" s="42" t="s">
        <v>44</v>
      </c>
      <c r="F1207" s="53" t="s">
        <v>6563</v>
      </c>
      <c r="G1207" s="53" t="s">
        <v>197</v>
      </c>
      <c r="H1207" s="53" t="s">
        <v>198</v>
      </c>
      <c r="I1207" s="53" t="s">
        <v>401</v>
      </c>
      <c r="J1207" s="53" t="s">
        <v>6564</v>
      </c>
      <c r="K1207" s="53" t="s">
        <v>1615</v>
      </c>
      <c r="L1207" s="53" t="s">
        <v>52</v>
      </c>
      <c r="M1207" s="53" t="s">
        <v>52</v>
      </c>
      <c r="N1207" s="62" t="s">
        <v>6568</v>
      </c>
      <c r="O1207" s="62" t="s">
        <v>44</v>
      </c>
      <c r="P1207" s="62" t="s">
        <v>6641</v>
      </c>
      <c r="Q1207" s="62" t="s">
        <v>6642</v>
      </c>
      <c r="R1207" s="53"/>
      <c r="S1207" s="53"/>
      <c r="T1207" s="82"/>
      <c r="U1207" s="42"/>
      <c r="V1207" s="62"/>
      <c r="W1207" s="64"/>
      <c r="X1207" s="223"/>
      <c r="Y1207" s="223"/>
      <c r="Z1207" s="223"/>
      <c r="AA1207" s="223"/>
    </row>
    <row r="1208">
      <c r="A1208" s="42">
        <f t="shared" si="3"/>
        <v>1207</v>
      </c>
      <c r="B1208" s="51" t="s">
        <v>41</v>
      </c>
      <c r="C1208" s="53" t="s">
        <v>6643</v>
      </c>
      <c r="D1208" s="42" t="s">
        <v>44</v>
      </c>
      <c r="E1208" s="42" t="s">
        <v>44</v>
      </c>
      <c r="F1208" s="53" t="s">
        <v>6563</v>
      </c>
      <c r="G1208" s="53" t="s">
        <v>47</v>
      </c>
      <c r="H1208" s="53" t="s">
        <v>48</v>
      </c>
      <c r="I1208" s="53" t="s">
        <v>401</v>
      </c>
      <c r="J1208" s="53" t="s">
        <v>6564</v>
      </c>
      <c r="K1208" s="53" t="s">
        <v>1615</v>
      </c>
      <c r="L1208" s="53" t="s">
        <v>52</v>
      </c>
      <c r="M1208" s="53" t="s">
        <v>52</v>
      </c>
      <c r="N1208" s="62" t="s">
        <v>6568</v>
      </c>
      <c r="O1208" s="62" t="s">
        <v>44</v>
      </c>
      <c r="P1208" s="62" t="s">
        <v>6644</v>
      </c>
      <c r="Q1208" s="62" t="s">
        <v>6645</v>
      </c>
      <c r="R1208" s="53"/>
      <c r="S1208" s="53"/>
      <c r="T1208" s="82"/>
      <c r="U1208" s="42"/>
      <c r="V1208" s="62"/>
      <c r="W1208" s="64"/>
      <c r="X1208" s="223"/>
      <c r="Y1208" s="223"/>
      <c r="Z1208" s="223"/>
      <c r="AA1208" s="223"/>
    </row>
    <row r="1209">
      <c r="A1209" s="42">
        <f t="shared" si="3"/>
        <v>1208</v>
      </c>
      <c r="B1209" s="51" t="s">
        <v>41</v>
      </c>
      <c r="C1209" s="53" t="s">
        <v>6646</v>
      </c>
      <c r="D1209" s="42" t="s">
        <v>44</v>
      </c>
      <c r="E1209" s="42" t="s">
        <v>44</v>
      </c>
      <c r="F1209" s="53" t="s">
        <v>6563</v>
      </c>
      <c r="G1209" s="53" t="s">
        <v>47</v>
      </c>
      <c r="H1209" s="53" t="s">
        <v>48</v>
      </c>
      <c r="I1209" s="53" t="s">
        <v>401</v>
      </c>
      <c r="J1209" s="53" t="s">
        <v>6564</v>
      </c>
      <c r="K1209" s="53" t="s">
        <v>1615</v>
      </c>
      <c r="L1209" s="53" t="s">
        <v>52</v>
      </c>
      <c r="M1209" s="53" t="s">
        <v>52</v>
      </c>
      <c r="N1209" s="62" t="s">
        <v>6647</v>
      </c>
      <c r="O1209" s="62" t="s">
        <v>44</v>
      </c>
      <c r="P1209" s="62" t="s">
        <v>6648</v>
      </c>
      <c r="Q1209" s="62" t="s">
        <v>6649</v>
      </c>
      <c r="R1209" s="53"/>
      <c r="S1209" s="53"/>
      <c r="T1209" s="82"/>
      <c r="U1209" s="42"/>
      <c r="V1209" s="62"/>
      <c r="W1209" s="64"/>
      <c r="X1209" s="223"/>
      <c r="Y1209" s="223"/>
      <c r="Z1209" s="223"/>
      <c r="AA1209" s="223"/>
    </row>
    <row r="1210">
      <c r="A1210" s="42">
        <f t="shared" si="3"/>
        <v>1209</v>
      </c>
      <c r="B1210" s="51" t="s">
        <v>41</v>
      </c>
      <c r="C1210" s="53" t="s">
        <v>6650</v>
      </c>
      <c r="D1210" s="42" t="s">
        <v>44</v>
      </c>
      <c r="E1210" s="42" t="s">
        <v>44</v>
      </c>
      <c r="F1210" s="53" t="s">
        <v>6563</v>
      </c>
      <c r="G1210" s="53" t="s">
        <v>47</v>
      </c>
      <c r="H1210" s="53" t="s">
        <v>48</v>
      </c>
      <c r="I1210" s="53" t="s">
        <v>401</v>
      </c>
      <c r="J1210" s="53" t="s">
        <v>6564</v>
      </c>
      <c r="K1210" s="53" t="s">
        <v>1615</v>
      </c>
      <c r="L1210" s="53" t="s">
        <v>52</v>
      </c>
      <c r="M1210" s="53" t="s">
        <v>52</v>
      </c>
      <c r="N1210" s="62" t="s">
        <v>6647</v>
      </c>
      <c r="O1210" s="62" t="s">
        <v>44</v>
      </c>
      <c r="P1210" s="62" t="s">
        <v>6651</v>
      </c>
      <c r="Q1210" s="62" t="s">
        <v>6652</v>
      </c>
      <c r="R1210" s="53"/>
      <c r="S1210" s="53"/>
      <c r="T1210" s="82"/>
      <c r="U1210" s="42"/>
      <c r="V1210" s="62"/>
      <c r="W1210" s="64"/>
      <c r="X1210" s="223"/>
      <c r="Y1210" s="223"/>
      <c r="Z1210" s="223"/>
      <c r="AA1210" s="223"/>
    </row>
    <row r="1211">
      <c r="A1211" s="42">
        <f t="shared" si="3"/>
        <v>1210</v>
      </c>
      <c r="B1211" s="51" t="s">
        <v>41</v>
      </c>
      <c r="C1211" s="53" t="s">
        <v>6653</v>
      </c>
      <c r="D1211" s="42" t="s">
        <v>44</v>
      </c>
      <c r="E1211" s="42" t="s">
        <v>44</v>
      </c>
      <c r="F1211" s="53" t="s">
        <v>6563</v>
      </c>
      <c r="G1211" s="53" t="s">
        <v>47</v>
      </c>
      <c r="H1211" s="53" t="s">
        <v>48</v>
      </c>
      <c r="I1211" s="53" t="s">
        <v>401</v>
      </c>
      <c r="J1211" s="53" t="s">
        <v>6564</v>
      </c>
      <c r="K1211" s="53" t="s">
        <v>1615</v>
      </c>
      <c r="L1211" s="53" t="s">
        <v>52</v>
      </c>
      <c r="M1211" s="53" t="s">
        <v>52</v>
      </c>
      <c r="N1211" s="62" t="s">
        <v>6647</v>
      </c>
      <c r="O1211" s="62" t="s">
        <v>44</v>
      </c>
      <c r="P1211" s="62" t="s">
        <v>6654</v>
      </c>
      <c r="Q1211" s="62" t="s">
        <v>6655</v>
      </c>
      <c r="R1211" s="53"/>
      <c r="S1211" s="53"/>
      <c r="T1211" s="82"/>
      <c r="U1211" s="42"/>
      <c r="V1211" s="62"/>
      <c r="W1211" s="64"/>
      <c r="X1211" s="223"/>
      <c r="Y1211" s="223"/>
      <c r="Z1211" s="223"/>
      <c r="AA1211" s="223"/>
    </row>
    <row r="1212">
      <c r="A1212" s="42">
        <f t="shared" si="3"/>
        <v>1211</v>
      </c>
      <c r="B1212" s="51" t="s">
        <v>41</v>
      </c>
      <c r="C1212" s="53" t="s">
        <v>6656</v>
      </c>
      <c r="D1212" s="42" t="s">
        <v>44</v>
      </c>
      <c r="E1212" s="42" t="s">
        <v>44</v>
      </c>
      <c r="F1212" s="53" t="s">
        <v>6563</v>
      </c>
      <c r="G1212" s="53" t="s">
        <v>47</v>
      </c>
      <c r="H1212" s="53" t="s">
        <v>91</v>
      </c>
      <c r="I1212" s="53" t="s">
        <v>401</v>
      </c>
      <c r="J1212" s="53" t="s">
        <v>6564</v>
      </c>
      <c r="K1212" s="53" t="s">
        <v>1615</v>
      </c>
      <c r="L1212" s="53" t="s">
        <v>52</v>
      </c>
      <c r="M1212" s="53" t="s">
        <v>52</v>
      </c>
      <c r="N1212" s="62" t="s">
        <v>6657</v>
      </c>
      <c r="O1212" s="62" t="s">
        <v>44</v>
      </c>
      <c r="P1212" s="62" t="s">
        <v>6658</v>
      </c>
      <c r="Q1212" s="62" t="s">
        <v>6659</v>
      </c>
      <c r="R1212" s="53"/>
      <c r="S1212" s="53"/>
      <c r="T1212" s="82"/>
      <c r="U1212" s="42"/>
      <c r="V1212" s="62"/>
      <c r="W1212" s="64"/>
      <c r="X1212" s="223"/>
      <c r="Y1212" s="223"/>
      <c r="Z1212" s="223"/>
      <c r="AA1212" s="223"/>
    </row>
    <row r="1213">
      <c r="A1213" s="42">
        <f t="shared" si="3"/>
        <v>1212</v>
      </c>
      <c r="B1213" s="51" t="s">
        <v>41</v>
      </c>
      <c r="C1213" s="53" t="s">
        <v>6660</v>
      </c>
      <c r="D1213" s="42" t="s">
        <v>44</v>
      </c>
      <c r="E1213" s="42" t="s">
        <v>44</v>
      </c>
      <c r="F1213" s="53" t="s">
        <v>6563</v>
      </c>
      <c r="G1213" s="53" t="s">
        <v>47</v>
      </c>
      <c r="H1213" s="53" t="s">
        <v>48</v>
      </c>
      <c r="I1213" s="53" t="s">
        <v>401</v>
      </c>
      <c r="J1213" s="53" t="s">
        <v>6564</v>
      </c>
      <c r="K1213" s="53" t="s">
        <v>1615</v>
      </c>
      <c r="L1213" s="53" t="s">
        <v>52</v>
      </c>
      <c r="M1213" s="53" t="s">
        <v>52</v>
      </c>
      <c r="N1213" s="62" t="s">
        <v>6661</v>
      </c>
      <c r="O1213" s="62" t="s">
        <v>44</v>
      </c>
      <c r="P1213" s="62" t="s">
        <v>6662</v>
      </c>
      <c r="Q1213" s="62" t="s">
        <v>6663</v>
      </c>
      <c r="R1213" s="53"/>
      <c r="S1213" s="53"/>
      <c r="T1213" s="82"/>
      <c r="U1213" s="42"/>
      <c r="V1213" s="62"/>
      <c r="W1213" s="64"/>
      <c r="X1213" s="223"/>
      <c r="Y1213" s="223"/>
      <c r="Z1213" s="223"/>
      <c r="AA1213" s="223"/>
    </row>
    <row r="1214">
      <c r="A1214" s="42">
        <f t="shared" si="3"/>
        <v>1213</v>
      </c>
      <c r="B1214" s="51" t="s">
        <v>41</v>
      </c>
      <c r="C1214" s="53" t="s">
        <v>6664</v>
      </c>
      <c r="D1214" s="42" t="s">
        <v>44</v>
      </c>
      <c r="E1214" s="42" t="s">
        <v>44</v>
      </c>
      <c r="F1214" s="53" t="s">
        <v>6563</v>
      </c>
      <c r="G1214" s="53" t="s">
        <v>47</v>
      </c>
      <c r="H1214" s="53" t="s">
        <v>48</v>
      </c>
      <c r="I1214" s="53" t="s">
        <v>401</v>
      </c>
      <c r="J1214" s="53" t="s">
        <v>6564</v>
      </c>
      <c r="K1214" s="53" t="s">
        <v>1615</v>
      </c>
      <c r="L1214" s="53" t="s">
        <v>52</v>
      </c>
      <c r="M1214" s="53" t="s">
        <v>52</v>
      </c>
      <c r="N1214" s="62" t="s">
        <v>6665</v>
      </c>
      <c r="O1214" s="62" t="s">
        <v>44</v>
      </c>
      <c r="P1214" s="62" t="s">
        <v>6666</v>
      </c>
      <c r="Q1214" s="62" t="s">
        <v>6667</v>
      </c>
      <c r="R1214" s="53"/>
      <c r="S1214" s="53"/>
      <c r="T1214" s="82"/>
      <c r="U1214" s="42"/>
      <c r="V1214" s="62"/>
      <c r="W1214" s="64"/>
      <c r="X1214" s="223"/>
      <c r="Y1214" s="223"/>
      <c r="Z1214" s="223"/>
      <c r="AA1214" s="223"/>
    </row>
    <row r="1215">
      <c r="A1215" s="42">
        <f t="shared" si="3"/>
        <v>1214</v>
      </c>
      <c r="B1215" s="51" t="s">
        <v>41</v>
      </c>
      <c r="C1215" s="53" t="s">
        <v>6668</v>
      </c>
      <c r="D1215" s="42" t="s">
        <v>44</v>
      </c>
      <c r="E1215" s="42" t="s">
        <v>44</v>
      </c>
      <c r="F1215" s="53" t="s">
        <v>6563</v>
      </c>
      <c r="G1215" s="53" t="s">
        <v>47</v>
      </c>
      <c r="H1215" s="53" t="s">
        <v>48</v>
      </c>
      <c r="I1215" s="53" t="s">
        <v>401</v>
      </c>
      <c r="J1215" s="53" t="s">
        <v>6564</v>
      </c>
      <c r="K1215" s="53" t="s">
        <v>1615</v>
      </c>
      <c r="L1215" s="53" t="s">
        <v>52</v>
      </c>
      <c r="M1215" s="53" t="s">
        <v>52</v>
      </c>
      <c r="N1215" s="62" t="s">
        <v>6647</v>
      </c>
      <c r="O1215" s="62" t="s">
        <v>44</v>
      </c>
      <c r="P1215" s="62" t="s">
        <v>6669</v>
      </c>
      <c r="Q1215" s="62" t="s">
        <v>6670</v>
      </c>
      <c r="R1215" s="53"/>
      <c r="S1215" s="53"/>
      <c r="T1215" s="82"/>
      <c r="U1215" s="42"/>
      <c r="V1215" s="62"/>
      <c r="W1215" s="64"/>
      <c r="X1215" s="223"/>
      <c r="Y1215" s="223"/>
      <c r="Z1215" s="223"/>
      <c r="AA1215" s="223"/>
    </row>
    <row r="1216">
      <c r="A1216" s="42">
        <f t="shared" si="3"/>
        <v>1215</v>
      </c>
      <c r="B1216" s="51" t="s">
        <v>41</v>
      </c>
      <c r="C1216" s="53" t="s">
        <v>6671</v>
      </c>
      <c r="D1216" s="42" t="s">
        <v>44</v>
      </c>
      <c r="E1216" s="42" t="s">
        <v>44</v>
      </c>
      <c r="F1216" s="53" t="s">
        <v>6563</v>
      </c>
      <c r="G1216" s="53" t="s">
        <v>47</v>
      </c>
      <c r="H1216" s="53" t="s">
        <v>48</v>
      </c>
      <c r="I1216" s="53" t="s">
        <v>401</v>
      </c>
      <c r="J1216" s="53" t="s">
        <v>6564</v>
      </c>
      <c r="K1216" s="53" t="s">
        <v>1615</v>
      </c>
      <c r="L1216" s="53" t="s">
        <v>52</v>
      </c>
      <c r="M1216" s="53" t="s">
        <v>52</v>
      </c>
      <c r="N1216" s="62" t="s">
        <v>6672</v>
      </c>
      <c r="O1216" s="62" t="s">
        <v>44</v>
      </c>
      <c r="P1216" s="62" t="s">
        <v>6673</v>
      </c>
      <c r="Q1216" s="62" t="s">
        <v>6674</v>
      </c>
      <c r="R1216" s="53"/>
      <c r="S1216" s="53"/>
      <c r="T1216" s="82"/>
      <c r="U1216" s="42"/>
      <c r="V1216" s="62"/>
      <c r="W1216" s="64"/>
      <c r="X1216" s="223"/>
      <c r="Y1216" s="223"/>
      <c r="Z1216" s="223"/>
      <c r="AA1216" s="223"/>
    </row>
    <row r="1217">
      <c r="A1217" s="42">
        <f t="shared" si="3"/>
        <v>1216</v>
      </c>
      <c r="B1217" s="51" t="s">
        <v>41</v>
      </c>
      <c r="C1217" s="53" t="s">
        <v>6675</v>
      </c>
      <c r="D1217" s="42" t="s">
        <v>44</v>
      </c>
      <c r="E1217" s="42" t="s">
        <v>44</v>
      </c>
      <c r="F1217" s="53" t="s">
        <v>6563</v>
      </c>
      <c r="G1217" s="53" t="s">
        <v>47</v>
      </c>
      <c r="H1217" s="53" t="s">
        <v>91</v>
      </c>
      <c r="I1217" s="53" t="s">
        <v>401</v>
      </c>
      <c r="J1217" s="53" t="s">
        <v>6564</v>
      </c>
      <c r="K1217" s="53" t="s">
        <v>1615</v>
      </c>
      <c r="L1217" s="53" t="s">
        <v>52</v>
      </c>
      <c r="M1217" s="53" t="s">
        <v>52</v>
      </c>
      <c r="N1217" s="62" t="s">
        <v>6676</v>
      </c>
      <c r="O1217" s="62" t="s">
        <v>44</v>
      </c>
      <c r="P1217" s="62" t="s">
        <v>6677</v>
      </c>
      <c r="Q1217" s="62" t="s">
        <v>6678</v>
      </c>
      <c r="R1217" s="53"/>
      <c r="S1217" s="53"/>
      <c r="T1217" s="82"/>
      <c r="U1217" s="42"/>
      <c r="V1217" s="62"/>
      <c r="W1217" s="64"/>
      <c r="X1217" s="223"/>
      <c r="Y1217" s="223"/>
      <c r="Z1217" s="223"/>
      <c r="AA1217" s="223"/>
    </row>
    <row r="1218">
      <c r="A1218" s="42">
        <f t="shared" si="3"/>
        <v>1217</v>
      </c>
      <c r="B1218" s="51" t="s">
        <v>41</v>
      </c>
      <c r="C1218" s="53" t="s">
        <v>6679</v>
      </c>
      <c r="D1218" s="42" t="s">
        <v>44</v>
      </c>
      <c r="E1218" s="42" t="s">
        <v>44</v>
      </c>
      <c r="F1218" s="53" t="s">
        <v>6563</v>
      </c>
      <c r="G1218" s="53" t="s">
        <v>47</v>
      </c>
      <c r="H1218" s="53" t="s">
        <v>95</v>
      </c>
      <c r="I1218" s="53" t="s">
        <v>401</v>
      </c>
      <c r="J1218" s="53" t="s">
        <v>6564</v>
      </c>
      <c r="K1218" s="53" t="s">
        <v>1615</v>
      </c>
      <c r="L1218" s="53" t="s">
        <v>52</v>
      </c>
      <c r="M1218" s="53" t="s">
        <v>52</v>
      </c>
      <c r="N1218" s="62" t="s">
        <v>6680</v>
      </c>
      <c r="O1218" s="62" t="s">
        <v>44</v>
      </c>
      <c r="P1218" s="62" t="s">
        <v>6677</v>
      </c>
      <c r="Q1218" s="62" t="s">
        <v>6681</v>
      </c>
      <c r="R1218" s="53"/>
      <c r="S1218" s="53"/>
      <c r="T1218" s="82"/>
      <c r="U1218" s="42"/>
      <c r="V1218" s="62"/>
      <c r="W1218" s="64"/>
      <c r="X1218" s="223"/>
      <c r="Y1218" s="223"/>
      <c r="Z1218" s="223"/>
      <c r="AA1218" s="223"/>
    </row>
    <row r="1219">
      <c r="A1219" s="42">
        <f t="shared" si="3"/>
        <v>1218</v>
      </c>
      <c r="B1219" s="51" t="s">
        <v>41</v>
      </c>
      <c r="C1219" s="53" t="s">
        <v>6682</v>
      </c>
      <c r="D1219" s="42" t="s">
        <v>44</v>
      </c>
      <c r="E1219" s="42" t="s">
        <v>44</v>
      </c>
      <c r="F1219" s="53" t="s">
        <v>6563</v>
      </c>
      <c r="G1219" s="53" t="s">
        <v>47</v>
      </c>
      <c r="H1219" s="53" t="s">
        <v>48</v>
      </c>
      <c r="I1219" s="53" t="s">
        <v>401</v>
      </c>
      <c r="J1219" s="53" t="s">
        <v>6564</v>
      </c>
      <c r="K1219" s="53" t="s">
        <v>1615</v>
      </c>
      <c r="L1219" s="53" t="s">
        <v>52</v>
      </c>
      <c r="M1219" s="53" t="s">
        <v>52</v>
      </c>
      <c r="N1219" s="62" t="s">
        <v>6647</v>
      </c>
      <c r="O1219" s="62" t="s">
        <v>44</v>
      </c>
      <c r="P1219" s="62" t="s">
        <v>6683</v>
      </c>
      <c r="Q1219" s="62" t="s">
        <v>6684</v>
      </c>
      <c r="R1219" s="53"/>
      <c r="S1219" s="53"/>
      <c r="T1219" s="82"/>
      <c r="U1219" s="42"/>
      <c r="V1219" s="62"/>
      <c r="W1219" s="64"/>
      <c r="X1219" s="223"/>
      <c r="Y1219" s="223"/>
      <c r="Z1219" s="223"/>
      <c r="AA1219" s="223"/>
    </row>
    <row r="1220">
      <c r="A1220" s="42">
        <f t="shared" si="3"/>
        <v>1219</v>
      </c>
      <c r="B1220" s="51" t="s">
        <v>41</v>
      </c>
      <c r="C1220" s="53" t="s">
        <v>6685</v>
      </c>
      <c r="D1220" s="42" t="s">
        <v>44</v>
      </c>
      <c r="E1220" s="42" t="s">
        <v>44</v>
      </c>
      <c r="F1220" s="53" t="s">
        <v>6563</v>
      </c>
      <c r="G1220" s="53" t="s">
        <v>47</v>
      </c>
      <c r="H1220" s="53" t="s">
        <v>48</v>
      </c>
      <c r="I1220" s="53" t="s">
        <v>401</v>
      </c>
      <c r="J1220" s="53" t="s">
        <v>6564</v>
      </c>
      <c r="K1220" s="53" t="s">
        <v>1615</v>
      </c>
      <c r="L1220" s="53" t="s">
        <v>52</v>
      </c>
      <c r="M1220" s="53" t="s">
        <v>52</v>
      </c>
      <c r="N1220" s="62" t="s">
        <v>6686</v>
      </c>
      <c r="O1220" s="62" t="s">
        <v>44</v>
      </c>
      <c r="P1220" s="62" t="s">
        <v>6687</v>
      </c>
      <c r="Q1220" s="62" t="s">
        <v>6688</v>
      </c>
      <c r="R1220" s="53"/>
      <c r="S1220" s="53"/>
      <c r="T1220" s="82"/>
      <c r="U1220" s="42"/>
      <c r="V1220" s="62"/>
      <c r="W1220" s="64"/>
      <c r="X1220" s="223"/>
      <c r="Y1220" s="223"/>
      <c r="Z1220" s="223"/>
      <c r="AA1220" s="223"/>
    </row>
    <row r="1221">
      <c r="A1221" s="42">
        <f t="shared" si="3"/>
        <v>1220</v>
      </c>
      <c r="B1221" s="51" t="s">
        <v>41</v>
      </c>
      <c r="C1221" s="53" t="s">
        <v>6689</v>
      </c>
      <c r="D1221" s="42" t="s">
        <v>44</v>
      </c>
      <c r="E1221" s="42" t="s">
        <v>44</v>
      </c>
      <c r="F1221" s="53" t="s">
        <v>6563</v>
      </c>
      <c r="G1221" s="53" t="s">
        <v>47</v>
      </c>
      <c r="H1221" s="53" t="s">
        <v>48</v>
      </c>
      <c r="I1221" s="53" t="s">
        <v>401</v>
      </c>
      <c r="J1221" s="53" t="s">
        <v>6564</v>
      </c>
      <c r="K1221" s="53" t="s">
        <v>1615</v>
      </c>
      <c r="L1221" s="53" t="s">
        <v>52</v>
      </c>
      <c r="M1221" s="53" t="s">
        <v>52</v>
      </c>
      <c r="N1221" s="62" t="s">
        <v>6690</v>
      </c>
      <c r="O1221" s="62" t="s">
        <v>44</v>
      </c>
      <c r="P1221" s="62" t="s">
        <v>6691</v>
      </c>
      <c r="Q1221" s="62" t="s">
        <v>6692</v>
      </c>
      <c r="R1221" s="53"/>
      <c r="S1221" s="53"/>
      <c r="T1221" s="82"/>
      <c r="U1221" s="42"/>
      <c r="V1221" s="62"/>
      <c r="W1221" s="64"/>
      <c r="X1221" s="223"/>
      <c r="Y1221" s="223"/>
      <c r="Z1221" s="223"/>
      <c r="AA1221" s="223"/>
    </row>
    <row r="1222">
      <c r="A1222" s="42">
        <f t="shared" si="3"/>
        <v>1221</v>
      </c>
      <c r="B1222" s="51" t="s">
        <v>41</v>
      </c>
      <c r="C1222" s="53" t="s">
        <v>6693</v>
      </c>
      <c r="D1222" s="42" t="s">
        <v>44</v>
      </c>
      <c r="E1222" s="42" t="s">
        <v>44</v>
      </c>
      <c r="F1222" s="53" t="s">
        <v>6563</v>
      </c>
      <c r="G1222" s="53" t="s">
        <v>47</v>
      </c>
      <c r="H1222" s="53" t="s">
        <v>48</v>
      </c>
      <c r="I1222" s="53" t="s">
        <v>401</v>
      </c>
      <c r="J1222" s="53" t="s">
        <v>6564</v>
      </c>
      <c r="K1222" s="53" t="s">
        <v>1615</v>
      </c>
      <c r="L1222" s="53" t="s">
        <v>52</v>
      </c>
      <c r="M1222" s="53" t="s">
        <v>52</v>
      </c>
      <c r="N1222" s="62" t="s">
        <v>6694</v>
      </c>
      <c r="O1222" s="62" t="s">
        <v>44</v>
      </c>
      <c r="P1222" s="62" t="s">
        <v>6695</v>
      </c>
      <c r="Q1222" s="62" t="s">
        <v>6696</v>
      </c>
      <c r="R1222" s="53"/>
      <c r="S1222" s="53"/>
      <c r="T1222" s="82"/>
      <c r="U1222" s="42"/>
      <c r="V1222" s="62"/>
      <c r="W1222" s="64"/>
      <c r="X1222" s="223"/>
      <c r="Y1222" s="223"/>
      <c r="Z1222" s="223"/>
      <c r="AA1222" s="223"/>
    </row>
    <row r="1223">
      <c r="A1223" s="42">
        <f t="shared" si="3"/>
        <v>1222</v>
      </c>
      <c r="B1223" s="51" t="s">
        <v>41</v>
      </c>
      <c r="C1223" s="53" t="s">
        <v>6697</v>
      </c>
      <c r="D1223" s="42" t="s">
        <v>44</v>
      </c>
      <c r="E1223" s="42" t="s">
        <v>44</v>
      </c>
      <c r="F1223" s="53" t="s">
        <v>6563</v>
      </c>
      <c r="G1223" s="53" t="s">
        <v>47</v>
      </c>
      <c r="H1223" s="53" t="s">
        <v>48</v>
      </c>
      <c r="I1223" s="53" t="s">
        <v>401</v>
      </c>
      <c r="J1223" s="53" t="s">
        <v>6564</v>
      </c>
      <c r="K1223" s="53" t="s">
        <v>1615</v>
      </c>
      <c r="L1223" s="53" t="s">
        <v>52</v>
      </c>
      <c r="M1223" s="53" t="s">
        <v>52</v>
      </c>
      <c r="N1223" s="62" t="s">
        <v>6647</v>
      </c>
      <c r="O1223" s="62" t="s">
        <v>44</v>
      </c>
      <c r="P1223" s="62" t="s">
        <v>6698</v>
      </c>
      <c r="Q1223" s="62" t="s">
        <v>6699</v>
      </c>
      <c r="R1223" s="53"/>
      <c r="S1223" s="53"/>
      <c r="T1223" s="82"/>
      <c r="U1223" s="42"/>
      <c r="V1223" s="62"/>
      <c r="W1223" s="64"/>
      <c r="X1223" s="223"/>
      <c r="Y1223" s="223"/>
      <c r="Z1223" s="223"/>
      <c r="AA1223" s="223"/>
    </row>
    <row r="1224">
      <c r="A1224" s="42">
        <f t="shared" si="3"/>
        <v>1223</v>
      </c>
      <c r="B1224" s="51" t="s">
        <v>41</v>
      </c>
      <c r="C1224" s="53" t="s">
        <v>6700</v>
      </c>
      <c r="D1224" s="42" t="s">
        <v>44</v>
      </c>
      <c r="E1224" s="42" t="s">
        <v>44</v>
      </c>
      <c r="F1224" s="53" t="s">
        <v>6563</v>
      </c>
      <c r="G1224" s="53" t="s">
        <v>47</v>
      </c>
      <c r="H1224" s="53" t="s">
        <v>48</v>
      </c>
      <c r="I1224" s="53" t="s">
        <v>401</v>
      </c>
      <c r="J1224" s="53" t="s">
        <v>6564</v>
      </c>
      <c r="K1224" s="53" t="s">
        <v>1615</v>
      </c>
      <c r="L1224" s="53" t="s">
        <v>52</v>
      </c>
      <c r="M1224" s="53" t="s">
        <v>52</v>
      </c>
      <c r="N1224" s="62" t="s">
        <v>6647</v>
      </c>
      <c r="O1224" s="62" t="s">
        <v>44</v>
      </c>
      <c r="P1224" s="62" t="s">
        <v>6701</v>
      </c>
      <c r="Q1224" s="62" t="s">
        <v>6702</v>
      </c>
      <c r="R1224" s="53"/>
      <c r="S1224" s="53"/>
      <c r="T1224" s="82"/>
      <c r="U1224" s="42"/>
      <c r="V1224" s="62"/>
      <c r="W1224" s="64"/>
      <c r="X1224" s="223"/>
      <c r="Y1224" s="223"/>
      <c r="Z1224" s="223"/>
      <c r="AA1224" s="223"/>
    </row>
    <row r="1225">
      <c r="A1225" s="42">
        <f t="shared" si="3"/>
        <v>1224</v>
      </c>
      <c r="B1225" s="51" t="s">
        <v>41</v>
      </c>
      <c r="C1225" s="53" t="s">
        <v>6703</v>
      </c>
      <c r="D1225" s="42" t="s">
        <v>44</v>
      </c>
      <c r="E1225" s="42" t="s">
        <v>44</v>
      </c>
      <c r="F1225" s="53" t="s">
        <v>6563</v>
      </c>
      <c r="G1225" s="53" t="s">
        <v>47</v>
      </c>
      <c r="H1225" s="53" t="s">
        <v>48</v>
      </c>
      <c r="I1225" s="53" t="s">
        <v>401</v>
      </c>
      <c r="J1225" s="53" t="s">
        <v>6564</v>
      </c>
      <c r="K1225" s="53" t="s">
        <v>1615</v>
      </c>
      <c r="L1225" s="53" t="s">
        <v>52</v>
      </c>
      <c r="M1225" s="53" t="s">
        <v>52</v>
      </c>
      <c r="N1225" s="62" t="s">
        <v>6657</v>
      </c>
      <c r="O1225" s="62" t="s">
        <v>44</v>
      </c>
      <c r="P1225" s="62" t="s">
        <v>6704</v>
      </c>
      <c r="Q1225" s="62" t="s">
        <v>6705</v>
      </c>
      <c r="R1225" s="53"/>
      <c r="S1225" s="53"/>
      <c r="T1225" s="82"/>
      <c r="U1225" s="42"/>
      <c r="V1225" s="62"/>
      <c r="W1225" s="64"/>
      <c r="X1225" s="223"/>
      <c r="Y1225" s="223"/>
      <c r="Z1225" s="223"/>
      <c r="AA1225" s="223"/>
    </row>
    <row r="1226">
      <c r="A1226" s="42">
        <f t="shared" si="3"/>
        <v>1225</v>
      </c>
      <c r="B1226" s="51" t="s">
        <v>41</v>
      </c>
      <c r="C1226" s="53" t="s">
        <v>6706</v>
      </c>
      <c r="D1226" s="42" t="s">
        <v>44</v>
      </c>
      <c r="E1226" s="42" t="s">
        <v>44</v>
      </c>
      <c r="F1226" s="53" t="s">
        <v>6563</v>
      </c>
      <c r="G1226" s="53" t="s">
        <v>47</v>
      </c>
      <c r="H1226" s="53" t="s">
        <v>91</v>
      </c>
      <c r="I1226" s="53" t="s">
        <v>401</v>
      </c>
      <c r="J1226" s="53" t="s">
        <v>6564</v>
      </c>
      <c r="K1226" s="53" t="s">
        <v>1615</v>
      </c>
      <c r="L1226" s="53" t="s">
        <v>52</v>
      </c>
      <c r="M1226" s="53" t="s">
        <v>52</v>
      </c>
      <c r="N1226" s="62" t="s">
        <v>6657</v>
      </c>
      <c r="O1226" s="62" t="s">
        <v>44</v>
      </c>
      <c r="P1226" s="62" t="s">
        <v>6707</v>
      </c>
      <c r="Q1226" s="62" t="s">
        <v>6708</v>
      </c>
      <c r="R1226" s="53"/>
      <c r="S1226" s="53"/>
      <c r="T1226" s="82"/>
      <c r="U1226" s="42"/>
      <c r="V1226" s="62"/>
      <c r="W1226" s="64"/>
      <c r="X1226" s="223"/>
      <c r="Y1226" s="223"/>
      <c r="Z1226" s="223"/>
      <c r="AA1226" s="223"/>
    </row>
    <row r="1227">
      <c r="A1227" s="42">
        <f t="shared" si="3"/>
        <v>1226</v>
      </c>
      <c r="B1227" s="51" t="s">
        <v>41</v>
      </c>
      <c r="C1227" s="53" t="s">
        <v>6709</v>
      </c>
      <c r="D1227" s="42" t="s">
        <v>44</v>
      </c>
      <c r="E1227" s="42" t="s">
        <v>44</v>
      </c>
      <c r="F1227" s="53" t="s">
        <v>6563</v>
      </c>
      <c r="G1227" s="53" t="s">
        <v>47</v>
      </c>
      <c r="H1227" s="53" t="s">
        <v>48</v>
      </c>
      <c r="I1227" s="53" t="s">
        <v>401</v>
      </c>
      <c r="J1227" s="53" t="s">
        <v>6564</v>
      </c>
      <c r="K1227" s="53" t="s">
        <v>1615</v>
      </c>
      <c r="L1227" s="53" t="s">
        <v>52</v>
      </c>
      <c r="M1227" s="53" t="s">
        <v>52</v>
      </c>
      <c r="N1227" s="62" t="s">
        <v>6647</v>
      </c>
      <c r="O1227" s="62" t="s">
        <v>44</v>
      </c>
      <c r="P1227" s="62" t="s">
        <v>6710</v>
      </c>
      <c r="Q1227" s="62" t="s">
        <v>6711</v>
      </c>
      <c r="R1227" s="53"/>
      <c r="S1227" s="53"/>
      <c r="T1227" s="82"/>
      <c r="U1227" s="42"/>
      <c r="V1227" s="62"/>
      <c r="W1227" s="64"/>
      <c r="X1227" s="223"/>
      <c r="Y1227" s="223"/>
      <c r="Z1227" s="223"/>
      <c r="AA1227" s="223"/>
    </row>
    <row r="1228">
      <c r="A1228" s="42">
        <f t="shared" si="3"/>
        <v>1227</v>
      </c>
      <c r="B1228" s="51" t="s">
        <v>41</v>
      </c>
      <c r="C1228" s="53" t="s">
        <v>6712</v>
      </c>
      <c r="D1228" s="42" t="s">
        <v>44</v>
      </c>
      <c r="E1228" s="42" t="s">
        <v>44</v>
      </c>
      <c r="F1228" s="53" t="s">
        <v>6563</v>
      </c>
      <c r="G1228" s="53" t="s">
        <v>47</v>
      </c>
      <c r="H1228" s="53" t="s">
        <v>48</v>
      </c>
      <c r="I1228" s="53" t="s">
        <v>401</v>
      </c>
      <c r="J1228" s="53" t="s">
        <v>6564</v>
      </c>
      <c r="K1228" s="53" t="s">
        <v>1615</v>
      </c>
      <c r="L1228" s="53" t="s">
        <v>52</v>
      </c>
      <c r="M1228" s="53" t="s">
        <v>52</v>
      </c>
      <c r="N1228" s="62" t="s">
        <v>6713</v>
      </c>
      <c r="O1228" s="62" t="s">
        <v>44</v>
      </c>
      <c r="P1228" s="62" t="s">
        <v>6714</v>
      </c>
      <c r="Q1228" s="62" t="s">
        <v>6715</v>
      </c>
      <c r="R1228" s="53"/>
      <c r="S1228" s="53"/>
      <c r="T1228" s="82"/>
      <c r="U1228" s="42"/>
      <c r="V1228" s="62"/>
      <c r="W1228" s="64"/>
      <c r="X1228" s="223"/>
      <c r="Y1228" s="223"/>
      <c r="Z1228" s="223"/>
      <c r="AA1228" s="223"/>
    </row>
    <row r="1229">
      <c r="A1229" s="42">
        <f t="shared" si="3"/>
        <v>1228</v>
      </c>
      <c r="B1229" s="51" t="s">
        <v>41</v>
      </c>
      <c r="C1229" s="53" t="s">
        <v>6716</v>
      </c>
      <c r="D1229" s="42" t="s">
        <v>44</v>
      </c>
      <c r="E1229" s="42" t="s">
        <v>44</v>
      </c>
      <c r="F1229" s="53" t="s">
        <v>6563</v>
      </c>
      <c r="G1229" s="53" t="s">
        <v>47</v>
      </c>
      <c r="H1229" s="53" t="s">
        <v>48</v>
      </c>
      <c r="I1229" s="53" t="s">
        <v>401</v>
      </c>
      <c r="J1229" s="53" t="s">
        <v>6564</v>
      </c>
      <c r="K1229" s="53" t="s">
        <v>1615</v>
      </c>
      <c r="L1229" s="53" t="s">
        <v>52</v>
      </c>
      <c r="M1229" s="53" t="s">
        <v>52</v>
      </c>
      <c r="N1229" s="62" t="s">
        <v>6647</v>
      </c>
      <c r="O1229" s="62" t="s">
        <v>44</v>
      </c>
      <c r="P1229" s="62" t="s">
        <v>6717</v>
      </c>
      <c r="Q1229" s="62" t="s">
        <v>6718</v>
      </c>
      <c r="R1229" s="53"/>
      <c r="S1229" s="53"/>
      <c r="T1229" s="82"/>
      <c r="U1229" s="42"/>
      <c r="V1229" s="62"/>
      <c r="W1229" s="64"/>
      <c r="X1229" s="223"/>
      <c r="Y1229" s="223"/>
      <c r="Z1229" s="223"/>
      <c r="AA1229" s="223"/>
    </row>
    <row r="1230">
      <c r="A1230" s="42">
        <f t="shared" si="3"/>
        <v>1229</v>
      </c>
      <c r="B1230" s="51" t="s">
        <v>41</v>
      </c>
      <c r="C1230" s="53" t="s">
        <v>6719</v>
      </c>
      <c r="D1230" s="42" t="s">
        <v>44</v>
      </c>
      <c r="E1230" s="42" t="s">
        <v>44</v>
      </c>
      <c r="F1230" s="53" t="s">
        <v>6563</v>
      </c>
      <c r="G1230" s="53" t="s">
        <v>47</v>
      </c>
      <c r="H1230" s="53" t="s">
        <v>48</v>
      </c>
      <c r="I1230" s="53" t="s">
        <v>401</v>
      </c>
      <c r="J1230" s="53" t="s">
        <v>6564</v>
      </c>
      <c r="K1230" s="53" t="s">
        <v>1615</v>
      </c>
      <c r="L1230" s="53" t="s">
        <v>52</v>
      </c>
      <c r="M1230" s="53" t="s">
        <v>52</v>
      </c>
      <c r="N1230" s="62" t="s">
        <v>6720</v>
      </c>
      <c r="O1230" s="62" t="s">
        <v>44</v>
      </c>
      <c r="P1230" s="62" t="s">
        <v>6721</v>
      </c>
      <c r="Q1230" s="62" t="s">
        <v>6722</v>
      </c>
      <c r="R1230" s="53"/>
      <c r="S1230" s="53"/>
      <c r="T1230" s="82"/>
      <c r="U1230" s="42"/>
      <c r="V1230" s="62"/>
      <c r="W1230" s="64"/>
      <c r="X1230" s="223"/>
      <c r="Y1230" s="223"/>
      <c r="Z1230" s="223"/>
      <c r="AA1230" s="223"/>
    </row>
    <row r="1231">
      <c r="A1231" s="42">
        <f t="shared" si="3"/>
        <v>1230</v>
      </c>
      <c r="B1231" s="51" t="s">
        <v>41</v>
      </c>
      <c r="C1231" s="53" t="s">
        <v>6723</v>
      </c>
      <c r="D1231" s="42" t="s">
        <v>44</v>
      </c>
      <c r="E1231" s="42" t="s">
        <v>44</v>
      </c>
      <c r="F1231" s="53" t="s">
        <v>6563</v>
      </c>
      <c r="G1231" s="53" t="s">
        <v>197</v>
      </c>
      <c r="H1231" s="53" t="s">
        <v>198</v>
      </c>
      <c r="I1231" s="53" t="s">
        <v>401</v>
      </c>
      <c r="J1231" s="53" t="s">
        <v>6564</v>
      </c>
      <c r="K1231" s="53" t="s">
        <v>1615</v>
      </c>
      <c r="L1231" s="53" t="s">
        <v>52</v>
      </c>
      <c r="M1231" s="53" t="s">
        <v>52</v>
      </c>
      <c r="N1231" s="62" t="s">
        <v>6647</v>
      </c>
      <c r="O1231" s="62" t="s">
        <v>44</v>
      </c>
      <c r="P1231" s="62" t="s">
        <v>6724</v>
      </c>
      <c r="Q1231" s="62" t="s">
        <v>6725</v>
      </c>
      <c r="R1231" s="53"/>
      <c r="S1231" s="53"/>
      <c r="T1231" s="82"/>
      <c r="U1231" s="42"/>
      <c r="V1231" s="62"/>
      <c r="W1231" s="64"/>
      <c r="X1231" s="223"/>
      <c r="Y1231" s="223"/>
      <c r="Z1231" s="223"/>
      <c r="AA1231" s="223"/>
    </row>
    <row r="1232">
      <c r="A1232" s="42">
        <f t="shared" si="3"/>
        <v>1231</v>
      </c>
      <c r="B1232" s="51" t="s">
        <v>41</v>
      </c>
      <c r="C1232" s="53" t="s">
        <v>6726</v>
      </c>
      <c r="D1232" s="42" t="s">
        <v>44</v>
      </c>
      <c r="E1232" s="42" t="s">
        <v>44</v>
      </c>
      <c r="F1232" s="53" t="s">
        <v>6563</v>
      </c>
      <c r="G1232" s="53" t="s">
        <v>197</v>
      </c>
      <c r="H1232" s="53" t="s">
        <v>198</v>
      </c>
      <c r="I1232" s="53" t="s">
        <v>401</v>
      </c>
      <c r="J1232" s="53" t="s">
        <v>6564</v>
      </c>
      <c r="K1232" s="53" t="s">
        <v>1615</v>
      </c>
      <c r="L1232" s="53" t="s">
        <v>52</v>
      </c>
      <c r="M1232" s="53" t="s">
        <v>52</v>
      </c>
      <c r="N1232" s="62" t="s">
        <v>6647</v>
      </c>
      <c r="O1232" s="62" t="s">
        <v>44</v>
      </c>
      <c r="P1232" s="62" t="s">
        <v>6724</v>
      </c>
      <c r="Q1232" s="62" t="s">
        <v>6727</v>
      </c>
      <c r="R1232" s="53"/>
      <c r="S1232" s="53"/>
      <c r="T1232" s="82"/>
      <c r="U1232" s="42"/>
      <c r="V1232" s="62"/>
      <c r="W1232" s="64"/>
      <c r="X1232" s="223"/>
      <c r="Y1232" s="223"/>
      <c r="Z1232" s="223"/>
      <c r="AA1232" s="223"/>
    </row>
    <row r="1233">
      <c r="A1233" s="42">
        <f t="shared" si="3"/>
        <v>1232</v>
      </c>
      <c r="B1233" s="51" t="s">
        <v>41</v>
      </c>
      <c r="C1233" s="53" t="s">
        <v>6728</v>
      </c>
      <c r="D1233" s="42" t="s">
        <v>44</v>
      </c>
      <c r="E1233" s="42" t="s">
        <v>44</v>
      </c>
      <c r="F1233" s="53" t="s">
        <v>6563</v>
      </c>
      <c r="G1233" s="53" t="s">
        <v>47</v>
      </c>
      <c r="H1233" s="53" t="s">
        <v>48</v>
      </c>
      <c r="I1233" s="53" t="s">
        <v>401</v>
      </c>
      <c r="J1233" s="53" t="s">
        <v>6564</v>
      </c>
      <c r="K1233" s="53" t="s">
        <v>1615</v>
      </c>
      <c r="L1233" s="53" t="s">
        <v>52</v>
      </c>
      <c r="M1233" s="53" t="s">
        <v>52</v>
      </c>
      <c r="N1233" s="62" t="s">
        <v>6647</v>
      </c>
      <c r="O1233" s="62" t="s">
        <v>44</v>
      </c>
      <c r="P1233" s="62" t="s">
        <v>6729</v>
      </c>
      <c r="Q1233" s="62" t="s">
        <v>6730</v>
      </c>
      <c r="R1233" s="53"/>
      <c r="S1233" s="53"/>
      <c r="T1233" s="82"/>
      <c r="U1233" s="42"/>
      <c r="V1233" s="62"/>
      <c r="W1233" s="64"/>
      <c r="X1233" s="223"/>
      <c r="Y1233" s="223"/>
      <c r="Z1233" s="223"/>
      <c r="AA1233" s="223"/>
    </row>
    <row r="1234">
      <c r="A1234" s="42">
        <f t="shared" si="3"/>
        <v>1233</v>
      </c>
      <c r="B1234" s="51" t="s">
        <v>41</v>
      </c>
      <c r="C1234" s="53" t="s">
        <v>6731</v>
      </c>
      <c r="D1234" s="42" t="s">
        <v>44</v>
      </c>
      <c r="E1234" s="42" t="s">
        <v>44</v>
      </c>
      <c r="F1234" s="53" t="s">
        <v>6563</v>
      </c>
      <c r="G1234" s="53" t="s">
        <v>47</v>
      </c>
      <c r="H1234" s="53" t="s">
        <v>48</v>
      </c>
      <c r="I1234" s="53" t="s">
        <v>401</v>
      </c>
      <c r="J1234" s="53" t="s">
        <v>6564</v>
      </c>
      <c r="K1234" s="53" t="s">
        <v>1615</v>
      </c>
      <c r="L1234" s="53" t="s">
        <v>52</v>
      </c>
      <c r="M1234" s="53" t="s">
        <v>52</v>
      </c>
      <c r="N1234" s="62" t="s">
        <v>6647</v>
      </c>
      <c r="O1234" s="62" t="s">
        <v>44</v>
      </c>
      <c r="P1234" s="62" t="s">
        <v>6732</v>
      </c>
      <c r="Q1234" s="62" t="s">
        <v>6733</v>
      </c>
      <c r="R1234" s="53"/>
      <c r="S1234" s="53"/>
      <c r="T1234" s="82"/>
      <c r="U1234" s="42"/>
      <c r="V1234" s="62"/>
      <c r="W1234" s="64"/>
      <c r="X1234" s="223"/>
      <c r="Y1234" s="223"/>
      <c r="Z1234" s="223"/>
      <c r="AA1234" s="223"/>
    </row>
    <row r="1235">
      <c r="A1235" s="42">
        <f t="shared" si="3"/>
        <v>1234</v>
      </c>
      <c r="B1235" s="51" t="s">
        <v>41</v>
      </c>
      <c r="C1235" s="53" t="s">
        <v>6734</v>
      </c>
      <c r="D1235" s="42" t="s">
        <v>44</v>
      </c>
      <c r="E1235" s="42" t="s">
        <v>44</v>
      </c>
      <c r="F1235" s="53" t="s">
        <v>6563</v>
      </c>
      <c r="G1235" s="53" t="s">
        <v>47</v>
      </c>
      <c r="H1235" s="53" t="s">
        <v>48</v>
      </c>
      <c r="I1235" s="53" t="s">
        <v>401</v>
      </c>
      <c r="J1235" s="53" t="s">
        <v>6564</v>
      </c>
      <c r="K1235" s="53" t="s">
        <v>1615</v>
      </c>
      <c r="L1235" s="53" t="s">
        <v>52</v>
      </c>
      <c r="M1235" s="53" t="s">
        <v>52</v>
      </c>
      <c r="N1235" s="62" t="s">
        <v>6735</v>
      </c>
      <c r="O1235" s="62" t="s">
        <v>44</v>
      </c>
      <c r="P1235" s="62" t="s">
        <v>6736</v>
      </c>
      <c r="Q1235" s="62" t="s">
        <v>6737</v>
      </c>
      <c r="R1235" s="53"/>
      <c r="S1235" s="53"/>
      <c r="T1235" s="82"/>
      <c r="U1235" s="42"/>
      <c r="V1235" s="62"/>
      <c r="W1235" s="64"/>
      <c r="X1235" s="223"/>
      <c r="Y1235" s="223"/>
      <c r="Z1235" s="223"/>
      <c r="AA1235" s="223"/>
    </row>
    <row r="1236">
      <c r="A1236" s="42">
        <f t="shared" si="3"/>
        <v>1235</v>
      </c>
      <c r="B1236" s="51" t="s">
        <v>41</v>
      </c>
      <c r="C1236" s="53" t="s">
        <v>6738</v>
      </c>
      <c r="D1236" s="42" t="s">
        <v>44</v>
      </c>
      <c r="E1236" s="42" t="s">
        <v>44</v>
      </c>
      <c r="F1236" s="53" t="s">
        <v>6563</v>
      </c>
      <c r="G1236" s="53" t="s">
        <v>47</v>
      </c>
      <c r="H1236" s="53" t="s">
        <v>48</v>
      </c>
      <c r="I1236" s="53" t="s">
        <v>401</v>
      </c>
      <c r="J1236" s="53" t="s">
        <v>6564</v>
      </c>
      <c r="K1236" s="53" t="s">
        <v>1615</v>
      </c>
      <c r="L1236" s="53" t="s">
        <v>52</v>
      </c>
      <c r="M1236" s="53" t="s">
        <v>52</v>
      </c>
      <c r="N1236" s="62" t="s">
        <v>6735</v>
      </c>
      <c r="O1236" s="62" t="s">
        <v>44</v>
      </c>
      <c r="P1236" s="62" t="s">
        <v>6739</v>
      </c>
      <c r="Q1236" s="62" t="s">
        <v>6740</v>
      </c>
      <c r="R1236" s="53"/>
      <c r="S1236" s="53"/>
      <c r="T1236" s="82"/>
      <c r="U1236" s="42"/>
      <c r="V1236" s="62"/>
      <c r="W1236" s="64"/>
      <c r="X1236" s="223"/>
      <c r="Y1236" s="223"/>
      <c r="Z1236" s="223"/>
      <c r="AA1236" s="223"/>
    </row>
    <row r="1237">
      <c r="A1237" s="42">
        <f t="shared" si="3"/>
        <v>1236</v>
      </c>
      <c r="B1237" s="51" t="s">
        <v>41</v>
      </c>
      <c r="C1237" s="53" t="s">
        <v>6741</v>
      </c>
      <c r="D1237" s="42" t="s">
        <v>44</v>
      </c>
      <c r="E1237" s="42" t="s">
        <v>44</v>
      </c>
      <c r="F1237" s="53" t="s">
        <v>6563</v>
      </c>
      <c r="G1237" s="53" t="s">
        <v>47</v>
      </c>
      <c r="H1237" s="53" t="s">
        <v>91</v>
      </c>
      <c r="I1237" s="53" t="s">
        <v>401</v>
      </c>
      <c r="J1237" s="53" t="s">
        <v>6564</v>
      </c>
      <c r="K1237" s="53" t="s">
        <v>1615</v>
      </c>
      <c r="L1237" s="53" t="s">
        <v>52</v>
      </c>
      <c r="M1237" s="53" t="s">
        <v>52</v>
      </c>
      <c r="N1237" s="62" t="s">
        <v>6735</v>
      </c>
      <c r="O1237" s="62" t="s">
        <v>44</v>
      </c>
      <c r="P1237" s="62" t="s">
        <v>6742</v>
      </c>
      <c r="Q1237" s="62" t="s">
        <v>6743</v>
      </c>
      <c r="R1237" s="53"/>
      <c r="S1237" s="53"/>
      <c r="T1237" s="82"/>
      <c r="U1237" s="53"/>
      <c r="V1237" s="62"/>
      <c r="W1237" s="64"/>
      <c r="X1237" s="223"/>
      <c r="Y1237" s="223"/>
      <c r="Z1237" s="223"/>
      <c r="AA1237" s="223"/>
    </row>
    <row r="1238">
      <c r="A1238" s="42">
        <f t="shared" si="3"/>
        <v>1237</v>
      </c>
      <c r="B1238" s="51" t="s">
        <v>41</v>
      </c>
      <c r="C1238" s="53" t="s">
        <v>6744</v>
      </c>
      <c r="D1238" s="42" t="s">
        <v>44</v>
      </c>
      <c r="E1238" s="42" t="s">
        <v>44</v>
      </c>
      <c r="F1238" s="53" t="s">
        <v>6563</v>
      </c>
      <c r="G1238" s="53" t="s">
        <v>47</v>
      </c>
      <c r="H1238" s="53" t="s">
        <v>48</v>
      </c>
      <c r="I1238" s="53" t="s">
        <v>401</v>
      </c>
      <c r="J1238" s="53" t="s">
        <v>6564</v>
      </c>
      <c r="K1238" s="53" t="s">
        <v>1615</v>
      </c>
      <c r="L1238" s="53" t="s">
        <v>52</v>
      </c>
      <c r="M1238" s="53" t="s">
        <v>52</v>
      </c>
      <c r="N1238" s="62" t="s">
        <v>6745</v>
      </c>
      <c r="O1238" s="62" t="s">
        <v>44</v>
      </c>
      <c r="P1238" s="62" t="s">
        <v>6746</v>
      </c>
      <c r="Q1238" s="62" t="s">
        <v>6747</v>
      </c>
      <c r="R1238" s="53"/>
      <c r="S1238" s="53"/>
      <c r="T1238" s="82"/>
      <c r="U1238" s="42"/>
      <c r="V1238" s="62"/>
      <c r="W1238" s="64"/>
      <c r="X1238" s="223"/>
      <c r="Y1238" s="223"/>
      <c r="Z1238" s="223"/>
      <c r="AA1238" s="223"/>
    </row>
    <row r="1239">
      <c r="A1239" s="42">
        <f t="shared" si="3"/>
        <v>1238</v>
      </c>
      <c r="B1239" s="51" t="s">
        <v>41</v>
      </c>
      <c r="C1239" s="53" t="s">
        <v>6748</v>
      </c>
      <c r="D1239" s="42" t="s">
        <v>44</v>
      </c>
      <c r="E1239" s="42" t="s">
        <v>44</v>
      </c>
      <c r="F1239" s="53" t="s">
        <v>6563</v>
      </c>
      <c r="G1239" s="53" t="s">
        <v>47</v>
      </c>
      <c r="H1239" s="53" t="s">
        <v>48</v>
      </c>
      <c r="I1239" s="53" t="s">
        <v>401</v>
      </c>
      <c r="J1239" s="53" t="s">
        <v>6564</v>
      </c>
      <c r="K1239" s="53" t="s">
        <v>1615</v>
      </c>
      <c r="L1239" s="53" t="s">
        <v>52</v>
      </c>
      <c r="M1239" s="53" t="s">
        <v>52</v>
      </c>
      <c r="N1239" s="62" t="s">
        <v>6749</v>
      </c>
      <c r="O1239" s="62" t="s">
        <v>44</v>
      </c>
      <c r="P1239" s="62" t="s">
        <v>6629</v>
      </c>
      <c r="Q1239" s="62" t="s">
        <v>6750</v>
      </c>
      <c r="R1239" s="53"/>
      <c r="S1239" s="53"/>
      <c r="T1239" s="82"/>
      <c r="U1239" s="42"/>
      <c r="V1239" s="62"/>
      <c r="W1239" s="64"/>
      <c r="X1239" s="223"/>
      <c r="Y1239" s="223"/>
      <c r="Z1239" s="223"/>
      <c r="AA1239" s="223"/>
    </row>
    <row r="1240">
      <c r="A1240" s="42">
        <f t="shared" si="3"/>
        <v>1239</v>
      </c>
      <c r="B1240" s="51" t="s">
        <v>41</v>
      </c>
      <c r="C1240" s="53" t="s">
        <v>6751</v>
      </c>
      <c r="D1240" s="42" t="s">
        <v>44</v>
      </c>
      <c r="E1240" s="42" t="s">
        <v>44</v>
      </c>
      <c r="F1240" s="53" t="s">
        <v>6563</v>
      </c>
      <c r="G1240" s="53" t="s">
        <v>47</v>
      </c>
      <c r="H1240" s="53" t="s">
        <v>48</v>
      </c>
      <c r="I1240" s="53" t="s">
        <v>401</v>
      </c>
      <c r="J1240" s="53" t="s">
        <v>6564</v>
      </c>
      <c r="K1240" s="53" t="s">
        <v>1615</v>
      </c>
      <c r="L1240" s="53" t="s">
        <v>52</v>
      </c>
      <c r="M1240" s="53" t="s">
        <v>52</v>
      </c>
      <c r="N1240" s="62" t="s">
        <v>6647</v>
      </c>
      <c r="O1240" s="62" t="s">
        <v>44</v>
      </c>
      <c r="P1240" s="62" t="s">
        <v>6752</v>
      </c>
      <c r="Q1240" s="62" t="s">
        <v>6753</v>
      </c>
      <c r="R1240" s="53"/>
      <c r="S1240" s="53"/>
      <c r="T1240" s="82"/>
      <c r="U1240" s="42"/>
      <c r="V1240" s="62"/>
      <c r="W1240" s="64"/>
      <c r="X1240" s="223"/>
      <c r="Y1240" s="223"/>
      <c r="Z1240" s="223"/>
      <c r="AA1240" s="223"/>
    </row>
    <row r="1241">
      <c r="A1241" s="42">
        <f t="shared" si="3"/>
        <v>1240</v>
      </c>
      <c r="B1241" s="51" t="s">
        <v>41</v>
      </c>
      <c r="C1241" s="53" t="s">
        <v>6754</v>
      </c>
      <c r="D1241" s="42" t="s">
        <v>44</v>
      </c>
      <c r="E1241" s="42" t="s">
        <v>44</v>
      </c>
      <c r="F1241" s="53" t="s">
        <v>6563</v>
      </c>
      <c r="G1241" s="53" t="s">
        <v>47</v>
      </c>
      <c r="H1241" s="53" t="s">
        <v>48</v>
      </c>
      <c r="I1241" s="53" t="s">
        <v>401</v>
      </c>
      <c r="J1241" s="53" t="s">
        <v>6564</v>
      </c>
      <c r="K1241" s="53" t="s">
        <v>1615</v>
      </c>
      <c r="L1241" s="53" t="s">
        <v>52</v>
      </c>
      <c r="M1241" s="53" t="s">
        <v>52</v>
      </c>
      <c r="N1241" s="62" t="s">
        <v>6755</v>
      </c>
      <c r="O1241" s="62" t="s">
        <v>44</v>
      </c>
      <c r="P1241" s="62" t="s">
        <v>6756</v>
      </c>
      <c r="Q1241" s="62" t="s">
        <v>6757</v>
      </c>
      <c r="R1241" s="53"/>
      <c r="S1241" s="53"/>
      <c r="T1241" s="82"/>
      <c r="U1241" s="42"/>
      <c r="V1241" s="62"/>
      <c r="W1241" s="64"/>
      <c r="X1241" s="223"/>
      <c r="Y1241" s="223"/>
      <c r="Z1241" s="223"/>
      <c r="AA1241" s="223"/>
    </row>
    <row r="1242">
      <c r="A1242" s="42">
        <f t="shared" si="3"/>
        <v>1241</v>
      </c>
      <c r="B1242" s="51" t="s">
        <v>41</v>
      </c>
      <c r="C1242" s="53" t="s">
        <v>6758</v>
      </c>
      <c r="D1242" s="42" t="s">
        <v>44</v>
      </c>
      <c r="E1242" s="42" t="s">
        <v>44</v>
      </c>
      <c r="F1242" s="53" t="s">
        <v>6563</v>
      </c>
      <c r="G1242" s="53" t="s">
        <v>47</v>
      </c>
      <c r="H1242" s="53" t="s">
        <v>48</v>
      </c>
      <c r="I1242" s="53" t="s">
        <v>401</v>
      </c>
      <c r="J1242" s="53" t="s">
        <v>6564</v>
      </c>
      <c r="K1242" s="53" t="s">
        <v>1615</v>
      </c>
      <c r="L1242" s="53" t="s">
        <v>52</v>
      </c>
      <c r="M1242" s="53" t="s">
        <v>52</v>
      </c>
      <c r="N1242" s="62" t="s">
        <v>6755</v>
      </c>
      <c r="O1242" s="62" t="s">
        <v>44</v>
      </c>
      <c r="P1242" s="62" t="s">
        <v>6759</v>
      </c>
      <c r="Q1242" s="62" t="s">
        <v>6760</v>
      </c>
      <c r="R1242" s="53"/>
      <c r="S1242" s="53"/>
      <c r="T1242" s="82"/>
      <c r="U1242" s="42"/>
      <c r="V1242" s="62"/>
      <c r="W1242" s="64"/>
      <c r="X1242" s="223"/>
      <c r="Y1242" s="223"/>
      <c r="Z1242" s="223"/>
      <c r="AA1242" s="223"/>
    </row>
    <row r="1243">
      <c r="A1243" s="42">
        <f t="shared" si="3"/>
        <v>1242</v>
      </c>
      <c r="B1243" s="51" t="s">
        <v>41</v>
      </c>
      <c r="C1243" s="53" t="s">
        <v>6761</v>
      </c>
      <c r="D1243" s="42" t="s">
        <v>44</v>
      </c>
      <c r="E1243" s="42" t="s">
        <v>44</v>
      </c>
      <c r="F1243" s="53" t="s">
        <v>6563</v>
      </c>
      <c r="G1243" s="53" t="s">
        <v>47</v>
      </c>
      <c r="H1243" s="53" t="s">
        <v>91</v>
      </c>
      <c r="I1243" s="53" t="s">
        <v>401</v>
      </c>
      <c r="J1243" s="53" t="s">
        <v>6564</v>
      </c>
      <c r="K1243" s="53" t="s">
        <v>1615</v>
      </c>
      <c r="L1243" s="53" t="s">
        <v>52</v>
      </c>
      <c r="M1243" s="53" t="s">
        <v>52</v>
      </c>
      <c r="N1243" s="62" t="s">
        <v>6755</v>
      </c>
      <c r="O1243" s="62" t="s">
        <v>44</v>
      </c>
      <c r="P1243" s="62" t="s">
        <v>6762</v>
      </c>
      <c r="Q1243" s="62" t="s">
        <v>6763</v>
      </c>
      <c r="R1243" s="53"/>
      <c r="S1243" s="53"/>
      <c r="T1243" s="82"/>
      <c r="U1243" s="42"/>
      <c r="V1243" s="62"/>
      <c r="W1243" s="64"/>
      <c r="X1243" s="223"/>
      <c r="Y1243" s="223"/>
      <c r="Z1243" s="223"/>
      <c r="AA1243" s="223"/>
    </row>
    <row r="1244">
      <c r="A1244" s="42">
        <f t="shared" si="3"/>
        <v>1243</v>
      </c>
      <c r="B1244" s="51" t="s">
        <v>41</v>
      </c>
      <c r="C1244" s="53" t="s">
        <v>6764</v>
      </c>
      <c r="D1244" s="42" t="s">
        <v>44</v>
      </c>
      <c r="E1244" s="42" t="s">
        <v>44</v>
      </c>
      <c r="F1244" s="53" t="s">
        <v>6563</v>
      </c>
      <c r="G1244" s="53" t="s">
        <v>47</v>
      </c>
      <c r="H1244" s="53" t="s">
        <v>48</v>
      </c>
      <c r="I1244" s="53" t="s">
        <v>401</v>
      </c>
      <c r="J1244" s="53" t="s">
        <v>6564</v>
      </c>
      <c r="K1244" s="53" t="s">
        <v>1615</v>
      </c>
      <c r="L1244" s="53" t="s">
        <v>52</v>
      </c>
      <c r="M1244" s="53" t="s">
        <v>52</v>
      </c>
      <c r="N1244" s="62" t="s">
        <v>6765</v>
      </c>
      <c r="O1244" s="62" t="s">
        <v>44</v>
      </c>
      <c r="P1244" s="62" t="s">
        <v>6714</v>
      </c>
      <c r="Q1244" s="62" t="s">
        <v>6766</v>
      </c>
      <c r="R1244" s="53"/>
      <c r="S1244" s="53"/>
      <c r="T1244" s="82"/>
      <c r="U1244" s="42"/>
      <c r="V1244" s="62"/>
      <c r="W1244" s="64"/>
      <c r="X1244" s="223"/>
      <c r="Y1244" s="223"/>
      <c r="Z1244" s="223"/>
      <c r="AA1244" s="223"/>
    </row>
    <row r="1245">
      <c r="A1245" s="42">
        <f t="shared" si="3"/>
        <v>1244</v>
      </c>
      <c r="B1245" s="51" t="s">
        <v>41</v>
      </c>
      <c r="C1245" s="53" t="s">
        <v>6767</v>
      </c>
      <c r="D1245" s="42" t="s">
        <v>44</v>
      </c>
      <c r="E1245" s="42" t="s">
        <v>44</v>
      </c>
      <c r="F1245" s="53" t="s">
        <v>6563</v>
      </c>
      <c r="G1245" s="53" t="s">
        <v>47</v>
      </c>
      <c r="H1245" s="53" t="s">
        <v>48</v>
      </c>
      <c r="I1245" s="53" t="s">
        <v>401</v>
      </c>
      <c r="J1245" s="53" t="s">
        <v>6564</v>
      </c>
      <c r="K1245" s="53" t="s">
        <v>1615</v>
      </c>
      <c r="L1245" s="53" t="s">
        <v>52</v>
      </c>
      <c r="M1245" s="53" t="s">
        <v>52</v>
      </c>
      <c r="N1245" s="62" t="s">
        <v>6647</v>
      </c>
      <c r="O1245" s="62" t="s">
        <v>44</v>
      </c>
      <c r="P1245" s="62" t="s">
        <v>6768</v>
      </c>
      <c r="Q1245" s="62" t="s">
        <v>6769</v>
      </c>
      <c r="R1245" s="53"/>
      <c r="S1245" s="53"/>
      <c r="T1245" s="82"/>
      <c r="U1245" s="42"/>
      <c r="V1245" s="62"/>
      <c r="W1245" s="64"/>
      <c r="X1245" s="223"/>
      <c r="Y1245" s="223"/>
      <c r="Z1245" s="223"/>
      <c r="AA1245" s="223"/>
    </row>
    <row r="1246">
      <c r="A1246" s="42">
        <f t="shared" si="3"/>
        <v>1245</v>
      </c>
      <c r="B1246" s="51" t="s">
        <v>41</v>
      </c>
      <c r="C1246" s="53" t="s">
        <v>6770</v>
      </c>
      <c r="D1246" s="42" t="s">
        <v>44</v>
      </c>
      <c r="E1246" s="42" t="s">
        <v>44</v>
      </c>
      <c r="F1246" s="53" t="s">
        <v>6563</v>
      </c>
      <c r="G1246" s="53" t="s">
        <v>47</v>
      </c>
      <c r="H1246" s="53" t="s">
        <v>48</v>
      </c>
      <c r="I1246" s="53" t="s">
        <v>401</v>
      </c>
      <c r="J1246" s="53" t="s">
        <v>6564</v>
      </c>
      <c r="K1246" s="53" t="s">
        <v>1615</v>
      </c>
      <c r="L1246" s="53" t="s">
        <v>52</v>
      </c>
      <c r="M1246" s="53" t="s">
        <v>52</v>
      </c>
      <c r="N1246" s="62" t="s">
        <v>6647</v>
      </c>
      <c r="O1246" s="62" t="s">
        <v>44</v>
      </c>
      <c r="P1246" s="62" t="s">
        <v>6771</v>
      </c>
      <c r="Q1246" s="62" t="s">
        <v>6772</v>
      </c>
      <c r="R1246" s="53"/>
      <c r="S1246" s="53"/>
      <c r="T1246" s="82"/>
      <c r="U1246" s="42"/>
      <c r="V1246" s="62"/>
      <c r="W1246" s="64"/>
      <c r="X1246" s="223"/>
      <c r="Y1246" s="223"/>
      <c r="Z1246" s="223"/>
      <c r="AA1246" s="223"/>
    </row>
    <row r="1247">
      <c r="A1247" s="42">
        <f t="shared" si="3"/>
        <v>1246</v>
      </c>
      <c r="B1247" s="51" t="s">
        <v>41</v>
      </c>
      <c r="C1247" s="53" t="s">
        <v>6773</v>
      </c>
      <c r="D1247" s="42" t="s">
        <v>44</v>
      </c>
      <c r="E1247" s="42" t="s">
        <v>44</v>
      </c>
      <c r="F1247" s="53" t="s">
        <v>6563</v>
      </c>
      <c r="G1247" s="53" t="s">
        <v>47</v>
      </c>
      <c r="H1247" s="53" t="s">
        <v>91</v>
      </c>
      <c r="I1247" s="53" t="s">
        <v>401</v>
      </c>
      <c r="J1247" s="53" t="s">
        <v>6564</v>
      </c>
      <c r="K1247" s="53" t="s">
        <v>1615</v>
      </c>
      <c r="L1247" s="53" t="s">
        <v>52</v>
      </c>
      <c r="M1247" s="53" t="s">
        <v>52</v>
      </c>
      <c r="N1247" s="62" t="s">
        <v>6647</v>
      </c>
      <c r="O1247" s="62" t="s">
        <v>44</v>
      </c>
      <c r="P1247" s="62" t="s">
        <v>6774</v>
      </c>
      <c r="Q1247" s="62" t="s">
        <v>6775</v>
      </c>
      <c r="R1247" s="53"/>
      <c r="S1247" s="53"/>
      <c r="T1247" s="82"/>
      <c r="U1247" s="42"/>
      <c r="V1247" s="62"/>
      <c r="W1247" s="64"/>
      <c r="X1247" s="223"/>
      <c r="Y1247" s="223"/>
      <c r="Z1247" s="223"/>
      <c r="AA1247" s="223"/>
    </row>
    <row r="1248">
      <c r="A1248" s="42">
        <f t="shared" si="3"/>
        <v>1247</v>
      </c>
      <c r="B1248" s="51" t="s">
        <v>41</v>
      </c>
      <c r="C1248" s="53" t="s">
        <v>6776</v>
      </c>
      <c r="D1248" s="42" t="s">
        <v>44</v>
      </c>
      <c r="E1248" s="42" t="s">
        <v>44</v>
      </c>
      <c r="F1248" s="53" t="s">
        <v>6563</v>
      </c>
      <c r="G1248" s="53" t="s">
        <v>47</v>
      </c>
      <c r="H1248" s="53" t="s">
        <v>95</v>
      </c>
      <c r="I1248" s="53" t="s">
        <v>401</v>
      </c>
      <c r="J1248" s="53" t="s">
        <v>6564</v>
      </c>
      <c r="K1248" s="53" t="s">
        <v>1615</v>
      </c>
      <c r="L1248" s="53" t="s">
        <v>52</v>
      </c>
      <c r="M1248" s="53" t="s">
        <v>52</v>
      </c>
      <c r="N1248" s="62" t="s">
        <v>6777</v>
      </c>
      <c r="O1248" s="62" t="s">
        <v>44</v>
      </c>
      <c r="P1248" s="62" t="s">
        <v>6778</v>
      </c>
      <c r="Q1248" s="62" t="s">
        <v>6779</v>
      </c>
      <c r="R1248" s="53"/>
      <c r="S1248" s="53"/>
      <c r="T1248" s="82"/>
      <c r="U1248" s="42"/>
      <c r="V1248" s="62"/>
      <c r="W1248" s="64"/>
      <c r="X1248" s="223"/>
      <c r="Y1248" s="223"/>
      <c r="Z1248" s="223"/>
      <c r="AA1248" s="223"/>
    </row>
    <row r="1249">
      <c r="A1249" s="42">
        <f t="shared" si="3"/>
        <v>1248</v>
      </c>
      <c r="B1249" s="51" t="s">
        <v>41</v>
      </c>
      <c r="C1249" s="53" t="s">
        <v>6780</v>
      </c>
      <c r="D1249" s="42" t="s">
        <v>44</v>
      </c>
      <c r="E1249" s="42" t="s">
        <v>44</v>
      </c>
      <c r="F1249" s="53" t="s">
        <v>6563</v>
      </c>
      <c r="G1249" s="53" t="s">
        <v>47</v>
      </c>
      <c r="H1249" s="53" t="s">
        <v>48</v>
      </c>
      <c r="I1249" s="53" t="s">
        <v>401</v>
      </c>
      <c r="J1249" s="53" t="s">
        <v>6564</v>
      </c>
      <c r="K1249" s="53" t="s">
        <v>1615</v>
      </c>
      <c r="L1249" s="53" t="s">
        <v>52</v>
      </c>
      <c r="M1249" s="53" t="s">
        <v>52</v>
      </c>
      <c r="N1249" s="62" t="s">
        <v>6568</v>
      </c>
      <c r="O1249" s="62" t="s">
        <v>44</v>
      </c>
      <c r="P1249" s="62" t="s">
        <v>6781</v>
      </c>
      <c r="Q1249" s="62" t="s">
        <v>6782</v>
      </c>
      <c r="R1249" s="53"/>
      <c r="S1249" s="53"/>
      <c r="T1249" s="82"/>
      <c r="U1249" s="42"/>
      <c r="V1249" s="62"/>
      <c r="W1249" s="64"/>
      <c r="X1249" s="223"/>
      <c r="Y1249" s="223"/>
      <c r="Z1249" s="223"/>
      <c r="AA1249" s="223"/>
    </row>
    <row r="1250">
      <c r="A1250" s="42">
        <f t="shared" si="3"/>
        <v>1249</v>
      </c>
      <c r="B1250" s="51" t="s">
        <v>41</v>
      </c>
      <c r="C1250" s="53" t="s">
        <v>6783</v>
      </c>
      <c r="D1250" s="42" t="s">
        <v>44</v>
      </c>
      <c r="E1250" s="42" t="s">
        <v>44</v>
      </c>
      <c r="F1250" s="53" t="s">
        <v>6563</v>
      </c>
      <c r="G1250" s="53" t="s">
        <v>47</v>
      </c>
      <c r="H1250" s="53" t="s">
        <v>48</v>
      </c>
      <c r="I1250" s="53" t="s">
        <v>401</v>
      </c>
      <c r="J1250" s="53" t="s">
        <v>6564</v>
      </c>
      <c r="K1250" s="53" t="s">
        <v>1615</v>
      </c>
      <c r="L1250" s="53" t="s">
        <v>52</v>
      </c>
      <c r="M1250" s="53" t="s">
        <v>52</v>
      </c>
      <c r="N1250" s="62" t="s">
        <v>6784</v>
      </c>
      <c r="O1250" s="62" t="s">
        <v>44</v>
      </c>
      <c r="P1250" s="62" t="s">
        <v>6785</v>
      </c>
      <c r="Q1250" s="62" t="s">
        <v>6786</v>
      </c>
      <c r="R1250" s="53"/>
      <c r="S1250" s="53"/>
      <c r="T1250" s="82"/>
      <c r="U1250" s="42"/>
      <c r="V1250" s="62"/>
      <c r="W1250" s="64"/>
      <c r="X1250" s="223"/>
      <c r="Y1250" s="223"/>
      <c r="Z1250" s="223"/>
      <c r="AA1250" s="223"/>
    </row>
    <row r="1251">
      <c r="A1251" s="42">
        <f t="shared" si="3"/>
        <v>1250</v>
      </c>
      <c r="B1251" s="51" t="s">
        <v>41</v>
      </c>
      <c r="C1251" s="53" t="s">
        <v>6787</v>
      </c>
      <c r="D1251" s="42" t="s">
        <v>44</v>
      </c>
      <c r="E1251" s="42" t="s">
        <v>44</v>
      </c>
      <c r="F1251" s="53" t="s">
        <v>6563</v>
      </c>
      <c r="G1251" s="53" t="s">
        <v>47</v>
      </c>
      <c r="H1251" s="53" t="s">
        <v>48</v>
      </c>
      <c r="I1251" s="53" t="s">
        <v>401</v>
      </c>
      <c r="J1251" s="53" t="s">
        <v>6564</v>
      </c>
      <c r="K1251" s="53" t="s">
        <v>1615</v>
      </c>
      <c r="L1251" s="53" t="s">
        <v>52</v>
      </c>
      <c r="M1251" s="53" t="s">
        <v>52</v>
      </c>
      <c r="N1251" s="62" t="s">
        <v>6788</v>
      </c>
      <c r="O1251" s="62" t="s">
        <v>44</v>
      </c>
      <c r="P1251" s="62" t="s">
        <v>6789</v>
      </c>
      <c r="Q1251" s="62" t="s">
        <v>6790</v>
      </c>
      <c r="R1251" s="53"/>
      <c r="S1251" s="53"/>
      <c r="T1251" s="82"/>
      <c r="U1251" s="42"/>
      <c r="V1251" s="62"/>
      <c r="W1251" s="64"/>
      <c r="X1251" s="223"/>
      <c r="Y1251" s="223"/>
      <c r="Z1251" s="223"/>
      <c r="AA1251" s="223"/>
    </row>
    <row r="1252">
      <c r="A1252" s="42">
        <f t="shared" si="3"/>
        <v>1251</v>
      </c>
      <c r="B1252" s="51" t="s">
        <v>41</v>
      </c>
      <c r="C1252" s="53" t="s">
        <v>6791</v>
      </c>
      <c r="D1252" s="42" t="s">
        <v>44</v>
      </c>
      <c r="E1252" s="42" t="s">
        <v>44</v>
      </c>
      <c r="F1252" s="53" t="s">
        <v>6563</v>
      </c>
      <c r="G1252" s="53" t="s">
        <v>47</v>
      </c>
      <c r="H1252" s="53" t="s">
        <v>48</v>
      </c>
      <c r="I1252" s="53" t="s">
        <v>401</v>
      </c>
      <c r="J1252" s="53" t="s">
        <v>6564</v>
      </c>
      <c r="K1252" s="53" t="s">
        <v>1615</v>
      </c>
      <c r="L1252" s="53" t="s">
        <v>52</v>
      </c>
      <c r="M1252" s="53" t="s">
        <v>52</v>
      </c>
      <c r="N1252" s="62" t="s">
        <v>6788</v>
      </c>
      <c r="O1252" s="62" t="s">
        <v>44</v>
      </c>
      <c r="P1252" s="62" t="s">
        <v>6792</v>
      </c>
      <c r="Q1252" s="62" t="s">
        <v>6793</v>
      </c>
      <c r="R1252" s="53"/>
      <c r="S1252" s="53"/>
      <c r="T1252" s="82"/>
      <c r="U1252" s="42"/>
      <c r="V1252" s="62"/>
      <c r="W1252" s="64"/>
      <c r="X1252" s="223"/>
      <c r="Y1252" s="223"/>
      <c r="Z1252" s="223"/>
      <c r="AA1252" s="223"/>
    </row>
    <row r="1253">
      <c r="A1253" s="42">
        <f t="shared" si="3"/>
        <v>1252</v>
      </c>
      <c r="B1253" s="51" t="s">
        <v>41</v>
      </c>
      <c r="C1253" s="53" t="s">
        <v>6794</v>
      </c>
      <c r="D1253" s="42" t="s">
        <v>44</v>
      </c>
      <c r="E1253" s="42" t="s">
        <v>44</v>
      </c>
      <c r="F1253" s="53" t="s">
        <v>6563</v>
      </c>
      <c r="G1253" s="53" t="s">
        <v>47</v>
      </c>
      <c r="H1253" s="53" t="s">
        <v>48</v>
      </c>
      <c r="I1253" s="53" t="s">
        <v>401</v>
      </c>
      <c r="J1253" s="53" t="s">
        <v>6564</v>
      </c>
      <c r="K1253" s="53" t="s">
        <v>1615</v>
      </c>
      <c r="L1253" s="53" t="s">
        <v>52</v>
      </c>
      <c r="M1253" s="53" t="s">
        <v>52</v>
      </c>
      <c r="N1253" s="62" t="s">
        <v>6788</v>
      </c>
      <c r="O1253" s="62" t="s">
        <v>44</v>
      </c>
      <c r="P1253" s="62" t="s">
        <v>6795</v>
      </c>
      <c r="Q1253" s="62" t="s">
        <v>6796</v>
      </c>
      <c r="R1253" s="53"/>
      <c r="S1253" s="53"/>
      <c r="T1253" s="82"/>
      <c r="U1253" s="42"/>
      <c r="V1253" s="62"/>
      <c r="W1253" s="64"/>
      <c r="X1253" s="223"/>
      <c r="Y1253" s="223"/>
      <c r="Z1253" s="223"/>
      <c r="AA1253" s="223"/>
    </row>
    <row r="1254">
      <c r="A1254" s="42">
        <f t="shared" si="3"/>
        <v>1253</v>
      </c>
      <c r="B1254" s="51" t="s">
        <v>41</v>
      </c>
      <c r="C1254" s="53" t="s">
        <v>6797</v>
      </c>
      <c r="D1254" s="42" t="s">
        <v>44</v>
      </c>
      <c r="E1254" s="42" t="s">
        <v>44</v>
      </c>
      <c r="F1254" s="53" t="s">
        <v>6563</v>
      </c>
      <c r="G1254" s="53" t="s">
        <v>47</v>
      </c>
      <c r="H1254" s="53" t="s">
        <v>48</v>
      </c>
      <c r="I1254" s="53" t="s">
        <v>401</v>
      </c>
      <c r="J1254" s="53" t="s">
        <v>6564</v>
      </c>
      <c r="K1254" s="53" t="s">
        <v>1615</v>
      </c>
      <c r="L1254" s="53" t="s">
        <v>52</v>
      </c>
      <c r="M1254" s="53" t="s">
        <v>52</v>
      </c>
      <c r="N1254" s="62" t="s">
        <v>6788</v>
      </c>
      <c r="O1254" s="62" t="s">
        <v>44</v>
      </c>
      <c r="P1254" s="62" t="s">
        <v>6798</v>
      </c>
      <c r="Q1254" s="62" t="s">
        <v>6799</v>
      </c>
      <c r="R1254" s="53"/>
      <c r="S1254" s="53"/>
      <c r="T1254" s="82"/>
      <c r="U1254" s="42"/>
      <c r="V1254" s="62"/>
      <c r="W1254" s="64"/>
      <c r="X1254" s="223"/>
      <c r="Y1254" s="223"/>
      <c r="Z1254" s="223"/>
      <c r="AA1254" s="223"/>
    </row>
    <row r="1255">
      <c r="A1255" s="42">
        <f t="shared" si="3"/>
        <v>1254</v>
      </c>
      <c r="B1255" s="51" t="s">
        <v>41</v>
      </c>
      <c r="C1255" s="53" t="s">
        <v>6800</v>
      </c>
      <c r="D1255" s="42" t="s">
        <v>44</v>
      </c>
      <c r="E1255" s="42" t="s">
        <v>44</v>
      </c>
      <c r="F1255" s="53" t="s">
        <v>6563</v>
      </c>
      <c r="G1255" s="53" t="s">
        <v>47</v>
      </c>
      <c r="H1255" s="53" t="s">
        <v>48</v>
      </c>
      <c r="I1255" s="53" t="s">
        <v>401</v>
      </c>
      <c r="J1255" s="53" t="s">
        <v>6564</v>
      </c>
      <c r="K1255" s="53" t="s">
        <v>1615</v>
      </c>
      <c r="L1255" s="53" t="s">
        <v>52</v>
      </c>
      <c r="M1255" s="53" t="s">
        <v>52</v>
      </c>
      <c r="N1255" s="62" t="s">
        <v>6788</v>
      </c>
      <c r="O1255" s="62" t="s">
        <v>44</v>
      </c>
      <c r="P1255" s="62" t="s">
        <v>6801</v>
      </c>
      <c r="Q1255" s="62" t="s">
        <v>6802</v>
      </c>
      <c r="R1255" s="53"/>
      <c r="S1255" s="53"/>
      <c r="T1255" s="82"/>
      <c r="U1255" s="42"/>
      <c r="V1255" s="62"/>
      <c r="W1255" s="64"/>
      <c r="X1255" s="223"/>
      <c r="Y1255" s="223"/>
      <c r="Z1255" s="223"/>
      <c r="AA1255" s="223"/>
    </row>
    <row r="1256">
      <c r="A1256" s="42">
        <f t="shared" si="3"/>
        <v>1255</v>
      </c>
      <c r="B1256" s="51" t="s">
        <v>41</v>
      </c>
      <c r="C1256" s="53" t="s">
        <v>6803</v>
      </c>
      <c r="D1256" s="42" t="s">
        <v>44</v>
      </c>
      <c r="E1256" s="42" t="s">
        <v>44</v>
      </c>
      <c r="F1256" s="53" t="s">
        <v>6563</v>
      </c>
      <c r="G1256" s="53" t="s">
        <v>47</v>
      </c>
      <c r="H1256" s="53" t="s">
        <v>48</v>
      </c>
      <c r="I1256" s="53" t="s">
        <v>401</v>
      </c>
      <c r="J1256" s="53" t="s">
        <v>6564</v>
      </c>
      <c r="K1256" s="53" t="s">
        <v>1615</v>
      </c>
      <c r="L1256" s="53" t="s">
        <v>52</v>
      </c>
      <c r="M1256" s="53" t="s">
        <v>52</v>
      </c>
      <c r="N1256" s="62" t="s">
        <v>6568</v>
      </c>
      <c r="O1256" s="62" t="s">
        <v>44</v>
      </c>
      <c r="P1256" s="62" t="s">
        <v>6804</v>
      </c>
      <c r="Q1256" s="62" t="s">
        <v>186</v>
      </c>
      <c r="R1256" s="53"/>
      <c r="S1256" s="53"/>
      <c r="T1256" s="82"/>
      <c r="U1256" s="42"/>
      <c r="V1256" s="62"/>
      <c r="W1256" s="64"/>
      <c r="X1256" s="223"/>
      <c r="Y1256" s="223"/>
      <c r="Z1256" s="223"/>
      <c r="AA1256" s="223"/>
    </row>
    <row r="1257">
      <c r="A1257" s="42">
        <f t="shared" si="3"/>
        <v>1256</v>
      </c>
      <c r="B1257" s="51" t="s">
        <v>41</v>
      </c>
      <c r="C1257" s="53" t="s">
        <v>6805</v>
      </c>
      <c r="D1257" s="42" t="s">
        <v>44</v>
      </c>
      <c r="E1257" s="42" t="s">
        <v>44</v>
      </c>
      <c r="F1257" s="53" t="s">
        <v>6563</v>
      </c>
      <c r="G1257" s="53" t="s">
        <v>47</v>
      </c>
      <c r="H1257" s="53" t="s">
        <v>48</v>
      </c>
      <c r="I1257" s="53" t="s">
        <v>401</v>
      </c>
      <c r="J1257" s="53" t="s">
        <v>6564</v>
      </c>
      <c r="K1257" s="53" t="s">
        <v>1615</v>
      </c>
      <c r="L1257" s="53" t="s">
        <v>52</v>
      </c>
      <c r="M1257" s="53" t="s">
        <v>52</v>
      </c>
      <c r="N1257" s="62" t="s">
        <v>6806</v>
      </c>
      <c r="O1257" s="62" t="s">
        <v>44</v>
      </c>
      <c r="P1257" s="62" t="s">
        <v>6807</v>
      </c>
      <c r="Q1257" s="62" t="s">
        <v>6808</v>
      </c>
      <c r="R1257" s="53"/>
      <c r="S1257" s="53"/>
      <c r="T1257" s="82"/>
      <c r="U1257" s="42"/>
      <c r="V1257" s="62"/>
      <c r="W1257" s="64"/>
      <c r="X1257" s="223"/>
      <c r="Y1257" s="223"/>
      <c r="Z1257" s="223"/>
      <c r="AA1257" s="223"/>
    </row>
    <row r="1258">
      <c r="A1258" s="42">
        <f t="shared" si="3"/>
        <v>1257</v>
      </c>
      <c r="B1258" s="51" t="s">
        <v>41</v>
      </c>
      <c r="C1258" s="53" t="s">
        <v>6809</v>
      </c>
      <c r="D1258" s="42" t="s">
        <v>44</v>
      </c>
      <c r="E1258" s="42" t="s">
        <v>44</v>
      </c>
      <c r="F1258" s="53" t="s">
        <v>6810</v>
      </c>
      <c r="G1258" s="53" t="s">
        <v>111</v>
      </c>
      <c r="H1258" s="53" t="s">
        <v>112</v>
      </c>
      <c r="I1258" s="53" t="s">
        <v>401</v>
      </c>
      <c r="J1258" s="53" t="s">
        <v>6811</v>
      </c>
      <c r="K1258" s="53" t="s">
        <v>1615</v>
      </c>
      <c r="L1258" s="53" t="s">
        <v>52</v>
      </c>
      <c r="M1258" s="53" t="s">
        <v>52</v>
      </c>
      <c r="N1258" s="62" t="s">
        <v>6812</v>
      </c>
      <c r="O1258" s="62" t="s">
        <v>44</v>
      </c>
      <c r="P1258" s="62" t="s">
        <v>6399</v>
      </c>
      <c r="Q1258" s="62" t="s">
        <v>6813</v>
      </c>
      <c r="R1258" s="53"/>
      <c r="S1258" s="53"/>
      <c r="T1258" s="82"/>
      <c r="U1258" s="42"/>
      <c r="V1258" s="62"/>
      <c r="W1258" s="64"/>
      <c r="X1258" s="223"/>
      <c r="Y1258" s="223"/>
      <c r="Z1258" s="223"/>
      <c r="AA1258" s="223"/>
    </row>
    <row r="1259">
      <c r="A1259" s="42">
        <f t="shared" si="3"/>
        <v>1258</v>
      </c>
      <c r="B1259" s="51" t="s">
        <v>41</v>
      </c>
      <c r="C1259" s="53" t="s">
        <v>6814</v>
      </c>
      <c r="D1259" s="42" t="s">
        <v>44</v>
      </c>
      <c r="E1259" s="42" t="s">
        <v>44</v>
      </c>
      <c r="F1259" s="53" t="s">
        <v>6810</v>
      </c>
      <c r="G1259" s="53" t="s">
        <v>47</v>
      </c>
      <c r="H1259" s="53" t="s">
        <v>48</v>
      </c>
      <c r="I1259" s="53" t="s">
        <v>401</v>
      </c>
      <c r="J1259" s="53" t="s">
        <v>6811</v>
      </c>
      <c r="K1259" s="53" t="s">
        <v>1615</v>
      </c>
      <c r="L1259" s="53" t="s">
        <v>52</v>
      </c>
      <c r="M1259" s="53" t="s">
        <v>52</v>
      </c>
      <c r="N1259" s="62" t="s">
        <v>6815</v>
      </c>
      <c r="O1259" s="62" t="s">
        <v>44</v>
      </c>
      <c r="P1259" s="62" t="s">
        <v>5384</v>
      </c>
      <c r="Q1259" s="62" t="s">
        <v>6569</v>
      </c>
      <c r="R1259" s="53"/>
      <c r="S1259" s="53"/>
      <c r="T1259" s="82"/>
      <c r="U1259" s="42"/>
      <c r="V1259" s="62"/>
      <c r="W1259" s="64"/>
      <c r="X1259" s="223"/>
      <c r="Y1259" s="223"/>
      <c r="Z1259" s="223"/>
      <c r="AA1259" s="223"/>
    </row>
    <row r="1260">
      <c r="A1260" s="42">
        <f t="shared" si="3"/>
        <v>1259</v>
      </c>
      <c r="B1260" s="51" t="s">
        <v>41</v>
      </c>
      <c r="C1260" s="53" t="s">
        <v>6816</v>
      </c>
      <c r="D1260" s="42" t="s">
        <v>44</v>
      </c>
      <c r="E1260" s="42" t="s">
        <v>44</v>
      </c>
      <c r="F1260" s="53" t="s">
        <v>6810</v>
      </c>
      <c r="G1260" s="53" t="s">
        <v>47</v>
      </c>
      <c r="H1260" s="53" t="s">
        <v>48</v>
      </c>
      <c r="I1260" s="53" t="s">
        <v>401</v>
      </c>
      <c r="J1260" s="53" t="s">
        <v>6811</v>
      </c>
      <c r="K1260" s="53" t="s">
        <v>1615</v>
      </c>
      <c r="L1260" s="53" t="s">
        <v>52</v>
      </c>
      <c r="M1260" s="53" t="s">
        <v>52</v>
      </c>
      <c r="N1260" s="62" t="s">
        <v>6815</v>
      </c>
      <c r="O1260" s="62" t="s">
        <v>44</v>
      </c>
      <c r="P1260" s="62" t="s">
        <v>5389</v>
      </c>
      <c r="Q1260" s="62" t="s">
        <v>6571</v>
      </c>
      <c r="R1260" s="53"/>
      <c r="S1260" s="53"/>
      <c r="T1260" s="82"/>
      <c r="U1260" s="42"/>
      <c r="V1260" s="62"/>
      <c r="W1260" s="64"/>
      <c r="X1260" s="223"/>
      <c r="Y1260" s="223"/>
      <c r="Z1260" s="223"/>
      <c r="AA1260" s="223"/>
    </row>
    <row r="1261">
      <c r="A1261" s="42">
        <f t="shared" si="3"/>
        <v>1260</v>
      </c>
      <c r="B1261" s="51" t="s">
        <v>41</v>
      </c>
      <c r="C1261" s="53" t="s">
        <v>6817</v>
      </c>
      <c r="D1261" s="42" t="s">
        <v>44</v>
      </c>
      <c r="E1261" s="42" t="s">
        <v>44</v>
      </c>
      <c r="F1261" s="53" t="s">
        <v>6810</v>
      </c>
      <c r="G1261" s="53" t="s">
        <v>47</v>
      </c>
      <c r="H1261" s="53" t="s">
        <v>48</v>
      </c>
      <c r="I1261" s="53" t="s">
        <v>401</v>
      </c>
      <c r="J1261" s="53" t="s">
        <v>6811</v>
      </c>
      <c r="K1261" s="53" t="s">
        <v>1615</v>
      </c>
      <c r="L1261" s="53" t="s">
        <v>52</v>
      </c>
      <c r="M1261" s="53" t="s">
        <v>52</v>
      </c>
      <c r="N1261" s="62" t="s">
        <v>6815</v>
      </c>
      <c r="O1261" s="62" t="s">
        <v>44</v>
      </c>
      <c r="P1261" s="62" t="s">
        <v>6573</v>
      </c>
      <c r="Q1261" s="62" t="s">
        <v>6574</v>
      </c>
      <c r="R1261" s="53"/>
      <c r="S1261" s="53"/>
      <c r="T1261" s="82"/>
      <c r="U1261" s="42"/>
      <c r="V1261" s="62"/>
      <c r="W1261" s="64"/>
      <c r="X1261" s="223"/>
      <c r="Y1261" s="223"/>
      <c r="Z1261" s="223"/>
      <c r="AA1261" s="223"/>
    </row>
    <row r="1262">
      <c r="A1262" s="42">
        <f t="shared" si="3"/>
        <v>1261</v>
      </c>
      <c r="B1262" s="51" t="s">
        <v>41</v>
      </c>
      <c r="C1262" s="53" t="s">
        <v>6818</v>
      </c>
      <c r="D1262" s="42" t="s">
        <v>44</v>
      </c>
      <c r="E1262" s="42" t="s">
        <v>44</v>
      </c>
      <c r="F1262" s="53" t="s">
        <v>6810</v>
      </c>
      <c r="G1262" s="53" t="s">
        <v>47</v>
      </c>
      <c r="H1262" s="53" t="s">
        <v>48</v>
      </c>
      <c r="I1262" s="53" t="s">
        <v>401</v>
      </c>
      <c r="J1262" s="53" t="s">
        <v>6811</v>
      </c>
      <c r="K1262" s="53" t="s">
        <v>1615</v>
      </c>
      <c r="L1262" s="53" t="s">
        <v>52</v>
      </c>
      <c r="M1262" s="53" t="s">
        <v>52</v>
      </c>
      <c r="N1262" s="62" t="s">
        <v>6815</v>
      </c>
      <c r="O1262" s="62" t="s">
        <v>44</v>
      </c>
      <c r="P1262" s="62" t="s">
        <v>6576</v>
      </c>
      <c r="Q1262" s="62" t="s">
        <v>6577</v>
      </c>
      <c r="R1262" s="53"/>
      <c r="S1262" s="53"/>
      <c r="T1262" s="82"/>
      <c r="U1262" s="42"/>
      <c r="V1262" s="62"/>
      <c r="W1262" s="64"/>
      <c r="X1262" s="223"/>
      <c r="Y1262" s="223"/>
      <c r="Z1262" s="223"/>
      <c r="AA1262" s="223"/>
    </row>
    <row r="1263">
      <c r="A1263" s="42">
        <f t="shared" si="3"/>
        <v>1262</v>
      </c>
      <c r="B1263" s="51" t="s">
        <v>41</v>
      </c>
      <c r="C1263" s="53" t="s">
        <v>6819</v>
      </c>
      <c r="D1263" s="42" t="s">
        <v>44</v>
      </c>
      <c r="E1263" s="42" t="s">
        <v>44</v>
      </c>
      <c r="F1263" s="53" t="s">
        <v>6810</v>
      </c>
      <c r="G1263" s="53" t="s">
        <v>47</v>
      </c>
      <c r="H1263" s="53" t="s">
        <v>48</v>
      </c>
      <c r="I1263" s="53" t="s">
        <v>401</v>
      </c>
      <c r="J1263" s="53" t="s">
        <v>6811</v>
      </c>
      <c r="K1263" s="53" t="s">
        <v>1615</v>
      </c>
      <c r="L1263" s="53" t="s">
        <v>52</v>
      </c>
      <c r="M1263" s="53" t="s">
        <v>52</v>
      </c>
      <c r="N1263" s="62" t="s">
        <v>6815</v>
      </c>
      <c r="O1263" s="62" t="s">
        <v>44</v>
      </c>
      <c r="P1263" s="62" t="s">
        <v>6082</v>
      </c>
      <c r="Q1263" s="62" t="s">
        <v>6083</v>
      </c>
      <c r="R1263" s="53"/>
      <c r="S1263" s="53"/>
      <c r="T1263" s="82"/>
      <c r="U1263" s="42"/>
      <c r="V1263" s="62"/>
      <c r="W1263" s="64"/>
      <c r="X1263" s="223"/>
      <c r="Y1263" s="223"/>
      <c r="Z1263" s="223"/>
      <c r="AA1263" s="223"/>
    </row>
    <row r="1264">
      <c r="A1264" s="42">
        <f t="shared" si="3"/>
        <v>1263</v>
      </c>
      <c r="B1264" s="51" t="s">
        <v>41</v>
      </c>
      <c r="C1264" s="53" t="s">
        <v>6820</v>
      </c>
      <c r="D1264" s="42" t="s">
        <v>44</v>
      </c>
      <c r="E1264" s="42" t="s">
        <v>44</v>
      </c>
      <c r="F1264" s="53" t="s">
        <v>6810</v>
      </c>
      <c r="G1264" s="53" t="s">
        <v>47</v>
      </c>
      <c r="H1264" s="53" t="s">
        <v>48</v>
      </c>
      <c r="I1264" s="53" t="s">
        <v>401</v>
      </c>
      <c r="J1264" s="53" t="s">
        <v>6811</v>
      </c>
      <c r="K1264" s="53" t="s">
        <v>1615</v>
      </c>
      <c r="L1264" s="53" t="s">
        <v>52</v>
      </c>
      <c r="M1264" s="53" t="s">
        <v>52</v>
      </c>
      <c r="N1264" s="62" t="s">
        <v>6815</v>
      </c>
      <c r="O1264" s="62" t="s">
        <v>44</v>
      </c>
      <c r="P1264" s="62" t="s">
        <v>6085</v>
      </c>
      <c r="Q1264" s="62" t="s">
        <v>6241</v>
      </c>
      <c r="R1264" s="53"/>
      <c r="S1264" s="53"/>
      <c r="T1264" s="82"/>
      <c r="U1264" s="42"/>
      <c r="V1264" s="62"/>
      <c r="W1264" s="64"/>
      <c r="X1264" s="223"/>
      <c r="Y1264" s="223"/>
      <c r="Z1264" s="223"/>
      <c r="AA1264" s="223"/>
    </row>
    <row r="1265">
      <c r="A1265" s="42">
        <f t="shared" si="3"/>
        <v>1264</v>
      </c>
      <c r="B1265" s="51" t="s">
        <v>41</v>
      </c>
      <c r="C1265" s="53" t="s">
        <v>6821</v>
      </c>
      <c r="D1265" s="42" t="s">
        <v>44</v>
      </c>
      <c r="E1265" s="42" t="s">
        <v>44</v>
      </c>
      <c r="F1265" s="53" t="s">
        <v>6810</v>
      </c>
      <c r="G1265" s="53" t="s">
        <v>47</v>
      </c>
      <c r="H1265" s="53" t="s">
        <v>48</v>
      </c>
      <c r="I1265" s="53" t="s">
        <v>401</v>
      </c>
      <c r="J1265" s="53" t="s">
        <v>6811</v>
      </c>
      <c r="K1265" s="53" t="s">
        <v>1615</v>
      </c>
      <c r="L1265" s="53" t="s">
        <v>52</v>
      </c>
      <c r="M1265" s="53" t="s">
        <v>52</v>
      </c>
      <c r="N1265" s="62" t="s">
        <v>6822</v>
      </c>
      <c r="O1265" s="62" t="s">
        <v>44</v>
      </c>
      <c r="P1265" s="62" t="s">
        <v>6429</v>
      </c>
      <c r="Q1265" s="62" t="s">
        <v>6430</v>
      </c>
      <c r="R1265" s="53"/>
      <c r="S1265" s="53"/>
      <c r="T1265" s="82"/>
      <c r="U1265" s="42"/>
      <c r="V1265" s="62"/>
      <c r="W1265" s="64"/>
      <c r="X1265" s="223"/>
      <c r="Y1265" s="223"/>
      <c r="Z1265" s="223"/>
      <c r="AA1265" s="223"/>
    </row>
    <row r="1266">
      <c r="A1266" s="42">
        <f t="shared" si="3"/>
        <v>1265</v>
      </c>
      <c r="B1266" s="51" t="s">
        <v>41</v>
      </c>
      <c r="C1266" s="53" t="s">
        <v>6823</v>
      </c>
      <c r="D1266" s="42" t="s">
        <v>44</v>
      </c>
      <c r="E1266" s="42" t="s">
        <v>44</v>
      </c>
      <c r="F1266" s="53" t="s">
        <v>6810</v>
      </c>
      <c r="G1266" s="53" t="s">
        <v>47</v>
      </c>
      <c r="H1266" s="53" t="s">
        <v>48</v>
      </c>
      <c r="I1266" s="53" t="s">
        <v>401</v>
      </c>
      <c r="J1266" s="53" t="s">
        <v>6811</v>
      </c>
      <c r="K1266" s="53" t="s">
        <v>1615</v>
      </c>
      <c r="L1266" s="53" t="s">
        <v>52</v>
      </c>
      <c r="M1266" s="53" t="s">
        <v>52</v>
      </c>
      <c r="N1266" s="62" t="s">
        <v>6815</v>
      </c>
      <c r="O1266" s="62" t="s">
        <v>44</v>
      </c>
      <c r="P1266" s="62" t="s">
        <v>5448</v>
      </c>
      <c r="Q1266" s="62" t="s">
        <v>5763</v>
      </c>
      <c r="R1266" s="53"/>
      <c r="S1266" s="53"/>
      <c r="T1266" s="82"/>
      <c r="U1266" s="42"/>
      <c r="V1266" s="62"/>
      <c r="W1266" s="64"/>
      <c r="X1266" s="223"/>
      <c r="Y1266" s="223"/>
      <c r="Z1266" s="223"/>
      <c r="AA1266" s="223"/>
    </row>
    <row r="1267">
      <c r="A1267" s="42">
        <f t="shared" si="3"/>
        <v>1266</v>
      </c>
      <c r="B1267" s="51" t="s">
        <v>41</v>
      </c>
      <c r="C1267" s="53" t="s">
        <v>6824</v>
      </c>
      <c r="D1267" s="42" t="s">
        <v>44</v>
      </c>
      <c r="E1267" s="42" t="s">
        <v>44</v>
      </c>
      <c r="F1267" s="53" t="s">
        <v>6810</v>
      </c>
      <c r="G1267" s="53" t="s">
        <v>47</v>
      </c>
      <c r="H1267" s="53" t="s">
        <v>48</v>
      </c>
      <c r="I1267" s="53" t="s">
        <v>401</v>
      </c>
      <c r="J1267" s="53" t="s">
        <v>6811</v>
      </c>
      <c r="K1267" s="53" t="s">
        <v>1615</v>
      </c>
      <c r="L1267" s="53" t="s">
        <v>52</v>
      </c>
      <c r="M1267" s="53" t="s">
        <v>52</v>
      </c>
      <c r="N1267" s="62" t="s">
        <v>6815</v>
      </c>
      <c r="O1267" s="62" t="s">
        <v>44</v>
      </c>
      <c r="P1267" s="62" t="s">
        <v>1002</v>
      </c>
      <c r="Q1267" s="62" t="s">
        <v>6246</v>
      </c>
      <c r="R1267" s="53"/>
      <c r="S1267" s="53"/>
      <c r="T1267" s="82"/>
      <c r="U1267" s="42"/>
      <c r="V1267" s="62"/>
      <c r="W1267" s="64"/>
      <c r="X1267" s="223"/>
      <c r="Y1267" s="223"/>
      <c r="Z1267" s="223"/>
      <c r="AA1267" s="223"/>
    </row>
    <row r="1268">
      <c r="A1268" s="42">
        <f t="shared" si="3"/>
        <v>1267</v>
      </c>
      <c r="B1268" s="51" t="s">
        <v>41</v>
      </c>
      <c r="C1268" s="53" t="s">
        <v>6825</v>
      </c>
      <c r="D1268" s="42" t="s">
        <v>44</v>
      </c>
      <c r="E1268" s="42" t="s">
        <v>44</v>
      </c>
      <c r="F1268" s="53" t="s">
        <v>6810</v>
      </c>
      <c r="G1268" s="53" t="s">
        <v>47</v>
      </c>
      <c r="H1268" s="53" t="s">
        <v>48</v>
      </c>
      <c r="I1268" s="53" t="s">
        <v>401</v>
      </c>
      <c r="J1268" s="53" t="s">
        <v>6811</v>
      </c>
      <c r="K1268" s="53" t="s">
        <v>1615</v>
      </c>
      <c r="L1268" s="53" t="s">
        <v>52</v>
      </c>
      <c r="M1268" s="53" t="s">
        <v>52</v>
      </c>
      <c r="N1268" s="62" t="s">
        <v>6815</v>
      </c>
      <c r="O1268" s="62" t="s">
        <v>44</v>
      </c>
      <c r="P1268" s="62" t="s">
        <v>1009</v>
      </c>
      <c r="Q1268" s="62" t="s">
        <v>6434</v>
      </c>
      <c r="R1268" s="53"/>
      <c r="S1268" s="53"/>
      <c r="T1268" s="82"/>
      <c r="U1268" s="53"/>
      <c r="V1268" s="62"/>
      <c r="W1268" s="64"/>
      <c r="X1268" s="223"/>
      <c r="Y1268" s="223"/>
      <c r="Z1268" s="223"/>
      <c r="AA1268" s="223"/>
    </row>
    <row r="1269">
      <c r="A1269" s="42">
        <f t="shared" si="3"/>
        <v>1268</v>
      </c>
      <c r="B1269" s="51" t="s">
        <v>41</v>
      </c>
      <c r="C1269" s="53" t="s">
        <v>6826</v>
      </c>
      <c r="D1269" s="42" t="s">
        <v>44</v>
      </c>
      <c r="E1269" s="42" t="s">
        <v>44</v>
      </c>
      <c r="F1269" s="53" t="s">
        <v>6810</v>
      </c>
      <c r="G1269" s="53" t="s">
        <v>47</v>
      </c>
      <c r="H1269" s="53" t="s">
        <v>48</v>
      </c>
      <c r="I1269" s="53" t="s">
        <v>401</v>
      </c>
      <c r="J1269" s="53" t="s">
        <v>6811</v>
      </c>
      <c r="K1269" s="53" t="s">
        <v>1615</v>
      </c>
      <c r="L1269" s="53" t="s">
        <v>52</v>
      </c>
      <c r="M1269" s="53" t="s">
        <v>52</v>
      </c>
      <c r="N1269" s="62" t="s">
        <v>6815</v>
      </c>
      <c r="O1269" s="62" t="s">
        <v>44</v>
      </c>
      <c r="P1269" s="62" t="s">
        <v>6827</v>
      </c>
      <c r="Q1269" s="62" t="s">
        <v>6587</v>
      </c>
      <c r="R1269" s="53"/>
      <c r="S1269" s="53"/>
      <c r="T1269" s="82"/>
      <c r="U1269" s="42"/>
      <c r="V1269" s="62"/>
      <c r="W1269" s="64"/>
      <c r="X1269" s="223"/>
      <c r="Y1269" s="223"/>
      <c r="Z1269" s="223"/>
      <c r="AA1269" s="223"/>
    </row>
    <row r="1270">
      <c r="A1270" s="42">
        <f t="shared" si="3"/>
        <v>1269</v>
      </c>
      <c r="B1270" s="51" t="s">
        <v>41</v>
      </c>
      <c r="C1270" s="53" t="s">
        <v>6828</v>
      </c>
      <c r="D1270" s="42" t="s">
        <v>44</v>
      </c>
      <c r="E1270" s="42" t="s">
        <v>44</v>
      </c>
      <c r="F1270" s="53" t="s">
        <v>6810</v>
      </c>
      <c r="G1270" s="53" t="s">
        <v>47</v>
      </c>
      <c r="H1270" s="53" t="s">
        <v>48</v>
      </c>
      <c r="I1270" s="53" t="s">
        <v>401</v>
      </c>
      <c r="J1270" s="53" t="s">
        <v>6811</v>
      </c>
      <c r="K1270" s="53" t="s">
        <v>1615</v>
      </c>
      <c r="L1270" s="53" t="s">
        <v>52</v>
      </c>
      <c r="M1270" s="53" t="s">
        <v>52</v>
      </c>
      <c r="N1270" s="62" t="s">
        <v>6815</v>
      </c>
      <c r="O1270" s="62" t="s">
        <v>44</v>
      </c>
      <c r="P1270" s="62" t="s">
        <v>6829</v>
      </c>
      <c r="Q1270" s="62" t="s">
        <v>6830</v>
      </c>
      <c r="R1270" s="53"/>
      <c r="S1270" s="53"/>
      <c r="T1270" s="82"/>
      <c r="U1270" s="42"/>
      <c r="V1270" s="62"/>
      <c r="W1270" s="64"/>
      <c r="X1270" s="223"/>
      <c r="Y1270" s="223"/>
      <c r="Z1270" s="223"/>
      <c r="AA1270" s="223"/>
    </row>
    <row r="1271">
      <c r="A1271" s="42">
        <f t="shared" si="3"/>
        <v>1270</v>
      </c>
      <c r="B1271" s="51" t="s">
        <v>41</v>
      </c>
      <c r="C1271" s="53" t="s">
        <v>6831</v>
      </c>
      <c r="D1271" s="42" t="s">
        <v>44</v>
      </c>
      <c r="E1271" s="42" t="s">
        <v>44</v>
      </c>
      <c r="F1271" s="53" t="s">
        <v>6810</v>
      </c>
      <c r="G1271" s="53" t="s">
        <v>47</v>
      </c>
      <c r="H1271" s="53" t="s">
        <v>48</v>
      </c>
      <c r="I1271" s="53" t="s">
        <v>401</v>
      </c>
      <c r="J1271" s="53" t="s">
        <v>6811</v>
      </c>
      <c r="K1271" s="53" t="s">
        <v>1615</v>
      </c>
      <c r="L1271" s="53" t="s">
        <v>52</v>
      </c>
      <c r="M1271" s="53" t="s">
        <v>52</v>
      </c>
      <c r="N1271" s="62" t="s">
        <v>6815</v>
      </c>
      <c r="O1271" s="62" t="s">
        <v>44</v>
      </c>
      <c r="P1271" s="62" t="s">
        <v>6591</v>
      </c>
      <c r="Q1271" s="62" t="s">
        <v>6592</v>
      </c>
      <c r="R1271" s="53"/>
      <c r="S1271" s="53"/>
      <c r="T1271" s="82"/>
      <c r="U1271" s="42"/>
      <c r="V1271" s="62"/>
      <c r="W1271" s="64"/>
      <c r="X1271" s="223"/>
      <c r="Y1271" s="223"/>
      <c r="Z1271" s="223"/>
      <c r="AA1271" s="223"/>
    </row>
    <row r="1272">
      <c r="A1272" s="42">
        <f t="shared" si="3"/>
        <v>1271</v>
      </c>
      <c r="B1272" s="51" t="s">
        <v>41</v>
      </c>
      <c r="C1272" s="53" t="s">
        <v>6832</v>
      </c>
      <c r="D1272" s="42" t="s">
        <v>44</v>
      </c>
      <c r="E1272" s="42" t="s">
        <v>44</v>
      </c>
      <c r="F1272" s="53" t="s">
        <v>6810</v>
      </c>
      <c r="G1272" s="53" t="s">
        <v>47</v>
      </c>
      <c r="H1272" s="53" t="s">
        <v>48</v>
      </c>
      <c r="I1272" s="53" t="s">
        <v>401</v>
      </c>
      <c r="J1272" s="53" t="s">
        <v>6811</v>
      </c>
      <c r="K1272" s="53" t="s">
        <v>1615</v>
      </c>
      <c r="L1272" s="53" t="s">
        <v>52</v>
      </c>
      <c r="M1272" s="53" t="s">
        <v>52</v>
      </c>
      <c r="N1272" s="62" t="s">
        <v>6815</v>
      </c>
      <c r="O1272" s="62" t="s">
        <v>44</v>
      </c>
      <c r="P1272" s="62" t="s">
        <v>6594</v>
      </c>
      <c r="Q1272" s="62" t="s">
        <v>6595</v>
      </c>
      <c r="R1272" s="53"/>
      <c r="S1272" s="53"/>
      <c r="T1272" s="82"/>
      <c r="U1272" s="42"/>
      <c r="V1272" s="62"/>
      <c r="W1272" s="64"/>
      <c r="X1272" s="223"/>
      <c r="Y1272" s="223"/>
      <c r="Z1272" s="223"/>
      <c r="AA1272" s="223"/>
    </row>
    <row r="1273">
      <c r="A1273" s="42">
        <f t="shared" si="3"/>
        <v>1272</v>
      </c>
      <c r="B1273" s="51" t="s">
        <v>41</v>
      </c>
      <c r="C1273" s="53" t="s">
        <v>6833</v>
      </c>
      <c r="D1273" s="42" t="s">
        <v>44</v>
      </c>
      <c r="E1273" s="42" t="s">
        <v>44</v>
      </c>
      <c r="F1273" s="53" t="s">
        <v>6810</v>
      </c>
      <c r="G1273" s="53" t="s">
        <v>47</v>
      </c>
      <c r="H1273" s="53" t="s">
        <v>48</v>
      </c>
      <c r="I1273" s="53" t="s">
        <v>401</v>
      </c>
      <c r="J1273" s="53" t="s">
        <v>6811</v>
      </c>
      <c r="K1273" s="53" t="s">
        <v>1615</v>
      </c>
      <c r="L1273" s="53" t="s">
        <v>52</v>
      </c>
      <c r="M1273" s="53" t="s">
        <v>52</v>
      </c>
      <c r="N1273" s="62" t="s">
        <v>6834</v>
      </c>
      <c r="O1273" s="62" t="s">
        <v>44</v>
      </c>
      <c r="P1273" s="62" t="s">
        <v>6598</v>
      </c>
      <c r="Q1273" s="62" t="s">
        <v>6835</v>
      </c>
      <c r="R1273" s="53"/>
      <c r="S1273" s="53"/>
      <c r="T1273" s="82"/>
      <c r="U1273" s="42"/>
      <c r="V1273" s="62"/>
      <c r="W1273" s="64"/>
      <c r="X1273" s="223"/>
      <c r="Y1273" s="223"/>
      <c r="Z1273" s="223"/>
      <c r="AA1273" s="223"/>
    </row>
    <row r="1274">
      <c r="A1274" s="42">
        <f t="shared" si="3"/>
        <v>1273</v>
      </c>
      <c r="B1274" s="51" t="s">
        <v>41</v>
      </c>
      <c r="C1274" s="53" t="s">
        <v>6836</v>
      </c>
      <c r="D1274" s="42" t="s">
        <v>44</v>
      </c>
      <c r="E1274" s="42" t="s">
        <v>44</v>
      </c>
      <c r="F1274" s="53" t="s">
        <v>6810</v>
      </c>
      <c r="G1274" s="53" t="s">
        <v>47</v>
      </c>
      <c r="H1274" s="53" t="s">
        <v>48</v>
      </c>
      <c r="I1274" s="53" t="s">
        <v>401</v>
      </c>
      <c r="J1274" s="53" t="s">
        <v>6811</v>
      </c>
      <c r="K1274" s="53" t="s">
        <v>1615</v>
      </c>
      <c r="L1274" s="53" t="s">
        <v>52</v>
      </c>
      <c r="M1274" s="53" t="s">
        <v>52</v>
      </c>
      <c r="N1274" s="62" t="s">
        <v>6815</v>
      </c>
      <c r="O1274" s="62" t="s">
        <v>44</v>
      </c>
      <c r="P1274" s="62" t="s">
        <v>6601</v>
      </c>
      <c r="Q1274" s="62" t="s">
        <v>6602</v>
      </c>
      <c r="R1274" s="53"/>
      <c r="S1274" s="53"/>
      <c r="T1274" s="82"/>
      <c r="U1274" s="42"/>
      <c r="V1274" s="62"/>
      <c r="W1274" s="64"/>
      <c r="X1274" s="223"/>
      <c r="Y1274" s="223"/>
      <c r="Z1274" s="223"/>
      <c r="AA1274" s="223"/>
    </row>
    <row r="1275">
      <c r="A1275" s="42">
        <f t="shared" si="3"/>
        <v>1274</v>
      </c>
      <c r="B1275" s="51" t="s">
        <v>41</v>
      </c>
      <c r="C1275" s="53" t="s">
        <v>6837</v>
      </c>
      <c r="D1275" s="42" t="s">
        <v>44</v>
      </c>
      <c r="E1275" s="42" t="s">
        <v>44</v>
      </c>
      <c r="F1275" s="53" t="s">
        <v>6810</v>
      </c>
      <c r="G1275" s="53" t="s">
        <v>47</v>
      </c>
      <c r="H1275" s="53" t="s">
        <v>48</v>
      </c>
      <c r="I1275" s="53" t="s">
        <v>401</v>
      </c>
      <c r="J1275" s="53" t="s">
        <v>6811</v>
      </c>
      <c r="K1275" s="53" t="s">
        <v>1615</v>
      </c>
      <c r="L1275" s="53" t="s">
        <v>52</v>
      </c>
      <c r="M1275" s="53" t="s">
        <v>52</v>
      </c>
      <c r="N1275" s="62" t="s">
        <v>6815</v>
      </c>
      <c r="O1275" s="62" t="s">
        <v>44</v>
      </c>
      <c r="P1275" s="62" t="s">
        <v>6838</v>
      </c>
      <c r="Q1275" s="62" t="s">
        <v>6839</v>
      </c>
      <c r="R1275" s="53"/>
      <c r="S1275" s="53"/>
      <c r="T1275" s="82"/>
      <c r="U1275" s="42"/>
      <c r="V1275" s="62"/>
      <c r="W1275" s="64"/>
      <c r="X1275" s="223"/>
      <c r="Y1275" s="223"/>
      <c r="Z1275" s="223"/>
      <c r="AA1275" s="223"/>
    </row>
    <row r="1276">
      <c r="A1276" s="42">
        <f t="shared" si="3"/>
        <v>1275</v>
      </c>
      <c r="B1276" s="51" t="s">
        <v>41</v>
      </c>
      <c r="C1276" s="53" t="s">
        <v>6840</v>
      </c>
      <c r="D1276" s="42" t="s">
        <v>44</v>
      </c>
      <c r="E1276" s="42" t="s">
        <v>44</v>
      </c>
      <c r="F1276" s="53" t="s">
        <v>6810</v>
      </c>
      <c r="G1276" s="53" t="s">
        <v>47</v>
      </c>
      <c r="H1276" s="53" t="s">
        <v>48</v>
      </c>
      <c r="I1276" s="53" t="s">
        <v>401</v>
      </c>
      <c r="J1276" s="53" t="s">
        <v>6811</v>
      </c>
      <c r="K1276" s="53" t="s">
        <v>1615</v>
      </c>
      <c r="L1276" s="53" t="s">
        <v>52</v>
      </c>
      <c r="M1276" s="53" t="s">
        <v>52</v>
      </c>
      <c r="N1276" s="62" t="s">
        <v>6815</v>
      </c>
      <c r="O1276" s="62" t="s">
        <v>44</v>
      </c>
      <c r="P1276" s="62" t="s">
        <v>6841</v>
      </c>
      <c r="Q1276" s="62" t="s">
        <v>6842</v>
      </c>
      <c r="R1276" s="53"/>
      <c r="S1276" s="53"/>
      <c r="T1276" s="82"/>
      <c r="U1276" s="42"/>
      <c r="V1276" s="62"/>
      <c r="W1276" s="64"/>
      <c r="X1276" s="223"/>
      <c r="Y1276" s="223"/>
      <c r="Z1276" s="223"/>
      <c r="AA1276" s="223"/>
    </row>
    <row r="1277">
      <c r="A1277" s="42">
        <f t="shared" si="3"/>
        <v>1276</v>
      </c>
      <c r="B1277" s="51" t="s">
        <v>41</v>
      </c>
      <c r="C1277" s="53" t="s">
        <v>6843</v>
      </c>
      <c r="D1277" s="42" t="s">
        <v>44</v>
      </c>
      <c r="E1277" s="42" t="s">
        <v>44</v>
      </c>
      <c r="F1277" s="53" t="s">
        <v>6810</v>
      </c>
      <c r="G1277" s="53" t="s">
        <v>47</v>
      </c>
      <c r="H1277" s="53" t="s">
        <v>48</v>
      </c>
      <c r="I1277" s="53" t="s">
        <v>401</v>
      </c>
      <c r="J1277" s="53" t="s">
        <v>6811</v>
      </c>
      <c r="K1277" s="53" t="s">
        <v>1615</v>
      </c>
      <c r="L1277" s="53" t="s">
        <v>52</v>
      </c>
      <c r="M1277" s="53" t="s">
        <v>52</v>
      </c>
      <c r="N1277" s="62" t="s">
        <v>6815</v>
      </c>
      <c r="O1277" s="62" t="s">
        <v>44</v>
      </c>
      <c r="P1277" s="62" t="s">
        <v>6804</v>
      </c>
      <c r="Q1277" s="62" t="s">
        <v>186</v>
      </c>
      <c r="R1277" s="53"/>
      <c r="S1277" s="53"/>
      <c r="T1277" s="82"/>
      <c r="U1277" s="42"/>
      <c r="V1277" s="62"/>
      <c r="W1277" s="64"/>
      <c r="X1277" s="223"/>
      <c r="Y1277" s="223"/>
      <c r="Z1277" s="223"/>
      <c r="AA1277" s="223"/>
    </row>
    <row r="1278">
      <c r="A1278" s="42">
        <f t="shared" si="3"/>
        <v>1277</v>
      </c>
      <c r="B1278" s="51" t="s">
        <v>41</v>
      </c>
      <c r="C1278" s="53" t="s">
        <v>6844</v>
      </c>
      <c r="D1278" s="42" t="s">
        <v>44</v>
      </c>
      <c r="E1278" s="42" t="s">
        <v>44</v>
      </c>
      <c r="F1278" s="53" t="s">
        <v>6810</v>
      </c>
      <c r="G1278" s="53" t="s">
        <v>47</v>
      </c>
      <c r="H1278" s="53" t="s">
        <v>48</v>
      </c>
      <c r="I1278" s="53" t="s">
        <v>401</v>
      </c>
      <c r="J1278" s="53" t="s">
        <v>6811</v>
      </c>
      <c r="K1278" s="53" t="s">
        <v>1615</v>
      </c>
      <c r="L1278" s="53" t="s">
        <v>52</v>
      </c>
      <c r="M1278" s="53" t="s">
        <v>52</v>
      </c>
      <c r="N1278" s="62" t="s">
        <v>6845</v>
      </c>
      <c r="O1278" s="62" t="s">
        <v>44</v>
      </c>
      <c r="P1278" s="62" t="s">
        <v>6807</v>
      </c>
      <c r="Q1278" s="62" t="s">
        <v>6846</v>
      </c>
      <c r="R1278" s="53"/>
      <c r="S1278" s="53"/>
      <c r="T1278" s="82"/>
      <c r="U1278" s="42"/>
      <c r="V1278" s="62"/>
      <c r="W1278" s="64"/>
      <c r="X1278" s="223"/>
      <c r="Y1278" s="223"/>
      <c r="Z1278" s="223"/>
      <c r="AA1278" s="223"/>
    </row>
    <row r="1279">
      <c r="A1279" s="42">
        <f t="shared" si="3"/>
        <v>1278</v>
      </c>
      <c r="B1279" s="51" t="s">
        <v>41</v>
      </c>
      <c r="C1279" s="53" t="s">
        <v>6847</v>
      </c>
      <c r="D1279" s="42" t="s">
        <v>44</v>
      </c>
      <c r="E1279" s="42" t="s">
        <v>44</v>
      </c>
      <c r="F1279" s="53" t="s">
        <v>6810</v>
      </c>
      <c r="G1279" s="53" t="s">
        <v>47</v>
      </c>
      <c r="H1279" s="53" t="s">
        <v>48</v>
      </c>
      <c r="I1279" s="53" t="s">
        <v>401</v>
      </c>
      <c r="J1279" s="53" t="s">
        <v>6811</v>
      </c>
      <c r="K1279" s="53" t="s">
        <v>1615</v>
      </c>
      <c r="L1279" s="53" t="s">
        <v>52</v>
      </c>
      <c r="M1279" s="53" t="s">
        <v>52</v>
      </c>
      <c r="N1279" s="62" t="s">
        <v>6815</v>
      </c>
      <c r="O1279" s="62" t="s">
        <v>44</v>
      </c>
      <c r="P1279" s="62" t="s">
        <v>6781</v>
      </c>
      <c r="Q1279" s="62" t="s">
        <v>6848</v>
      </c>
      <c r="R1279" s="53"/>
      <c r="S1279" s="53"/>
      <c r="T1279" s="82"/>
      <c r="U1279" s="42"/>
      <c r="V1279" s="62"/>
      <c r="W1279" s="64"/>
      <c r="X1279" s="223"/>
      <c r="Y1279" s="223"/>
      <c r="Z1279" s="223"/>
      <c r="AA1279" s="223"/>
    </row>
    <row r="1280">
      <c r="A1280" s="42">
        <f t="shared" si="3"/>
        <v>1279</v>
      </c>
      <c r="B1280" s="51" t="s">
        <v>41</v>
      </c>
      <c r="C1280" s="53" t="s">
        <v>6849</v>
      </c>
      <c r="D1280" s="42" t="s">
        <v>44</v>
      </c>
      <c r="E1280" s="42" t="s">
        <v>44</v>
      </c>
      <c r="F1280" s="53" t="s">
        <v>6810</v>
      </c>
      <c r="G1280" s="53" t="s">
        <v>47</v>
      </c>
      <c r="H1280" s="53" t="s">
        <v>48</v>
      </c>
      <c r="I1280" s="53" t="s">
        <v>401</v>
      </c>
      <c r="J1280" s="53" t="s">
        <v>6811</v>
      </c>
      <c r="K1280" s="53" t="s">
        <v>1615</v>
      </c>
      <c r="L1280" s="53" t="s">
        <v>52</v>
      </c>
      <c r="M1280" s="53" t="s">
        <v>52</v>
      </c>
      <c r="N1280" s="62" t="s">
        <v>6850</v>
      </c>
      <c r="O1280" s="62" t="s">
        <v>44</v>
      </c>
      <c r="P1280" s="62" t="s">
        <v>6851</v>
      </c>
      <c r="Q1280" s="62" t="s">
        <v>6852</v>
      </c>
      <c r="R1280" s="53"/>
      <c r="S1280" s="53"/>
      <c r="T1280" s="82"/>
      <c r="U1280" s="42"/>
      <c r="V1280" s="62"/>
      <c r="W1280" s="64"/>
      <c r="X1280" s="223"/>
      <c r="Y1280" s="223"/>
      <c r="Z1280" s="223"/>
      <c r="AA1280" s="223"/>
    </row>
    <row r="1281">
      <c r="A1281" s="42">
        <f t="shared" si="3"/>
        <v>1280</v>
      </c>
      <c r="B1281" s="51" t="s">
        <v>41</v>
      </c>
      <c r="C1281" s="53" t="s">
        <v>6853</v>
      </c>
      <c r="D1281" s="42" t="s">
        <v>44</v>
      </c>
      <c r="E1281" s="42" t="s">
        <v>44</v>
      </c>
      <c r="F1281" s="53" t="s">
        <v>6810</v>
      </c>
      <c r="G1281" s="53" t="s">
        <v>47</v>
      </c>
      <c r="H1281" s="53" t="s">
        <v>48</v>
      </c>
      <c r="I1281" s="53" t="s">
        <v>401</v>
      </c>
      <c r="J1281" s="53" t="s">
        <v>6811</v>
      </c>
      <c r="K1281" s="53" t="s">
        <v>1615</v>
      </c>
      <c r="L1281" s="53" t="s">
        <v>52</v>
      </c>
      <c r="M1281" s="53" t="s">
        <v>52</v>
      </c>
      <c r="N1281" s="62" t="s">
        <v>6850</v>
      </c>
      <c r="O1281" s="62" t="s">
        <v>44</v>
      </c>
      <c r="P1281" s="62" t="s">
        <v>6854</v>
      </c>
      <c r="Q1281" s="62" t="s">
        <v>6855</v>
      </c>
      <c r="R1281" s="53"/>
      <c r="S1281" s="53"/>
      <c r="T1281" s="82"/>
      <c r="U1281" s="42"/>
      <c r="V1281" s="62"/>
      <c r="W1281" s="64"/>
      <c r="X1281" s="223"/>
      <c r="Y1281" s="223"/>
      <c r="Z1281" s="223"/>
      <c r="AA1281" s="223"/>
    </row>
    <row r="1282">
      <c r="A1282" s="42">
        <f t="shared" si="3"/>
        <v>1281</v>
      </c>
      <c r="B1282" s="51" t="s">
        <v>41</v>
      </c>
      <c r="C1282" s="53" t="s">
        <v>6856</v>
      </c>
      <c r="D1282" s="42" t="s">
        <v>44</v>
      </c>
      <c r="E1282" s="42" t="s">
        <v>44</v>
      </c>
      <c r="F1282" s="53" t="s">
        <v>6810</v>
      </c>
      <c r="G1282" s="53" t="s">
        <v>47</v>
      </c>
      <c r="H1282" s="53" t="s">
        <v>48</v>
      </c>
      <c r="I1282" s="53" t="s">
        <v>401</v>
      </c>
      <c r="J1282" s="53" t="s">
        <v>6811</v>
      </c>
      <c r="K1282" s="53" t="s">
        <v>1615</v>
      </c>
      <c r="L1282" s="53" t="s">
        <v>52</v>
      </c>
      <c r="M1282" s="53" t="s">
        <v>52</v>
      </c>
      <c r="N1282" s="62" t="s">
        <v>6850</v>
      </c>
      <c r="O1282" s="62" t="s">
        <v>44</v>
      </c>
      <c r="P1282" s="62" t="s">
        <v>6857</v>
      </c>
      <c r="Q1282" s="62" t="s">
        <v>6858</v>
      </c>
      <c r="R1282" s="53"/>
      <c r="S1282" s="53"/>
      <c r="T1282" s="82"/>
      <c r="U1282" s="42"/>
      <c r="V1282" s="62"/>
      <c r="W1282" s="64"/>
      <c r="X1282" s="223"/>
      <c r="Y1282" s="223"/>
      <c r="Z1282" s="223"/>
      <c r="AA1282" s="223"/>
    </row>
    <row r="1283">
      <c r="A1283" s="42">
        <f t="shared" si="3"/>
        <v>1282</v>
      </c>
      <c r="B1283" s="51" t="s">
        <v>41</v>
      </c>
      <c r="C1283" s="53" t="s">
        <v>6859</v>
      </c>
      <c r="D1283" s="42" t="s">
        <v>44</v>
      </c>
      <c r="E1283" s="42" t="s">
        <v>44</v>
      </c>
      <c r="F1283" s="53" t="s">
        <v>6810</v>
      </c>
      <c r="G1283" s="53" t="s">
        <v>47</v>
      </c>
      <c r="H1283" s="53" t="s">
        <v>48</v>
      </c>
      <c r="I1283" s="53" t="s">
        <v>401</v>
      </c>
      <c r="J1283" s="53" t="s">
        <v>6811</v>
      </c>
      <c r="K1283" s="53" t="s">
        <v>1615</v>
      </c>
      <c r="L1283" s="53" t="s">
        <v>52</v>
      </c>
      <c r="M1283" s="53" t="s">
        <v>52</v>
      </c>
      <c r="N1283" s="62" t="s">
        <v>6850</v>
      </c>
      <c r="O1283" s="62" t="s">
        <v>44</v>
      </c>
      <c r="P1283" s="62" t="s">
        <v>6860</v>
      </c>
      <c r="Q1283" s="62" t="s">
        <v>6861</v>
      </c>
      <c r="R1283" s="53"/>
      <c r="S1283" s="53"/>
      <c r="T1283" s="82"/>
      <c r="U1283" s="42"/>
      <c r="V1283" s="62"/>
      <c r="W1283" s="64"/>
      <c r="X1283" s="223"/>
      <c r="Y1283" s="223"/>
      <c r="Z1283" s="223"/>
      <c r="AA1283" s="223"/>
    </row>
    <row r="1284">
      <c r="A1284" s="42">
        <f t="shared" si="3"/>
        <v>1283</v>
      </c>
      <c r="B1284" s="51" t="s">
        <v>41</v>
      </c>
      <c r="C1284" s="53" t="s">
        <v>6862</v>
      </c>
      <c r="D1284" s="42" t="s">
        <v>44</v>
      </c>
      <c r="E1284" s="42" t="s">
        <v>44</v>
      </c>
      <c r="F1284" s="53" t="s">
        <v>6810</v>
      </c>
      <c r="G1284" s="53" t="s">
        <v>47</v>
      </c>
      <c r="H1284" s="53" t="s">
        <v>48</v>
      </c>
      <c r="I1284" s="53" t="s">
        <v>401</v>
      </c>
      <c r="J1284" s="53" t="s">
        <v>6811</v>
      </c>
      <c r="K1284" s="53" t="s">
        <v>1615</v>
      </c>
      <c r="L1284" s="53" t="s">
        <v>52</v>
      </c>
      <c r="M1284" s="53" t="s">
        <v>52</v>
      </c>
      <c r="N1284" s="62" t="s">
        <v>6850</v>
      </c>
      <c r="O1284" s="62" t="s">
        <v>44</v>
      </c>
      <c r="P1284" s="62" t="s">
        <v>6863</v>
      </c>
      <c r="Q1284" s="62" t="s">
        <v>6864</v>
      </c>
      <c r="R1284" s="53"/>
      <c r="S1284" s="53"/>
      <c r="T1284" s="82"/>
      <c r="U1284" s="42"/>
      <c r="V1284" s="62"/>
      <c r="W1284" s="64"/>
      <c r="X1284" s="223"/>
      <c r="Y1284" s="223"/>
      <c r="Z1284" s="223"/>
      <c r="AA1284" s="223"/>
    </row>
    <row r="1285">
      <c r="A1285" s="42">
        <f t="shared" si="3"/>
        <v>1284</v>
      </c>
      <c r="B1285" s="51" t="s">
        <v>41</v>
      </c>
      <c r="C1285" s="53" t="s">
        <v>6865</v>
      </c>
      <c r="D1285" s="42" t="s">
        <v>44</v>
      </c>
      <c r="E1285" s="42" t="s">
        <v>44</v>
      </c>
      <c r="F1285" s="53" t="s">
        <v>6810</v>
      </c>
      <c r="G1285" s="53" t="s">
        <v>47</v>
      </c>
      <c r="H1285" s="53" t="s">
        <v>48</v>
      </c>
      <c r="I1285" s="53" t="s">
        <v>401</v>
      </c>
      <c r="J1285" s="53" t="s">
        <v>6811</v>
      </c>
      <c r="K1285" s="53" t="s">
        <v>1615</v>
      </c>
      <c r="L1285" s="53" t="s">
        <v>52</v>
      </c>
      <c r="M1285" s="53" t="s">
        <v>52</v>
      </c>
      <c r="N1285" s="62" t="s">
        <v>6850</v>
      </c>
      <c r="O1285" s="62" t="s">
        <v>44</v>
      </c>
      <c r="P1285" s="62" t="s">
        <v>6866</v>
      </c>
      <c r="Q1285" s="62" t="s">
        <v>6867</v>
      </c>
      <c r="R1285" s="53"/>
      <c r="S1285" s="53"/>
      <c r="T1285" s="82"/>
      <c r="U1285" s="42"/>
      <c r="V1285" s="62"/>
      <c r="W1285" s="64"/>
      <c r="X1285" s="223"/>
      <c r="Y1285" s="223"/>
      <c r="Z1285" s="223"/>
      <c r="AA1285" s="223"/>
    </row>
    <row r="1286">
      <c r="A1286" s="42">
        <f t="shared" si="3"/>
        <v>1285</v>
      </c>
      <c r="B1286" s="51" t="s">
        <v>41</v>
      </c>
      <c r="C1286" s="53" t="s">
        <v>6868</v>
      </c>
      <c r="D1286" s="42" t="s">
        <v>44</v>
      </c>
      <c r="E1286" s="42" t="s">
        <v>44</v>
      </c>
      <c r="F1286" s="53" t="s">
        <v>6810</v>
      </c>
      <c r="G1286" s="53" t="s">
        <v>47</v>
      </c>
      <c r="H1286" s="53" t="s">
        <v>48</v>
      </c>
      <c r="I1286" s="53" t="s">
        <v>401</v>
      </c>
      <c r="J1286" s="53" t="s">
        <v>6811</v>
      </c>
      <c r="K1286" s="53" t="s">
        <v>1615</v>
      </c>
      <c r="L1286" s="53" t="s">
        <v>52</v>
      </c>
      <c r="M1286" s="53" t="s">
        <v>52</v>
      </c>
      <c r="N1286" s="62" t="s">
        <v>6850</v>
      </c>
      <c r="O1286" s="62" t="s">
        <v>44</v>
      </c>
      <c r="P1286" s="62" t="s">
        <v>6869</v>
      </c>
      <c r="Q1286" s="62" t="s">
        <v>6870</v>
      </c>
      <c r="R1286" s="53"/>
      <c r="S1286" s="53"/>
      <c r="T1286" s="82"/>
      <c r="U1286" s="42"/>
      <c r="V1286" s="62"/>
      <c r="W1286" s="64"/>
      <c r="X1286" s="223"/>
      <c r="Y1286" s="223"/>
      <c r="Z1286" s="223"/>
      <c r="AA1286" s="223"/>
    </row>
    <row r="1287">
      <c r="A1287" s="42">
        <f t="shared" si="3"/>
        <v>1286</v>
      </c>
      <c r="B1287" s="51" t="s">
        <v>41</v>
      </c>
      <c r="C1287" s="53" t="s">
        <v>6871</v>
      </c>
      <c r="D1287" s="42" t="s">
        <v>44</v>
      </c>
      <c r="E1287" s="42" t="s">
        <v>44</v>
      </c>
      <c r="F1287" s="53" t="s">
        <v>6810</v>
      </c>
      <c r="G1287" s="53" t="s">
        <v>47</v>
      </c>
      <c r="H1287" s="53" t="s">
        <v>48</v>
      </c>
      <c r="I1287" s="53" t="s">
        <v>401</v>
      </c>
      <c r="J1287" s="53" t="s">
        <v>6811</v>
      </c>
      <c r="K1287" s="53" t="s">
        <v>1615</v>
      </c>
      <c r="L1287" s="53" t="s">
        <v>52</v>
      </c>
      <c r="M1287" s="53" t="s">
        <v>52</v>
      </c>
      <c r="N1287" s="62" t="s">
        <v>6850</v>
      </c>
      <c r="O1287" s="62" t="s">
        <v>44</v>
      </c>
      <c r="P1287" s="62" t="s">
        <v>6872</v>
      </c>
      <c r="Q1287" s="62" t="s">
        <v>6873</v>
      </c>
      <c r="R1287" s="53"/>
      <c r="S1287" s="53"/>
      <c r="T1287" s="82"/>
      <c r="U1287" s="42"/>
      <c r="V1287" s="62"/>
      <c r="W1287" s="64"/>
      <c r="X1287" s="223"/>
      <c r="Y1287" s="223"/>
      <c r="Z1287" s="223"/>
      <c r="AA1287" s="223"/>
    </row>
    <row r="1288">
      <c r="A1288" s="42">
        <f t="shared" si="3"/>
        <v>1287</v>
      </c>
      <c r="B1288" s="51" t="s">
        <v>41</v>
      </c>
      <c r="C1288" s="53" t="s">
        <v>6874</v>
      </c>
      <c r="D1288" s="42" t="s">
        <v>44</v>
      </c>
      <c r="E1288" s="42" t="s">
        <v>44</v>
      </c>
      <c r="F1288" s="53" t="s">
        <v>6810</v>
      </c>
      <c r="G1288" s="53" t="s">
        <v>47</v>
      </c>
      <c r="H1288" s="53" t="s">
        <v>48</v>
      </c>
      <c r="I1288" s="53" t="s">
        <v>401</v>
      </c>
      <c r="J1288" s="53" t="s">
        <v>6811</v>
      </c>
      <c r="K1288" s="53" t="s">
        <v>1615</v>
      </c>
      <c r="L1288" s="53" t="s">
        <v>52</v>
      </c>
      <c r="M1288" s="53" t="s">
        <v>52</v>
      </c>
      <c r="N1288" s="62" t="s">
        <v>6850</v>
      </c>
      <c r="O1288" s="62" t="s">
        <v>44</v>
      </c>
      <c r="P1288" s="62" t="s">
        <v>6875</v>
      </c>
      <c r="Q1288" s="62" t="s">
        <v>6876</v>
      </c>
      <c r="R1288" s="53"/>
      <c r="S1288" s="53"/>
      <c r="T1288" s="82"/>
      <c r="U1288" s="42"/>
      <c r="V1288" s="62"/>
      <c r="W1288" s="64"/>
      <c r="X1288" s="223"/>
      <c r="Y1288" s="223"/>
      <c r="Z1288" s="223"/>
      <c r="AA1288" s="223"/>
    </row>
    <row r="1289">
      <c r="A1289" s="42">
        <f t="shared" si="3"/>
        <v>1288</v>
      </c>
      <c r="B1289" s="51" t="s">
        <v>41</v>
      </c>
      <c r="C1289" s="53" t="s">
        <v>6877</v>
      </c>
      <c r="D1289" s="42" t="s">
        <v>44</v>
      </c>
      <c r="E1289" s="42" t="s">
        <v>44</v>
      </c>
      <c r="F1289" s="53" t="s">
        <v>6810</v>
      </c>
      <c r="G1289" s="53" t="s">
        <v>47</v>
      </c>
      <c r="H1289" s="53" t="s">
        <v>48</v>
      </c>
      <c r="I1289" s="53" t="s">
        <v>401</v>
      </c>
      <c r="J1289" s="53" t="s">
        <v>6811</v>
      </c>
      <c r="K1289" s="53" t="s">
        <v>1615</v>
      </c>
      <c r="L1289" s="53" t="s">
        <v>52</v>
      </c>
      <c r="M1289" s="53" t="s">
        <v>52</v>
      </c>
      <c r="N1289" s="62" t="s">
        <v>6850</v>
      </c>
      <c r="O1289" s="62" t="s">
        <v>44</v>
      </c>
      <c r="P1289" s="62" t="s">
        <v>6878</v>
      </c>
      <c r="Q1289" s="62" t="s">
        <v>6879</v>
      </c>
      <c r="R1289" s="53"/>
      <c r="S1289" s="53"/>
      <c r="T1289" s="82"/>
      <c r="U1289" s="42"/>
      <c r="V1289" s="62"/>
      <c r="W1289" s="64"/>
      <c r="X1289" s="223"/>
      <c r="Y1289" s="223"/>
      <c r="Z1289" s="223"/>
      <c r="AA1289" s="223"/>
    </row>
    <row r="1290">
      <c r="A1290" s="42">
        <f t="shared" si="3"/>
        <v>1289</v>
      </c>
      <c r="B1290" s="51" t="s">
        <v>41</v>
      </c>
      <c r="C1290" s="53" t="s">
        <v>6880</v>
      </c>
      <c r="D1290" s="42" t="s">
        <v>44</v>
      </c>
      <c r="E1290" s="42" t="s">
        <v>44</v>
      </c>
      <c r="F1290" s="53" t="s">
        <v>6810</v>
      </c>
      <c r="G1290" s="53" t="s">
        <v>47</v>
      </c>
      <c r="H1290" s="53" t="s">
        <v>48</v>
      </c>
      <c r="I1290" s="53" t="s">
        <v>401</v>
      </c>
      <c r="J1290" s="53" t="s">
        <v>6811</v>
      </c>
      <c r="K1290" s="53" t="s">
        <v>1615</v>
      </c>
      <c r="L1290" s="53" t="s">
        <v>52</v>
      </c>
      <c r="M1290" s="53" t="s">
        <v>52</v>
      </c>
      <c r="N1290" s="62" t="s">
        <v>6850</v>
      </c>
      <c r="O1290" s="62" t="s">
        <v>44</v>
      </c>
      <c r="P1290" s="62" t="s">
        <v>6881</v>
      </c>
      <c r="Q1290" s="62" t="s">
        <v>6882</v>
      </c>
      <c r="R1290" s="53"/>
      <c r="S1290" s="53"/>
      <c r="T1290" s="82"/>
      <c r="U1290" s="42"/>
      <c r="V1290" s="62"/>
      <c r="W1290" s="64"/>
      <c r="X1290" s="223"/>
      <c r="Y1290" s="223"/>
      <c r="Z1290" s="223"/>
      <c r="AA1290" s="223"/>
    </row>
    <row r="1291">
      <c r="A1291" s="42">
        <f t="shared" si="3"/>
        <v>1290</v>
      </c>
      <c r="B1291" s="51" t="s">
        <v>41</v>
      </c>
      <c r="C1291" s="53" t="s">
        <v>6883</v>
      </c>
      <c r="D1291" s="42" t="s">
        <v>44</v>
      </c>
      <c r="E1291" s="42" t="s">
        <v>44</v>
      </c>
      <c r="F1291" s="53" t="s">
        <v>6810</v>
      </c>
      <c r="G1291" s="53" t="s">
        <v>47</v>
      </c>
      <c r="H1291" s="53" t="s">
        <v>48</v>
      </c>
      <c r="I1291" s="53" t="s">
        <v>401</v>
      </c>
      <c r="J1291" s="53" t="s">
        <v>6811</v>
      </c>
      <c r="K1291" s="53" t="s">
        <v>1615</v>
      </c>
      <c r="L1291" s="53" t="s">
        <v>52</v>
      </c>
      <c r="M1291" s="53" t="s">
        <v>52</v>
      </c>
      <c r="N1291" s="62" t="s">
        <v>6850</v>
      </c>
      <c r="O1291" s="62" t="s">
        <v>44</v>
      </c>
      <c r="P1291" s="62" t="s">
        <v>6884</v>
      </c>
      <c r="Q1291" s="62" t="s">
        <v>6885</v>
      </c>
      <c r="R1291" s="53"/>
      <c r="S1291" s="53"/>
      <c r="T1291" s="82"/>
      <c r="U1291" s="42"/>
      <c r="V1291" s="62"/>
      <c r="W1291" s="64"/>
      <c r="X1291" s="223"/>
      <c r="Y1291" s="223"/>
      <c r="Z1291" s="223"/>
      <c r="AA1291" s="223"/>
    </row>
    <row r="1292">
      <c r="A1292" s="42">
        <f t="shared" si="3"/>
        <v>1291</v>
      </c>
      <c r="B1292" s="51" t="s">
        <v>41</v>
      </c>
      <c r="C1292" s="53" t="s">
        <v>6886</v>
      </c>
      <c r="D1292" s="42" t="s">
        <v>44</v>
      </c>
      <c r="E1292" s="42" t="s">
        <v>44</v>
      </c>
      <c r="F1292" s="53" t="s">
        <v>6810</v>
      </c>
      <c r="G1292" s="53" t="s">
        <v>47</v>
      </c>
      <c r="H1292" s="53" t="s">
        <v>48</v>
      </c>
      <c r="I1292" s="53" t="s">
        <v>401</v>
      </c>
      <c r="J1292" s="53" t="s">
        <v>6811</v>
      </c>
      <c r="K1292" s="53" t="s">
        <v>1615</v>
      </c>
      <c r="L1292" s="53" t="s">
        <v>52</v>
      </c>
      <c r="M1292" s="53" t="s">
        <v>52</v>
      </c>
      <c r="N1292" s="62" t="s">
        <v>6850</v>
      </c>
      <c r="O1292" s="62" t="s">
        <v>44</v>
      </c>
      <c r="P1292" s="62" t="s">
        <v>6887</v>
      </c>
      <c r="Q1292" s="62" t="s">
        <v>6888</v>
      </c>
      <c r="R1292" s="53"/>
      <c r="S1292" s="53"/>
      <c r="T1292" s="82"/>
      <c r="U1292" s="42"/>
      <c r="V1292" s="62"/>
      <c r="W1292" s="64"/>
      <c r="X1292" s="223"/>
      <c r="Y1292" s="223"/>
      <c r="Z1292" s="223"/>
      <c r="AA1292" s="223"/>
    </row>
    <row r="1293">
      <c r="A1293" s="42">
        <f t="shared" si="3"/>
        <v>1292</v>
      </c>
      <c r="B1293" s="51" t="s">
        <v>41</v>
      </c>
      <c r="C1293" s="53" t="s">
        <v>6889</v>
      </c>
      <c r="D1293" s="42" t="s">
        <v>44</v>
      </c>
      <c r="E1293" s="42" t="s">
        <v>44</v>
      </c>
      <c r="F1293" s="53" t="s">
        <v>6810</v>
      </c>
      <c r="G1293" s="53" t="s">
        <v>47</v>
      </c>
      <c r="H1293" s="53" t="s">
        <v>48</v>
      </c>
      <c r="I1293" s="53" t="s">
        <v>401</v>
      </c>
      <c r="J1293" s="53" t="s">
        <v>6811</v>
      </c>
      <c r="K1293" s="53" t="s">
        <v>1615</v>
      </c>
      <c r="L1293" s="53" t="s">
        <v>52</v>
      </c>
      <c r="M1293" s="53" t="s">
        <v>52</v>
      </c>
      <c r="N1293" s="62" t="s">
        <v>6850</v>
      </c>
      <c r="O1293" s="62" t="s">
        <v>44</v>
      </c>
      <c r="P1293" s="62" t="s">
        <v>6890</v>
      </c>
      <c r="Q1293" s="62" t="s">
        <v>6891</v>
      </c>
      <c r="R1293" s="53"/>
      <c r="S1293" s="53"/>
      <c r="T1293" s="82"/>
      <c r="U1293" s="42"/>
      <c r="V1293" s="62"/>
      <c r="W1293" s="64"/>
      <c r="X1293" s="223"/>
      <c r="Y1293" s="223"/>
      <c r="Z1293" s="223"/>
      <c r="AA1293" s="223"/>
    </row>
    <row r="1294">
      <c r="A1294" s="42">
        <f t="shared" si="3"/>
        <v>1293</v>
      </c>
      <c r="B1294" s="51" t="s">
        <v>41</v>
      </c>
      <c r="C1294" s="53" t="s">
        <v>6892</v>
      </c>
      <c r="D1294" s="42" t="s">
        <v>44</v>
      </c>
      <c r="E1294" s="42" t="s">
        <v>44</v>
      </c>
      <c r="F1294" s="53" t="s">
        <v>6810</v>
      </c>
      <c r="G1294" s="53" t="s">
        <v>47</v>
      </c>
      <c r="H1294" s="53" t="s">
        <v>48</v>
      </c>
      <c r="I1294" s="53" t="s">
        <v>401</v>
      </c>
      <c r="J1294" s="53" t="s">
        <v>6811</v>
      </c>
      <c r="K1294" s="53" t="s">
        <v>1615</v>
      </c>
      <c r="L1294" s="53" t="s">
        <v>52</v>
      </c>
      <c r="M1294" s="53" t="s">
        <v>52</v>
      </c>
      <c r="N1294" s="62" t="s">
        <v>6850</v>
      </c>
      <c r="O1294" s="62" t="s">
        <v>44</v>
      </c>
      <c r="P1294" s="62" t="s">
        <v>6893</v>
      </c>
      <c r="Q1294" s="62" t="s">
        <v>6894</v>
      </c>
      <c r="R1294" s="53"/>
      <c r="S1294" s="53"/>
      <c r="T1294" s="82"/>
      <c r="U1294" s="42"/>
      <c r="V1294" s="62"/>
      <c r="W1294" s="64"/>
      <c r="X1294" s="223"/>
      <c r="Y1294" s="223"/>
      <c r="Z1294" s="223"/>
      <c r="AA1294" s="223"/>
    </row>
    <row r="1295">
      <c r="A1295" s="42">
        <f t="shared" si="3"/>
        <v>1294</v>
      </c>
      <c r="B1295" s="51" t="s">
        <v>41</v>
      </c>
      <c r="C1295" s="53" t="s">
        <v>6895</v>
      </c>
      <c r="D1295" s="42" t="s">
        <v>44</v>
      </c>
      <c r="E1295" s="42" t="s">
        <v>44</v>
      </c>
      <c r="F1295" s="53" t="s">
        <v>6810</v>
      </c>
      <c r="G1295" s="53" t="s">
        <v>47</v>
      </c>
      <c r="H1295" s="53" t="s">
        <v>48</v>
      </c>
      <c r="I1295" s="53" t="s">
        <v>401</v>
      </c>
      <c r="J1295" s="53" t="s">
        <v>6811</v>
      </c>
      <c r="K1295" s="53" t="s">
        <v>1615</v>
      </c>
      <c r="L1295" s="53" t="s">
        <v>52</v>
      </c>
      <c r="M1295" s="53" t="s">
        <v>52</v>
      </c>
      <c r="N1295" s="62" t="s">
        <v>6850</v>
      </c>
      <c r="O1295" s="62" t="s">
        <v>44</v>
      </c>
      <c r="P1295" s="62" t="s">
        <v>6896</v>
      </c>
      <c r="Q1295" s="62" t="s">
        <v>6897</v>
      </c>
      <c r="R1295" s="53"/>
      <c r="S1295" s="53"/>
      <c r="T1295" s="82"/>
      <c r="U1295" s="42"/>
      <c r="V1295" s="62"/>
      <c r="W1295" s="64"/>
      <c r="X1295" s="223"/>
      <c r="Y1295" s="223"/>
      <c r="Z1295" s="223"/>
      <c r="AA1295" s="223"/>
    </row>
    <row r="1296">
      <c r="A1296" s="42">
        <f t="shared" si="3"/>
        <v>1295</v>
      </c>
      <c r="B1296" s="51" t="s">
        <v>41</v>
      </c>
      <c r="C1296" s="53" t="s">
        <v>6898</v>
      </c>
      <c r="D1296" s="42" t="s">
        <v>44</v>
      </c>
      <c r="E1296" s="42" t="s">
        <v>44</v>
      </c>
      <c r="F1296" s="53" t="s">
        <v>6810</v>
      </c>
      <c r="G1296" s="53" t="s">
        <v>47</v>
      </c>
      <c r="H1296" s="53" t="s">
        <v>48</v>
      </c>
      <c r="I1296" s="53" t="s">
        <v>401</v>
      </c>
      <c r="J1296" s="53" t="s">
        <v>6811</v>
      </c>
      <c r="K1296" s="53" t="s">
        <v>1615</v>
      </c>
      <c r="L1296" s="53" t="s">
        <v>52</v>
      </c>
      <c r="M1296" s="53" t="s">
        <v>52</v>
      </c>
      <c r="N1296" s="62" t="s">
        <v>6850</v>
      </c>
      <c r="O1296" s="62" t="s">
        <v>44</v>
      </c>
      <c r="P1296" s="62" t="s">
        <v>6899</v>
      </c>
      <c r="Q1296" s="62" t="s">
        <v>6900</v>
      </c>
      <c r="R1296" s="53"/>
      <c r="S1296" s="53"/>
      <c r="T1296" s="82"/>
      <c r="U1296" s="42"/>
      <c r="V1296" s="62"/>
      <c r="W1296" s="64"/>
      <c r="X1296" s="223"/>
      <c r="Y1296" s="223"/>
      <c r="Z1296" s="223"/>
      <c r="AA1296" s="223"/>
    </row>
    <row r="1297">
      <c r="A1297" s="42">
        <f t="shared" si="3"/>
        <v>1296</v>
      </c>
      <c r="B1297" s="51" t="s">
        <v>41</v>
      </c>
      <c r="C1297" s="53" t="s">
        <v>6901</v>
      </c>
      <c r="D1297" s="42" t="s">
        <v>44</v>
      </c>
      <c r="E1297" s="42" t="s">
        <v>44</v>
      </c>
      <c r="F1297" s="53" t="s">
        <v>6810</v>
      </c>
      <c r="G1297" s="53" t="s">
        <v>47</v>
      </c>
      <c r="H1297" s="53" t="s">
        <v>48</v>
      </c>
      <c r="I1297" s="53" t="s">
        <v>401</v>
      </c>
      <c r="J1297" s="53" t="s">
        <v>6811</v>
      </c>
      <c r="K1297" s="53" t="s">
        <v>1615</v>
      </c>
      <c r="L1297" s="53" t="s">
        <v>52</v>
      </c>
      <c r="M1297" s="53" t="s">
        <v>52</v>
      </c>
      <c r="N1297" s="62" t="s">
        <v>6850</v>
      </c>
      <c r="O1297" s="62" t="s">
        <v>44</v>
      </c>
      <c r="P1297" s="62" t="s">
        <v>6902</v>
      </c>
      <c r="Q1297" s="62" t="s">
        <v>6903</v>
      </c>
      <c r="R1297" s="53"/>
      <c r="S1297" s="53"/>
      <c r="T1297" s="82"/>
      <c r="U1297" s="42"/>
      <c r="V1297" s="62"/>
      <c r="W1297" s="64"/>
      <c r="X1297" s="223"/>
      <c r="Y1297" s="223"/>
      <c r="Z1297" s="223"/>
      <c r="AA1297" s="223"/>
    </row>
    <row r="1298">
      <c r="A1298" s="42">
        <f t="shared" si="3"/>
        <v>1297</v>
      </c>
      <c r="B1298" s="51" t="s">
        <v>41</v>
      </c>
      <c r="C1298" s="53" t="s">
        <v>6904</v>
      </c>
      <c r="D1298" s="42" t="s">
        <v>44</v>
      </c>
      <c r="E1298" s="42" t="s">
        <v>44</v>
      </c>
      <c r="F1298" s="53" t="s">
        <v>6810</v>
      </c>
      <c r="G1298" s="53" t="s">
        <v>47</v>
      </c>
      <c r="H1298" s="53" t="s">
        <v>48</v>
      </c>
      <c r="I1298" s="53" t="s">
        <v>401</v>
      </c>
      <c r="J1298" s="53" t="s">
        <v>6811</v>
      </c>
      <c r="K1298" s="53" t="s">
        <v>1615</v>
      </c>
      <c r="L1298" s="53" t="s">
        <v>52</v>
      </c>
      <c r="M1298" s="53" t="s">
        <v>52</v>
      </c>
      <c r="N1298" s="62" t="s">
        <v>6850</v>
      </c>
      <c r="O1298" s="62" t="s">
        <v>44</v>
      </c>
      <c r="P1298" s="62" t="s">
        <v>6905</v>
      </c>
      <c r="Q1298" s="62" t="s">
        <v>6906</v>
      </c>
      <c r="R1298" s="53"/>
      <c r="S1298" s="53"/>
      <c r="T1298" s="82"/>
      <c r="U1298" s="42"/>
      <c r="V1298" s="62"/>
      <c r="W1298" s="64"/>
      <c r="X1298" s="223"/>
      <c r="Y1298" s="223"/>
      <c r="Z1298" s="223"/>
      <c r="AA1298" s="223"/>
    </row>
    <row r="1299">
      <c r="A1299" s="42">
        <f t="shared" si="3"/>
        <v>1298</v>
      </c>
      <c r="B1299" s="51" t="s">
        <v>41</v>
      </c>
      <c r="C1299" s="53" t="s">
        <v>6907</v>
      </c>
      <c r="D1299" s="42" t="s">
        <v>44</v>
      </c>
      <c r="E1299" s="42" t="s">
        <v>44</v>
      </c>
      <c r="F1299" s="53" t="s">
        <v>6810</v>
      </c>
      <c r="G1299" s="53" t="s">
        <v>47</v>
      </c>
      <c r="H1299" s="53" t="s">
        <v>48</v>
      </c>
      <c r="I1299" s="53" t="s">
        <v>401</v>
      </c>
      <c r="J1299" s="53" t="s">
        <v>6811</v>
      </c>
      <c r="K1299" s="53" t="s">
        <v>1615</v>
      </c>
      <c r="L1299" s="53" t="s">
        <v>52</v>
      </c>
      <c r="M1299" s="53" t="s">
        <v>52</v>
      </c>
      <c r="N1299" s="62" t="s">
        <v>6850</v>
      </c>
      <c r="O1299" s="62" t="s">
        <v>44</v>
      </c>
      <c r="P1299" s="62" t="s">
        <v>6908</v>
      </c>
      <c r="Q1299" s="62" t="s">
        <v>6909</v>
      </c>
      <c r="R1299" s="53"/>
      <c r="S1299" s="53"/>
      <c r="T1299" s="82"/>
      <c r="U1299" s="42"/>
      <c r="V1299" s="62"/>
      <c r="W1299" s="64"/>
      <c r="X1299" s="223"/>
      <c r="Y1299" s="223"/>
      <c r="Z1299" s="223"/>
      <c r="AA1299" s="223"/>
    </row>
    <row r="1300">
      <c r="A1300" s="42">
        <f t="shared" si="3"/>
        <v>1299</v>
      </c>
      <c r="B1300" s="51" t="s">
        <v>41</v>
      </c>
      <c r="C1300" s="53" t="s">
        <v>6910</v>
      </c>
      <c r="D1300" s="42" t="s">
        <v>44</v>
      </c>
      <c r="E1300" s="42" t="s">
        <v>44</v>
      </c>
      <c r="F1300" s="53" t="s">
        <v>6810</v>
      </c>
      <c r="G1300" s="53" t="s">
        <v>47</v>
      </c>
      <c r="H1300" s="53" t="s">
        <v>48</v>
      </c>
      <c r="I1300" s="53" t="s">
        <v>401</v>
      </c>
      <c r="J1300" s="53" t="s">
        <v>6811</v>
      </c>
      <c r="K1300" s="53" t="s">
        <v>1615</v>
      </c>
      <c r="L1300" s="53" t="s">
        <v>52</v>
      </c>
      <c r="M1300" s="53" t="s">
        <v>52</v>
      </c>
      <c r="N1300" s="62" t="s">
        <v>6850</v>
      </c>
      <c r="O1300" s="62" t="s">
        <v>44</v>
      </c>
      <c r="P1300" s="62" t="s">
        <v>6911</v>
      </c>
      <c r="Q1300" s="62" t="s">
        <v>6912</v>
      </c>
      <c r="R1300" s="53"/>
      <c r="S1300" s="53"/>
      <c r="T1300" s="82"/>
      <c r="U1300" s="42"/>
      <c r="V1300" s="62"/>
      <c r="W1300" s="64"/>
      <c r="X1300" s="223"/>
      <c r="Y1300" s="223"/>
      <c r="Z1300" s="223"/>
      <c r="AA1300" s="223"/>
    </row>
    <row r="1301">
      <c r="A1301" s="42">
        <f t="shared" si="3"/>
        <v>1300</v>
      </c>
      <c r="B1301" s="51" t="s">
        <v>41</v>
      </c>
      <c r="C1301" s="53" t="s">
        <v>6913</v>
      </c>
      <c r="D1301" s="42" t="s">
        <v>44</v>
      </c>
      <c r="E1301" s="42" t="s">
        <v>44</v>
      </c>
      <c r="F1301" s="53" t="s">
        <v>6810</v>
      </c>
      <c r="G1301" s="53" t="s">
        <v>47</v>
      </c>
      <c r="H1301" s="53" t="s">
        <v>48</v>
      </c>
      <c r="I1301" s="53" t="s">
        <v>401</v>
      </c>
      <c r="J1301" s="53" t="s">
        <v>6811</v>
      </c>
      <c r="K1301" s="53" t="s">
        <v>1615</v>
      </c>
      <c r="L1301" s="53" t="s">
        <v>52</v>
      </c>
      <c r="M1301" s="53" t="s">
        <v>52</v>
      </c>
      <c r="N1301" s="62" t="s">
        <v>6850</v>
      </c>
      <c r="O1301" s="62" t="s">
        <v>44</v>
      </c>
      <c r="P1301" s="62" t="s">
        <v>6914</v>
      </c>
      <c r="Q1301" s="62" t="s">
        <v>6915</v>
      </c>
      <c r="R1301" s="53"/>
      <c r="S1301" s="53"/>
      <c r="T1301" s="82"/>
      <c r="U1301" s="42"/>
      <c r="V1301" s="62"/>
      <c r="W1301" s="64"/>
      <c r="X1301" s="223"/>
      <c r="Y1301" s="223"/>
      <c r="Z1301" s="223"/>
      <c r="AA1301" s="223"/>
    </row>
    <row r="1302">
      <c r="A1302" s="42">
        <f t="shared" si="3"/>
        <v>1301</v>
      </c>
      <c r="B1302" s="51" t="s">
        <v>41</v>
      </c>
      <c r="C1302" s="53" t="s">
        <v>6916</v>
      </c>
      <c r="D1302" s="42" t="s">
        <v>44</v>
      </c>
      <c r="E1302" s="42" t="s">
        <v>44</v>
      </c>
      <c r="F1302" s="53" t="s">
        <v>6810</v>
      </c>
      <c r="G1302" s="53" t="s">
        <v>47</v>
      </c>
      <c r="H1302" s="53" t="s">
        <v>48</v>
      </c>
      <c r="I1302" s="53" t="s">
        <v>401</v>
      </c>
      <c r="J1302" s="53" t="s">
        <v>6811</v>
      </c>
      <c r="K1302" s="53" t="s">
        <v>1615</v>
      </c>
      <c r="L1302" s="53" t="s">
        <v>52</v>
      </c>
      <c r="M1302" s="53" t="s">
        <v>52</v>
      </c>
      <c r="N1302" s="62" t="s">
        <v>6850</v>
      </c>
      <c r="O1302" s="62" t="s">
        <v>44</v>
      </c>
      <c r="P1302" s="62" t="s">
        <v>6917</v>
      </c>
      <c r="Q1302" s="62" t="s">
        <v>6918</v>
      </c>
      <c r="R1302" s="53"/>
      <c r="S1302" s="53"/>
      <c r="T1302" s="82"/>
      <c r="U1302" s="42"/>
      <c r="V1302" s="62"/>
      <c r="W1302" s="64"/>
      <c r="X1302" s="223"/>
      <c r="Y1302" s="223"/>
      <c r="Z1302" s="223"/>
      <c r="AA1302" s="223"/>
    </row>
    <row r="1303">
      <c r="A1303" s="42">
        <f t="shared" si="3"/>
        <v>1302</v>
      </c>
      <c r="B1303" s="51" t="s">
        <v>41</v>
      </c>
      <c r="C1303" s="53" t="s">
        <v>6919</v>
      </c>
      <c r="D1303" s="42" t="s">
        <v>44</v>
      </c>
      <c r="E1303" s="42" t="s">
        <v>44</v>
      </c>
      <c r="F1303" s="53" t="s">
        <v>6810</v>
      </c>
      <c r="G1303" s="53" t="s">
        <v>47</v>
      </c>
      <c r="H1303" s="53" t="s">
        <v>48</v>
      </c>
      <c r="I1303" s="53" t="s">
        <v>401</v>
      </c>
      <c r="J1303" s="53" t="s">
        <v>6811</v>
      </c>
      <c r="K1303" s="53" t="s">
        <v>1615</v>
      </c>
      <c r="L1303" s="53" t="s">
        <v>52</v>
      </c>
      <c r="M1303" s="53" t="s">
        <v>52</v>
      </c>
      <c r="N1303" s="62" t="s">
        <v>6850</v>
      </c>
      <c r="O1303" s="62" t="s">
        <v>44</v>
      </c>
      <c r="P1303" s="62" t="s">
        <v>6920</v>
      </c>
      <c r="Q1303" s="62" t="s">
        <v>6921</v>
      </c>
      <c r="R1303" s="53"/>
      <c r="S1303" s="53"/>
      <c r="T1303" s="82"/>
      <c r="U1303" s="42"/>
      <c r="V1303" s="62"/>
      <c r="W1303" s="64"/>
      <c r="X1303" s="223"/>
      <c r="Y1303" s="223"/>
      <c r="Z1303" s="223"/>
      <c r="AA1303" s="223"/>
    </row>
    <row r="1304">
      <c r="A1304" s="42">
        <f t="shared" si="3"/>
        <v>1303</v>
      </c>
      <c r="B1304" s="51" t="s">
        <v>41</v>
      </c>
      <c r="C1304" s="53" t="s">
        <v>6922</v>
      </c>
      <c r="D1304" s="42" t="s">
        <v>44</v>
      </c>
      <c r="E1304" s="42" t="s">
        <v>44</v>
      </c>
      <c r="F1304" s="53" t="s">
        <v>6810</v>
      </c>
      <c r="G1304" s="53" t="s">
        <v>47</v>
      </c>
      <c r="H1304" s="53" t="s">
        <v>48</v>
      </c>
      <c r="I1304" s="53" t="s">
        <v>401</v>
      </c>
      <c r="J1304" s="53" t="s">
        <v>6811</v>
      </c>
      <c r="K1304" s="53" t="s">
        <v>1615</v>
      </c>
      <c r="L1304" s="53" t="s">
        <v>52</v>
      </c>
      <c r="M1304" s="53" t="s">
        <v>52</v>
      </c>
      <c r="N1304" s="62" t="s">
        <v>6850</v>
      </c>
      <c r="O1304" s="62" t="s">
        <v>44</v>
      </c>
      <c r="P1304" s="62" t="s">
        <v>6923</v>
      </c>
      <c r="Q1304" s="62" t="s">
        <v>6924</v>
      </c>
      <c r="R1304" s="53"/>
      <c r="S1304" s="53"/>
      <c r="T1304" s="82"/>
      <c r="U1304" s="42"/>
      <c r="V1304" s="62"/>
      <c r="W1304" s="64"/>
      <c r="X1304" s="223"/>
      <c r="Y1304" s="223"/>
      <c r="Z1304" s="223"/>
      <c r="AA1304" s="223"/>
    </row>
    <row r="1305">
      <c r="A1305" s="42">
        <f t="shared" si="3"/>
        <v>1304</v>
      </c>
      <c r="B1305" s="51" t="s">
        <v>41</v>
      </c>
      <c r="C1305" s="53" t="s">
        <v>6925</v>
      </c>
      <c r="D1305" s="42" t="s">
        <v>44</v>
      </c>
      <c r="E1305" s="42" t="s">
        <v>44</v>
      </c>
      <c r="F1305" s="53" t="s">
        <v>6810</v>
      </c>
      <c r="G1305" s="53" t="s">
        <v>47</v>
      </c>
      <c r="H1305" s="53" t="s">
        <v>48</v>
      </c>
      <c r="I1305" s="53" t="s">
        <v>401</v>
      </c>
      <c r="J1305" s="53" t="s">
        <v>6811</v>
      </c>
      <c r="K1305" s="53" t="s">
        <v>1615</v>
      </c>
      <c r="L1305" s="53" t="s">
        <v>52</v>
      </c>
      <c r="M1305" s="53" t="s">
        <v>52</v>
      </c>
      <c r="N1305" s="62" t="s">
        <v>6850</v>
      </c>
      <c r="O1305" s="62" t="s">
        <v>44</v>
      </c>
      <c r="P1305" s="62" t="s">
        <v>6926</v>
      </c>
      <c r="Q1305" s="62" t="s">
        <v>6927</v>
      </c>
      <c r="R1305" s="53"/>
      <c r="S1305" s="53"/>
      <c r="T1305" s="82"/>
      <c r="U1305" s="42"/>
      <c r="V1305" s="62"/>
      <c r="W1305" s="64"/>
      <c r="X1305" s="223"/>
      <c r="Y1305" s="223"/>
      <c r="Z1305" s="223"/>
      <c r="AA1305" s="223"/>
    </row>
    <row r="1306">
      <c r="A1306" s="42">
        <f t="shared" si="3"/>
        <v>1305</v>
      </c>
      <c r="B1306" s="51" t="s">
        <v>41</v>
      </c>
      <c r="C1306" s="53" t="s">
        <v>6928</v>
      </c>
      <c r="D1306" s="42" t="s">
        <v>44</v>
      </c>
      <c r="E1306" s="42" t="s">
        <v>44</v>
      </c>
      <c r="F1306" s="53" t="s">
        <v>6810</v>
      </c>
      <c r="G1306" s="53" t="s">
        <v>47</v>
      </c>
      <c r="H1306" s="53" t="s">
        <v>48</v>
      </c>
      <c r="I1306" s="53" t="s">
        <v>401</v>
      </c>
      <c r="J1306" s="53" t="s">
        <v>6811</v>
      </c>
      <c r="K1306" s="53" t="s">
        <v>1615</v>
      </c>
      <c r="L1306" s="53" t="s">
        <v>52</v>
      </c>
      <c r="M1306" s="53" t="s">
        <v>52</v>
      </c>
      <c r="N1306" s="62" t="s">
        <v>6850</v>
      </c>
      <c r="O1306" s="62" t="s">
        <v>44</v>
      </c>
      <c r="P1306" s="62" t="s">
        <v>6929</v>
      </c>
      <c r="Q1306" s="62" t="s">
        <v>6930</v>
      </c>
      <c r="R1306" s="53"/>
      <c r="S1306" s="53"/>
      <c r="T1306" s="82"/>
      <c r="U1306" s="42"/>
      <c r="V1306" s="62"/>
      <c r="W1306" s="64"/>
      <c r="X1306" s="223"/>
      <c r="Y1306" s="223"/>
      <c r="Z1306" s="223"/>
      <c r="AA1306" s="223"/>
    </row>
    <row r="1307">
      <c r="A1307" s="42">
        <f t="shared" si="3"/>
        <v>1306</v>
      </c>
      <c r="B1307" s="51" t="s">
        <v>41</v>
      </c>
      <c r="C1307" s="53" t="s">
        <v>6931</v>
      </c>
      <c r="D1307" s="42" t="s">
        <v>44</v>
      </c>
      <c r="E1307" s="42" t="s">
        <v>44</v>
      </c>
      <c r="F1307" s="53" t="s">
        <v>6810</v>
      </c>
      <c r="G1307" s="53" t="s">
        <v>47</v>
      </c>
      <c r="H1307" s="53" t="s">
        <v>48</v>
      </c>
      <c r="I1307" s="53" t="s">
        <v>401</v>
      </c>
      <c r="J1307" s="53" t="s">
        <v>6811</v>
      </c>
      <c r="K1307" s="53" t="s">
        <v>1615</v>
      </c>
      <c r="L1307" s="53" t="s">
        <v>52</v>
      </c>
      <c r="M1307" s="53" t="s">
        <v>52</v>
      </c>
      <c r="N1307" s="62" t="s">
        <v>6850</v>
      </c>
      <c r="O1307" s="62" t="s">
        <v>44</v>
      </c>
      <c r="P1307" s="62" t="s">
        <v>6932</v>
      </c>
      <c r="Q1307" s="62" t="s">
        <v>6933</v>
      </c>
      <c r="R1307" s="53"/>
      <c r="S1307" s="53"/>
      <c r="T1307" s="82"/>
      <c r="U1307" s="42"/>
      <c r="V1307" s="62"/>
      <c r="W1307" s="64"/>
      <c r="X1307" s="223"/>
      <c r="Y1307" s="223"/>
      <c r="Z1307" s="223"/>
      <c r="AA1307" s="223"/>
    </row>
    <row r="1308">
      <c r="A1308" s="42">
        <f t="shared" si="3"/>
        <v>1307</v>
      </c>
      <c r="B1308" s="51" t="s">
        <v>41</v>
      </c>
      <c r="C1308" s="53" t="s">
        <v>6934</v>
      </c>
      <c r="D1308" s="42" t="s">
        <v>44</v>
      </c>
      <c r="E1308" s="42" t="s">
        <v>44</v>
      </c>
      <c r="F1308" s="53" t="s">
        <v>6935</v>
      </c>
      <c r="G1308" s="53" t="s">
        <v>111</v>
      </c>
      <c r="H1308" s="53" t="s">
        <v>112</v>
      </c>
      <c r="I1308" s="53" t="s">
        <v>401</v>
      </c>
      <c r="J1308" s="53" t="s">
        <v>6936</v>
      </c>
      <c r="K1308" s="53" t="s">
        <v>3753</v>
      </c>
      <c r="L1308" s="53" t="s">
        <v>52</v>
      </c>
      <c r="M1308" s="53" t="s">
        <v>52</v>
      </c>
      <c r="N1308" s="62" t="s">
        <v>6937</v>
      </c>
      <c r="O1308" s="62" t="s">
        <v>44</v>
      </c>
      <c r="P1308" s="62" t="s">
        <v>6399</v>
      </c>
      <c r="Q1308" s="62" t="s">
        <v>6938</v>
      </c>
      <c r="R1308" s="53"/>
      <c r="S1308" s="53"/>
      <c r="T1308" s="82"/>
      <c r="U1308" s="42"/>
      <c r="V1308" s="62"/>
      <c r="W1308" s="64"/>
      <c r="X1308" s="223"/>
      <c r="Y1308" s="223"/>
      <c r="Z1308" s="223"/>
      <c r="AA1308" s="223"/>
    </row>
    <row r="1309">
      <c r="A1309" s="42">
        <f t="shared" si="3"/>
        <v>1308</v>
      </c>
      <c r="B1309" s="51" t="s">
        <v>41</v>
      </c>
      <c r="C1309" s="53" t="s">
        <v>6939</v>
      </c>
      <c r="D1309" s="42" t="s">
        <v>44</v>
      </c>
      <c r="E1309" s="42" t="s">
        <v>44</v>
      </c>
      <c r="F1309" s="53" t="s">
        <v>6935</v>
      </c>
      <c r="G1309" s="53" t="s">
        <v>47</v>
      </c>
      <c r="H1309" s="53" t="s">
        <v>48</v>
      </c>
      <c r="I1309" s="53" t="s">
        <v>401</v>
      </c>
      <c r="J1309" s="53" t="s">
        <v>6936</v>
      </c>
      <c r="K1309" s="53" t="s">
        <v>3753</v>
      </c>
      <c r="L1309" s="53" t="s">
        <v>52</v>
      </c>
      <c r="M1309" s="53" t="s">
        <v>52</v>
      </c>
      <c r="N1309" s="62" t="s">
        <v>6940</v>
      </c>
      <c r="O1309" s="62" t="s">
        <v>44</v>
      </c>
      <c r="P1309" s="62" t="s">
        <v>5384</v>
      </c>
      <c r="Q1309" s="62" t="s">
        <v>6941</v>
      </c>
      <c r="R1309" s="53"/>
      <c r="S1309" s="53"/>
      <c r="T1309" s="82"/>
      <c r="U1309" s="42"/>
      <c r="V1309" s="62"/>
      <c r="W1309" s="64"/>
      <c r="X1309" s="223"/>
      <c r="Y1309" s="223"/>
      <c r="Z1309" s="223"/>
      <c r="AA1309" s="223"/>
    </row>
    <row r="1310">
      <c r="A1310" s="42">
        <f t="shared" si="3"/>
        <v>1309</v>
      </c>
      <c r="B1310" s="51" t="s">
        <v>41</v>
      </c>
      <c r="C1310" s="53" t="s">
        <v>6942</v>
      </c>
      <c r="D1310" s="42" t="s">
        <v>44</v>
      </c>
      <c r="E1310" s="42" t="s">
        <v>44</v>
      </c>
      <c r="F1310" s="53" t="s">
        <v>6935</v>
      </c>
      <c r="G1310" s="53" t="s">
        <v>47</v>
      </c>
      <c r="H1310" s="53" t="s">
        <v>48</v>
      </c>
      <c r="I1310" s="53" t="s">
        <v>401</v>
      </c>
      <c r="J1310" s="53" t="s">
        <v>6936</v>
      </c>
      <c r="K1310" s="53" t="s">
        <v>3753</v>
      </c>
      <c r="L1310" s="53" t="s">
        <v>52</v>
      </c>
      <c r="M1310" s="53" t="s">
        <v>52</v>
      </c>
      <c r="N1310" s="62" t="s">
        <v>6940</v>
      </c>
      <c r="O1310" s="62" t="s">
        <v>44</v>
      </c>
      <c r="P1310" s="62" t="s">
        <v>5389</v>
      </c>
      <c r="Q1310" s="62" t="s">
        <v>6943</v>
      </c>
      <c r="R1310" s="53"/>
      <c r="S1310" s="53"/>
      <c r="T1310" s="82"/>
      <c r="U1310" s="42"/>
      <c r="V1310" s="62"/>
      <c r="W1310" s="64"/>
      <c r="X1310" s="223"/>
      <c r="Y1310" s="223"/>
      <c r="Z1310" s="223"/>
      <c r="AA1310" s="223"/>
    </row>
    <row r="1311">
      <c r="A1311" s="42">
        <f t="shared" si="3"/>
        <v>1310</v>
      </c>
      <c r="B1311" s="51" t="s">
        <v>41</v>
      </c>
      <c r="C1311" s="53" t="s">
        <v>6944</v>
      </c>
      <c r="D1311" s="42" t="s">
        <v>44</v>
      </c>
      <c r="E1311" s="42" t="s">
        <v>44</v>
      </c>
      <c r="F1311" s="53" t="s">
        <v>6935</v>
      </c>
      <c r="G1311" s="53" t="s">
        <v>47</v>
      </c>
      <c r="H1311" s="53" t="s">
        <v>48</v>
      </c>
      <c r="I1311" s="53" t="s">
        <v>401</v>
      </c>
      <c r="J1311" s="53" t="s">
        <v>6936</v>
      </c>
      <c r="K1311" s="53" t="s">
        <v>3753</v>
      </c>
      <c r="L1311" s="53" t="s">
        <v>52</v>
      </c>
      <c r="M1311" s="53" t="s">
        <v>52</v>
      </c>
      <c r="N1311" s="62" t="s">
        <v>6940</v>
      </c>
      <c r="O1311" s="62" t="s">
        <v>44</v>
      </c>
      <c r="P1311" s="62" t="s">
        <v>6573</v>
      </c>
      <c r="Q1311" s="62" t="s">
        <v>6574</v>
      </c>
      <c r="R1311" s="53"/>
      <c r="S1311" s="53"/>
      <c r="T1311" s="82"/>
      <c r="U1311" s="42"/>
      <c r="V1311" s="62"/>
      <c r="W1311" s="64"/>
      <c r="X1311" s="223"/>
      <c r="Y1311" s="223"/>
      <c r="Z1311" s="223"/>
      <c r="AA1311" s="223"/>
    </row>
    <row r="1312">
      <c r="A1312" s="42">
        <f t="shared" si="3"/>
        <v>1311</v>
      </c>
      <c r="B1312" s="51" t="s">
        <v>41</v>
      </c>
      <c r="C1312" s="53" t="s">
        <v>6945</v>
      </c>
      <c r="D1312" s="42" t="s">
        <v>44</v>
      </c>
      <c r="E1312" s="42" t="s">
        <v>44</v>
      </c>
      <c r="F1312" s="53" t="s">
        <v>6935</v>
      </c>
      <c r="G1312" s="53" t="s">
        <v>47</v>
      </c>
      <c r="H1312" s="53" t="s">
        <v>48</v>
      </c>
      <c r="I1312" s="53" t="s">
        <v>401</v>
      </c>
      <c r="J1312" s="53" t="s">
        <v>6936</v>
      </c>
      <c r="K1312" s="53" t="s">
        <v>3753</v>
      </c>
      <c r="L1312" s="53" t="s">
        <v>52</v>
      </c>
      <c r="M1312" s="53" t="s">
        <v>52</v>
      </c>
      <c r="N1312" s="62" t="s">
        <v>6940</v>
      </c>
      <c r="O1312" s="62" t="s">
        <v>44</v>
      </c>
      <c r="P1312" s="62" t="s">
        <v>6576</v>
      </c>
      <c r="Q1312" s="62" t="s">
        <v>6946</v>
      </c>
      <c r="R1312" s="53"/>
      <c r="S1312" s="53"/>
      <c r="T1312" s="82"/>
      <c r="U1312" s="53"/>
      <c r="V1312" s="62"/>
      <c r="W1312" s="64"/>
      <c r="X1312" s="223"/>
      <c r="Y1312" s="223"/>
      <c r="Z1312" s="223"/>
      <c r="AA1312" s="223"/>
    </row>
    <row r="1313">
      <c r="A1313" s="42">
        <f t="shared" si="3"/>
        <v>1312</v>
      </c>
      <c r="B1313" s="51" t="s">
        <v>41</v>
      </c>
      <c r="C1313" s="53" t="s">
        <v>6947</v>
      </c>
      <c r="D1313" s="42" t="s">
        <v>44</v>
      </c>
      <c r="E1313" s="42" t="s">
        <v>44</v>
      </c>
      <c r="F1313" s="53" t="s">
        <v>6935</v>
      </c>
      <c r="G1313" s="53" t="s">
        <v>47</v>
      </c>
      <c r="H1313" s="53" t="s">
        <v>48</v>
      </c>
      <c r="I1313" s="53" t="s">
        <v>401</v>
      </c>
      <c r="J1313" s="53" t="s">
        <v>6936</v>
      </c>
      <c r="K1313" s="53" t="s">
        <v>3753</v>
      </c>
      <c r="L1313" s="53" t="s">
        <v>52</v>
      </c>
      <c r="M1313" s="53" t="s">
        <v>52</v>
      </c>
      <c r="N1313" s="62" t="s">
        <v>6940</v>
      </c>
      <c r="O1313" s="62" t="s">
        <v>44</v>
      </c>
      <c r="P1313" s="62" t="s">
        <v>6082</v>
      </c>
      <c r="Q1313" s="62" t="s">
        <v>6083</v>
      </c>
      <c r="R1313" s="53"/>
      <c r="S1313" s="53"/>
      <c r="T1313" s="82"/>
      <c r="U1313" s="42"/>
      <c r="V1313" s="62"/>
      <c r="W1313" s="64"/>
      <c r="X1313" s="223"/>
      <c r="Y1313" s="223"/>
      <c r="Z1313" s="223"/>
      <c r="AA1313" s="223"/>
    </row>
    <row r="1314">
      <c r="A1314" s="42">
        <f t="shared" si="3"/>
        <v>1313</v>
      </c>
      <c r="B1314" s="51" t="s">
        <v>41</v>
      </c>
      <c r="C1314" s="53" t="s">
        <v>6948</v>
      </c>
      <c r="D1314" s="42" t="s">
        <v>44</v>
      </c>
      <c r="E1314" s="42" t="s">
        <v>44</v>
      </c>
      <c r="F1314" s="53" t="s">
        <v>6935</v>
      </c>
      <c r="G1314" s="53" t="s">
        <v>47</v>
      </c>
      <c r="H1314" s="53" t="s">
        <v>48</v>
      </c>
      <c r="I1314" s="53" t="s">
        <v>401</v>
      </c>
      <c r="J1314" s="53" t="s">
        <v>6936</v>
      </c>
      <c r="K1314" s="53" t="s">
        <v>3753</v>
      </c>
      <c r="L1314" s="53" t="s">
        <v>52</v>
      </c>
      <c r="M1314" s="53" t="s">
        <v>52</v>
      </c>
      <c r="N1314" s="62" t="s">
        <v>6940</v>
      </c>
      <c r="O1314" s="62" t="s">
        <v>44</v>
      </c>
      <c r="P1314" s="62" t="s">
        <v>6085</v>
      </c>
      <c r="Q1314" s="62" t="s">
        <v>6241</v>
      </c>
      <c r="R1314" s="53"/>
      <c r="S1314" s="53"/>
      <c r="T1314" s="82"/>
      <c r="U1314" s="42"/>
      <c r="V1314" s="62"/>
      <c r="W1314" s="64"/>
      <c r="X1314" s="223"/>
      <c r="Y1314" s="223"/>
      <c r="Z1314" s="223"/>
      <c r="AA1314" s="223"/>
    </row>
    <row r="1315">
      <c r="A1315" s="42">
        <f t="shared" si="3"/>
        <v>1314</v>
      </c>
      <c r="B1315" s="51" t="s">
        <v>41</v>
      </c>
      <c r="C1315" s="53" t="s">
        <v>6949</v>
      </c>
      <c r="D1315" s="42" t="s">
        <v>44</v>
      </c>
      <c r="E1315" s="42" t="s">
        <v>44</v>
      </c>
      <c r="F1315" s="53" t="s">
        <v>6935</v>
      </c>
      <c r="G1315" s="53" t="s">
        <v>47</v>
      </c>
      <c r="H1315" s="53" t="s">
        <v>48</v>
      </c>
      <c r="I1315" s="53" t="s">
        <v>401</v>
      </c>
      <c r="J1315" s="53" t="s">
        <v>6936</v>
      </c>
      <c r="K1315" s="53" t="s">
        <v>3753</v>
      </c>
      <c r="L1315" s="53" t="s">
        <v>52</v>
      </c>
      <c r="M1315" s="53" t="s">
        <v>52</v>
      </c>
      <c r="N1315" s="62" t="s">
        <v>6950</v>
      </c>
      <c r="O1315" s="62" t="s">
        <v>44</v>
      </c>
      <c r="P1315" s="62" t="s">
        <v>6429</v>
      </c>
      <c r="Q1315" s="62" t="s">
        <v>6430</v>
      </c>
      <c r="R1315" s="53"/>
      <c r="S1315" s="53"/>
      <c r="T1315" s="82"/>
      <c r="U1315" s="42"/>
      <c r="V1315" s="62"/>
      <c r="W1315" s="64"/>
      <c r="X1315" s="223"/>
      <c r="Y1315" s="223"/>
      <c r="Z1315" s="223"/>
      <c r="AA1315" s="223"/>
    </row>
    <row r="1316">
      <c r="A1316" s="42">
        <f t="shared" si="3"/>
        <v>1315</v>
      </c>
      <c r="B1316" s="51" t="s">
        <v>41</v>
      </c>
      <c r="C1316" s="53" t="s">
        <v>6951</v>
      </c>
      <c r="D1316" s="42" t="s">
        <v>44</v>
      </c>
      <c r="E1316" s="42" t="s">
        <v>44</v>
      </c>
      <c r="F1316" s="53" t="s">
        <v>6935</v>
      </c>
      <c r="G1316" s="53" t="s">
        <v>47</v>
      </c>
      <c r="H1316" s="53" t="s">
        <v>48</v>
      </c>
      <c r="I1316" s="53" t="s">
        <v>401</v>
      </c>
      <c r="J1316" s="53" t="s">
        <v>6936</v>
      </c>
      <c r="K1316" s="53" t="s">
        <v>3753</v>
      </c>
      <c r="L1316" s="53" t="s">
        <v>52</v>
      </c>
      <c r="M1316" s="53" t="s">
        <v>52</v>
      </c>
      <c r="N1316" s="62" t="s">
        <v>6940</v>
      </c>
      <c r="O1316" s="62" t="s">
        <v>44</v>
      </c>
      <c r="P1316" s="62" t="s">
        <v>5448</v>
      </c>
      <c r="Q1316" s="62" t="s">
        <v>5763</v>
      </c>
      <c r="R1316" s="53"/>
      <c r="S1316" s="53"/>
      <c r="T1316" s="82"/>
      <c r="U1316" s="42"/>
      <c r="V1316" s="62"/>
      <c r="W1316" s="64"/>
      <c r="X1316" s="223"/>
      <c r="Y1316" s="223"/>
      <c r="Z1316" s="223"/>
      <c r="AA1316" s="223"/>
    </row>
    <row r="1317">
      <c r="A1317" s="42">
        <f t="shared" si="3"/>
        <v>1316</v>
      </c>
      <c r="B1317" s="51" t="s">
        <v>41</v>
      </c>
      <c r="C1317" s="53" t="s">
        <v>6952</v>
      </c>
      <c r="D1317" s="42" t="s">
        <v>44</v>
      </c>
      <c r="E1317" s="42" t="s">
        <v>44</v>
      </c>
      <c r="F1317" s="53" t="s">
        <v>6935</v>
      </c>
      <c r="G1317" s="53" t="s">
        <v>47</v>
      </c>
      <c r="H1317" s="53" t="s">
        <v>48</v>
      </c>
      <c r="I1317" s="53" t="s">
        <v>401</v>
      </c>
      <c r="J1317" s="53" t="s">
        <v>6936</v>
      </c>
      <c r="K1317" s="53" t="s">
        <v>3753</v>
      </c>
      <c r="L1317" s="53" t="s">
        <v>52</v>
      </c>
      <c r="M1317" s="53" t="s">
        <v>52</v>
      </c>
      <c r="N1317" s="62" t="s">
        <v>6940</v>
      </c>
      <c r="O1317" s="62" t="s">
        <v>44</v>
      </c>
      <c r="P1317" s="62" t="s">
        <v>6953</v>
      </c>
      <c r="Q1317" s="62" t="s">
        <v>6954</v>
      </c>
      <c r="R1317" s="53"/>
      <c r="S1317" s="53"/>
      <c r="T1317" s="82"/>
      <c r="U1317" s="42"/>
      <c r="V1317" s="62"/>
      <c r="W1317" s="64"/>
      <c r="X1317" s="223"/>
      <c r="Y1317" s="223"/>
      <c r="Z1317" s="223"/>
      <c r="AA1317" s="223"/>
    </row>
    <row r="1318">
      <c r="A1318" s="42">
        <f t="shared" si="3"/>
        <v>1317</v>
      </c>
      <c r="B1318" s="51" t="s">
        <v>41</v>
      </c>
      <c r="C1318" s="53" t="s">
        <v>6955</v>
      </c>
      <c r="D1318" s="42" t="s">
        <v>44</v>
      </c>
      <c r="E1318" s="42" t="s">
        <v>44</v>
      </c>
      <c r="F1318" s="53" t="s">
        <v>6935</v>
      </c>
      <c r="G1318" s="53" t="s">
        <v>47</v>
      </c>
      <c r="H1318" s="53" t="s">
        <v>48</v>
      </c>
      <c r="I1318" s="53" t="s">
        <v>401</v>
      </c>
      <c r="J1318" s="53" t="s">
        <v>6936</v>
      </c>
      <c r="K1318" s="53" t="s">
        <v>3753</v>
      </c>
      <c r="L1318" s="53" t="s">
        <v>52</v>
      </c>
      <c r="M1318" s="53" t="s">
        <v>52</v>
      </c>
      <c r="N1318" s="62" t="s">
        <v>6940</v>
      </c>
      <c r="O1318" s="62" t="s">
        <v>44</v>
      </c>
      <c r="P1318" s="62" t="s">
        <v>1009</v>
      </c>
      <c r="Q1318" s="62" t="s">
        <v>6956</v>
      </c>
      <c r="R1318" s="53"/>
      <c r="S1318" s="53"/>
      <c r="T1318" s="82"/>
      <c r="U1318" s="42"/>
      <c r="V1318" s="62"/>
      <c r="W1318" s="64"/>
      <c r="X1318" s="223"/>
      <c r="Y1318" s="223"/>
      <c r="Z1318" s="223"/>
      <c r="AA1318" s="223"/>
    </row>
    <row r="1319">
      <c r="A1319" s="42">
        <f t="shared" si="3"/>
        <v>1318</v>
      </c>
      <c r="B1319" s="51" t="s">
        <v>41</v>
      </c>
      <c r="C1319" s="53" t="s">
        <v>6957</v>
      </c>
      <c r="D1319" s="42" t="s">
        <v>44</v>
      </c>
      <c r="E1319" s="42" t="s">
        <v>44</v>
      </c>
      <c r="F1319" s="53" t="s">
        <v>6935</v>
      </c>
      <c r="G1319" s="53" t="s">
        <v>47</v>
      </c>
      <c r="H1319" s="53" t="s">
        <v>48</v>
      </c>
      <c r="I1319" s="53" t="s">
        <v>401</v>
      </c>
      <c r="J1319" s="53" t="s">
        <v>6936</v>
      </c>
      <c r="K1319" s="53" t="s">
        <v>3753</v>
      </c>
      <c r="L1319" s="53" t="s">
        <v>52</v>
      </c>
      <c r="M1319" s="53" t="s">
        <v>52</v>
      </c>
      <c r="N1319" s="62" t="s">
        <v>6940</v>
      </c>
      <c r="O1319" s="62" t="s">
        <v>44</v>
      </c>
      <c r="P1319" s="62" t="s">
        <v>6958</v>
      </c>
      <c r="Q1319" s="62" t="s">
        <v>6959</v>
      </c>
      <c r="R1319" s="53"/>
      <c r="S1319" s="53"/>
      <c r="T1319" s="82"/>
      <c r="U1319" s="42"/>
      <c r="V1319" s="62"/>
      <c r="W1319" s="64"/>
      <c r="X1319" s="223"/>
      <c r="Y1319" s="223"/>
      <c r="Z1319" s="223"/>
      <c r="AA1319" s="223"/>
    </row>
    <row r="1320">
      <c r="A1320" s="42">
        <f t="shared" si="3"/>
        <v>1319</v>
      </c>
      <c r="B1320" s="51" t="s">
        <v>41</v>
      </c>
      <c r="C1320" s="53" t="s">
        <v>6960</v>
      </c>
      <c r="D1320" s="42" t="s">
        <v>44</v>
      </c>
      <c r="E1320" s="42" t="s">
        <v>44</v>
      </c>
      <c r="F1320" s="53" t="s">
        <v>6935</v>
      </c>
      <c r="G1320" s="53" t="s">
        <v>47</v>
      </c>
      <c r="H1320" s="53" t="s">
        <v>48</v>
      </c>
      <c r="I1320" s="53" t="s">
        <v>401</v>
      </c>
      <c r="J1320" s="53" t="s">
        <v>6936</v>
      </c>
      <c r="K1320" s="53" t="s">
        <v>3753</v>
      </c>
      <c r="L1320" s="53" t="s">
        <v>52</v>
      </c>
      <c r="M1320" s="53" t="s">
        <v>52</v>
      </c>
      <c r="N1320" s="62" t="s">
        <v>6940</v>
      </c>
      <c r="O1320" s="62" t="s">
        <v>44</v>
      </c>
      <c r="P1320" s="62" t="s">
        <v>6961</v>
      </c>
      <c r="Q1320" s="62" t="s">
        <v>6962</v>
      </c>
      <c r="R1320" s="53"/>
      <c r="S1320" s="53"/>
      <c r="T1320" s="82"/>
      <c r="U1320" s="42"/>
      <c r="V1320" s="62"/>
      <c r="W1320" s="64"/>
      <c r="X1320" s="223"/>
      <c r="Y1320" s="223"/>
      <c r="Z1320" s="223"/>
      <c r="AA1320" s="223"/>
    </row>
    <row r="1321">
      <c r="A1321" s="42">
        <f t="shared" si="3"/>
        <v>1320</v>
      </c>
      <c r="B1321" s="51" t="s">
        <v>41</v>
      </c>
      <c r="C1321" s="53" t="s">
        <v>6963</v>
      </c>
      <c r="D1321" s="42" t="s">
        <v>44</v>
      </c>
      <c r="E1321" s="42" t="s">
        <v>44</v>
      </c>
      <c r="F1321" s="53" t="s">
        <v>6935</v>
      </c>
      <c r="G1321" s="53" t="s">
        <v>47</v>
      </c>
      <c r="H1321" s="53" t="s">
        <v>48</v>
      </c>
      <c r="I1321" s="53" t="s">
        <v>401</v>
      </c>
      <c r="J1321" s="53" t="s">
        <v>6936</v>
      </c>
      <c r="K1321" s="53" t="s">
        <v>3753</v>
      </c>
      <c r="L1321" s="53" t="s">
        <v>52</v>
      </c>
      <c r="M1321" s="53" t="s">
        <v>52</v>
      </c>
      <c r="N1321" s="62" t="s">
        <v>6940</v>
      </c>
      <c r="O1321" s="62" t="s">
        <v>44</v>
      </c>
      <c r="P1321" s="62" t="s">
        <v>6964</v>
      </c>
      <c r="Q1321" s="62" t="s">
        <v>6848</v>
      </c>
      <c r="R1321" s="53"/>
      <c r="S1321" s="53"/>
      <c r="T1321" s="82"/>
      <c r="U1321" s="42"/>
      <c r="V1321" s="62"/>
      <c r="W1321" s="64"/>
      <c r="X1321" s="223"/>
      <c r="Y1321" s="223"/>
      <c r="Z1321" s="223"/>
      <c r="AA1321" s="223"/>
    </row>
    <row r="1322">
      <c r="A1322" s="42">
        <f t="shared" si="3"/>
        <v>1321</v>
      </c>
      <c r="B1322" s="51" t="s">
        <v>41</v>
      </c>
      <c r="C1322" s="53" t="s">
        <v>6965</v>
      </c>
      <c r="D1322" s="42" t="s">
        <v>44</v>
      </c>
      <c r="E1322" s="42" t="s">
        <v>44</v>
      </c>
      <c r="F1322" s="53" t="s">
        <v>6935</v>
      </c>
      <c r="G1322" s="53" t="s">
        <v>47</v>
      </c>
      <c r="H1322" s="53" t="s">
        <v>48</v>
      </c>
      <c r="I1322" s="53" t="s">
        <v>401</v>
      </c>
      <c r="J1322" s="53" t="s">
        <v>6936</v>
      </c>
      <c r="K1322" s="53" t="s">
        <v>3753</v>
      </c>
      <c r="L1322" s="53" t="s">
        <v>52</v>
      </c>
      <c r="M1322" s="53" t="s">
        <v>52</v>
      </c>
      <c r="N1322" s="62" t="s">
        <v>6940</v>
      </c>
      <c r="O1322" s="62" t="s">
        <v>44</v>
      </c>
      <c r="P1322" s="62" t="s">
        <v>6966</v>
      </c>
      <c r="Q1322" s="62" t="s">
        <v>186</v>
      </c>
      <c r="R1322" s="53"/>
      <c r="S1322" s="53"/>
      <c r="T1322" s="82"/>
      <c r="U1322" s="42"/>
      <c r="V1322" s="62"/>
      <c r="W1322" s="64"/>
      <c r="X1322" s="223"/>
      <c r="Y1322" s="223"/>
      <c r="Z1322" s="223"/>
      <c r="AA1322" s="223"/>
    </row>
    <row r="1323">
      <c r="A1323" s="42">
        <f t="shared" si="3"/>
        <v>1322</v>
      </c>
      <c r="B1323" s="51" t="s">
        <v>41</v>
      </c>
      <c r="C1323" s="53" t="s">
        <v>6967</v>
      </c>
      <c r="D1323" s="42" t="s">
        <v>44</v>
      </c>
      <c r="E1323" s="42" t="s">
        <v>44</v>
      </c>
      <c r="F1323" s="53" t="s">
        <v>6935</v>
      </c>
      <c r="G1323" s="53" t="s">
        <v>47</v>
      </c>
      <c r="H1323" s="53" t="s">
        <v>48</v>
      </c>
      <c r="I1323" s="53" t="s">
        <v>401</v>
      </c>
      <c r="J1323" s="53" t="s">
        <v>6936</v>
      </c>
      <c r="K1323" s="53" t="s">
        <v>3753</v>
      </c>
      <c r="L1323" s="53" t="s">
        <v>52</v>
      </c>
      <c r="M1323" s="53" t="s">
        <v>52</v>
      </c>
      <c r="N1323" s="62" t="s">
        <v>6940</v>
      </c>
      <c r="O1323" s="62" t="s">
        <v>44</v>
      </c>
      <c r="P1323" s="62" t="s">
        <v>6968</v>
      </c>
      <c r="Q1323" s="62" t="s">
        <v>6969</v>
      </c>
      <c r="R1323" s="53"/>
      <c r="S1323" s="53"/>
      <c r="T1323" s="82"/>
      <c r="U1323" s="42"/>
      <c r="V1323" s="62"/>
      <c r="W1323" s="64"/>
      <c r="X1323" s="223"/>
      <c r="Y1323" s="223"/>
      <c r="Z1323" s="223"/>
      <c r="AA1323" s="223"/>
    </row>
    <row r="1324">
      <c r="A1324" s="42">
        <f t="shared" si="3"/>
        <v>1323</v>
      </c>
      <c r="B1324" s="51" t="s">
        <v>41</v>
      </c>
      <c r="C1324" s="53" t="s">
        <v>6970</v>
      </c>
      <c r="D1324" s="42" t="s">
        <v>44</v>
      </c>
      <c r="E1324" s="42" t="s">
        <v>44</v>
      </c>
      <c r="F1324" s="53" t="s">
        <v>6971</v>
      </c>
      <c r="G1324" s="53" t="s">
        <v>111</v>
      </c>
      <c r="H1324" s="53" t="s">
        <v>112</v>
      </c>
      <c r="I1324" s="53" t="s">
        <v>401</v>
      </c>
      <c r="J1324" s="53" t="s">
        <v>6972</v>
      </c>
      <c r="K1324" s="53" t="s">
        <v>51</v>
      </c>
      <c r="L1324" s="53" t="s">
        <v>52</v>
      </c>
      <c r="M1324" s="53" t="s">
        <v>52</v>
      </c>
      <c r="N1324" s="62" t="s">
        <v>6973</v>
      </c>
      <c r="O1324" s="62" t="s">
        <v>44</v>
      </c>
      <c r="P1324" s="62" t="s">
        <v>6399</v>
      </c>
      <c r="Q1324" s="62" t="s">
        <v>6974</v>
      </c>
      <c r="R1324" s="53"/>
      <c r="S1324" s="53"/>
      <c r="T1324" s="82"/>
      <c r="U1324" s="42"/>
      <c r="V1324" s="62"/>
      <c r="W1324" s="64"/>
      <c r="X1324" s="223"/>
      <c r="Y1324" s="223"/>
      <c r="Z1324" s="223"/>
      <c r="AA1324" s="223"/>
    </row>
    <row r="1325">
      <c r="A1325" s="42">
        <f t="shared" si="3"/>
        <v>1324</v>
      </c>
      <c r="B1325" s="51" t="s">
        <v>41</v>
      </c>
      <c r="C1325" s="53" t="s">
        <v>6975</v>
      </c>
      <c r="D1325" s="42" t="s">
        <v>44</v>
      </c>
      <c r="E1325" s="42" t="s">
        <v>44</v>
      </c>
      <c r="F1325" s="53" t="s">
        <v>6971</v>
      </c>
      <c r="G1325" s="53" t="s">
        <v>47</v>
      </c>
      <c r="H1325" s="53" t="s">
        <v>48</v>
      </c>
      <c r="I1325" s="53" t="s">
        <v>401</v>
      </c>
      <c r="J1325" s="53" t="s">
        <v>6972</v>
      </c>
      <c r="K1325" s="53" t="s">
        <v>51</v>
      </c>
      <c r="L1325" s="53" t="s">
        <v>52</v>
      </c>
      <c r="M1325" s="53" t="s">
        <v>52</v>
      </c>
      <c r="N1325" s="62" t="s">
        <v>6976</v>
      </c>
      <c r="O1325" s="62" t="s">
        <v>44</v>
      </c>
      <c r="P1325" s="62" t="s">
        <v>5384</v>
      </c>
      <c r="Q1325" s="62" t="s">
        <v>6977</v>
      </c>
      <c r="R1325" s="53"/>
      <c r="S1325" s="53"/>
      <c r="T1325" s="82"/>
      <c r="U1325" s="42"/>
      <c r="V1325" s="62"/>
      <c r="W1325" s="64"/>
      <c r="X1325" s="223"/>
      <c r="Y1325" s="223"/>
      <c r="Z1325" s="223"/>
      <c r="AA1325" s="223"/>
    </row>
    <row r="1326">
      <c r="A1326" s="42">
        <f t="shared" si="3"/>
        <v>1325</v>
      </c>
      <c r="B1326" s="51" t="s">
        <v>41</v>
      </c>
      <c r="C1326" s="53" t="s">
        <v>6978</v>
      </c>
      <c r="D1326" s="42" t="s">
        <v>44</v>
      </c>
      <c r="E1326" s="42" t="s">
        <v>44</v>
      </c>
      <c r="F1326" s="53" t="s">
        <v>6971</v>
      </c>
      <c r="G1326" s="53" t="s">
        <v>47</v>
      </c>
      <c r="H1326" s="53" t="s">
        <v>48</v>
      </c>
      <c r="I1326" s="53" t="s">
        <v>401</v>
      </c>
      <c r="J1326" s="53" t="s">
        <v>6972</v>
      </c>
      <c r="K1326" s="53" t="s">
        <v>51</v>
      </c>
      <c r="L1326" s="53" t="s">
        <v>52</v>
      </c>
      <c r="M1326" s="53" t="s">
        <v>52</v>
      </c>
      <c r="N1326" s="62" t="s">
        <v>6976</v>
      </c>
      <c r="O1326" s="62" t="s">
        <v>44</v>
      </c>
      <c r="P1326" s="62" t="s">
        <v>5389</v>
      </c>
      <c r="Q1326" s="62" t="s">
        <v>6979</v>
      </c>
      <c r="R1326" s="53"/>
      <c r="S1326" s="53"/>
      <c r="T1326" s="82"/>
      <c r="U1326" s="42"/>
      <c r="V1326" s="62"/>
      <c r="W1326" s="64"/>
      <c r="X1326" s="223"/>
      <c r="Y1326" s="223"/>
      <c r="Z1326" s="223"/>
      <c r="AA1326" s="223"/>
    </row>
    <row r="1327">
      <c r="A1327" s="42">
        <f t="shared" si="3"/>
        <v>1326</v>
      </c>
      <c r="B1327" s="51" t="s">
        <v>41</v>
      </c>
      <c r="C1327" s="53" t="s">
        <v>6980</v>
      </c>
      <c r="D1327" s="42" t="s">
        <v>44</v>
      </c>
      <c r="E1327" s="42" t="s">
        <v>44</v>
      </c>
      <c r="F1327" s="53" t="s">
        <v>6971</v>
      </c>
      <c r="G1327" s="53" t="s">
        <v>47</v>
      </c>
      <c r="H1327" s="53" t="s">
        <v>48</v>
      </c>
      <c r="I1327" s="53" t="s">
        <v>401</v>
      </c>
      <c r="J1327" s="53" t="s">
        <v>6972</v>
      </c>
      <c r="K1327" s="53" t="s">
        <v>51</v>
      </c>
      <c r="L1327" s="53" t="s">
        <v>52</v>
      </c>
      <c r="M1327" s="53" t="s">
        <v>52</v>
      </c>
      <c r="N1327" s="62" t="s">
        <v>6976</v>
      </c>
      <c r="O1327" s="62" t="s">
        <v>44</v>
      </c>
      <c r="P1327" s="62" t="s">
        <v>6573</v>
      </c>
      <c r="Q1327" s="62" t="s">
        <v>6574</v>
      </c>
      <c r="R1327" s="53"/>
      <c r="S1327" s="53"/>
      <c r="T1327" s="82"/>
      <c r="U1327" s="42"/>
      <c r="V1327" s="62"/>
      <c r="W1327" s="64"/>
      <c r="X1327" s="223"/>
      <c r="Y1327" s="223"/>
      <c r="Z1327" s="223"/>
      <c r="AA1327" s="223"/>
    </row>
    <row r="1328">
      <c r="A1328" s="42">
        <f t="shared" si="3"/>
        <v>1327</v>
      </c>
      <c r="B1328" s="51" t="s">
        <v>41</v>
      </c>
      <c r="C1328" s="53" t="s">
        <v>6981</v>
      </c>
      <c r="D1328" s="42" t="s">
        <v>44</v>
      </c>
      <c r="E1328" s="42" t="s">
        <v>44</v>
      </c>
      <c r="F1328" s="53" t="s">
        <v>6971</v>
      </c>
      <c r="G1328" s="53" t="s">
        <v>47</v>
      </c>
      <c r="H1328" s="53" t="s">
        <v>48</v>
      </c>
      <c r="I1328" s="53" t="s">
        <v>401</v>
      </c>
      <c r="J1328" s="53" t="s">
        <v>6972</v>
      </c>
      <c r="K1328" s="53" t="s">
        <v>51</v>
      </c>
      <c r="L1328" s="53" t="s">
        <v>52</v>
      </c>
      <c r="M1328" s="53" t="s">
        <v>52</v>
      </c>
      <c r="N1328" s="62" t="s">
        <v>6976</v>
      </c>
      <c r="O1328" s="62" t="s">
        <v>44</v>
      </c>
      <c r="P1328" s="62" t="s">
        <v>6982</v>
      </c>
      <c r="Q1328" s="62" t="s">
        <v>6983</v>
      </c>
      <c r="R1328" s="53"/>
      <c r="S1328" s="53"/>
      <c r="T1328" s="82"/>
      <c r="U1328" s="42"/>
      <c r="V1328" s="62"/>
      <c r="W1328" s="64"/>
      <c r="X1328" s="223"/>
      <c r="Y1328" s="223"/>
      <c r="Z1328" s="223"/>
      <c r="AA1328" s="223"/>
    </row>
    <row r="1329">
      <c r="A1329" s="42">
        <f t="shared" si="3"/>
        <v>1328</v>
      </c>
      <c r="B1329" s="51" t="s">
        <v>41</v>
      </c>
      <c r="C1329" s="53" t="s">
        <v>6984</v>
      </c>
      <c r="D1329" s="42" t="s">
        <v>44</v>
      </c>
      <c r="E1329" s="42" t="s">
        <v>44</v>
      </c>
      <c r="F1329" s="53" t="s">
        <v>6971</v>
      </c>
      <c r="G1329" s="53" t="s">
        <v>47</v>
      </c>
      <c r="H1329" s="53" t="s">
        <v>48</v>
      </c>
      <c r="I1329" s="53" t="s">
        <v>401</v>
      </c>
      <c r="J1329" s="53" t="s">
        <v>6972</v>
      </c>
      <c r="K1329" s="53" t="s">
        <v>51</v>
      </c>
      <c r="L1329" s="53" t="s">
        <v>52</v>
      </c>
      <c r="M1329" s="53" t="s">
        <v>52</v>
      </c>
      <c r="N1329" s="62" t="s">
        <v>6976</v>
      </c>
      <c r="O1329" s="62" t="s">
        <v>44</v>
      </c>
      <c r="P1329" s="62" t="s">
        <v>6082</v>
      </c>
      <c r="Q1329" s="62" t="s">
        <v>6083</v>
      </c>
      <c r="R1329" s="53"/>
      <c r="S1329" s="53"/>
      <c r="T1329" s="82"/>
      <c r="U1329" s="42"/>
      <c r="V1329" s="62"/>
      <c r="W1329" s="64"/>
      <c r="X1329" s="223"/>
      <c r="Y1329" s="223"/>
      <c r="Z1329" s="223"/>
      <c r="AA1329" s="223"/>
    </row>
    <row r="1330">
      <c r="A1330" s="42">
        <f t="shared" si="3"/>
        <v>1329</v>
      </c>
      <c r="B1330" s="51" t="s">
        <v>41</v>
      </c>
      <c r="C1330" s="53" t="s">
        <v>6985</v>
      </c>
      <c r="D1330" s="42" t="s">
        <v>44</v>
      </c>
      <c r="E1330" s="42" t="s">
        <v>44</v>
      </c>
      <c r="F1330" s="53" t="s">
        <v>6971</v>
      </c>
      <c r="G1330" s="53" t="s">
        <v>47</v>
      </c>
      <c r="H1330" s="53" t="s">
        <v>48</v>
      </c>
      <c r="I1330" s="53" t="s">
        <v>401</v>
      </c>
      <c r="J1330" s="53" t="s">
        <v>6972</v>
      </c>
      <c r="K1330" s="53" t="s">
        <v>51</v>
      </c>
      <c r="L1330" s="53" t="s">
        <v>52</v>
      </c>
      <c r="M1330" s="53" t="s">
        <v>52</v>
      </c>
      <c r="N1330" s="62" t="s">
        <v>6976</v>
      </c>
      <c r="O1330" s="62" t="s">
        <v>44</v>
      </c>
      <c r="P1330" s="62" t="s">
        <v>6085</v>
      </c>
      <c r="Q1330" s="62" t="s">
        <v>6241</v>
      </c>
      <c r="R1330" s="53"/>
      <c r="S1330" s="53"/>
      <c r="T1330" s="82"/>
      <c r="U1330" s="42"/>
      <c r="V1330" s="62"/>
      <c r="W1330" s="64"/>
      <c r="X1330" s="223"/>
      <c r="Y1330" s="223"/>
      <c r="Z1330" s="223"/>
      <c r="AA1330" s="223"/>
    </row>
    <row r="1331">
      <c r="A1331" s="42">
        <f t="shared" si="3"/>
        <v>1330</v>
      </c>
      <c r="B1331" s="51" t="s">
        <v>41</v>
      </c>
      <c r="C1331" s="53" t="s">
        <v>6986</v>
      </c>
      <c r="D1331" s="42" t="s">
        <v>44</v>
      </c>
      <c r="E1331" s="42" t="s">
        <v>44</v>
      </c>
      <c r="F1331" s="53" t="s">
        <v>6971</v>
      </c>
      <c r="G1331" s="53" t="s">
        <v>47</v>
      </c>
      <c r="H1331" s="53" t="s">
        <v>48</v>
      </c>
      <c r="I1331" s="53" t="s">
        <v>401</v>
      </c>
      <c r="J1331" s="53" t="s">
        <v>6972</v>
      </c>
      <c r="K1331" s="53" t="s">
        <v>51</v>
      </c>
      <c r="L1331" s="53" t="s">
        <v>52</v>
      </c>
      <c r="M1331" s="53" t="s">
        <v>52</v>
      </c>
      <c r="N1331" s="62" t="s">
        <v>6987</v>
      </c>
      <c r="O1331" s="62" t="s">
        <v>44</v>
      </c>
      <c r="P1331" s="62" t="s">
        <v>6429</v>
      </c>
      <c r="Q1331" s="62" t="s">
        <v>6430</v>
      </c>
      <c r="R1331" s="53"/>
      <c r="S1331" s="53"/>
      <c r="T1331" s="82"/>
      <c r="U1331" s="42"/>
      <c r="V1331" s="62"/>
      <c r="W1331" s="64"/>
      <c r="X1331" s="223"/>
      <c r="Y1331" s="223"/>
      <c r="Z1331" s="223"/>
      <c r="AA1331" s="223"/>
    </row>
    <row r="1332">
      <c r="A1332" s="42">
        <f t="shared" si="3"/>
        <v>1331</v>
      </c>
      <c r="B1332" s="51" t="s">
        <v>41</v>
      </c>
      <c r="C1332" s="53" t="s">
        <v>6988</v>
      </c>
      <c r="D1332" s="42" t="s">
        <v>44</v>
      </c>
      <c r="E1332" s="42" t="s">
        <v>44</v>
      </c>
      <c r="F1332" s="53" t="s">
        <v>6971</v>
      </c>
      <c r="G1332" s="53" t="s">
        <v>47</v>
      </c>
      <c r="H1332" s="53" t="s">
        <v>48</v>
      </c>
      <c r="I1332" s="53" t="s">
        <v>401</v>
      </c>
      <c r="J1332" s="53" t="s">
        <v>6972</v>
      </c>
      <c r="K1332" s="53" t="s">
        <v>51</v>
      </c>
      <c r="L1332" s="53" t="s">
        <v>52</v>
      </c>
      <c r="M1332" s="53" t="s">
        <v>52</v>
      </c>
      <c r="N1332" s="62" t="s">
        <v>6976</v>
      </c>
      <c r="O1332" s="62" t="s">
        <v>44</v>
      </c>
      <c r="P1332" s="62" t="s">
        <v>5448</v>
      </c>
      <c r="Q1332" s="62" t="s">
        <v>5449</v>
      </c>
      <c r="R1332" s="53"/>
      <c r="S1332" s="53"/>
      <c r="T1332" s="82"/>
      <c r="U1332" s="42"/>
      <c r="V1332" s="62"/>
      <c r="W1332" s="64"/>
      <c r="X1332" s="223"/>
      <c r="Y1332" s="223"/>
      <c r="Z1332" s="223"/>
      <c r="AA1332" s="223"/>
    </row>
    <row r="1333">
      <c r="A1333" s="42">
        <f t="shared" si="3"/>
        <v>1332</v>
      </c>
      <c r="B1333" s="51" t="s">
        <v>41</v>
      </c>
      <c r="C1333" s="53" t="s">
        <v>6989</v>
      </c>
      <c r="D1333" s="42" t="s">
        <v>44</v>
      </c>
      <c r="E1333" s="42" t="s">
        <v>44</v>
      </c>
      <c r="F1333" s="53" t="s">
        <v>6971</v>
      </c>
      <c r="G1333" s="53" t="s">
        <v>47</v>
      </c>
      <c r="H1333" s="53" t="s">
        <v>48</v>
      </c>
      <c r="I1333" s="53" t="s">
        <v>401</v>
      </c>
      <c r="J1333" s="53" t="s">
        <v>6972</v>
      </c>
      <c r="K1333" s="53" t="s">
        <v>51</v>
      </c>
      <c r="L1333" s="53" t="s">
        <v>52</v>
      </c>
      <c r="M1333" s="53" t="s">
        <v>52</v>
      </c>
      <c r="N1333" s="62" t="s">
        <v>6976</v>
      </c>
      <c r="O1333" s="62" t="s">
        <v>44</v>
      </c>
      <c r="P1333" s="62" t="s">
        <v>6953</v>
      </c>
      <c r="Q1333" s="62" t="s">
        <v>6954</v>
      </c>
      <c r="R1333" s="53"/>
      <c r="S1333" s="53"/>
      <c r="T1333" s="82"/>
      <c r="U1333" s="42"/>
      <c r="V1333" s="62"/>
      <c r="W1333" s="64"/>
      <c r="X1333" s="223"/>
      <c r="Y1333" s="223"/>
      <c r="Z1333" s="223"/>
      <c r="AA1333" s="223"/>
    </row>
    <row r="1334">
      <c r="A1334" s="42">
        <f t="shared" si="3"/>
        <v>1333</v>
      </c>
      <c r="B1334" s="51" t="s">
        <v>41</v>
      </c>
      <c r="C1334" s="53" t="s">
        <v>6990</v>
      </c>
      <c r="D1334" s="42" t="s">
        <v>44</v>
      </c>
      <c r="E1334" s="42" t="s">
        <v>44</v>
      </c>
      <c r="F1334" s="53" t="s">
        <v>6971</v>
      </c>
      <c r="G1334" s="53" t="s">
        <v>47</v>
      </c>
      <c r="H1334" s="53" t="s">
        <v>48</v>
      </c>
      <c r="I1334" s="53" t="s">
        <v>401</v>
      </c>
      <c r="J1334" s="53" t="s">
        <v>6972</v>
      </c>
      <c r="K1334" s="53" t="s">
        <v>51</v>
      </c>
      <c r="L1334" s="53" t="s">
        <v>52</v>
      </c>
      <c r="M1334" s="53" t="s">
        <v>52</v>
      </c>
      <c r="N1334" s="62" t="s">
        <v>6976</v>
      </c>
      <c r="O1334" s="62" t="s">
        <v>44</v>
      </c>
      <c r="P1334" s="62" t="s">
        <v>1009</v>
      </c>
      <c r="Q1334" s="62" t="s">
        <v>6956</v>
      </c>
      <c r="R1334" s="53"/>
      <c r="S1334" s="53"/>
      <c r="T1334" s="82"/>
      <c r="U1334" s="42"/>
      <c r="V1334" s="62"/>
      <c r="W1334" s="64"/>
      <c r="X1334" s="223"/>
      <c r="Y1334" s="223"/>
      <c r="Z1334" s="223"/>
      <c r="AA1334" s="223"/>
    </row>
    <row r="1335">
      <c r="A1335" s="42">
        <f t="shared" si="3"/>
        <v>1334</v>
      </c>
      <c r="B1335" s="51" t="s">
        <v>41</v>
      </c>
      <c r="C1335" s="53" t="s">
        <v>6991</v>
      </c>
      <c r="D1335" s="42" t="s">
        <v>44</v>
      </c>
      <c r="E1335" s="42" t="s">
        <v>44</v>
      </c>
      <c r="F1335" s="53" t="s">
        <v>6971</v>
      </c>
      <c r="G1335" s="53" t="s">
        <v>47</v>
      </c>
      <c r="H1335" s="53" t="s">
        <v>48</v>
      </c>
      <c r="I1335" s="53" t="s">
        <v>401</v>
      </c>
      <c r="J1335" s="53" t="s">
        <v>6972</v>
      </c>
      <c r="K1335" s="53" t="s">
        <v>51</v>
      </c>
      <c r="L1335" s="53" t="s">
        <v>52</v>
      </c>
      <c r="M1335" s="53" t="s">
        <v>52</v>
      </c>
      <c r="N1335" s="62" t="s">
        <v>6976</v>
      </c>
      <c r="O1335" s="62" t="s">
        <v>44</v>
      </c>
      <c r="P1335" s="62" t="s">
        <v>6992</v>
      </c>
      <c r="Q1335" s="62" t="s">
        <v>6993</v>
      </c>
      <c r="R1335" s="53"/>
      <c r="S1335" s="53"/>
      <c r="T1335" s="82"/>
      <c r="U1335" s="42"/>
      <c r="V1335" s="62"/>
      <c r="W1335" s="64"/>
      <c r="X1335" s="223"/>
      <c r="Y1335" s="223"/>
      <c r="Z1335" s="223"/>
      <c r="AA1335" s="223"/>
    </row>
    <row r="1336">
      <c r="A1336" s="42">
        <f t="shared" si="3"/>
        <v>1335</v>
      </c>
      <c r="B1336" s="51" t="s">
        <v>41</v>
      </c>
      <c r="C1336" s="53" t="s">
        <v>6994</v>
      </c>
      <c r="D1336" s="42" t="s">
        <v>44</v>
      </c>
      <c r="E1336" s="42" t="s">
        <v>44</v>
      </c>
      <c r="F1336" s="53" t="s">
        <v>6971</v>
      </c>
      <c r="G1336" s="53" t="s">
        <v>47</v>
      </c>
      <c r="H1336" s="53" t="s">
        <v>48</v>
      </c>
      <c r="I1336" s="53" t="s">
        <v>401</v>
      </c>
      <c r="J1336" s="53" t="s">
        <v>6972</v>
      </c>
      <c r="K1336" s="53" t="s">
        <v>51</v>
      </c>
      <c r="L1336" s="53" t="s">
        <v>52</v>
      </c>
      <c r="M1336" s="53" t="s">
        <v>52</v>
      </c>
      <c r="N1336" s="62" t="s">
        <v>6976</v>
      </c>
      <c r="O1336" s="62" t="s">
        <v>44</v>
      </c>
      <c r="P1336" s="62" t="s">
        <v>6995</v>
      </c>
      <c r="Q1336" s="62" t="s">
        <v>6996</v>
      </c>
      <c r="R1336" s="53"/>
      <c r="S1336" s="53"/>
      <c r="T1336" s="82"/>
      <c r="U1336" s="42"/>
      <c r="V1336" s="62"/>
      <c r="W1336" s="64"/>
      <c r="X1336" s="223"/>
      <c r="Y1336" s="223"/>
      <c r="Z1336" s="223"/>
      <c r="AA1336" s="223"/>
    </row>
    <row r="1337">
      <c r="A1337" s="42">
        <f t="shared" si="3"/>
        <v>1336</v>
      </c>
      <c r="B1337" s="51" t="s">
        <v>41</v>
      </c>
      <c r="C1337" s="53" t="s">
        <v>6997</v>
      </c>
      <c r="D1337" s="42" t="s">
        <v>44</v>
      </c>
      <c r="E1337" s="42" t="s">
        <v>44</v>
      </c>
      <c r="F1337" s="53" t="s">
        <v>6971</v>
      </c>
      <c r="G1337" s="53" t="s">
        <v>47</v>
      </c>
      <c r="H1337" s="53" t="s">
        <v>48</v>
      </c>
      <c r="I1337" s="53" t="s">
        <v>401</v>
      </c>
      <c r="J1337" s="53" t="s">
        <v>6972</v>
      </c>
      <c r="K1337" s="53" t="s">
        <v>51</v>
      </c>
      <c r="L1337" s="53" t="s">
        <v>52</v>
      </c>
      <c r="M1337" s="53" t="s">
        <v>52</v>
      </c>
      <c r="N1337" s="62" t="s">
        <v>6976</v>
      </c>
      <c r="O1337" s="62" t="s">
        <v>44</v>
      </c>
      <c r="P1337" s="62" t="s">
        <v>6998</v>
      </c>
      <c r="Q1337" s="62" t="s">
        <v>6999</v>
      </c>
      <c r="R1337" s="53"/>
      <c r="S1337" s="53"/>
      <c r="T1337" s="82"/>
      <c r="U1337" s="42"/>
      <c r="V1337" s="62"/>
      <c r="W1337" s="64"/>
      <c r="X1337" s="223"/>
      <c r="Y1337" s="223"/>
      <c r="Z1337" s="223"/>
      <c r="AA1337" s="223"/>
    </row>
    <row r="1338">
      <c r="A1338" s="42">
        <f t="shared" si="3"/>
        <v>1337</v>
      </c>
      <c r="B1338" s="51" t="s">
        <v>41</v>
      </c>
      <c r="C1338" s="53" t="s">
        <v>7000</v>
      </c>
      <c r="D1338" s="42" t="s">
        <v>44</v>
      </c>
      <c r="E1338" s="42" t="s">
        <v>44</v>
      </c>
      <c r="F1338" s="53" t="s">
        <v>6971</v>
      </c>
      <c r="G1338" s="53" t="s">
        <v>47</v>
      </c>
      <c r="H1338" s="53" t="s">
        <v>48</v>
      </c>
      <c r="I1338" s="53" t="s">
        <v>401</v>
      </c>
      <c r="J1338" s="53" t="s">
        <v>6972</v>
      </c>
      <c r="K1338" s="53" t="s">
        <v>51</v>
      </c>
      <c r="L1338" s="53" t="s">
        <v>52</v>
      </c>
      <c r="M1338" s="53" t="s">
        <v>52</v>
      </c>
      <c r="N1338" s="62" t="s">
        <v>6976</v>
      </c>
      <c r="O1338" s="62" t="s">
        <v>44</v>
      </c>
      <c r="P1338" s="62" t="s">
        <v>7001</v>
      </c>
      <c r="Q1338" s="62" t="s">
        <v>7002</v>
      </c>
      <c r="R1338" s="53"/>
      <c r="S1338" s="53"/>
      <c r="T1338" s="82"/>
      <c r="U1338" s="42"/>
      <c r="V1338" s="62"/>
      <c r="W1338" s="64"/>
      <c r="X1338" s="223"/>
      <c r="Y1338" s="223"/>
      <c r="Z1338" s="223"/>
      <c r="AA1338" s="223"/>
    </row>
    <row r="1339">
      <c r="A1339" s="42">
        <f t="shared" si="3"/>
        <v>1338</v>
      </c>
      <c r="B1339" s="51" t="s">
        <v>41</v>
      </c>
      <c r="C1339" s="53" t="s">
        <v>7003</v>
      </c>
      <c r="D1339" s="42" t="s">
        <v>44</v>
      </c>
      <c r="E1339" s="42" t="s">
        <v>44</v>
      </c>
      <c r="F1339" s="53" t="s">
        <v>6971</v>
      </c>
      <c r="G1339" s="53" t="s">
        <v>111</v>
      </c>
      <c r="H1339" s="53" t="s">
        <v>91</v>
      </c>
      <c r="I1339" s="53" t="s">
        <v>401</v>
      </c>
      <c r="J1339" s="53" t="s">
        <v>6972</v>
      </c>
      <c r="K1339" s="53" t="s">
        <v>51</v>
      </c>
      <c r="L1339" s="53" t="s">
        <v>52</v>
      </c>
      <c r="M1339" s="53" t="s">
        <v>52</v>
      </c>
      <c r="N1339" s="62" t="s">
        <v>7004</v>
      </c>
      <c r="O1339" s="62" t="s">
        <v>44</v>
      </c>
      <c r="P1339" s="62" t="s">
        <v>7005</v>
      </c>
      <c r="Q1339" s="62" t="s">
        <v>6529</v>
      </c>
      <c r="R1339" s="53"/>
      <c r="S1339" s="53"/>
      <c r="T1339" s="82"/>
      <c r="U1339" s="42"/>
      <c r="V1339" s="62"/>
      <c r="W1339" s="64"/>
      <c r="X1339" s="223"/>
      <c r="Y1339" s="223"/>
      <c r="Z1339" s="223"/>
      <c r="AA1339" s="223"/>
    </row>
    <row r="1340">
      <c r="A1340" s="42">
        <f t="shared" si="3"/>
        <v>1339</v>
      </c>
      <c r="B1340" s="51" t="s">
        <v>41</v>
      </c>
      <c r="C1340" s="53" t="s">
        <v>7006</v>
      </c>
      <c r="D1340" s="42" t="s">
        <v>44</v>
      </c>
      <c r="E1340" s="42" t="s">
        <v>44</v>
      </c>
      <c r="F1340" s="53" t="s">
        <v>6971</v>
      </c>
      <c r="G1340" s="53" t="s">
        <v>47</v>
      </c>
      <c r="H1340" s="53" t="s">
        <v>48</v>
      </c>
      <c r="I1340" s="53" t="s">
        <v>401</v>
      </c>
      <c r="J1340" s="53" t="s">
        <v>6972</v>
      </c>
      <c r="K1340" s="53" t="s">
        <v>51</v>
      </c>
      <c r="L1340" s="53" t="s">
        <v>52</v>
      </c>
      <c r="M1340" s="53" t="s">
        <v>52</v>
      </c>
      <c r="N1340" s="62" t="s">
        <v>6976</v>
      </c>
      <c r="O1340" s="62" t="s">
        <v>44</v>
      </c>
      <c r="P1340" s="62" t="s">
        <v>7007</v>
      </c>
      <c r="Q1340" s="62" t="s">
        <v>7008</v>
      </c>
      <c r="R1340" s="53"/>
      <c r="S1340" s="53"/>
      <c r="T1340" s="82"/>
      <c r="U1340" s="42"/>
      <c r="V1340" s="62"/>
      <c r="W1340" s="64"/>
      <c r="X1340" s="223"/>
      <c r="Y1340" s="223"/>
      <c r="Z1340" s="223"/>
      <c r="AA1340" s="223"/>
    </row>
    <row r="1341">
      <c r="A1341" s="42">
        <f t="shared" si="3"/>
        <v>1340</v>
      </c>
      <c r="B1341" s="51" t="s">
        <v>41</v>
      </c>
      <c r="C1341" s="53" t="s">
        <v>7009</v>
      </c>
      <c r="D1341" s="42" t="s">
        <v>44</v>
      </c>
      <c r="E1341" s="42" t="s">
        <v>44</v>
      </c>
      <c r="F1341" s="53" t="s">
        <v>6971</v>
      </c>
      <c r="G1341" s="53" t="s">
        <v>111</v>
      </c>
      <c r="H1341" s="53" t="s">
        <v>91</v>
      </c>
      <c r="I1341" s="53" t="s">
        <v>401</v>
      </c>
      <c r="J1341" s="53" t="s">
        <v>6972</v>
      </c>
      <c r="K1341" s="53" t="s">
        <v>51</v>
      </c>
      <c r="L1341" s="53" t="s">
        <v>52</v>
      </c>
      <c r="M1341" s="53" t="s">
        <v>52</v>
      </c>
      <c r="N1341" s="62" t="s">
        <v>7010</v>
      </c>
      <c r="O1341" s="62" t="s">
        <v>44</v>
      </c>
      <c r="P1341" s="62" t="s">
        <v>7011</v>
      </c>
      <c r="Q1341" s="62" t="s">
        <v>1407</v>
      </c>
      <c r="R1341" s="53"/>
      <c r="S1341" s="53"/>
      <c r="T1341" s="82"/>
      <c r="U1341" s="42"/>
      <c r="V1341" s="62"/>
      <c r="W1341" s="64"/>
      <c r="X1341" s="223"/>
      <c r="Y1341" s="223"/>
      <c r="Z1341" s="223"/>
      <c r="AA1341" s="223"/>
    </row>
    <row r="1342">
      <c r="A1342" s="42">
        <f t="shared" si="3"/>
        <v>1341</v>
      </c>
      <c r="B1342" s="51" t="s">
        <v>41</v>
      </c>
      <c r="C1342" s="53" t="s">
        <v>7012</v>
      </c>
      <c r="D1342" s="42" t="s">
        <v>44</v>
      </c>
      <c r="E1342" s="42" t="s">
        <v>44</v>
      </c>
      <c r="F1342" s="53" t="s">
        <v>6971</v>
      </c>
      <c r="G1342" s="53" t="s">
        <v>47</v>
      </c>
      <c r="H1342" s="53" t="s">
        <v>95</v>
      </c>
      <c r="I1342" s="53" t="s">
        <v>401</v>
      </c>
      <c r="J1342" s="53" t="s">
        <v>6972</v>
      </c>
      <c r="K1342" s="53" t="s">
        <v>51</v>
      </c>
      <c r="L1342" s="53" t="s">
        <v>52</v>
      </c>
      <c r="M1342" s="53" t="s">
        <v>52</v>
      </c>
      <c r="N1342" s="62" t="s">
        <v>7013</v>
      </c>
      <c r="O1342" s="62" t="s">
        <v>44</v>
      </c>
      <c r="P1342" s="62" t="s">
        <v>7011</v>
      </c>
      <c r="Q1342" s="62" t="s">
        <v>7014</v>
      </c>
      <c r="R1342" s="53"/>
      <c r="S1342" s="53"/>
      <c r="T1342" s="82"/>
      <c r="U1342" s="42"/>
      <c r="V1342" s="62"/>
      <c r="W1342" s="64"/>
      <c r="X1342" s="223"/>
      <c r="Y1342" s="223"/>
      <c r="Z1342" s="223"/>
      <c r="AA1342" s="223"/>
    </row>
    <row r="1343">
      <c r="A1343" s="42">
        <f t="shared" si="3"/>
        <v>1342</v>
      </c>
      <c r="B1343" s="51" t="s">
        <v>41</v>
      </c>
      <c r="C1343" s="53" t="s">
        <v>7015</v>
      </c>
      <c r="D1343" s="42" t="s">
        <v>44</v>
      </c>
      <c r="E1343" s="42" t="s">
        <v>44</v>
      </c>
      <c r="F1343" s="53" t="s">
        <v>6971</v>
      </c>
      <c r="G1343" s="53" t="s">
        <v>47</v>
      </c>
      <c r="H1343" s="53" t="s">
        <v>48</v>
      </c>
      <c r="I1343" s="53" t="s">
        <v>401</v>
      </c>
      <c r="J1343" s="53" t="s">
        <v>6972</v>
      </c>
      <c r="K1343" s="53" t="s">
        <v>51</v>
      </c>
      <c r="L1343" s="53" t="s">
        <v>52</v>
      </c>
      <c r="M1343" s="53" t="s">
        <v>52</v>
      </c>
      <c r="N1343" s="62" t="s">
        <v>6976</v>
      </c>
      <c r="O1343" s="62" t="s">
        <v>44</v>
      </c>
      <c r="P1343" s="62" t="s">
        <v>7016</v>
      </c>
      <c r="Q1343" s="62" t="s">
        <v>7017</v>
      </c>
      <c r="R1343" s="53"/>
      <c r="S1343" s="53"/>
      <c r="T1343" s="82"/>
      <c r="U1343" s="42"/>
      <c r="V1343" s="62"/>
      <c r="W1343" s="64"/>
      <c r="X1343" s="223"/>
      <c r="Y1343" s="223"/>
      <c r="Z1343" s="223"/>
      <c r="AA1343" s="223"/>
    </row>
    <row r="1344">
      <c r="A1344" s="42">
        <f t="shared" si="3"/>
        <v>1343</v>
      </c>
      <c r="B1344" s="51" t="s">
        <v>41</v>
      </c>
      <c r="C1344" s="53" t="s">
        <v>7018</v>
      </c>
      <c r="D1344" s="42" t="s">
        <v>44</v>
      </c>
      <c r="E1344" s="42" t="s">
        <v>44</v>
      </c>
      <c r="F1344" s="53" t="s">
        <v>6971</v>
      </c>
      <c r="G1344" s="53" t="s">
        <v>47</v>
      </c>
      <c r="H1344" s="53" t="s">
        <v>48</v>
      </c>
      <c r="I1344" s="53" t="s">
        <v>401</v>
      </c>
      <c r="J1344" s="53" t="s">
        <v>6972</v>
      </c>
      <c r="K1344" s="53" t="s">
        <v>51</v>
      </c>
      <c r="L1344" s="53" t="s">
        <v>52</v>
      </c>
      <c r="M1344" s="53" t="s">
        <v>52</v>
      </c>
      <c r="N1344" s="62" t="s">
        <v>6976</v>
      </c>
      <c r="O1344" s="62" t="s">
        <v>44</v>
      </c>
      <c r="P1344" s="62" t="s">
        <v>6265</v>
      </c>
      <c r="Q1344" s="62" t="s">
        <v>7019</v>
      </c>
      <c r="R1344" s="53"/>
      <c r="S1344" s="53"/>
      <c r="T1344" s="82"/>
      <c r="U1344" s="42"/>
      <c r="V1344" s="62"/>
      <c r="W1344" s="64"/>
      <c r="X1344" s="223"/>
      <c r="Y1344" s="223"/>
      <c r="Z1344" s="223"/>
      <c r="AA1344" s="223"/>
    </row>
    <row r="1345">
      <c r="A1345" s="42">
        <f t="shared" si="3"/>
        <v>1344</v>
      </c>
      <c r="B1345" s="51" t="s">
        <v>41</v>
      </c>
      <c r="C1345" s="53" t="s">
        <v>7020</v>
      </c>
      <c r="D1345" s="42" t="s">
        <v>44</v>
      </c>
      <c r="E1345" s="42" t="s">
        <v>44</v>
      </c>
      <c r="F1345" s="53" t="s">
        <v>6971</v>
      </c>
      <c r="G1345" s="53" t="s">
        <v>47</v>
      </c>
      <c r="H1345" s="53" t="s">
        <v>48</v>
      </c>
      <c r="I1345" s="53" t="s">
        <v>401</v>
      </c>
      <c r="J1345" s="53" t="s">
        <v>6972</v>
      </c>
      <c r="K1345" s="53" t="s">
        <v>51</v>
      </c>
      <c r="L1345" s="53" t="s">
        <v>52</v>
      </c>
      <c r="M1345" s="53" t="s">
        <v>52</v>
      </c>
      <c r="N1345" s="62" t="s">
        <v>6976</v>
      </c>
      <c r="O1345" s="62" t="s">
        <v>44</v>
      </c>
      <c r="P1345" s="62" t="s">
        <v>6269</v>
      </c>
      <c r="Q1345" s="62" t="s">
        <v>7021</v>
      </c>
      <c r="R1345" s="53"/>
      <c r="S1345" s="53"/>
      <c r="T1345" s="82"/>
      <c r="U1345" s="42"/>
      <c r="V1345" s="62"/>
      <c r="W1345" s="64"/>
      <c r="X1345" s="223"/>
      <c r="Y1345" s="223"/>
      <c r="Z1345" s="223"/>
      <c r="AA1345" s="223"/>
    </row>
    <row r="1346">
      <c r="A1346" s="42">
        <f t="shared" si="3"/>
        <v>1345</v>
      </c>
      <c r="B1346" s="51" t="s">
        <v>41</v>
      </c>
      <c r="C1346" s="53" t="s">
        <v>7022</v>
      </c>
      <c r="D1346" s="42" t="s">
        <v>44</v>
      </c>
      <c r="E1346" s="42" t="s">
        <v>44</v>
      </c>
      <c r="F1346" s="53" t="s">
        <v>6971</v>
      </c>
      <c r="G1346" s="53" t="s">
        <v>47</v>
      </c>
      <c r="H1346" s="53" t="s">
        <v>48</v>
      </c>
      <c r="I1346" s="53" t="s">
        <v>401</v>
      </c>
      <c r="J1346" s="53" t="s">
        <v>6972</v>
      </c>
      <c r="K1346" s="53" t="s">
        <v>51</v>
      </c>
      <c r="L1346" s="53" t="s">
        <v>52</v>
      </c>
      <c r="M1346" s="53" t="s">
        <v>52</v>
      </c>
      <c r="N1346" s="62" t="s">
        <v>6976</v>
      </c>
      <c r="O1346" s="62" t="s">
        <v>44</v>
      </c>
      <c r="P1346" s="62" t="s">
        <v>6272</v>
      </c>
      <c r="Q1346" s="62" t="s">
        <v>7023</v>
      </c>
      <c r="R1346" s="53"/>
      <c r="S1346" s="53"/>
      <c r="T1346" s="82"/>
      <c r="U1346" s="42"/>
      <c r="V1346" s="62"/>
      <c r="W1346" s="64"/>
      <c r="X1346" s="223"/>
      <c r="Y1346" s="223"/>
      <c r="Z1346" s="223"/>
      <c r="AA1346" s="223"/>
    </row>
    <row r="1347">
      <c r="A1347" s="42">
        <f t="shared" si="3"/>
        <v>1346</v>
      </c>
      <c r="B1347" s="51" t="s">
        <v>41</v>
      </c>
      <c r="C1347" s="53" t="s">
        <v>7024</v>
      </c>
      <c r="D1347" s="42" t="s">
        <v>44</v>
      </c>
      <c r="E1347" s="42" t="s">
        <v>44</v>
      </c>
      <c r="F1347" s="53" t="s">
        <v>6971</v>
      </c>
      <c r="G1347" s="53" t="s">
        <v>47</v>
      </c>
      <c r="H1347" s="53" t="s">
        <v>48</v>
      </c>
      <c r="I1347" s="53" t="s">
        <v>401</v>
      </c>
      <c r="J1347" s="53" t="s">
        <v>6972</v>
      </c>
      <c r="K1347" s="53" t="s">
        <v>51</v>
      </c>
      <c r="L1347" s="53" t="s">
        <v>52</v>
      </c>
      <c r="M1347" s="53" t="s">
        <v>52</v>
      </c>
      <c r="N1347" s="62" t="s">
        <v>6976</v>
      </c>
      <c r="O1347" s="62" t="s">
        <v>44</v>
      </c>
      <c r="P1347" s="62" t="s">
        <v>6275</v>
      </c>
      <c r="Q1347" s="62" t="s">
        <v>7025</v>
      </c>
      <c r="R1347" s="53"/>
      <c r="S1347" s="53"/>
      <c r="T1347" s="82"/>
      <c r="U1347" s="42"/>
      <c r="V1347" s="62"/>
      <c r="W1347" s="64"/>
      <c r="X1347" s="223"/>
      <c r="Y1347" s="223"/>
      <c r="Z1347" s="223"/>
      <c r="AA1347" s="223"/>
    </row>
    <row r="1348">
      <c r="A1348" s="42">
        <f t="shared" si="3"/>
        <v>1347</v>
      </c>
      <c r="B1348" s="51" t="s">
        <v>41</v>
      </c>
      <c r="C1348" s="53" t="s">
        <v>7026</v>
      </c>
      <c r="D1348" s="42" t="s">
        <v>44</v>
      </c>
      <c r="E1348" s="42" t="s">
        <v>44</v>
      </c>
      <c r="F1348" s="53" t="s">
        <v>6971</v>
      </c>
      <c r="G1348" s="53" t="s">
        <v>47</v>
      </c>
      <c r="H1348" s="53" t="s">
        <v>48</v>
      </c>
      <c r="I1348" s="53" t="s">
        <v>401</v>
      </c>
      <c r="J1348" s="53" t="s">
        <v>6972</v>
      </c>
      <c r="K1348" s="53" t="s">
        <v>51</v>
      </c>
      <c r="L1348" s="53" t="s">
        <v>52</v>
      </c>
      <c r="M1348" s="53" t="s">
        <v>52</v>
      </c>
      <c r="N1348" s="62" t="s">
        <v>6976</v>
      </c>
      <c r="O1348" s="62" t="s">
        <v>44</v>
      </c>
      <c r="P1348" s="62" t="s">
        <v>6278</v>
      </c>
      <c r="Q1348" s="62" t="s">
        <v>7027</v>
      </c>
      <c r="R1348" s="53"/>
      <c r="S1348" s="53"/>
      <c r="T1348" s="82"/>
      <c r="U1348" s="42"/>
      <c r="V1348" s="62"/>
      <c r="W1348" s="64"/>
      <c r="X1348" s="223"/>
      <c r="Y1348" s="223"/>
      <c r="Z1348" s="223"/>
      <c r="AA1348" s="223"/>
    </row>
    <row r="1349">
      <c r="A1349" s="42">
        <f t="shared" si="3"/>
        <v>1348</v>
      </c>
      <c r="B1349" s="51" t="s">
        <v>41</v>
      </c>
      <c r="C1349" s="53" t="s">
        <v>7028</v>
      </c>
      <c r="D1349" s="42" t="s">
        <v>44</v>
      </c>
      <c r="E1349" s="42" t="s">
        <v>44</v>
      </c>
      <c r="F1349" s="53" t="s">
        <v>6971</v>
      </c>
      <c r="G1349" s="53" t="s">
        <v>47</v>
      </c>
      <c r="H1349" s="53" t="s">
        <v>48</v>
      </c>
      <c r="I1349" s="53" t="s">
        <v>401</v>
      </c>
      <c r="J1349" s="53" t="s">
        <v>6972</v>
      </c>
      <c r="K1349" s="53" t="s">
        <v>51</v>
      </c>
      <c r="L1349" s="53" t="s">
        <v>52</v>
      </c>
      <c r="M1349" s="53" t="s">
        <v>52</v>
      </c>
      <c r="N1349" s="62" t="s">
        <v>6976</v>
      </c>
      <c r="O1349" s="62" t="s">
        <v>44</v>
      </c>
      <c r="P1349" s="62" t="s">
        <v>7029</v>
      </c>
      <c r="Q1349" s="62" t="s">
        <v>7030</v>
      </c>
      <c r="R1349" s="53"/>
      <c r="S1349" s="53"/>
      <c r="T1349" s="82"/>
      <c r="U1349" s="42"/>
      <c r="V1349" s="62"/>
      <c r="W1349" s="64"/>
      <c r="X1349" s="223"/>
      <c r="Y1349" s="223"/>
      <c r="Z1349" s="223"/>
      <c r="AA1349" s="223"/>
    </row>
    <row r="1350">
      <c r="A1350" s="42">
        <f t="shared" si="3"/>
        <v>1349</v>
      </c>
      <c r="B1350" s="51" t="s">
        <v>41</v>
      </c>
      <c r="C1350" s="53" t="s">
        <v>7031</v>
      </c>
      <c r="D1350" s="42" t="s">
        <v>44</v>
      </c>
      <c r="E1350" s="42" t="s">
        <v>44</v>
      </c>
      <c r="F1350" s="53" t="s">
        <v>6971</v>
      </c>
      <c r="G1350" s="53" t="s">
        <v>47</v>
      </c>
      <c r="H1350" s="53" t="s">
        <v>48</v>
      </c>
      <c r="I1350" s="53" t="s">
        <v>401</v>
      </c>
      <c r="J1350" s="53" t="s">
        <v>6972</v>
      </c>
      <c r="K1350" s="53" t="s">
        <v>51</v>
      </c>
      <c r="L1350" s="53" t="s">
        <v>52</v>
      </c>
      <c r="M1350" s="53" t="s">
        <v>52</v>
      </c>
      <c r="N1350" s="62" t="s">
        <v>6976</v>
      </c>
      <c r="O1350" s="62" t="s">
        <v>44</v>
      </c>
      <c r="P1350" s="62" t="s">
        <v>7032</v>
      </c>
      <c r="Q1350" s="62" t="s">
        <v>7033</v>
      </c>
      <c r="R1350" s="53"/>
      <c r="S1350" s="53"/>
      <c r="T1350" s="53"/>
      <c r="U1350" s="53"/>
      <c r="V1350" s="62"/>
      <c r="W1350" s="64"/>
      <c r="X1350" s="223"/>
      <c r="Y1350" s="223"/>
      <c r="Z1350" s="223"/>
      <c r="AA1350" s="223"/>
    </row>
    <row r="1351">
      <c r="A1351" s="42">
        <f t="shared" si="3"/>
        <v>1350</v>
      </c>
      <c r="B1351" s="51" t="s">
        <v>41</v>
      </c>
      <c r="C1351" s="53" t="s">
        <v>7034</v>
      </c>
      <c r="D1351" s="42" t="s">
        <v>44</v>
      </c>
      <c r="E1351" s="42" t="s">
        <v>44</v>
      </c>
      <c r="F1351" s="53" t="s">
        <v>6971</v>
      </c>
      <c r="G1351" s="53" t="s">
        <v>47</v>
      </c>
      <c r="H1351" s="53" t="s">
        <v>48</v>
      </c>
      <c r="I1351" s="53" t="s">
        <v>401</v>
      </c>
      <c r="J1351" s="53" t="s">
        <v>6972</v>
      </c>
      <c r="K1351" s="53" t="s">
        <v>51</v>
      </c>
      <c r="L1351" s="53" t="s">
        <v>52</v>
      </c>
      <c r="M1351" s="53" t="s">
        <v>52</v>
      </c>
      <c r="N1351" s="62" t="s">
        <v>6976</v>
      </c>
      <c r="O1351" s="62" t="s">
        <v>44</v>
      </c>
      <c r="P1351" s="62" t="s">
        <v>6292</v>
      </c>
      <c r="Q1351" s="62" t="s">
        <v>7035</v>
      </c>
      <c r="R1351" s="53"/>
      <c r="S1351" s="53"/>
      <c r="T1351" s="82"/>
      <c r="U1351" s="42"/>
      <c r="V1351" s="62"/>
      <c r="W1351" s="64"/>
      <c r="X1351" s="223"/>
      <c r="Y1351" s="223"/>
      <c r="Z1351" s="223"/>
      <c r="AA1351" s="223"/>
    </row>
    <row r="1352">
      <c r="A1352" s="42">
        <f t="shared" si="3"/>
        <v>1351</v>
      </c>
      <c r="B1352" s="51" t="s">
        <v>41</v>
      </c>
      <c r="C1352" s="53" t="s">
        <v>7036</v>
      </c>
      <c r="D1352" s="42" t="s">
        <v>44</v>
      </c>
      <c r="E1352" s="42" t="s">
        <v>44</v>
      </c>
      <c r="F1352" s="53" t="s">
        <v>6971</v>
      </c>
      <c r="G1352" s="53" t="s">
        <v>47</v>
      </c>
      <c r="H1352" s="53" t="s">
        <v>48</v>
      </c>
      <c r="I1352" s="53" t="s">
        <v>401</v>
      </c>
      <c r="J1352" s="53" t="s">
        <v>6972</v>
      </c>
      <c r="K1352" s="53" t="s">
        <v>51</v>
      </c>
      <c r="L1352" s="53" t="s">
        <v>52</v>
      </c>
      <c r="M1352" s="53" t="s">
        <v>52</v>
      </c>
      <c r="N1352" s="62" t="s">
        <v>6976</v>
      </c>
      <c r="O1352" s="62" t="s">
        <v>44</v>
      </c>
      <c r="P1352" s="62" t="s">
        <v>7037</v>
      </c>
      <c r="Q1352" s="62" t="s">
        <v>7038</v>
      </c>
      <c r="R1352" s="53"/>
      <c r="S1352" s="53"/>
      <c r="T1352" s="82"/>
      <c r="U1352" s="42"/>
      <c r="V1352" s="62"/>
      <c r="W1352" s="64"/>
      <c r="X1352" s="223"/>
      <c r="Y1352" s="223"/>
      <c r="Z1352" s="223"/>
      <c r="AA1352" s="223"/>
    </row>
    <row r="1353">
      <c r="A1353" s="42">
        <f t="shared" si="3"/>
        <v>1352</v>
      </c>
      <c r="B1353" s="51" t="s">
        <v>41</v>
      </c>
      <c r="C1353" s="53" t="s">
        <v>7039</v>
      </c>
      <c r="D1353" s="42" t="s">
        <v>44</v>
      </c>
      <c r="E1353" s="42" t="s">
        <v>44</v>
      </c>
      <c r="F1353" s="53" t="s">
        <v>6971</v>
      </c>
      <c r="G1353" s="53" t="s">
        <v>47</v>
      </c>
      <c r="H1353" s="53" t="s">
        <v>48</v>
      </c>
      <c r="I1353" s="53" t="s">
        <v>401</v>
      </c>
      <c r="J1353" s="53" t="s">
        <v>6972</v>
      </c>
      <c r="K1353" s="53" t="s">
        <v>51</v>
      </c>
      <c r="L1353" s="53" t="s">
        <v>52</v>
      </c>
      <c r="M1353" s="53" t="s">
        <v>52</v>
      </c>
      <c r="N1353" s="62" t="s">
        <v>6976</v>
      </c>
      <c r="O1353" s="62" t="s">
        <v>44</v>
      </c>
      <c r="P1353" s="62" t="s">
        <v>7040</v>
      </c>
      <c r="Q1353" s="62" t="s">
        <v>7041</v>
      </c>
      <c r="R1353" s="53"/>
      <c r="S1353" s="53"/>
      <c r="T1353" s="82"/>
      <c r="U1353" s="42"/>
      <c r="V1353" s="62"/>
      <c r="W1353" s="64"/>
      <c r="X1353" s="223"/>
      <c r="Y1353" s="223"/>
      <c r="Z1353" s="223"/>
      <c r="AA1353" s="223"/>
    </row>
    <row r="1354">
      <c r="A1354" s="42">
        <f t="shared" si="3"/>
        <v>1353</v>
      </c>
      <c r="B1354" s="51" t="s">
        <v>41</v>
      </c>
      <c r="C1354" s="53" t="s">
        <v>7042</v>
      </c>
      <c r="D1354" s="42" t="s">
        <v>44</v>
      </c>
      <c r="E1354" s="42" t="s">
        <v>44</v>
      </c>
      <c r="F1354" s="53" t="s">
        <v>6971</v>
      </c>
      <c r="G1354" s="53" t="s">
        <v>47</v>
      </c>
      <c r="H1354" s="53" t="s">
        <v>48</v>
      </c>
      <c r="I1354" s="53" t="s">
        <v>401</v>
      </c>
      <c r="J1354" s="53" t="s">
        <v>6972</v>
      </c>
      <c r="K1354" s="53" t="s">
        <v>51</v>
      </c>
      <c r="L1354" s="53" t="s">
        <v>52</v>
      </c>
      <c r="M1354" s="53" t="s">
        <v>52</v>
      </c>
      <c r="N1354" s="62" t="s">
        <v>6976</v>
      </c>
      <c r="O1354" s="62" t="s">
        <v>44</v>
      </c>
      <c r="P1354" s="62" t="s">
        <v>7043</v>
      </c>
      <c r="Q1354" s="62" t="s">
        <v>7044</v>
      </c>
      <c r="R1354" s="53"/>
      <c r="S1354" s="53"/>
      <c r="T1354" s="82"/>
      <c r="U1354" s="42"/>
      <c r="V1354" s="62"/>
      <c r="W1354" s="64"/>
      <c r="X1354" s="223"/>
      <c r="Y1354" s="223"/>
      <c r="Z1354" s="223"/>
      <c r="AA1354" s="223"/>
    </row>
    <row r="1355">
      <c r="A1355" s="42">
        <f t="shared" si="3"/>
        <v>1354</v>
      </c>
      <c r="B1355" s="51" t="s">
        <v>41</v>
      </c>
      <c r="C1355" s="53" t="s">
        <v>7045</v>
      </c>
      <c r="D1355" s="42" t="s">
        <v>44</v>
      </c>
      <c r="E1355" s="42" t="s">
        <v>44</v>
      </c>
      <c r="F1355" s="53" t="s">
        <v>6971</v>
      </c>
      <c r="G1355" s="53" t="s">
        <v>47</v>
      </c>
      <c r="H1355" s="53" t="s">
        <v>48</v>
      </c>
      <c r="I1355" s="53" t="s">
        <v>401</v>
      </c>
      <c r="J1355" s="53" t="s">
        <v>6972</v>
      </c>
      <c r="K1355" s="53" t="s">
        <v>51</v>
      </c>
      <c r="L1355" s="53" t="s">
        <v>52</v>
      </c>
      <c r="M1355" s="53" t="s">
        <v>52</v>
      </c>
      <c r="N1355" s="62" t="s">
        <v>7046</v>
      </c>
      <c r="O1355" s="62" t="s">
        <v>44</v>
      </c>
      <c r="P1355" s="62" t="s">
        <v>4071</v>
      </c>
      <c r="Q1355" s="62" t="s">
        <v>7047</v>
      </c>
      <c r="R1355" s="53"/>
      <c r="S1355" s="53"/>
      <c r="T1355" s="82"/>
      <c r="U1355" s="42"/>
      <c r="V1355" s="62"/>
      <c r="W1355" s="64"/>
      <c r="X1355" s="223"/>
      <c r="Y1355" s="223"/>
      <c r="Z1355" s="223"/>
      <c r="AA1355" s="223"/>
    </row>
    <row r="1356">
      <c r="A1356" s="42">
        <f t="shared" si="3"/>
        <v>1355</v>
      </c>
      <c r="B1356" s="51" t="s">
        <v>41</v>
      </c>
      <c r="C1356" s="53" t="s">
        <v>7048</v>
      </c>
      <c r="D1356" s="42" t="s">
        <v>44</v>
      </c>
      <c r="E1356" s="42" t="s">
        <v>44</v>
      </c>
      <c r="F1356" s="53" t="s">
        <v>6971</v>
      </c>
      <c r="G1356" s="53" t="s">
        <v>47</v>
      </c>
      <c r="H1356" s="53" t="s">
        <v>91</v>
      </c>
      <c r="I1356" s="53" t="s">
        <v>401</v>
      </c>
      <c r="J1356" s="53" t="s">
        <v>6972</v>
      </c>
      <c r="K1356" s="53" t="s">
        <v>51</v>
      </c>
      <c r="L1356" s="53" t="s">
        <v>52</v>
      </c>
      <c r="M1356" s="53" t="s">
        <v>52</v>
      </c>
      <c r="N1356" s="62" t="s">
        <v>7049</v>
      </c>
      <c r="O1356" s="62" t="s">
        <v>44</v>
      </c>
      <c r="P1356" s="62" t="s">
        <v>7050</v>
      </c>
      <c r="Q1356" s="62" t="s">
        <v>7051</v>
      </c>
      <c r="R1356" s="53"/>
      <c r="S1356" s="53"/>
      <c r="T1356" s="82"/>
      <c r="U1356" s="42"/>
      <c r="V1356" s="62"/>
      <c r="W1356" s="64"/>
      <c r="X1356" s="223"/>
      <c r="Y1356" s="223"/>
      <c r="Z1356" s="223"/>
      <c r="AA1356" s="223"/>
    </row>
    <row r="1357">
      <c r="A1357" s="42">
        <f t="shared" si="3"/>
        <v>1356</v>
      </c>
      <c r="B1357" s="51" t="s">
        <v>41</v>
      </c>
      <c r="C1357" s="53" t="s">
        <v>7052</v>
      </c>
      <c r="D1357" s="42" t="s">
        <v>44</v>
      </c>
      <c r="E1357" s="42" t="s">
        <v>44</v>
      </c>
      <c r="F1357" s="53" t="s">
        <v>6971</v>
      </c>
      <c r="G1357" s="53" t="s">
        <v>47</v>
      </c>
      <c r="H1357" s="53" t="s">
        <v>48</v>
      </c>
      <c r="I1357" s="53" t="s">
        <v>401</v>
      </c>
      <c r="J1357" s="53" t="s">
        <v>6972</v>
      </c>
      <c r="K1357" s="53" t="s">
        <v>51</v>
      </c>
      <c r="L1357" s="53" t="s">
        <v>52</v>
      </c>
      <c r="M1357" s="53" t="s">
        <v>52</v>
      </c>
      <c r="N1357" s="62" t="s">
        <v>6976</v>
      </c>
      <c r="O1357" s="62" t="s">
        <v>44</v>
      </c>
      <c r="P1357" s="62" t="s">
        <v>7053</v>
      </c>
      <c r="Q1357" s="62" t="s">
        <v>7054</v>
      </c>
      <c r="R1357" s="53"/>
      <c r="S1357" s="53"/>
      <c r="T1357" s="82"/>
      <c r="U1357" s="42"/>
      <c r="V1357" s="62"/>
      <c r="W1357" s="64"/>
      <c r="X1357" s="223"/>
      <c r="Y1357" s="223"/>
      <c r="Z1357" s="223"/>
      <c r="AA1357" s="223"/>
    </row>
    <row r="1358">
      <c r="A1358" s="42">
        <f t="shared" si="3"/>
        <v>1357</v>
      </c>
      <c r="B1358" s="51" t="s">
        <v>41</v>
      </c>
      <c r="C1358" s="53" t="s">
        <v>7055</v>
      </c>
      <c r="D1358" s="42" t="s">
        <v>44</v>
      </c>
      <c r="E1358" s="42" t="s">
        <v>44</v>
      </c>
      <c r="F1358" s="53" t="s">
        <v>6971</v>
      </c>
      <c r="G1358" s="53" t="s">
        <v>47</v>
      </c>
      <c r="H1358" s="53" t="s">
        <v>48</v>
      </c>
      <c r="I1358" s="53" t="s">
        <v>401</v>
      </c>
      <c r="J1358" s="53" t="s">
        <v>6972</v>
      </c>
      <c r="K1358" s="53" t="s">
        <v>51</v>
      </c>
      <c r="L1358" s="53" t="s">
        <v>52</v>
      </c>
      <c r="M1358" s="53" t="s">
        <v>52</v>
      </c>
      <c r="N1358" s="62" t="s">
        <v>6976</v>
      </c>
      <c r="O1358" s="62" t="s">
        <v>44</v>
      </c>
      <c r="P1358" s="62" t="s">
        <v>7056</v>
      </c>
      <c r="Q1358" s="62" t="s">
        <v>7057</v>
      </c>
      <c r="R1358" s="53"/>
      <c r="S1358" s="53"/>
      <c r="T1358" s="82"/>
      <c r="U1358" s="42"/>
      <c r="V1358" s="62"/>
      <c r="W1358" s="64"/>
      <c r="X1358" s="223"/>
      <c r="Y1358" s="223"/>
      <c r="Z1358" s="223"/>
      <c r="AA1358" s="223"/>
    </row>
    <row r="1359">
      <c r="A1359" s="42">
        <f t="shared" si="3"/>
        <v>1358</v>
      </c>
      <c r="B1359" s="51" t="s">
        <v>41</v>
      </c>
      <c r="C1359" s="53" t="s">
        <v>7058</v>
      </c>
      <c r="D1359" s="42" t="s">
        <v>44</v>
      </c>
      <c r="E1359" s="42" t="s">
        <v>44</v>
      </c>
      <c r="F1359" s="53" t="s">
        <v>6971</v>
      </c>
      <c r="G1359" s="53" t="s">
        <v>47</v>
      </c>
      <c r="H1359" s="53" t="s">
        <v>48</v>
      </c>
      <c r="I1359" s="53" t="s">
        <v>401</v>
      </c>
      <c r="J1359" s="53" t="s">
        <v>6972</v>
      </c>
      <c r="K1359" s="53" t="s">
        <v>51</v>
      </c>
      <c r="L1359" s="53" t="s">
        <v>52</v>
      </c>
      <c r="M1359" s="53" t="s">
        <v>52</v>
      </c>
      <c r="N1359" s="62" t="s">
        <v>7059</v>
      </c>
      <c r="O1359" s="62" t="s">
        <v>44</v>
      </c>
      <c r="P1359" s="62" t="s">
        <v>7060</v>
      </c>
      <c r="Q1359" s="62" t="s">
        <v>7061</v>
      </c>
      <c r="R1359" s="53"/>
      <c r="S1359" s="53"/>
      <c r="T1359" s="82"/>
      <c r="U1359" s="42"/>
      <c r="V1359" s="62"/>
      <c r="W1359" s="64"/>
      <c r="X1359" s="223"/>
      <c r="Y1359" s="223"/>
      <c r="Z1359" s="223"/>
      <c r="AA1359" s="223"/>
    </row>
    <row r="1360">
      <c r="A1360" s="42">
        <f t="shared" si="3"/>
        <v>1359</v>
      </c>
      <c r="B1360" s="51" t="s">
        <v>41</v>
      </c>
      <c r="C1360" s="53" t="s">
        <v>7062</v>
      </c>
      <c r="D1360" s="42" t="s">
        <v>44</v>
      </c>
      <c r="E1360" s="42" t="s">
        <v>44</v>
      </c>
      <c r="F1360" s="53" t="s">
        <v>6971</v>
      </c>
      <c r="G1360" s="53" t="s">
        <v>47</v>
      </c>
      <c r="H1360" s="53" t="s">
        <v>48</v>
      </c>
      <c r="I1360" s="53" t="s">
        <v>401</v>
      </c>
      <c r="J1360" s="53" t="s">
        <v>6972</v>
      </c>
      <c r="K1360" s="53" t="s">
        <v>51</v>
      </c>
      <c r="L1360" s="53" t="s">
        <v>52</v>
      </c>
      <c r="M1360" s="53" t="s">
        <v>52</v>
      </c>
      <c r="N1360" s="62" t="s">
        <v>6976</v>
      </c>
      <c r="O1360" s="62" t="s">
        <v>44</v>
      </c>
      <c r="P1360" s="62" t="s">
        <v>7063</v>
      </c>
      <c r="Q1360" s="62" t="s">
        <v>7064</v>
      </c>
      <c r="R1360" s="53"/>
      <c r="S1360" s="53"/>
      <c r="T1360" s="82"/>
      <c r="U1360" s="42"/>
      <c r="V1360" s="62"/>
      <c r="W1360" s="64"/>
      <c r="X1360" s="223"/>
      <c r="Y1360" s="223"/>
      <c r="Z1360" s="223"/>
      <c r="AA1360" s="223"/>
    </row>
    <row r="1361">
      <c r="A1361" s="42">
        <f t="shared" si="3"/>
        <v>1360</v>
      </c>
      <c r="B1361" s="51" t="s">
        <v>41</v>
      </c>
      <c r="C1361" s="53" t="s">
        <v>7065</v>
      </c>
      <c r="D1361" s="42" t="s">
        <v>44</v>
      </c>
      <c r="E1361" s="42" t="s">
        <v>44</v>
      </c>
      <c r="F1361" s="53" t="s">
        <v>6971</v>
      </c>
      <c r="G1361" s="53" t="s">
        <v>47</v>
      </c>
      <c r="H1361" s="53" t="s">
        <v>48</v>
      </c>
      <c r="I1361" s="53" t="s">
        <v>401</v>
      </c>
      <c r="J1361" s="53" t="s">
        <v>6972</v>
      </c>
      <c r="K1361" s="53" t="s">
        <v>51</v>
      </c>
      <c r="L1361" s="53" t="s">
        <v>52</v>
      </c>
      <c r="M1361" s="53" t="s">
        <v>52</v>
      </c>
      <c r="N1361" s="62" t="s">
        <v>6976</v>
      </c>
      <c r="O1361" s="62" t="s">
        <v>44</v>
      </c>
      <c r="P1361" s="62" t="s">
        <v>7066</v>
      </c>
      <c r="Q1361" s="62" t="s">
        <v>7067</v>
      </c>
      <c r="R1361" s="53"/>
      <c r="S1361" s="53"/>
      <c r="T1361" s="82"/>
      <c r="U1361" s="42"/>
      <c r="V1361" s="62"/>
      <c r="W1361" s="64"/>
      <c r="X1361" s="223"/>
      <c r="Y1361" s="223"/>
      <c r="Z1361" s="223"/>
      <c r="AA1361" s="223"/>
    </row>
    <row r="1362">
      <c r="A1362" s="42">
        <f t="shared" si="3"/>
        <v>1361</v>
      </c>
      <c r="B1362" s="51" t="s">
        <v>41</v>
      </c>
      <c r="C1362" s="53" t="s">
        <v>7068</v>
      </c>
      <c r="D1362" s="42" t="s">
        <v>44</v>
      </c>
      <c r="E1362" s="42" t="s">
        <v>44</v>
      </c>
      <c r="F1362" s="53" t="s">
        <v>6971</v>
      </c>
      <c r="G1362" s="53" t="s">
        <v>47</v>
      </c>
      <c r="H1362" s="53" t="s">
        <v>48</v>
      </c>
      <c r="I1362" s="53" t="s">
        <v>401</v>
      </c>
      <c r="J1362" s="53" t="s">
        <v>6972</v>
      </c>
      <c r="K1362" s="53" t="s">
        <v>51</v>
      </c>
      <c r="L1362" s="53" t="s">
        <v>52</v>
      </c>
      <c r="M1362" s="53" t="s">
        <v>52</v>
      </c>
      <c r="N1362" s="62" t="s">
        <v>6976</v>
      </c>
      <c r="O1362" s="62" t="s">
        <v>44</v>
      </c>
      <c r="P1362" s="62" t="s">
        <v>7069</v>
      </c>
      <c r="Q1362" s="62" t="s">
        <v>7070</v>
      </c>
      <c r="R1362" s="53"/>
      <c r="S1362" s="53"/>
      <c r="T1362" s="82"/>
      <c r="U1362" s="42"/>
      <c r="V1362" s="62"/>
      <c r="W1362" s="64"/>
      <c r="X1362" s="223"/>
      <c r="Y1362" s="223"/>
      <c r="Z1362" s="223"/>
      <c r="AA1362" s="223"/>
    </row>
    <row r="1363">
      <c r="A1363" s="42">
        <f t="shared" si="3"/>
        <v>1362</v>
      </c>
      <c r="B1363" s="51" t="s">
        <v>41</v>
      </c>
      <c r="C1363" s="53" t="s">
        <v>7071</v>
      </c>
      <c r="D1363" s="42" t="s">
        <v>44</v>
      </c>
      <c r="E1363" s="42" t="s">
        <v>44</v>
      </c>
      <c r="F1363" s="53" t="s">
        <v>6971</v>
      </c>
      <c r="G1363" s="53" t="s">
        <v>47</v>
      </c>
      <c r="H1363" s="53" t="s">
        <v>48</v>
      </c>
      <c r="I1363" s="53" t="s">
        <v>401</v>
      </c>
      <c r="J1363" s="53" t="s">
        <v>6972</v>
      </c>
      <c r="K1363" s="53" t="s">
        <v>51</v>
      </c>
      <c r="L1363" s="53" t="s">
        <v>52</v>
      </c>
      <c r="M1363" s="53" t="s">
        <v>52</v>
      </c>
      <c r="N1363" s="62" t="s">
        <v>7072</v>
      </c>
      <c r="O1363" s="62" t="s">
        <v>44</v>
      </c>
      <c r="P1363" s="62" t="s">
        <v>7073</v>
      </c>
      <c r="Q1363" s="62" t="s">
        <v>7074</v>
      </c>
      <c r="R1363" s="53"/>
      <c r="S1363" s="53"/>
      <c r="T1363" s="82"/>
      <c r="U1363" s="42"/>
      <c r="V1363" s="62"/>
      <c r="W1363" s="64"/>
      <c r="X1363" s="223"/>
      <c r="Y1363" s="223"/>
      <c r="Z1363" s="223"/>
      <c r="AA1363" s="223"/>
    </row>
    <row r="1364">
      <c r="A1364" s="42">
        <f t="shared" si="3"/>
        <v>1363</v>
      </c>
      <c r="B1364" s="51" t="s">
        <v>41</v>
      </c>
      <c r="C1364" s="53" t="s">
        <v>7075</v>
      </c>
      <c r="D1364" s="42" t="s">
        <v>44</v>
      </c>
      <c r="E1364" s="42" t="s">
        <v>44</v>
      </c>
      <c r="F1364" s="53" t="s">
        <v>6971</v>
      </c>
      <c r="G1364" s="53" t="s">
        <v>47</v>
      </c>
      <c r="H1364" s="53" t="s">
        <v>48</v>
      </c>
      <c r="I1364" s="53" t="s">
        <v>401</v>
      </c>
      <c r="J1364" s="53" t="s">
        <v>6972</v>
      </c>
      <c r="K1364" s="53" t="s">
        <v>51</v>
      </c>
      <c r="L1364" s="53" t="s">
        <v>52</v>
      </c>
      <c r="M1364" s="53" t="s">
        <v>52</v>
      </c>
      <c r="N1364" s="62" t="s">
        <v>7072</v>
      </c>
      <c r="O1364" s="62" t="s">
        <v>44</v>
      </c>
      <c r="P1364" s="62" t="s">
        <v>7076</v>
      </c>
      <c r="Q1364" s="62" t="s">
        <v>7077</v>
      </c>
      <c r="R1364" s="53"/>
      <c r="S1364" s="53"/>
      <c r="T1364" s="82"/>
      <c r="U1364" s="42"/>
      <c r="V1364" s="62"/>
      <c r="W1364" s="64"/>
      <c r="X1364" s="223"/>
      <c r="Y1364" s="223"/>
      <c r="Z1364" s="223"/>
      <c r="AA1364" s="223"/>
    </row>
    <row r="1365">
      <c r="A1365" s="42">
        <f t="shared" si="3"/>
        <v>1364</v>
      </c>
      <c r="B1365" s="51" t="s">
        <v>41</v>
      </c>
      <c r="C1365" s="53" t="s">
        <v>7078</v>
      </c>
      <c r="D1365" s="42" t="s">
        <v>44</v>
      </c>
      <c r="E1365" s="42" t="s">
        <v>44</v>
      </c>
      <c r="F1365" s="53" t="s">
        <v>6971</v>
      </c>
      <c r="G1365" s="53" t="s">
        <v>47</v>
      </c>
      <c r="H1365" s="53" t="s">
        <v>48</v>
      </c>
      <c r="I1365" s="53" t="s">
        <v>401</v>
      </c>
      <c r="J1365" s="53" t="s">
        <v>6972</v>
      </c>
      <c r="K1365" s="53" t="s">
        <v>51</v>
      </c>
      <c r="L1365" s="53" t="s">
        <v>52</v>
      </c>
      <c r="M1365" s="53" t="s">
        <v>52</v>
      </c>
      <c r="N1365" s="62" t="s">
        <v>6976</v>
      </c>
      <c r="O1365" s="62" t="s">
        <v>44</v>
      </c>
      <c r="P1365" s="62" t="s">
        <v>7079</v>
      </c>
      <c r="Q1365" s="62" t="s">
        <v>7080</v>
      </c>
      <c r="R1365" s="53"/>
      <c r="S1365" s="53"/>
      <c r="T1365" s="82"/>
      <c r="U1365" s="42"/>
      <c r="V1365" s="62"/>
      <c r="W1365" s="64"/>
      <c r="X1365" s="223"/>
      <c r="Y1365" s="223"/>
      <c r="Z1365" s="223"/>
      <c r="AA1365" s="223"/>
    </row>
    <row r="1366">
      <c r="A1366" s="42">
        <f t="shared" si="3"/>
        <v>1365</v>
      </c>
      <c r="B1366" s="51" t="s">
        <v>41</v>
      </c>
      <c r="C1366" s="53" t="s">
        <v>7081</v>
      </c>
      <c r="D1366" s="42" t="s">
        <v>44</v>
      </c>
      <c r="E1366" s="42" t="s">
        <v>44</v>
      </c>
      <c r="F1366" s="53" t="s">
        <v>6971</v>
      </c>
      <c r="G1366" s="53" t="s">
        <v>47</v>
      </c>
      <c r="H1366" s="53" t="s">
        <v>48</v>
      </c>
      <c r="I1366" s="53" t="s">
        <v>401</v>
      </c>
      <c r="J1366" s="53" t="s">
        <v>6972</v>
      </c>
      <c r="K1366" s="53" t="s">
        <v>51</v>
      </c>
      <c r="L1366" s="53" t="s">
        <v>52</v>
      </c>
      <c r="M1366" s="53" t="s">
        <v>52</v>
      </c>
      <c r="N1366" s="62" t="s">
        <v>6976</v>
      </c>
      <c r="O1366" s="62" t="s">
        <v>44</v>
      </c>
      <c r="P1366" s="62" t="s">
        <v>7082</v>
      </c>
      <c r="Q1366" s="62" t="s">
        <v>7083</v>
      </c>
      <c r="R1366" s="53"/>
      <c r="S1366" s="53"/>
      <c r="T1366" s="82"/>
      <c r="U1366" s="42"/>
      <c r="V1366" s="62"/>
      <c r="W1366" s="64"/>
      <c r="X1366" s="223"/>
      <c r="Y1366" s="223"/>
      <c r="Z1366" s="223"/>
      <c r="AA1366" s="223"/>
    </row>
    <row r="1367">
      <c r="A1367" s="42">
        <f t="shared" si="3"/>
        <v>1366</v>
      </c>
      <c r="B1367" s="51" t="s">
        <v>41</v>
      </c>
      <c r="C1367" s="53" t="s">
        <v>7084</v>
      </c>
      <c r="D1367" s="42" t="s">
        <v>44</v>
      </c>
      <c r="E1367" s="42" t="s">
        <v>44</v>
      </c>
      <c r="F1367" s="53" t="s">
        <v>6971</v>
      </c>
      <c r="G1367" s="53" t="s">
        <v>47</v>
      </c>
      <c r="H1367" s="53" t="s">
        <v>91</v>
      </c>
      <c r="I1367" s="53" t="s">
        <v>401</v>
      </c>
      <c r="J1367" s="53" t="s">
        <v>6972</v>
      </c>
      <c r="K1367" s="53" t="s">
        <v>51</v>
      </c>
      <c r="L1367" s="53" t="s">
        <v>52</v>
      </c>
      <c r="M1367" s="53" t="s">
        <v>52</v>
      </c>
      <c r="N1367" s="62" t="s">
        <v>7085</v>
      </c>
      <c r="O1367" s="62" t="s">
        <v>44</v>
      </c>
      <c r="P1367" s="62" t="s">
        <v>7086</v>
      </c>
      <c r="Q1367" s="62" t="s">
        <v>7087</v>
      </c>
      <c r="R1367" s="53"/>
      <c r="S1367" s="53"/>
      <c r="T1367" s="82"/>
      <c r="U1367" s="53"/>
      <c r="V1367" s="62"/>
      <c r="W1367" s="64"/>
      <c r="X1367" s="223"/>
      <c r="Y1367" s="223"/>
      <c r="Z1367" s="223"/>
      <c r="AA1367" s="223"/>
    </row>
    <row r="1368">
      <c r="A1368" s="42">
        <f t="shared" si="3"/>
        <v>1367</v>
      </c>
      <c r="B1368" s="51" t="s">
        <v>41</v>
      </c>
      <c r="C1368" s="53" t="s">
        <v>7088</v>
      </c>
      <c r="D1368" s="42" t="s">
        <v>44</v>
      </c>
      <c r="E1368" s="42" t="s">
        <v>44</v>
      </c>
      <c r="F1368" s="53" t="s">
        <v>6971</v>
      </c>
      <c r="G1368" s="53" t="s">
        <v>47</v>
      </c>
      <c r="H1368" s="53" t="s">
        <v>48</v>
      </c>
      <c r="I1368" s="53" t="s">
        <v>401</v>
      </c>
      <c r="J1368" s="53" t="s">
        <v>6972</v>
      </c>
      <c r="K1368" s="53" t="s">
        <v>51</v>
      </c>
      <c r="L1368" s="53" t="s">
        <v>52</v>
      </c>
      <c r="M1368" s="53" t="s">
        <v>52</v>
      </c>
      <c r="N1368" s="62" t="s">
        <v>7089</v>
      </c>
      <c r="O1368" s="62" t="s">
        <v>44</v>
      </c>
      <c r="P1368" s="62" t="s">
        <v>7090</v>
      </c>
      <c r="Q1368" s="62" t="s">
        <v>7091</v>
      </c>
      <c r="R1368" s="53"/>
      <c r="S1368" s="53"/>
      <c r="T1368" s="82"/>
      <c r="U1368" s="42"/>
      <c r="V1368" s="62"/>
      <c r="W1368" s="64"/>
      <c r="X1368" s="223"/>
      <c r="Y1368" s="223"/>
      <c r="Z1368" s="223"/>
      <c r="AA1368" s="223"/>
    </row>
    <row r="1369">
      <c r="A1369" s="42">
        <f t="shared" si="3"/>
        <v>1368</v>
      </c>
      <c r="B1369" s="51" t="s">
        <v>41</v>
      </c>
      <c r="C1369" s="53" t="s">
        <v>7092</v>
      </c>
      <c r="D1369" s="42" t="s">
        <v>44</v>
      </c>
      <c r="E1369" s="42" t="s">
        <v>44</v>
      </c>
      <c r="F1369" s="53" t="s">
        <v>6971</v>
      </c>
      <c r="G1369" s="53" t="s">
        <v>47</v>
      </c>
      <c r="H1369" s="53" t="s">
        <v>48</v>
      </c>
      <c r="I1369" s="53" t="s">
        <v>401</v>
      </c>
      <c r="J1369" s="53" t="s">
        <v>6972</v>
      </c>
      <c r="K1369" s="53" t="s">
        <v>51</v>
      </c>
      <c r="L1369" s="53" t="s">
        <v>52</v>
      </c>
      <c r="M1369" s="53" t="s">
        <v>52</v>
      </c>
      <c r="N1369" s="62" t="s">
        <v>7089</v>
      </c>
      <c r="O1369" s="62" t="s">
        <v>44</v>
      </c>
      <c r="P1369" s="62" t="s">
        <v>7093</v>
      </c>
      <c r="Q1369" s="62" t="s">
        <v>7094</v>
      </c>
      <c r="R1369" s="53"/>
      <c r="S1369" s="53"/>
      <c r="T1369" s="82"/>
      <c r="U1369" s="42"/>
      <c r="V1369" s="62"/>
      <c r="W1369" s="64"/>
      <c r="X1369" s="223"/>
      <c r="Y1369" s="223"/>
      <c r="Z1369" s="223"/>
      <c r="AA1369" s="223"/>
    </row>
    <row r="1370">
      <c r="A1370" s="42">
        <f t="shared" si="3"/>
        <v>1369</v>
      </c>
      <c r="B1370" s="51" t="s">
        <v>41</v>
      </c>
      <c r="C1370" s="53" t="s">
        <v>7095</v>
      </c>
      <c r="D1370" s="42" t="s">
        <v>44</v>
      </c>
      <c r="E1370" s="42" t="s">
        <v>44</v>
      </c>
      <c r="F1370" s="53" t="s">
        <v>6971</v>
      </c>
      <c r="G1370" s="53" t="s">
        <v>47</v>
      </c>
      <c r="H1370" s="53" t="s">
        <v>48</v>
      </c>
      <c r="I1370" s="53" t="s">
        <v>401</v>
      </c>
      <c r="J1370" s="53" t="s">
        <v>6972</v>
      </c>
      <c r="K1370" s="53" t="s">
        <v>51</v>
      </c>
      <c r="L1370" s="53" t="s">
        <v>52</v>
      </c>
      <c r="M1370" s="53" t="s">
        <v>52</v>
      </c>
      <c r="N1370" s="62" t="s">
        <v>7089</v>
      </c>
      <c r="O1370" s="62" t="s">
        <v>44</v>
      </c>
      <c r="P1370" s="62" t="s">
        <v>7096</v>
      </c>
      <c r="Q1370" s="62" t="s">
        <v>7097</v>
      </c>
      <c r="R1370" s="53"/>
      <c r="S1370" s="53"/>
      <c r="T1370" s="82"/>
      <c r="U1370" s="42"/>
      <c r="V1370" s="62"/>
      <c r="W1370" s="64"/>
      <c r="X1370" s="223"/>
      <c r="Y1370" s="223"/>
      <c r="Z1370" s="223"/>
      <c r="AA1370" s="223"/>
    </row>
    <row r="1371">
      <c r="A1371" s="42">
        <f t="shared" si="3"/>
        <v>1370</v>
      </c>
      <c r="B1371" s="51" t="s">
        <v>41</v>
      </c>
      <c r="C1371" s="53" t="s">
        <v>7098</v>
      </c>
      <c r="D1371" s="42" t="s">
        <v>44</v>
      </c>
      <c r="E1371" s="42" t="s">
        <v>44</v>
      </c>
      <c r="F1371" s="53" t="s">
        <v>6971</v>
      </c>
      <c r="G1371" s="53" t="s">
        <v>47</v>
      </c>
      <c r="H1371" s="53" t="s">
        <v>48</v>
      </c>
      <c r="I1371" s="53" t="s">
        <v>401</v>
      </c>
      <c r="J1371" s="53" t="s">
        <v>6972</v>
      </c>
      <c r="K1371" s="53" t="s">
        <v>51</v>
      </c>
      <c r="L1371" s="53" t="s">
        <v>52</v>
      </c>
      <c r="M1371" s="53" t="s">
        <v>52</v>
      </c>
      <c r="N1371" s="62" t="s">
        <v>7089</v>
      </c>
      <c r="O1371" s="62" t="s">
        <v>44</v>
      </c>
      <c r="P1371" s="62" t="s">
        <v>7099</v>
      </c>
      <c r="Q1371" s="62" t="s">
        <v>7100</v>
      </c>
      <c r="R1371" s="53"/>
      <c r="S1371" s="53"/>
      <c r="T1371" s="82"/>
      <c r="U1371" s="42"/>
      <c r="V1371" s="62"/>
      <c r="W1371" s="64"/>
      <c r="X1371" s="223"/>
      <c r="Y1371" s="223"/>
      <c r="Z1371" s="223"/>
      <c r="AA1371" s="223"/>
    </row>
    <row r="1372">
      <c r="A1372" s="42">
        <f t="shared" si="3"/>
        <v>1371</v>
      </c>
      <c r="B1372" s="51" t="s">
        <v>41</v>
      </c>
      <c r="C1372" s="53" t="s">
        <v>7101</v>
      </c>
      <c r="D1372" s="42" t="s">
        <v>44</v>
      </c>
      <c r="E1372" s="42" t="s">
        <v>44</v>
      </c>
      <c r="F1372" s="53" t="s">
        <v>6971</v>
      </c>
      <c r="G1372" s="53" t="s">
        <v>47</v>
      </c>
      <c r="H1372" s="53" t="s">
        <v>48</v>
      </c>
      <c r="I1372" s="53" t="s">
        <v>401</v>
      </c>
      <c r="J1372" s="53" t="s">
        <v>6972</v>
      </c>
      <c r="K1372" s="53" t="s">
        <v>51</v>
      </c>
      <c r="L1372" s="53" t="s">
        <v>52</v>
      </c>
      <c r="M1372" s="53" t="s">
        <v>52</v>
      </c>
      <c r="N1372" s="62" t="s">
        <v>6976</v>
      </c>
      <c r="O1372" s="62" t="s">
        <v>44</v>
      </c>
      <c r="P1372" s="62" t="s">
        <v>7102</v>
      </c>
      <c r="Q1372" s="62" t="s">
        <v>7103</v>
      </c>
      <c r="R1372" s="53"/>
      <c r="S1372" s="53"/>
      <c r="T1372" s="82"/>
      <c r="U1372" s="42"/>
      <c r="V1372" s="62"/>
      <c r="W1372" s="64"/>
      <c r="X1372" s="223"/>
      <c r="Y1372" s="223"/>
      <c r="Z1372" s="223"/>
      <c r="AA1372" s="223"/>
    </row>
    <row r="1373">
      <c r="A1373" s="42">
        <f t="shared" si="3"/>
        <v>1372</v>
      </c>
      <c r="B1373" s="51" t="s">
        <v>41</v>
      </c>
      <c r="C1373" s="53" t="s">
        <v>7104</v>
      </c>
      <c r="D1373" s="42" t="s">
        <v>44</v>
      </c>
      <c r="E1373" s="42" t="s">
        <v>44</v>
      </c>
      <c r="F1373" s="53" t="s">
        <v>6971</v>
      </c>
      <c r="G1373" s="53" t="s">
        <v>47</v>
      </c>
      <c r="H1373" s="53" t="s">
        <v>48</v>
      </c>
      <c r="I1373" s="53" t="s">
        <v>401</v>
      </c>
      <c r="J1373" s="53" t="s">
        <v>6972</v>
      </c>
      <c r="K1373" s="53" t="s">
        <v>51</v>
      </c>
      <c r="L1373" s="53" t="s">
        <v>52</v>
      </c>
      <c r="M1373" s="53" t="s">
        <v>52</v>
      </c>
      <c r="N1373" s="62" t="s">
        <v>6976</v>
      </c>
      <c r="O1373" s="62" t="s">
        <v>44</v>
      </c>
      <c r="P1373" s="62" t="s">
        <v>7105</v>
      </c>
      <c r="Q1373" s="62" t="s">
        <v>7106</v>
      </c>
      <c r="R1373" s="53"/>
      <c r="S1373" s="53"/>
      <c r="T1373" s="82"/>
      <c r="U1373" s="42"/>
      <c r="V1373" s="62"/>
      <c r="W1373" s="64"/>
      <c r="X1373" s="223"/>
      <c r="Y1373" s="223"/>
      <c r="Z1373" s="223"/>
      <c r="AA1373" s="223"/>
    </row>
    <row r="1374">
      <c r="A1374" s="42">
        <f t="shared" si="3"/>
        <v>1373</v>
      </c>
      <c r="B1374" s="51" t="s">
        <v>41</v>
      </c>
      <c r="C1374" s="53" t="s">
        <v>7107</v>
      </c>
      <c r="D1374" s="42" t="s">
        <v>44</v>
      </c>
      <c r="E1374" s="42" t="s">
        <v>44</v>
      </c>
      <c r="F1374" s="53" t="s">
        <v>6971</v>
      </c>
      <c r="G1374" s="53" t="s">
        <v>47</v>
      </c>
      <c r="H1374" s="53" t="s">
        <v>48</v>
      </c>
      <c r="I1374" s="53" t="s">
        <v>401</v>
      </c>
      <c r="J1374" s="53" t="s">
        <v>6972</v>
      </c>
      <c r="K1374" s="53" t="s">
        <v>51</v>
      </c>
      <c r="L1374" s="53" t="s">
        <v>52</v>
      </c>
      <c r="M1374" s="53" t="s">
        <v>52</v>
      </c>
      <c r="N1374" s="62" t="s">
        <v>6976</v>
      </c>
      <c r="O1374" s="62" t="s">
        <v>44</v>
      </c>
      <c r="P1374" s="62" t="s">
        <v>7108</v>
      </c>
      <c r="Q1374" s="62" t="s">
        <v>7109</v>
      </c>
      <c r="R1374" s="53"/>
      <c r="S1374" s="53"/>
      <c r="T1374" s="82"/>
      <c r="U1374" s="42"/>
      <c r="V1374" s="62"/>
      <c r="W1374" s="64"/>
      <c r="X1374" s="223"/>
      <c r="Y1374" s="223"/>
      <c r="Z1374" s="223"/>
      <c r="AA1374" s="223"/>
    </row>
    <row r="1375">
      <c r="A1375" s="42">
        <f t="shared" si="3"/>
        <v>1374</v>
      </c>
      <c r="B1375" s="51" t="s">
        <v>41</v>
      </c>
      <c r="C1375" s="53" t="s">
        <v>7110</v>
      </c>
      <c r="D1375" s="42" t="s">
        <v>44</v>
      </c>
      <c r="E1375" s="42" t="s">
        <v>44</v>
      </c>
      <c r="F1375" s="53" t="s">
        <v>6971</v>
      </c>
      <c r="G1375" s="53" t="s">
        <v>47</v>
      </c>
      <c r="H1375" s="53" t="s">
        <v>48</v>
      </c>
      <c r="I1375" s="53" t="s">
        <v>401</v>
      </c>
      <c r="J1375" s="53" t="s">
        <v>6972</v>
      </c>
      <c r="K1375" s="53" t="s">
        <v>51</v>
      </c>
      <c r="L1375" s="53" t="s">
        <v>52</v>
      </c>
      <c r="M1375" s="53" t="s">
        <v>52</v>
      </c>
      <c r="N1375" s="62" t="s">
        <v>6976</v>
      </c>
      <c r="O1375" s="62" t="s">
        <v>44</v>
      </c>
      <c r="P1375" s="62" t="s">
        <v>7111</v>
      </c>
      <c r="Q1375" s="62" t="s">
        <v>7112</v>
      </c>
      <c r="R1375" s="53"/>
      <c r="S1375" s="53"/>
      <c r="T1375" s="82"/>
      <c r="U1375" s="53"/>
      <c r="V1375" s="62"/>
      <c r="W1375" s="64"/>
      <c r="X1375" s="223"/>
      <c r="Y1375" s="223"/>
      <c r="Z1375" s="223"/>
      <c r="AA1375" s="223"/>
    </row>
    <row r="1376">
      <c r="A1376" s="42">
        <f t="shared" si="3"/>
        <v>1375</v>
      </c>
      <c r="B1376" s="51" t="s">
        <v>41</v>
      </c>
      <c r="C1376" s="53" t="s">
        <v>7113</v>
      </c>
      <c r="D1376" s="42" t="s">
        <v>44</v>
      </c>
      <c r="E1376" s="42" t="s">
        <v>44</v>
      </c>
      <c r="F1376" s="53" t="s">
        <v>6971</v>
      </c>
      <c r="G1376" s="53" t="s">
        <v>47</v>
      </c>
      <c r="H1376" s="53" t="s">
        <v>48</v>
      </c>
      <c r="I1376" s="53" t="s">
        <v>401</v>
      </c>
      <c r="J1376" s="53" t="s">
        <v>6972</v>
      </c>
      <c r="K1376" s="53" t="s">
        <v>51</v>
      </c>
      <c r="L1376" s="53" t="s">
        <v>52</v>
      </c>
      <c r="M1376" s="53" t="s">
        <v>52</v>
      </c>
      <c r="N1376" s="62" t="s">
        <v>6976</v>
      </c>
      <c r="O1376" s="62" t="s">
        <v>44</v>
      </c>
      <c r="P1376" s="62" t="s">
        <v>7114</v>
      </c>
      <c r="Q1376" s="62" t="s">
        <v>7115</v>
      </c>
      <c r="R1376" s="53"/>
      <c r="S1376" s="53"/>
      <c r="T1376" s="82"/>
      <c r="U1376" s="42"/>
      <c r="V1376" s="62"/>
      <c r="W1376" s="64"/>
      <c r="X1376" s="223"/>
      <c r="Y1376" s="223"/>
      <c r="Z1376" s="223"/>
      <c r="AA1376" s="223"/>
    </row>
    <row r="1377">
      <c r="A1377" s="42">
        <f t="shared" si="3"/>
        <v>1376</v>
      </c>
      <c r="B1377" s="51" t="s">
        <v>41</v>
      </c>
      <c r="C1377" s="53" t="s">
        <v>7116</v>
      </c>
      <c r="D1377" s="42" t="s">
        <v>44</v>
      </c>
      <c r="E1377" s="42" t="s">
        <v>44</v>
      </c>
      <c r="F1377" s="53" t="s">
        <v>6971</v>
      </c>
      <c r="G1377" s="53" t="s">
        <v>47</v>
      </c>
      <c r="H1377" s="53" t="s">
        <v>48</v>
      </c>
      <c r="I1377" s="53" t="s">
        <v>401</v>
      </c>
      <c r="J1377" s="53" t="s">
        <v>6972</v>
      </c>
      <c r="K1377" s="53" t="s">
        <v>51</v>
      </c>
      <c r="L1377" s="53" t="s">
        <v>52</v>
      </c>
      <c r="M1377" s="53" t="s">
        <v>52</v>
      </c>
      <c r="N1377" s="62" t="s">
        <v>7117</v>
      </c>
      <c r="O1377" s="62" t="s">
        <v>44</v>
      </c>
      <c r="P1377" s="62" t="s">
        <v>7118</v>
      </c>
      <c r="Q1377" s="62" t="s">
        <v>7119</v>
      </c>
      <c r="R1377" s="53"/>
      <c r="S1377" s="53"/>
      <c r="T1377" s="82"/>
      <c r="U1377" s="42"/>
      <c r="V1377" s="62"/>
      <c r="W1377" s="64"/>
      <c r="X1377" s="223"/>
      <c r="Y1377" s="223"/>
      <c r="Z1377" s="223"/>
      <c r="AA1377" s="223"/>
    </row>
    <row r="1378">
      <c r="A1378" s="42">
        <f t="shared" si="3"/>
        <v>1377</v>
      </c>
      <c r="B1378" s="51" t="s">
        <v>41</v>
      </c>
      <c r="C1378" s="53" t="s">
        <v>7120</v>
      </c>
      <c r="D1378" s="42" t="s">
        <v>44</v>
      </c>
      <c r="E1378" s="42" t="s">
        <v>44</v>
      </c>
      <c r="F1378" s="53" t="s">
        <v>6971</v>
      </c>
      <c r="G1378" s="53" t="s">
        <v>47</v>
      </c>
      <c r="H1378" s="53" t="s">
        <v>48</v>
      </c>
      <c r="I1378" s="53" t="s">
        <v>401</v>
      </c>
      <c r="J1378" s="53" t="s">
        <v>6972</v>
      </c>
      <c r="K1378" s="53" t="s">
        <v>51</v>
      </c>
      <c r="L1378" s="53" t="s">
        <v>52</v>
      </c>
      <c r="M1378" s="53" t="s">
        <v>52</v>
      </c>
      <c r="N1378" s="62" t="s">
        <v>7121</v>
      </c>
      <c r="O1378" s="62" t="s">
        <v>44</v>
      </c>
      <c r="P1378" s="62" t="s">
        <v>7122</v>
      </c>
      <c r="Q1378" s="62" t="s">
        <v>7123</v>
      </c>
      <c r="R1378" s="53"/>
      <c r="S1378" s="53"/>
      <c r="T1378" s="82"/>
      <c r="U1378" s="42"/>
      <c r="V1378" s="62"/>
      <c r="W1378" s="64"/>
      <c r="X1378" s="223"/>
      <c r="Y1378" s="223"/>
      <c r="Z1378" s="223"/>
      <c r="AA1378" s="223"/>
    </row>
    <row r="1379">
      <c r="A1379" s="42">
        <f t="shared" si="3"/>
        <v>1378</v>
      </c>
      <c r="B1379" s="51" t="s">
        <v>41</v>
      </c>
      <c r="C1379" s="53" t="s">
        <v>7124</v>
      </c>
      <c r="D1379" s="42" t="s">
        <v>44</v>
      </c>
      <c r="E1379" s="42" t="s">
        <v>44</v>
      </c>
      <c r="F1379" s="53" t="s">
        <v>6971</v>
      </c>
      <c r="G1379" s="53" t="s">
        <v>47</v>
      </c>
      <c r="H1379" s="53" t="s">
        <v>48</v>
      </c>
      <c r="I1379" s="53" t="s">
        <v>401</v>
      </c>
      <c r="J1379" s="53" t="s">
        <v>6972</v>
      </c>
      <c r="K1379" s="53" t="s">
        <v>51</v>
      </c>
      <c r="L1379" s="53" t="s">
        <v>52</v>
      </c>
      <c r="M1379" s="53" t="s">
        <v>52</v>
      </c>
      <c r="N1379" s="62" t="s">
        <v>6976</v>
      </c>
      <c r="O1379" s="62" t="s">
        <v>44</v>
      </c>
      <c r="P1379" s="62" t="s">
        <v>7125</v>
      </c>
      <c r="Q1379" s="62" t="s">
        <v>7126</v>
      </c>
      <c r="R1379" s="53"/>
      <c r="S1379" s="53"/>
      <c r="T1379" s="82"/>
      <c r="U1379" s="42"/>
      <c r="V1379" s="62"/>
      <c r="W1379" s="64"/>
      <c r="X1379" s="223"/>
      <c r="Y1379" s="223"/>
      <c r="Z1379" s="223"/>
      <c r="AA1379" s="223"/>
    </row>
    <row r="1380">
      <c r="A1380" s="42">
        <f t="shared" si="3"/>
        <v>1379</v>
      </c>
      <c r="B1380" s="51" t="s">
        <v>41</v>
      </c>
      <c r="C1380" s="53" t="s">
        <v>7127</v>
      </c>
      <c r="D1380" s="42" t="s">
        <v>44</v>
      </c>
      <c r="E1380" s="42" t="s">
        <v>44</v>
      </c>
      <c r="F1380" s="53" t="s">
        <v>6971</v>
      </c>
      <c r="G1380" s="53" t="s">
        <v>47</v>
      </c>
      <c r="H1380" s="53" t="s">
        <v>48</v>
      </c>
      <c r="I1380" s="53" t="s">
        <v>401</v>
      </c>
      <c r="J1380" s="53" t="s">
        <v>6972</v>
      </c>
      <c r="K1380" s="53" t="s">
        <v>51</v>
      </c>
      <c r="L1380" s="53" t="s">
        <v>52</v>
      </c>
      <c r="M1380" s="53" t="s">
        <v>52</v>
      </c>
      <c r="N1380" s="62" t="s">
        <v>6976</v>
      </c>
      <c r="O1380" s="62" t="s">
        <v>44</v>
      </c>
      <c r="P1380" s="62" t="s">
        <v>7128</v>
      </c>
      <c r="Q1380" s="62" t="s">
        <v>7129</v>
      </c>
      <c r="R1380" s="53"/>
      <c r="S1380" s="53"/>
      <c r="T1380" s="82"/>
      <c r="U1380" s="53"/>
      <c r="V1380" s="62"/>
      <c r="W1380" s="64"/>
      <c r="X1380" s="223"/>
      <c r="Y1380" s="223"/>
      <c r="Z1380" s="223"/>
      <c r="AA1380" s="223"/>
    </row>
    <row r="1381">
      <c r="A1381" s="42">
        <f t="shared" si="3"/>
        <v>1380</v>
      </c>
      <c r="B1381" s="51" t="s">
        <v>41</v>
      </c>
      <c r="C1381" s="53" t="s">
        <v>7130</v>
      </c>
      <c r="D1381" s="42" t="s">
        <v>44</v>
      </c>
      <c r="E1381" s="42" t="s">
        <v>44</v>
      </c>
      <c r="F1381" s="53" t="s">
        <v>6971</v>
      </c>
      <c r="G1381" s="53" t="s">
        <v>47</v>
      </c>
      <c r="H1381" s="53" t="s">
        <v>48</v>
      </c>
      <c r="I1381" s="53" t="s">
        <v>401</v>
      </c>
      <c r="J1381" s="53" t="s">
        <v>6972</v>
      </c>
      <c r="K1381" s="53" t="s">
        <v>51</v>
      </c>
      <c r="L1381" s="53" t="s">
        <v>52</v>
      </c>
      <c r="M1381" s="53" t="s">
        <v>52</v>
      </c>
      <c r="N1381" s="62" t="s">
        <v>6976</v>
      </c>
      <c r="O1381" s="62" t="s">
        <v>44</v>
      </c>
      <c r="P1381" s="62" t="s">
        <v>7131</v>
      </c>
      <c r="Q1381" s="62" t="s">
        <v>7132</v>
      </c>
      <c r="R1381" s="53"/>
      <c r="S1381" s="53"/>
      <c r="T1381" s="82"/>
      <c r="U1381" s="42"/>
      <c r="V1381" s="62"/>
      <c r="W1381" s="64"/>
      <c r="X1381" s="223"/>
      <c r="Y1381" s="223"/>
      <c r="Z1381" s="223"/>
      <c r="AA1381" s="223"/>
    </row>
    <row r="1382">
      <c r="A1382" s="42">
        <f t="shared" si="3"/>
        <v>1381</v>
      </c>
      <c r="B1382" s="51" t="s">
        <v>41</v>
      </c>
      <c r="C1382" s="53" t="s">
        <v>7133</v>
      </c>
      <c r="D1382" s="42" t="s">
        <v>44</v>
      </c>
      <c r="E1382" s="42" t="s">
        <v>44</v>
      </c>
      <c r="F1382" s="53" t="s">
        <v>6971</v>
      </c>
      <c r="G1382" s="53" t="s">
        <v>47</v>
      </c>
      <c r="H1382" s="53" t="s">
        <v>48</v>
      </c>
      <c r="I1382" s="53" t="s">
        <v>401</v>
      </c>
      <c r="J1382" s="53" t="s">
        <v>6972</v>
      </c>
      <c r="K1382" s="53" t="s">
        <v>51</v>
      </c>
      <c r="L1382" s="53" t="s">
        <v>52</v>
      </c>
      <c r="M1382" s="53" t="s">
        <v>52</v>
      </c>
      <c r="N1382" s="62" t="s">
        <v>6976</v>
      </c>
      <c r="O1382" s="62" t="s">
        <v>44</v>
      </c>
      <c r="P1382" s="62" t="s">
        <v>7134</v>
      </c>
      <c r="Q1382" s="62" t="s">
        <v>7135</v>
      </c>
      <c r="R1382" s="53"/>
      <c r="S1382" s="53"/>
      <c r="T1382" s="82"/>
      <c r="U1382" s="42"/>
      <c r="V1382" s="62"/>
      <c r="W1382" s="64"/>
      <c r="X1382" s="223"/>
      <c r="Y1382" s="223"/>
      <c r="Z1382" s="223"/>
      <c r="AA1382" s="223"/>
    </row>
    <row r="1383">
      <c r="A1383" s="42">
        <f t="shared" si="3"/>
        <v>1382</v>
      </c>
      <c r="B1383" s="51" t="s">
        <v>41</v>
      </c>
      <c r="C1383" s="53" t="s">
        <v>7136</v>
      </c>
      <c r="D1383" s="42" t="s">
        <v>44</v>
      </c>
      <c r="E1383" s="42" t="s">
        <v>44</v>
      </c>
      <c r="F1383" s="53" t="s">
        <v>6971</v>
      </c>
      <c r="G1383" s="53" t="s">
        <v>47</v>
      </c>
      <c r="H1383" s="53" t="s">
        <v>48</v>
      </c>
      <c r="I1383" s="53" t="s">
        <v>401</v>
      </c>
      <c r="J1383" s="53" t="s">
        <v>6972</v>
      </c>
      <c r="K1383" s="53" t="s">
        <v>51</v>
      </c>
      <c r="L1383" s="53" t="s">
        <v>52</v>
      </c>
      <c r="M1383" s="53" t="s">
        <v>52</v>
      </c>
      <c r="N1383" s="62" t="s">
        <v>7137</v>
      </c>
      <c r="O1383" s="62" t="s">
        <v>44</v>
      </c>
      <c r="P1383" s="62" t="s">
        <v>7138</v>
      </c>
      <c r="Q1383" s="62" t="s">
        <v>7139</v>
      </c>
      <c r="R1383" s="53"/>
      <c r="S1383" s="53"/>
      <c r="T1383" s="82"/>
      <c r="U1383" s="42"/>
      <c r="V1383" s="62"/>
      <c r="W1383" s="64"/>
      <c r="X1383" s="223"/>
      <c r="Y1383" s="223"/>
      <c r="Z1383" s="223"/>
      <c r="AA1383" s="223"/>
    </row>
    <row r="1384">
      <c r="A1384" s="42">
        <f t="shared" si="3"/>
        <v>1383</v>
      </c>
      <c r="B1384" s="51" t="s">
        <v>41</v>
      </c>
      <c r="C1384" s="53" t="s">
        <v>7140</v>
      </c>
      <c r="D1384" s="42" t="s">
        <v>44</v>
      </c>
      <c r="E1384" s="42" t="s">
        <v>44</v>
      </c>
      <c r="F1384" s="53" t="s">
        <v>6971</v>
      </c>
      <c r="G1384" s="53" t="s">
        <v>47</v>
      </c>
      <c r="H1384" s="53" t="s">
        <v>48</v>
      </c>
      <c r="I1384" s="53" t="s">
        <v>401</v>
      </c>
      <c r="J1384" s="53" t="s">
        <v>6972</v>
      </c>
      <c r="K1384" s="53" t="s">
        <v>51</v>
      </c>
      <c r="L1384" s="53" t="s">
        <v>52</v>
      </c>
      <c r="M1384" s="53" t="s">
        <v>52</v>
      </c>
      <c r="N1384" s="62" t="s">
        <v>7141</v>
      </c>
      <c r="O1384" s="62" t="s">
        <v>44</v>
      </c>
      <c r="P1384" s="62" t="s">
        <v>7138</v>
      </c>
      <c r="Q1384" s="62" t="s">
        <v>7142</v>
      </c>
      <c r="R1384" s="53"/>
      <c r="S1384" s="53"/>
      <c r="T1384" s="82"/>
      <c r="U1384" s="42"/>
      <c r="V1384" s="62"/>
      <c r="W1384" s="64"/>
      <c r="X1384" s="223"/>
      <c r="Y1384" s="223"/>
      <c r="Z1384" s="223"/>
      <c r="AA1384" s="223"/>
    </row>
    <row r="1385">
      <c r="A1385" s="42">
        <f t="shared" si="3"/>
        <v>1384</v>
      </c>
      <c r="B1385" s="51" t="s">
        <v>41</v>
      </c>
      <c r="C1385" s="53" t="s">
        <v>7143</v>
      </c>
      <c r="D1385" s="42" t="s">
        <v>44</v>
      </c>
      <c r="E1385" s="42" t="s">
        <v>44</v>
      </c>
      <c r="F1385" s="53" t="s">
        <v>6971</v>
      </c>
      <c r="G1385" s="53" t="s">
        <v>47</v>
      </c>
      <c r="H1385" s="53" t="s">
        <v>48</v>
      </c>
      <c r="I1385" s="53" t="s">
        <v>401</v>
      </c>
      <c r="J1385" s="53" t="s">
        <v>6972</v>
      </c>
      <c r="K1385" s="53" t="s">
        <v>51</v>
      </c>
      <c r="L1385" s="53" t="s">
        <v>52</v>
      </c>
      <c r="M1385" s="53" t="s">
        <v>52</v>
      </c>
      <c r="N1385" s="62" t="s">
        <v>7144</v>
      </c>
      <c r="O1385" s="62" t="s">
        <v>44</v>
      </c>
      <c r="P1385" s="62" t="s">
        <v>7138</v>
      </c>
      <c r="Q1385" s="62" t="s">
        <v>7145</v>
      </c>
      <c r="R1385" s="53"/>
      <c r="S1385" s="53"/>
      <c r="T1385" s="82"/>
      <c r="U1385" s="42"/>
      <c r="V1385" s="62"/>
      <c r="W1385" s="64"/>
      <c r="X1385" s="223"/>
      <c r="Y1385" s="223"/>
      <c r="Z1385" s="223"/>
      <c r="AA1385" s="223"/>
    </row>
    <row r="1386">
      <c r="A1386" s="42">
        <f t="shared" si="3"/>
        <v>1385</v>
      </c>
      <c r="B1386" s="51" t="s">
        <v>41</v>
      </c>
      <c r="C1386" s="53" t="s">
        <v>7146</v>
      </c>
      <c r="D1386" s="42" t="s">
        <v>44</v>
      </c>
      <c r="E1386" s="42" t="s">
        <v>44</v>
      </c>
      <c r="F1386" s="53" t="s">
        <v>6971</v>
      </c>
      <c r="G1386" s="53" t="s">
        <v>47</v>
      </c>
      <c r="H1386" s="53" t="s">
        <v>48</v>
      </c>
      <c r="I1386" s="53" t="s">
        <v>401</v>
      </c>
      <c r="J1386" s="53" t="s">
        <v>6972</v>
      </c>
      <c r="K1386" s="53" t="s">
        <v>51</v>
      </c>
      <c r="L1386" s="53" t="s">
        <v>52</v>
      </c>
      <c r="M1386" s="53" t="s">
        <v>52</v>
      </c>
      <c r="N1386" s="62" t="s">
        <v>7147</v>
      </c>
      <c r="O1386" s="62" t="s">
        <v>44</v>
      </c>
      <c r="P1386" s="62" t="s">
        <v>7138</v>
      </c>
      <c r="Q1386" s="62" t="s">
        <v>7148</v>
      </c>
      <c r="R1386" s="53"/>
      <c r="S1386" s="53"/>
      <c r="T1386" s="82"/>
      <c r="U1386" s="42"/>
      <c r="V1386" s="62"/>
      <c r="W1386" s="64"/>
      <c r="X1386" s="223"/>
      <c r="Y1386" s="223"/>
      <c r="Z1386" s="223"/>
      <c r="AA1386" s="223"/>
    </row>
    <row r="1387">
      <c r="A1387" s="42">
        <f t="shared" si="3"/>
        <v>1386</v>
      </c>
      <c r="B1387" s="51" t="s">
        <v>41</v>
      </c>
      <c r="C1387" s="53" t="s">
        <v>7149</v>
      </c>
      <c r="D1387" s="42" t="s">
        <v>44</v>
      </c>
      <c r="E1387" s="42" t="s">
        <v>44</v>
      </c>
      <c r="F1387" s="53" t="s">
        <v>6971</v>
      </c>
      <c r="G1387" s="53" t="s">
        <v>47</v>
      </c>
      <c r="H1387" s="53" t="s">
        <v>48</v>
      </c>
      <c r="I1387" s="53" t="s">
        <v>401</v>
      </c>
      <c r="J1387" s="53" t="s">
        <v>6972</v>
      </c>
      <c r="K1387" s="53" t="s">
        <v>51</v>
      </c>
      <c r="L1387" s="53" t="s">
        <v>52</v>
      </c>
      <c r="M1387" s="53" t="s">
        <v>52</v>
      </c>
      <c r="N1387" s="62" t="s">
        <v>6976</v>
      </c>
      <c r="O1387" s="62" t="s">
        <v>44</v>
      </c>
      <c r="P1387" s="62" t="s">
        <v>7150</v>
      </c>
      <c r="Q1387" s="62" t="s">
        <v>7151</v>
      </c>
      <c r="R1387" s="53"/>
      <c r="S1387" s="53"/>
      <c r="T1387" s="82"/>
      <c r="U1387" s="42"/>
      <c r="V1387" s="62"/>
      <c r="W1387" s="64"/>
      <c r="X1387" s="223"/>
      <c r="Y1387" s="223"/>
      <c r="Z1387" s="223"/>
      <c r="AA1387" s="223"/>
    </row>
    <row r="1388">
      <c r="A1388" s="42">
        <f t="shared" si="3"/>
        <v>1387</v>
      </c>
      <c r="B1388" s="51" t="s">
        <v>41</v>
      </c>
      <c r="C1388" s="53" t="s">
        <v>7152</v>
      </c>
      <c r="D1388" s="42" t="s">
        <v>44</v>
      </c>
      <c r="E1388" s="42" t="s">
        <v>44</v>
      </c>
      <c r="F1388" s="53" t="s">
        <v>6971</v>
      </c>
      <c r="G1388" s="53" t="s">
        <v>47</v>
      </c>
      <c r="H1388" s="53" t="s">
        <v>48</v>
      </c>
      <c r="I1388" s="53" t="s">
        <v>401</v>
      </c>
      <c r="J1388" s="53" t="s">
        <v>6972</v>
      </c>
      <c r="K1388" s="53" t="s">
        <v>51</v>
      </c>
      <c r="L1388" s="53" t="s">
        <v>52</v>
      </c>
      <c r="M1388" s="53" t="s">
        <v>52</v>
      </c>
      <c r="N1388" s="62" t="s">
        <v>6976</v>
      </c>
      <c r="O1388" s="62" t="s">
        <v>44</v>
      </c>
      <c r="P1388" s="62" t="s">
        <v>7153</v>
      </c>
      <c r="Q1388" s="62" t="s">
        <v>7154</v>
      </c>
      <c r="R1388" s="53"/>
      <c r="S1388" s="53"/>
      <c r="T1388" s="82"/>
      <c r="U1388" s="42"/>
      <c r="V1388" s="62"/>
      <c r="W1388" s="64"/>
      <c r="X1388" s="223"/>
      <c r="Y1388" s="223"/>
      <c r="Z1388" s="223"/>
      <c r="AA1388" s="223"/>
    </row>
    <row r="1389">
      <c r="A1389" s="42">
        <f t="shared" si="3"/>
        <v>1388</v>
      </c>
      <c r="B1389" s="51" t="s">
        <v>41</v>
      </c>
      <c r="C1389" s="53" t="s">
        <v>7155</v>
      </c>
      <c r="D1389" s="42" t="s">
        <v>44</v>
      </c>
      <c r="E1389" s="42" t="s">
        <v>44</v>
      </c>
      <c r="F1389" s="53" t="s">
        <v>6971</v>
      </c>
      <c r="G1389" s="53" t="s">
        <v>47</v>
      </c>
      <c r="H1389" s="53" t="s">
        <v>48</v>
      </c>
      <c r="I1389" s="53" t="s">
        <v>401</v>
      </c>
      <c r="J1389" s="53" t="s">
        <v>6972</v>
      </c>
      <c r="K1389" s="53" t="s">
        <v>51</v>
      </c>
      <c r="L1389" s="53" t="s">
        <v>52</v>
      </c>
      <c r="M1389" s="53" t="s">
        <v>52</v>
      </c>
      <c r="N1389" s="62" t="s">
        <v>6976</v>
      </c>
      <c r="O1389" s="62" t="s">
        <v>44</v>
      </c>
      <c r="P1389" s="62" t="s">
        <v>7156</v>
      </c>
      <c r="Q1389" s="62" t="s">
        <v>7157</v>
      </c>
      <c r="R1389" s="53"/>
      <c r="S1389" s="53"/>
      <c r="T1389" s="82"/>
      <c r="U1389" s="42"/>
      <c r="V1389" s="62"/>
      <c r="W1389" s="64"/>
      <c r="X1389" s="223"/>
      <c r="Y1389" s="223"/>
      <c r="Z1389" s="223"/>
      <c r="AA1389" s="223"/>
    </row>
    <row r="1390">
      <c r="A1390" s="42">
        <f t="shared" si="3"/>
        <v>1389</v>
      </c>
      <c r="B1390" s="51" t="s">
        <v>41</v>
      </c>
      <c r="C1390" s="53" t="s">
        <v>7158</v>
      </c>
      <c r="D1390" s="42" t="s">
        <v>44</v>
      </c>
      <c r="E1390" s="42" t="s">
        <v>44</v>
      </c>
      <c r="F1390" s="53" t="s">
        <v>6971</v>
      </c>
      <c r="G1390" s="53" t="s">
        <v>47</v>
      </c>
      <c r="H1390" s="53" t="s">
        <v>48</v>
      </c>
      <c r="I1390" s="53" t="s">
        <v>401</v>
      </c>
      <c r="J1390" s="53" t="s">
        <v>6972</v>
      </c>
      <c r="K1390" s="53" t="s">
        <v>51</v>
      </c>
      <c r="L1390" s="53" t="s">
        <v>52</v>
      </c>
      <c r="M1390" s="53" t="s">
        <v>52</v>
      </c>
      <c r="N1390" s="62" t="s">
        <v>6976</v>
      </c>
      <c r="O1390" s="62" t="s">
        <v>44</v>
      </c>
      <c r="P1390" s="62" t="s">
        <v>7159</v>
      </c>
      <c r="Q1390" s="62" t="s">
        <v>7160</v>
      </c>
      <c r="R1390" s="53"/>
      <c r="S1390" s="53"/>
      <c r="T1390" s="82"/>
      <c r="U1390" s="42"/>
      <c r="V1390" s="62"/>
      <c r="W1390" s="64"/>
      <c r="X1390" s="223"/>
      <c r="Y1390" s="223"/>
      <c r="Z1390" s="223"/>
      <c r="AA1390" s="223"/>
    </row>
    <row r="1391">
      <c r="A1391" s="42">
        <f t="shared" si="3"/>
        <v>1390</v>
      </c>
      <c r="B1391" s="51" t="s">
        <v>41</v>
      </c>
      <c r="C1391" s="53" t="s">
        <v>7161</v>
      </c>
      <c r="D1391" s="42" t="s">
        <v>44</v>
      </c>
      <c r="E1391" s="42" t="s">
        <v>44</v>
      </c>
      <c r="F1391" s="53" t="s">
        <v>6971</v>
      </c>
      <c r="G1391" s="53" t="s">
        <v>47</v>
      </c>
      <c r="H1391" s="53" t="s">
        <v>48</v>
      </c>
      <c r="I1391" s="53" t="s">
        <v>401</v>
      </c>
      <c r="J1391" s="53" t="s">
        <v>6972</v>
      </c>
      <c r="K1391" s="53" t="s">
        <v>51</v>
      </c>
      <c r="L1391" s="53" t="s">
        <v>52</v>
      </c>
      <c r="M1391" s="53" t="s">
        <v>52</v>
      </c>
      <c r="N1391" s="62" t="s">
        <v>6976</v>
      </c>
      <c r="O1391" s="62" t="s">
        <v>44</v>
      </c>
      <c r="P1391" s="62" t="s">
        <v>7162</v>
      </c>
      <c r="Q1391" s="62" t="s">
        <v>7163</v>
      </c>
      <c r="R1391" s="53"/>
      <c r="S1391" s="53"/>
      <c r="T1391" s="82"/>
      <c r="U1391" s="42"/>
      <c r="V1391" s="62"/>
      <c r="W1391" s="64"/>
      <c r="X1391" s="223"/>
      <c r="Y1391" s="223"/>
      <c r="Z1391" s="223"/>
      <c r="AA1391" s="223"/>
    </row>
    <row r="1392">
      <c r="A1392" s="42">
        <f t="shared" si="3"/>
        <v>1391</v>
      </c>
      <c r="B1392" s="51" t="s">
        <v>41</v>
      </c>
      <c r="C1392" s="53" t="s">
        <v>7164</v>
      </c>
      <c r="D1392" s="42" t="s">
        <v>44</v>
      </c>
      <c r="E1392" s="42" t="s">
        <v>44</v>
      </c>
      <c r="F1392" s="53" t="s">
        <v>6971</v>
      </c>
      <c r="G1392" s="53" t="s">
        <v>47</v>
      </c>
      <c r="H1392" s="53" t="s">
        <v>48</v>
      </c>
      <c r="I1392" s="53" t="s">
        <v>401</v>
      </c>
      <c r="J1392" s="53" t="s">
        <v>6972</v>
      </c>
      <c r="K1392" s="53" t="s">
        <v>51</v>
      </c>
      <c r="L1392" s="53" t="s">
        <v>52</v>
      </c>
      <c r="M1392" s="53" t="s">
        <v>52</v>
      </c>
      <c r="N1392" s="62" t="s">
        <v>6976</v>
      </c>
      <c r="O1392" s="62" t="s">
        <v>44</v>
      </c>
      <c r="P1392" s="62" t="s">
        <v>7165</v>
      </c>
      <c r="Q1392" s="62" t="s">
        <v>7166</v>
      </c>
      <c r="R1392" s="53"/>
      <c r="S1392" s="53"/>
      <c r="T1392" s="82"/>
      <c r="U1392" s="42"/>
      <c r="V1392" s="62"/>
      <c r="W1392" s="64"/>
      <c r="X1392" s="223"/>
      <c r="Y1392" s="223"/>
      <c r="Z1392" s="223"/>
      <c r="AA1392" s="223"/>
    </row>
    <row r="1393">
      <c r="A1393" s="42">
        <f t="shared" si="3"/>
        <v>1392</v>
      </c>
      <c r="B1393" s="51" t="s">
        <v>41</v>
      </c>
      <c r="C1393" s="53" t="s">
        <v>7167</v>
      </c>
      <c r="D1393" s="42" t="s">
        <v>44</v>
      </c>
      <c r="E1393" s="42" t="s">
        <v>44</v>
      </c>
      <c r="F1393" s="53" t="s">
        <v>7168</v>
      </c>
      <c r="G1393" s="53" t="s">
        <v>111</v>
      </c>
      <c r="H1393" s="53" t="s">
        <v>112</v>
      </c>
      <c r="I1393" s="53" t="s">
        <v>401</v>
      </c>
      <c r="J1393" s="53" t="s">
        <v>7169</v>
      </c>
      <c r="K1393" s="53" t="s">
        <v>51</v>
      </c>
      <c r="L1393" s="53" t="s">
        <v>52</v>
      </c>
      <c r="M1393" s="53" t="s">
        <v>52</v>
      </c>
      <c r="N1393" s="62" t="s">
        <v>7170</v>
      </c>
      <c r="O1393" s="62" t="s">
        <v>44</v>
      </c>
      <c r="P1393" s="62" t="s">
        <v>6399</v>
      </c>
      <c r="Q1393" s="62" t="s">
        <v>7171</v>
      </c>
      <c r="R1393" s="53"/>
      <c r="S1393" s="53"/>
      <c r="T1393" s="82"/>
      <c r="U1393" s="42"/>
      <c r="V1393" s="62"/>
      <c r="W1393" s="64"/>
      <c r="X1393" s="223"/>
      <c r="Y1393" s="223"/>
      <c r="Z1393" s="223"/>
      <c r="AA1393" s="223"/>
    </row>
    <row r="1394">
      <c r="A1394" s="42">
        <f t="shared" si="3"/>
        <v>1393</v>
      </c>
      <c r="B1394" s="51" t="s">
        <v>41</v>
      </c>
      <c r="C1394" s="53" t="s">
        <v>7172</v>
      </c>
      <c r="D1394" s="42" t="s">
        <v>44</v>
      </c>
      <c r="E1394" s="42" t="s">
        <v>44</v>
      </c>
      <c r="F1394" s="53" t="s">
        <v>7168</v>
      </c>
      <c r="G1394" s="53" t="s">
        <v>47</v>
      </c>
      <c r="H1394" s="53" t="s">
        <v>48</v>
      </c>
      <c r="I1394" s="53" t="s">
        <v>401</v>
      </c>
      <c r="J1394" s="53" t="s">
        <v>7169</v>
      </c>
      <c r="K1394" s="53" t="s">
        <v>51</v>
      </c>
      <c r="L1394" s="53" t="s">
        <v>52</v>
      </c>
      <c r="M1394" s="53" t="s">
        <v>52</v>
      </c>
      <c r="N1394" s="62" t="s">
        <v>7173</v>
      </c>
      <c r="O1394" s="62" t="s">
        <v>44</v>
      </c>
      <c r="P1394" s="62" t="s">
        <v>5384</v>
      </c>
      <c r="Q1394" s="62" t="s">
        <v>6977</v>
      </c>
      <c r="R1394" s="53"/>
      <c r="S1394" s="53"/>
      <c r="T1394" s="82"/>
      <c r="U1394" s="42"/>
      <c r="V1394" s="62"/>
      <c r="W1394" s="64"/>
      <c r="X1394" s="223"/>
      <c r="Y1394" s="223"/>
      <c r="Z1394" s="223"/>
      <c r="AA1394" s="223"/>
    </row>
    <row r="1395">
      <c r="A1395" s="42">
        <f t="shared" si="3"/>
        <v>1394</v>
      </c>
      <c r="B1395" s="51" t="s">
        <v>41</v>
      </c>
      <c r="C1395" s="53" t="s">
        <v>7174</v>
      </c>
      <c r="D1395" s="42" t="s">
        <v>44</v>
      </c>
      <c r="E1395" s="42" t="s">
        <v>44</v>
      </c>
      <c r="F1395" s="53" t="s">
        <v>7168</v>
      </c>
      <c r="G1395" s="53" t="s">
        <v>47</v>
      </c>
      <c r="H1395" s="53" t="s">
        <v>48</v>
      </c>
      <c r="I1395" s="53" t="s">
        <v>401</v>
      </c>
      <c r="J1395" s="53" t="s">
        <v>7169</v>
      </c>
      <c r="K1395" s="53" t="s">
        <v>51</v>
      </c>
      <c r="L1395" s="53" t="s">
        <v>52</v>
      </c>
      <c r="M1395" s="53" t="s">
        <v>52</v>
      </c>
      <c r="N1395" s="62" t="s">
        <v>7173</v>
      </c>
      <c r="O1395" s="62" t="s">
        <v>44</v>
      </c>
      <c r="P1395" s="62" t="s">
        <v>5389</v>
      </c>
      <c r="Q1395" s="62" t="s">
        <v>7175</v>
      </c>
      <c r="R1395" s="53"/>
      <c r="S1395" s="53"/>
      <c r="T1395" s="82"/>
      <c r="U1395" s="42"/>
      <c r="V1395" s="62"/>
      <c r="W1395" s="64"/>
      <c r="X1395" s="223"/>
      <c r="Y1395" s="223"/>
      <c r="Z1395" s="223"/>
      <c r="AA1395" s="223"/>
    </row>
    <row r="1396">
      <c r="A1396" s="42">
        <f t="shared" si="3"/>
        <v>1395</v>
      </c>
      <c r="B1396" s="51" t="s">
        <v>41</v>
      </c>
      <c r="C1396" s="53" t="s">
        <v>7176</v>
      </c>
      <c r="D1396" s="42" t="s">
        <v>44</v>
      </c>
      <c r="E1396" s="42" t="s">
        <v>44</v>
      </c>
      <c r="F1396" s="53" t="s">
        <v>7168</v>
      </c>
      <c r="G1396" s="53" t="s">
        <v>47</v>
      </c>
      <c r="H1396" s="53" t="s">
        <v>48</v>
      </c>
      <c r="I1396" s="53" t="s">
        <v>401</v>
      </c>
      <c r="J1396" s="53" t="s">
        <v>7169</v>
      </c>
      <c r="K1396" s="53" t="s">
        <v>51</v>
      </c>
      <c r="L1396" s="53" t="s">
        <v>52</v>
      </c>
      <c r="M1396" s="53" t="s">
        <v>52</v>
      </c>
      <c r="N1396" s="62" t="s">
        <v>7173</v>
      </c>
      <c r="O1396" s="62" t="s">
        <v>44</v>
      </c>
      <c r="P1396" s="62" t="s">
        <v>6573</v>
      </c>
      <c r="Q1396" s="62" t="s">
        <v>6574</v>
      </c>
      <c r="R1396" s="53"/>
      <c r="S1396" s="53"/>
      <c r="T1396" s="82"/>
      <c r="U1396" s="42"/>
      <c r="V1396" s="62"/>
      <c r="W1396" s="64"/>
      <c r="X1396" s="223"/>
      <c r="Y1396" s="223"/>
      <c r="Z1396" s="223"/>
      <c r="AA1396" s="223"/>
    </row>
    <row r="1397">
      <c r="A1397" s="42">
        <f t="shared" si="3"/>
        <v>1396</v>
      </c>
      <c r="B1397" s="51" t="s">
        <v>41</v>
      </c>
      <c r="C1397" s="53" t="s">
        <v>7177</v>
      </c>
      <c r="D1397" s="42" t="s">
        <v>44</v>
      </c>
      <c r="E1397" s="42" t="s">
        <v>44</v>
      </c>
      <c r="F1397" s="53" t="s">
        <v>7168</v>
      </c>
      <c r="G1397" s="53" t="s">
        <v>47</v>
      </c>
      <c r="H1397" s="53" t="s">
        <v>48</v>
      </c>
      <c r="I1397" s="53" t="s">
        <v>401</v>
      </c>
      <c r="J1397" s="53" t="s">
        <v>7169</v>
      </c>
      <c r="K1397" s="53" t="s">
        <v>51</v>
      </c>
      <c r="L1397" s="53" t="s">
        <v>52</v>
      </c>
      <c r="M1397" s="53" t="s">
        <v>52</v>
      </c>
      <c r="N1397" s="62" t="s">
        <v>7173</v>
      </c>
      <c r="O1397" s="62" t="s">
        <v>44</v>
      </c>
      <c r="P1397" s="62" t="s">
        <v>6982</v>
      </c>
      <c r="Q1397" s="62" t="s">
        <v>6983</v>
      </c>
      <c r="R1397" s="53"/>
      <c r="S1397" s="53"/>
      <c r="T1397" s="82"/>
      <c r="U1397" s="42"/>
      <c r="V1397" s="62"/>
      <c r="W1397" s="64"/>
      <c r="X1397" s="223"/>
      <c r="Y1397" s="223"/>
      <c r="Z1397" s="223"/>
      <c r="AA1397" s="223"/>
    </row>
    <row r="1398">
      <c r="A1398" s="42">
        <f t="shared" si="3"/>
        <v>1397</v>
      </c>
      <c r="B1398" s="51" t="s">
        <v>41</v>
      </c>
      <c r="C1398" s="53" t="s">
        <v>7178</v>
      </c>
      <c r="D1398" s="42" t="s">
        <v>44</v>
      </c>
      <c r="E1398" s="42" t="s">
        <v>44</v>
      </c>
      <c r="F1398" s="53" t="s">
        <v>7168</v>
      </c>
      <c r="G1398" s="53" t="s">
        <v>47</v>
      </c>
      <c r="H1398" s="53" t="s">
        <v>48</v>
      </c>
      <c r="I1398" s="53" t="s">
        <v>401</v>
      </c>
      <c r="J1398" s="53" t="s">
        <v>7169</v>
      </c>
      <c r="K1398" s="53" t="s">
        <v>51</v>
      </c>
      <c r="L1398" s="53" t="s">
        <v>52</v>
      </c>
      <c r="M1398" s="53" t="s">
        <v>52</v>
      </c>
      <c r="N1398" s="62" t="s">
        <v>7173</v>
      </c>
      <c r="O1398" s="62" t="s">
        <v>44</v>
      </c>
      <c r="P1398" s="62" t="s">
        <v>6082</v>
      </c>
      <c r="Q1398" s="62" t="s">
        <v>6083</v>
      </c>
      <c r="R1398" s="53"/>
      <c r="S1398" s="53"/>
      <c r="T1398" s="82"/>
      <c r="U1398" s="42"/>
      <c r="V1398" s="62"/>
      <c r="W1398" s="64"/>
      <c r="X1398" s="223"/>
      <c r="Y1398" s="223"/>
      <c r="Z1398" s="223"/>
      <c r="AA1398" s="223"/>
    </row>
    <row r="1399">
      <c r="A1399" s="42">
        <f t="shared" si="3"/>
        <v>1398</v>
      </c>
      <c r="B1399" s="51" t="s">
        <v>41</v>
      </c>
      <c r="C1399" s="53" t="s">
        <v>7179</v>
      </c>
      <c r="D1399" s="42" t="s">
        <v>44</v>
      </c>
      <c r="E1399" s="42" t="s">
        <v>44</v>
      </c>
      <c r="F1399" s="53" t="s">
        <v>7168</v>
      </c>
      <c r="G1399" s="53" t="s">
        <v>47</v>
      </c>
      <c r="H1399" s="53" t="s">
        <v>48</v>
      </c>
      <c r="I1399" s="53" t="s">
        <v>401</v>
      </c>
      <c r="J1399" s="53" t="s">
        <v>7169</v>
      </c>
      <c r="K1399" s="53" t="s">
        <v>51</v>
      </c>
      <c r="L1399" s="53" t="s">
        <v>52</v>
      </c>
      <c r="M1399" s="53" t="s">
        <v>52</v>
      </c>
      <c r="N1399" s="62" t="s">
        <v>7173</v>
      </c>
      <c r="O1399" s="62" t="s">
        <v>44</v>
      </c>
      <c r="P1399" s="62" t="s">
        <v>6085</v>
      </c>
      <c r="Q1399" s="62" t="s">
        <v>6241</v>
      </c>
      <c r="R1399" s="53"/>
      <c r="S1399" s="53"/>
      <c r="T1399" s="82"/>
      <c r="U1399" s="42"/>
      <c r="V1399" s="62"/>
      <c r="W1399" s="64"/>
      <c r="X1399" s="223"/>
      <c r="Y1399" s="223"/>
      <c r="Z1399" s="223"/>
      <c r="AA1399" s="223"/>
    </row>
    <row r="1400">
      <c r="A1400" s="42">
        <f t="shared" si="3"/>
        <v>1399</v>
      </c>
      <c r="B1400" s="51" t="s">
        <v>41</v>
      </c>
      <c r="C1400" s="53" t="s">
        <v>7180</v>
      </c>
      <c r="D1400" s="42" t="s">
        <v>44</v>
      </c>
      <c r="E1400" s="42" t="s">
        <v>44</v>
      </c>
      <c r="F1400" s="53" t="s">
        <v>7168</v>
      </c>
      <c r="G1400" s="53" t="s">
        <v>47</v>
      </c>
      <c r="H1400" s="53" t="s">
        <v>48</v>
      </c>
      <c r="I1400" s="53" t="s">
        <v>401</v>
      </c>
      <c r="J1400" s="53" t="s">
        <v>7169</v>
      </c>
      <c r="K1400" s="53" t="s">
        <v>51</v>
      </c>
      <c r="L1400" s="53" t="s">
        <v>52</v>
      </c>
      <c r="M1400" s="53" t="s">
        <v>52</v>
      </c>
      <c r="N1400" s="62" t="s">
        <v>7181</v>
      </c>
      <c r="O1400" s="62" t="s">
        <v>44</v>
      </c>
      <c r="P1400" s="62" t="s">
        <v>6429</v>
      </c>
      <c r="Q1400" s="62" t="s">
        <v>6430</v>
      </c>
      <c r="R1400" s="53"/>
      <c r="S1400" s="53"/>
      <c r="T1400" s="82"/>
      <c r="U1400" s="42"/>
      <c r="V1400" s="62"/>
      <c r="W1400" s="64"/>
      <c r="X1400" s="223"/>
      <c r="Y1400" s="223"/>
      <c r="Z1400" s="223"/>
      <c r="AA1400" s="223"/>
    </row>
    <row r="1401">
      <c r="A1401" s="42">
        <f t="shared" si="3"/>
        <v>1400</v>
      </c>
      <c r="B1401" s="51" t="s">
        <v>41</v>
      </c>
      <c r="C1401" s="53" t="s">
        <v>7182</v>
      </c>
      <c r="D1401" s="42" t="s">
        <v>44</v>
      </c>
      <c r="E1401" s="42" t="s">
        <v>44</v>
      </c>
      <c r="F1401" s="53" t="s">
        <v>7168</v>
      </c>
      <c r="G1401" s="53" t="s">
        <v>47</v>
      </c>
      <c r="H1401" s="53" t="s">
        <v>48</v>
      </c>
      <c r="I1401" s="53" t="s">
        <v>401</v>
      </c>
      <c r="J1401" s="53" t="s">
        <v>7169</v>
      </c>
      <c r="K1401" s="53" t="s">
        <v>51</v>
      </c>
      <c r="L1401" s="53" t="s">
        <v>52</v>
      </c>
      <c r="M1401" s="53" t="s">
        <v>52</v>
      </c>
      <c r="N1401" s="62" t="s">
        <v>7173</v>
      </c>
      <c r="O1401" s="62" t="s">
        <v>44</v>
      </c>
      <c r="P1401" s="62" t="s">
        <v>5448</v>
      </c>
      <c r="Q1401" s="62" t="s">
        <v>5763</v>
      </c>
      <c r="R1401" s="53"/>
      <c r="S1401" s="53"/>
      <c r="T1401" s="82"/>
      <c r="U1401" s="42"/>
      <c r="V1401" s="62"/>
      <c r="W1401" s="64"/>
      <c r="X1401" s="223"/>
      <c r="Y1401" s="223"/>
      <c r="Z1401" s="223"/>
      <c r="AA1401" s="223"/>
    </row>
    <row r="1402">
      <c r="A1402" s="42">
        <f t="shared" si="3"/>
        <v>1401</v>
      </c>
      <c r="B1402" s="51" t="s">
        <v>41</v>
      </c>
      <c r="C1402" s="53" t="s">
        <v>7183</v>
      </c>
      <c r="D1402" s="42" t="s">
        <v>44</v>
      </c>
      <c r="E1402" s="42" t="s">
        <v>44</v>
      </c>
      <c r="F1402" s="53" t="s">
        <v>7168</v>
      </c>
      <c r="G1402" s="53" t="s">
        <v>47</v>
      </c>
      <c r="H1402" s="53" t="s">
        <v>48</v>
      </c>
      <c r="I1402" s="53" t="s">
        <v>401</v>
      </c>
      <c r="J1402" s="53" t="s">
        <v>7169</v>
      </c>
      <c r="K1402" s="53" t="s">
        <v>51</v>
      </c>
      <c r="L1402" s="53" t="s">
        <v>52</v>
      </c>
      <c r="M1402" s="53" t="s">
        <v>52</v>
      </c>
      <c r="N1402" s="62" t="s">
        <v>7173</v>
      </c>
      <c r="O1402" s="62" t="s">
        <v>44</v>
      </c>
      <c r="P1402" s="62" t="s">
        <v>6953</v>
      </c>
      <c r="Q1402" s="62" t="s">
        <v>6954</v>
      </c>
      <c r="R1402" s="53"/>
      <c r="S1402" s="53"/>
      <c r="T1402" s="82"/>
      <c r="U1402" s="42"/>
      <c r="V1402" s="62"/>
      <c r="W1402" s="64"/>
      <c r="X1402" s="223"/>
      <c r="Y1402" s="223"/>
      <c r="Z1402" s="223"/>
      <c r="AA1402" s="223"/>
    </row>
    <row r="1403">
      <c r="A1403" s="42">
        <f t="shared" si="3"/>
        <v>1402</v>
      </c>
      <c r="B1403" s="51" t="s">
        <v>41</v>
      </c>
      <c r="C1403" s="53" t="s">
        <v>7184</v>
      </c>
      <c r="D1403" s="42" t="s">
        <v>44</v>
      </c>
      <c r="E1403" s="42" t="s">
        <v>44</v>
      </c>
      <c r="F1403" s="53" t="s">
        <v>7168</v>
      </c>
      <c r="G1403" s="53" t="s">
        <v>47</v>
      </c>
      <c r="H1403" s="53" t="s">
        <v>48</v>
      </c>
      <c r="I1403" s="53" t="s">
        <v>401</v>
      </c>
      <c r="J1403" s="53" t="s">
        <v>7169</v>
      </c>
      <c r="K1403" s="53" t="s">
        <v>51</v>
      </c>
      <c r="L1403" s="53" t="s">
        <v>52</v>
      </c>
      <c r="M1403" s="53" t="s">
        <v>52</v>
      </c>
      <c r="N1403" s="62" t="s">
        <v>7173</v>
      </c>
      <c r="O1403" s="62" t="s">
        <v>44</v>
      </c>
      <c r="P1403" s="62" t="s">
        <v>1009</v>
      </c>
      <c r="Q1403" s="62" t="s">
        <v>6956</v>
      </c>
      <c r="R1403" s="53"/>
      <c r="S1403" s="53"/>
      <c r="T1403" s="82"/>
      <c r="U1403" s="42"/>
      <c r="V1403" s="62"/>
      <c r="W1403" s="64"/>
      <c r="X1403" s="223"/>
      <c r="Y1403" s="223"/>
      <c r="Z1403" s="223"/>
      <c r="AA1403" s="223"/>
    </row>
    <row r="1404">
      <c r="A1404" s="42">
        <f t="shared" si="3"/>
        <v>1403</v>
      </c>
      <c r="B1404" s="51" t="s">
        <v>41</v>
      </c>
      <c r="C1404" s="53" t="s">
        <v>7185</v>
      </c>
      <c r="D1404" s="42" t="s">
        <v>44</v>
      </c>
      <c r="E1404" s="42" t="s">
        <v>44</v>
      </c>
      <c r="F1404" s="53" t="s">
        <v>7168</v>
      </c>
      <c r="G1404" s="53" t="s">
        <v>47</v>
      </c>
      <c r="H1404" s="53" t="s">
        <v>48</v>
      </c>
      <c r="I1404" s="53" t="s">
        <v>401</v>
      </c>
      <c r="J1404" s="53" t="s">
        <v>7169</v>
      </c>
      <c r="K1404" s="53" t="s">
        <v>51</v>
      </c>
      <c r="L1404" s="53" t="s">
        <v>52</v>
      </c>
      <c r="M1404" s="53" t="s">
        <v>52</v>
      </c>
      <c r="N1404" s="62" t="s">
        <v>7173</v>
      </c>
      <c r="O1404" s="62" t="s">
        <v>44</v>
      </c>
      <c r="P1404" s="62" t="s">
        <v>7186</v>
      </c>
      <c r="Q1404" s="62" t="s">
        <v>7002</v>
      </c>
      <c r="R1404" s="53"/>
      <c r="S1404" s="53"/>
      <c r="T1404" s="82"/>
      <c r="U1404" s="42"/>
      <c r="V1404" s="62"/>
      <c r="W1404" s="64"/>
      <c r="X1404" s="223"/>
      <c r="Y1404" s="223"/>
      <c r="Z1404" s="223"/>
      <c r="AA1404" s="223"/>
    </row>
    <row r="1405">
      <c r="A1405" s="42">
        <f t="shared" si="3"/>
        <v>1404</v>
      </c>
      <c r="B1405" s="51" t="s">
        <v>41</v>
      </c>
      <c r="C1405" s="53" t="s">
        <v>7187</v>
      </c>
      <c r="D1405" s="42" t="s">
        <v>44</v>
      </c>
      <c r="E1405" s="42" t="s">
        <v>44</v>
      </c>
      <c r="F1405" s="53" t="s">
        <v>7168</v>
      </c>
      <c r="G1405" s="53" t="s">
        <v>47</v>
      </c>
      <c r="H1405" s="53" t="s">
        <v>48</v>
      </c>
      <c r="I1405" s="53" t="s">
        <v>401</v>
      </c>
      <c r="J1405" s="53" t="s">
        <v>7169</v>
      </c>
      <c r="K1405" s="53" t="s">
        <v>51</v>
      </c>
      <c r="L1405" s="53" t="s">
        <v>52</v>
      </c>
      <c r="M1405" s="53" t="s">
        <v>52</v>
      </c>
      <c r="N1405" s="62" t="s">
        <v>7173</v>
      </c>
      <c r="O1405" s="62" t="s">
        <v>44</v>
      </c>
      <c r="P1405" s="62" t="s">
        <v>7188</v>
      </c>
      <c r="Q1405" s="62" t="s">
        <v>7008</v>
      </c>
      <c r="R1405" s="53"/>
      <c r="S1405" s="53"/>
      <c r="T1405" s="82"/>
      <c r="U1405" s="42"/>
      <c r="V1405" s="62"/>
      <c r="W1405" s="64"/>
      <c r="X1405" s="223"/>
      <c r="Y1405" s="223"/>
      <c r="Z1405" s="223"/>
      <c r="AA1405" s="223"/>
    </row>
    <row r="1406">
      <c r="A1406" s="42">
        <f t="shared" si="3"/>
        <v>1405</v>
      </c>
      <c r="B1406" s="51" t="s">
        <v>41</v>
      </c>
      <c r="C1406" s="53" t="s">
        <v>7189</v>
      </c>
      <c r="D1406" s="42" t="s">
        <v>44</v>
      </c>
      <c r="E1406" s="42" t="s">
        <v>44</v>
      </c>
      <c r="F1406" s="53" t="s">
        <v>7168</v>
      </c>
      <c r="G1406" s="53" t="s">
        <v>47</v>
      </c>
      <c r="H1406" s="53" t="s">
        <v>48</v>
      </c>
      <c r="I1406" s="53" t="s">
        <v>401</v>
      </c>
      <c r="J1406" s="53" t="s">
        <v>7169</v>
      </c>
      <c r="K1406" s="53" t="s">
        <v>51</v>
      </c>
      <c r="L1406" s="53" t="s">
        <v>52</v>
      </c>
      <c r="M1406" s="53" t="s">
        <v>52</v>
      </c>
      <c r="N1406" s="62" t="s">
        <v>7173</v>
      </c>
      <c r="O1406" s="62" t="s">
        <v>44</v>
      </c>
      <c r="P1406" s="62" t="s">
        <v>7190</v>
      </c>
      <c r="Q1406" s="62" t="s">
        <v>7044</v>
      </c>
      <c r="R1406" s="53"/>
      <c r="S1406" s="53"/>
      <c r="T1406" s="82"/>
      <c r="U1406" s="42"/>
      <c r="V1406" s="62"/>
      <c r="W1406" s="64"/>
      <c r="X1406" s="223"/>
      <c r="Y1406" s="223"/>
      <c r="Z1406" s="223"/>
      <c r="AA1406" s="223"/>
    </row>
    <row r="1407">
      <c r="A1407" s="42">
        <f t="shared" si="3"/>
        <v>1406</v>
      </c>
      <c r="B1407" s="51" t="s">
        <v>41</v>
      </c>
      <c r="C1407" s="53" t="s">
        <v>7191</v>
      </c>
      <c r="D1407" s="42" t="s">
        <v>44</v>
      </c>
      <c r="E1407" s="42" t="s">
        <v>44</v>
      </c>
      <c r="F1407" s="53" t="s">
        <v>7168</v>
      </c>
      <c r="G1407" s="53" t="s">
        <v>47</v>
      </c>
      <c r="H1407" s="53" t="s">
        <v>48</v>
      </c>
      <c r="I1407" s="53" t="s">
        <v>401</v>
      </c>
      <c r="J1407" s="53" t="s">
        <v>7169</v>
      </c>
      <c r="K1407" s="53" t="s">
        <v>51</v>
      </c>
      <c r="L1407" s="53" t="s">
        <v>52</v>
      </c>
      <c r="M1407" s="53" t="s">
        <v>52</v>
      </c>
      <c r="N1407" s="62" t="s">
        <v>7192</v>
      </c>
      <c r="O1407" s="62" t="s">
        <v>44</v>
      </c>
      <c r="P1407" s="62" t="s">
        <v>7193</v>
      </c>
      <c r="Q1407" s="62" t="s">
        <v>7194</v>
      </c>
      <c r="R1407" s="53"/>
      <c r="S1407" s="53"/>
      <c r="T1407" s="82"/>
      <c r="U1407" s="42"/>
      <c r="V1407" s="62"/>
      <c r="W1407" s="64"/>
      <c r="X1407" s="223"/>
      <c r="Y1407" s="223"/>
      <c r="Z1407" s="223"/>
      <c r="AA1407" s="223"/>
    </row>
    <row r="1408">
      <c r="A1408" s="42">
        <f t="shared" si="3"/>
        <v>1407</v>
      </c>
      <c r="B1408" s="51" t="s">
        <v>41</v>
      </c>
      <c r="C1408" s="53" t="s">
        <v>7195</v>
      </c>
      <c r="D1408" s="42" t="s">
        <v>44</v>
      </c>
      <c r="E1408" s="42" t="s">
        <v>44</v>
      </c>
      <c r="F1408" s="53" t="s">
        <v>7168</v>
      </c>
      <c r="G1408" s="53" t="s">
        <v>47</v>
      </c>
      <c r="H1408" s="53" t="s">
        <v>48</v>
      </c>
      <c r="I1408" s="53" t="s">
        <v>401</v>
      </c>
      <c r="J1408" s="53" t="s">
        <v>7169</v>
      </c>
      <c r="K1408" s="53" t="s">
        <v>51</v>
      </c>
      <c r="L1408" s="53" t="s">
        <v>52</v>
      </c>
      <c r="M1408" s="53" t="s">
        <v>52</v>
      </c>
      <c r="N1408" s="62" t="s">
        <v>7196</v>
      </c>
      <c r="O1408" s="62" t="s">
        <v>44</v>
      </c>
      <c r="P1408" s="62" t="s">
        <v>7197</v>
      </c>
      <c r="Q1408" s="62" t="s">
        <v>7198</v>
      </c>
      <c r="R1408" s="53"/>
      <c r="S1408" s="53"/>
      <c r="T1408" s="82"/>
      <c r="U1408" s="42"/>
      <c r="V1408" s="62"/>
      <c r="W1408" s="64"/>
      <c r="X1408" s="223"/>
      <c r="Y1408" s="223"/>
      <c r="Z1408" s="223"/>
      <c r="AA1408" s="223"/>
    </row>
    <row r="1409">
      <c r="A1409" s="42">
        <f t="shared" si="3"/>
        <v>1408</v>
      </c>
      <c r="B1409" s="51" t="s">
        <v>41</v>
      </c>
      <c r="C1409" s="53" t="s">
        <v>7199</v>
      </c>
      <c r="D1409" s="42" t="s">
        <v>44</v>
      </c>
      <c r="E1409" s="42" t="s">
        <v>44</v>
      </c>
      <c r="F1409" s="53" t="s">
        <v>7168</v>
      </c>
      <c r="G1409" s="53" t="s">
        <v>47</v>
      </c>
      <c r="H1409" s="53" t="s">
        <v>48</v>
      </c>
      <c r="I1409" s="53" t="s">
        <v>401</v>
      </c>
      <c r="J1409" s="53" t="s">
        <v>7169</v>
      </c>
      <c r="K1409" s="53" t="s">
        <v>51</v>
      </c>
      <c r="L1409" s="53" t="s">
        <v>52</v>
      </c>
      <c r="M1409" s="53" t="s">
        <v>52</v>
      </c>
      <c r="N1409" s="62" t="s">
        <v>7173</v>
      </c>
      <c r="O1409" s="62" t="s">
        <v>44</v>
      </c>
      <c r="P1409" s="62" t="s">
        <v>7200</v>
      </c>
      <c r="Q1409" s="62" t="s">
        <v>7201</v>
      </c>
      <c r="R1409" s="53"/>
      <c r="S1409" s="53"/>
      <c r="T1409" s="82"/>
      <c r="U1409" s="42"/>
      <c r="V1409" s="62"/>
      <c r="W1409" s="64"/>
      <c r="X1409" s="223"/>
      <c r="Y1409" s="223"/>
      <c r="Z1409" s="223"/>
      <c r="AA1409" s="223"/>
    </row>
    <row r="1410">
      <c r="A1410" s="42">
        <f t="shared" si="3"/>
        <v>1409</v>
      </c>
      <c r="B1410" s="51" t="s">
        <v>41</v>
      </c>
      <c r="C1410" s="53" t="s">
        <v>7202</v>
      </c>
      <c r="D1410" s="42" t="s">
        <v>44</v>
      </c>
      <c r="E1410" s="42" t="s">
        <v>44</v>
      </c>
      <c r="F1410" s="53" t="s">
        <v>7168</v>
      </c>
      <c r="G1410" s="53" t="s">
        <v>47</v>
      </c>
      <c r="H1410" s="53" t="s">
        <v>48</v>
      </c>
      <c r="I1410" s="53" t="s">
        <v>401</v>
      </c>
      <c r="J1410" s="53" t="s">
        <v>7169</v>
      </c>
      <c r="K1410" s="53" t="s">
        <v>51</v>
      </c>
      <c r="L1410" s="53" t="s">
        <v>52</v>
      </c>
      <c r="M1410" s="53" t="s">
        <v>52</v>
      </c>
      <c r="N1410" s="62" t="s">
        <v>7173</v>
      </c>
      <c r="O1410" s="62" t="s">
        <v>44</v>
      </c>
      <c r="P1410" s="62" t="s">
        <v>7203</v>
      </c>
      <c r="Q1410" s="62" t="s">
        <v>7204</v>
      </c>
      <c r="R1410" s="53"/>
      <c r="S1410" s="53"/>
      <c r="T1410" s="82"/>
      <c r="U1410" s="42"/>
      <c r="V1410" s="62"/>
      <c r="W1410" s="64"/>
      <c r="X1410" s="223"/>
      <c r="Y1410" s="223"/>
      <c r="Z1410" s="223"/>
      <c r="AA1410" s="223"/>
    </row>
    <row r="1411">
      <c r="A1411" s="42">
        <f t="shared" si="3"/>
        <v>1410</v>
      </c>
      <c r="B1411" s="51" t="s">
        <v>41</v>
      </c>
      <c r="C1411" s="53" t="s">
        <v>7205</v>
      </c>
      <c r="D1411" s="42" t="s">
        <v>44</v>
      </c>
      <c r="E1411" s="42" t="s">
        <v>44</v>
      </c>
      <c r="F1411" s="53" t="s">
        <v>7168</v>
      </c>
      <c r="G1411" s="53" t="s">
        <v>47</v>
      </c>
      <c r="H1411" s="53" t="s">
        <v>48</v>
      </c>
      <c r="I1411" s="53" t="s">
        <v>401</v>
      </c>
      <c r="J1411" s="53" t="s">
        <v>7169</v>
      </c>
      <c r="K1411" s="53" t="s">
        <v>51</v>
      </c>
      <c r="L1411" s="53" t="s">
        <v>52</v>
      </c>
      <c r="M1411" s="53" t="s">
        <v>52</v>
      </c>
      <c r="N1411" s="62" t="s">
        <v>7173</v>
      </c>
      <c r="O1411" s="62" t="s">
        <v>44</v>
      </c>
      <c r="P1411" s="62" t="s">
        <v>7206</v>
      </c>
      <c r="Q1411" s="62" t="s">
        <v>7207</v>
      </c>
      <c r="R1411" s="53"/>
      <c r="S1411" s="53"/>
      <c r="T1411" s="82"/>
      <c r="U1411" s="42"/>
      <c r="V1411" s="62"/>
      <c r="W1411" s="64"/>
      <c r="X1411" s="223"/>
      <c r="Y1411" s="223"/>
      <c r="Z1411" s="223"/>
      <c r="AA1411" s="223"/>
    </row>
    <row r="1412">
      <c r="A1412" s="42">
        <f t="shared" si="3"/>
        <v>1411</v>
      </c>
      <c r="B1412" s="51" t="s">
        <v>41</v>
      </c>
      <c r="C1412" s="53" t="s">
        <v>7208</v>
      </c>
      <c r="D1412" s="42" t="s">
        <v>44</v>
      </c>
      <c r="E1412" s="42" t="s">
        <v>44</v>
      </c>
      <c r="F1412" s="53" t="s">
        <v>7168</v>
      </c>
      <c r="G1412" s="53" t="s">
        <v>47</v>
      </c>
      <c r="H1412" s="53" t="s">
        <v>48</v>
      </c>
      <c r="I1412" s="53" t="s">
        <v>401</v>
      </c>
      <c r="J1412" s="53" t="s">
        <v>7169</v>
      </c>
      <c r="K1412" s="53" t="s">
        <v>51</v>
      </c>
      <c r="L1412" s="53" t="s">
        <v>52</v>
      </c>
      <c r="M1412" s="53" t="s">
        <v>52</v>
      </c>
      <c r="N1412" s="62" t="s">
        <v>7173</v>
      </c>
      <c r="O1412" s="62" t="s">
        <v>44</v>
      </c>
      <c r="P1412" s="62" t="s">
        <v>7209</v>
      </c>
      <c r="Q1412" s="62" t="s">
        <v>7210</v>
      </c>
      <c r="R1412" s="53"/>
      <c r="S1412" s="53"/>
      <c r="T1412" s="82"/>
      <c r="U1412" s="42"/>
      <c r="V1412" s="62"/>
      <c r="W1412" s="64"/>
      <c r="X1412" s="223"/>
      <c r="Y1412" s="223"/>
      <c r="Z1412" s="223"/>
      <c r="AA1412" s="223"/>
    </row>
    <row r="1413">
      <c r="A1413" s="42">
        <f t="shared" si="3"/>
        <v>1412</v>
      </c>
      <c r="B1413" s="51" t="s">
        <v>41</v>
      </c>
      <c r="C1413" s="53" t="s">
        <v>7211</v>
      </c>
      <c r="D1413" s="42" t="s">
        <v>44</v>
      </c>
      <c r="E1413" s="42" t="s">
        <v>44</v>
      </c>
      <c r="F1413" s="53" t="s">
        <v>6810</v>
      </c>
      <c r="G1413" s="53" t="s">
        <v>47</v>
      </c>
      <c r="H1413" s="53" t="s">
        <v>48</v>
      </c>
      <c r="I1413" s="53" t="s">
        <v>401</v>
      </c>
      <c r="J1413" s="53" t="s">
        <v>6811</v>
      </c>
      <c r="K1413" s="53" t="s">
        <v>1615</v>
      </c>
      <c r="L1413" s="53" t="s">
        <v>52</v>
      </c>
      <c r="M1413" s="53" t="s">
        <v>52</v>
      </c>
      <c r="N1413" s="62" t="s">
        <v>7212</v>
      </c>
      <c r="O1413" s="62" t="s">
        <v>44</v>
      </c>
      <c r="P1413" s="62" t="s">
        <v>6807</v>
      </c>
      <c r="Q1413" s="62" t="s">
        <v>7213</v>
      </c>
      <c r="R1413" s="53"/>
      <c r="S1413" s="53"/>
      <c r="T1413" s="82"/>
      <c r="U1413" s="42"/>
      <c r="V1413" s="62"/>
      <c r="W1413" s="64"/>
      <c r="X1413" s="223"/>
      <c r="Y1413" s="223"/>
      <c r="Z1413" s="223"/>
      <c r="AA1413" s="223"/>
    </row>
    <row r="1414">
      <c r="A1414" s="42">
        <f t="shared" si="3"/>
        <v>1413</v>
      </c>
      <c r="B1414" s="51" t="s">
        <v>41</v>
      </c>
      <c r="C1414" s="53" t="s">
        <v>7214</v>
      </c>
      <c r="D1414" s="42" t="s">
        <v>44</v>
      </c>
      <c r="E1414" s="42" t="s">
        <v>44</v>
      </c>
      <c r="F1414" s="53" t="s">
        <v>7215</v>
      </c>
      <c r="G1414" s="53" t="s">
        <v>111</v>
      </c>
      <c r="H1414" s="53" t="s">
        <v>112</v>
      </c>
      <c r="I1414" s="53" t="s">
        <v>401</v>
      </c>
      <c r="J1414" s="53" t="s">
        <v>7216</v>
      </c>
      <c r="K1414" s="53" t="s">
        <v>927</v>
      </c>
      <c r="L1414" s="53" t="s">
        <v>52</v>
      </c>
      <c r="M1414" s="53" t="s">
        <v>52</v>
      </c>
      <c r="N1414" s="62" t="s">
        <v>7217</v>
      </c>
      <c r="O1414" s="62" t="s">
        <v>44</v>
      </c>
      <c r="P1414" s="62" t="s">
        <v>6399</v>
      </c>
      <c r="Q1414" s="62" t="s">
        <v>7218</v>
      </c>
      <c r="R1414" s="53"/>
      <c r="S1414" s="53"/>
      <c r="T1414" s="82"/>
      <c r="U1414" s="42"/>
      <c r="V1414" s="62"/>
      <c r="W1414" s="64"/>
      <c r="X1414" s="223"/>
      <c r="Y1414" s="223"/>
      <c r="Z1414" s="223"/>
      <c r="AA1414" s="223"/>
    </row>
    <row r="1415">
      <c r="A1415" s="42">
        <f t="shared" si="3"/>
        <v>1414</v>
      </c>
      <c r="B1415" s="51" t="s">
        <v>41</v>
      </c>
      <c r="C1415" s="53" t="s">
        <v>7219</v>
      </c>
      <c r="D1415" s="42" t="s">
        <v>44</v>
      </c>
      <c r="E1415" s="42" t="s">
        <v>44</v>
      </c>
      <c r="F1415" s="53" t="s">
        <v>7215</v>
      </c>
      <c r="G1415" s="53" t="s">
        <v>47</v>
      </c>
      <c r="H1415" s="53" t="s">
        <v>48</v>
      </c>
      <c r="I1415" s="53" t="s">
        <v>401</v>
      </c>
      <c r="J1415" s="53" t="s">
        <v>7216</v>
      </c>
      <c r="K1415" s="53" t="s">
        <v>927</v>
      </c>
      <c r="L1415" s="53" t="s">
        <v>52</v>
      </c>
      <c r="M1415" s="53" t="s">
        <v>52</v>
      </c>
      <c r="N1415" s="62" t="s">
        <v>7217</v>
      </c>
      <c r="O1415" s="62" t="s">
        <v>44</v>
      </c>
      <c r="P1415" s="62" t="s">
        <v>5384</v>
      </c>
      <c r="Q1415" s="62" t="s">
        <v>6402</v>
      </c>
      <c r="R1415" s="53"/>
      <c r="S1415" s="53"/>
      <c r="T1415" s="82"/>
      <c r="U1415" s="42"/>
      <c r="V1415" s="62"/>
      <c r="W1415" s="64"/>
      <c r="X1415" s="223"/>
      <c r="Y1415" s="223"/>
      <c r="Z1415" s="223"/>
      <c r="AA1415" s="223"/>
    </row>
    <row r="1416">
      <c r="A1416" s="42">
        <f t="shared" si="3"/>
        <v>1415</v>
      </c>
      <c r="B1416" s="51" t="s">
        <v>41</v>
      </c>
      <c r="C1416" s="53" t="s">
        <v>7220</v>
      </c>
      <c r="D1416" s="42" t="s">
        <v>44</v>
      </c>
      <c r="E1416" s="42" t="s">
        <v>44</v>
      </c>
      <c r="F1416" s="53" t="s">
        <v>7215</v>
      </c>
      <c r="G1416" s="53" t="s">
        <v>47</v>
      </c>
      <c r="H1416" s="53" t="s">
        <v>48</v>
      </c>
      <c r="I1416" s="53" t="s">
        <v>401</v>
      </c>
      <c r="J1416" s="53" t="s">
        <v>7216</v>
      </c>
      <c r="K1416" s="53" t="s">
        <v>927</v>
      </c>
      <c r="L1416" s="53" t="s">
        <v>52</v>
      </c>
      <c r="M1416" s="53" t="s">
        <v>52</v>
      </c>
      <c r="N1416" s="62" t="s">
        <v>7217</v>
      </c>
      <c r="O1416" s="62" t="s">
        <v>44</v>
      </c>
      <c r="P1416" s="62" t="s">
        <v>5389</v>
      </c>
      <c r="Q1416" s="62" t="s">
        <v>6404</v>
      </c>
      <c r="R1416" s="53"/>
      <c r="S1416" s="53"/>
      <c r="T1416" s="82"/>
      <c r="U1416" s="42"/>
      <c r="V1416" s="62"/>
      <c r="W1416" s="64"/>
      <c r="X1416" s="223"/>
      <c r="Y1416" s="223"/>
      <c r="Z1416" s="223"/>
      <c r="AA1416" s="223"/>
    </row>
    <row r="1417">
      <c r="A1417" s="42">
        <f t="shared" si="3"/>
        <v>1416</v>
      </c>
      <c r="B1417" s="51" t="s">
        <v>41</v>
      </c>
      <c r="C1417" s="53" t="s">
        <v>7221</v>
      </c>
      <c r="D1417" s="42" t="s">
        <v>44</v>
      </c>
      <c r="E1417" s="42" t="s">
        <v>44</v>
      </c>
      <c r="F1417" s="53" t="s">
        <v>7215</v>
      </c>
      <c r="G1417" s="53" t="s">
        <v>47</v>
      </c>
      <c r="H1417" s="53" t="s">
        <v>48</v>
      </c>
      <c r="I1417" s="53" t="s">
        <v>401</v>
      </c>
      <c r="J1417" s="53" t="s">
        <v>7216</v>
      </c>
      <c r="K1417" s="53" t="s">
        <v>927</v>
      </c>
      <c r="L1417" s="53" t="s">
        <v>52</v>
      </c>
      <c r="M1417" s="53" t="s">
        <v>52</v>
      </c>
      <c r="N1417" s="62" t="s">
        <v>7217</v>
      </c>
      <c r="O1417" s="62" t="s">
        <v>44</v>
      </c>
      <c r="P1417" s="62" t="s">
        <v>6406</v>
      </c>
      <c r="Q1417" s="62" t="s">
        <v>6407</v>
      </c>
      <c r="R1417" s="53"/>
      <c r="S1417" s="53"/>
      <c r="T1417" s="82"/>
      <c r="U1417" s="42"/>
      <c r="V1417" s="62"/>
      <c r="W1417" s="64"/>
      <c r="X1417" s="223"/>
      <c r="Y1417" s="223"/>
      <c r="Z1417" s="223"/>
      <c r="AA1417" s="223"/>
    </row>
    <row r="1418">
      <c r="A1418" s="42">
        <f t="shared" si="3"/>
        <v>1417</v>
      </c>
      <c r="B1418" s="51" t="s">
        <v>41</v>
      </c>
      <c r="C1418" s="53" t="s">
        <v>7222</v>
      </c>
      <c r="D1418" s="42" t="s">
        <v>44</v>
      </c>
      <c r="E1418" s="42" t="s">
        <v>44</v>
      </c>
      <c r="F1418" s="53" t="s">
        <v>7215</v>
      </c>
      <c r="G1418" s="53" t="s">
        <v>47</v>
      </c>
      <c r="H1418" s="53" t="s">
        <v>48</v>
      </c>
      <c r="I1418" s="53" t="s">
        <v>401</v>
      </c>
      <c r="J1418" s="53" t="s">
        <v>7216</v>
      </c>
      <c r="K1418" s="53" t="s">
        <v>927</v>
      </c>
      <c r="L1418" s="53" t="s">
        <v>52</v>
      </c>
      <c r="M1418" s="53" t="s">
        <v>52</v>
      </c>
      <c r="N1418" s="62" t="s">
        <v>7217</v>
      </c>
      <c r="O1418" s="62" t="s">
        <v>44</v>
      </c>
      <c r="P1418" s="62" t="s">
        <v>6409</v>
      </c>
      <c r="Q1418" s="62" t="s">
        <v>6410</v>
      </c>
      <c r="R1418" s="53"/>
      <c r="S1418" s="53"/>
      <c r="T1418" s="82"/>
      <c r="U1418" s="42"/>
      <c r="V1418" s="62"/>
      <c r="W1418" s="64"/>
      <c r="X1418" s="223"/>
      <c r="Y1418" s="223"/>
      <c r="Z1418" s="223"/>
      <c r="AA1418" s="223"/>
    </row>
    <row r="1419">
      <c r="A1419" s="42">
        <f t="shared" si="3"/>
        <v>1418</v>
      </c>
      <c r="B1419" s="51" t="s">
        <v>41</v>
      </c>
      <c r="C1419" s="53" t="s">
        <v>7223</v>
      </c>
      <c r="D1419" s="42" t="s">
        <v>44</v>
      </c>
      <c r="E1419" s="42" t="s">
        <v>44</v>
      </c>
      <c r="F1419" s="53" t="s">
        <v>7215</v>
      </c>
      <c r="G1419" s="53" t="s">
        <v>47</v>
      </c>
      <c r="H1419" s="53" t="s">
        <v>48</v>
      </c>
      <c r="I1419" s="53" t="s">
        <v>401</v>
      </c>
      <c r="J1419" s="53" t="s">
        <v>7216</v>
      </c>
      <c r="K1419" s="53" t="s">
        <v>927</v>
      </c>
      <c r="L1419" s="53" t="s">
        <v>52</v>
      </c>
      <c r="M1419" s="53" t="s">
        <v>52</v>
      </c>
      <c r="N1419" s="62" t="s">
        <v>7217</v>
      </c>
      <c r="O1419" s="62" t="s">
        <v>44</v>
      </c>
      <c r="P1419" s="62" t="s">
        <v>6412</v>
      </c>
      <c r="Q1419" s="62" t="s">
        <v>6413</v>
      </c>
      <c r="R1419" s="53"/>
      <c r="S1419" s="53"/>
      <c r="T1419" s="82"/>
      <c r="U1419" s="42"/>
      <c r="V1419" s="62"/>
      <c r="W1419" s="64"/>
      <c r="X1419" s="223"/>
      <c r="Y1419" s="223"/>
      <c r="Z1419" s="223"/>
      <c r="AA1419" s="223"/>
    </row>
    <row r="1420">
      <c r="A1420" s="42">
        <f t="shared" si="3"/>
        <v>1419</v>
      </c>
      <c r="B1420" s="51" t="s">
        <v>41</v>
      </c>
      <c r="C1420" s="53" t="s">
        <v>7224</v>
      </c>
      <c r="D1420" s="42" t="s">
        <v>44</v>
      </c>
      <c r="E1420" s="42" t="s">
        <v>44</v>
      </c>
      <c r="F1420" s="53" t="s">
        <v>7215</v>
      </c>
      <c r="G1420" s="53" t="s">
        <v>47</v>
      </c>
      <c r="H1420" s="53" t="s">
        <v>48</v>
      </c>
      <c r="I1420" s="53" t="s">
        <v>401</v>
      </c>
      <c r="J1420" s="53" t="s">
        <v>7216</v>
      </c>
      <c r="K1420" s="53" t="s">
        <v>927</v>
      </c>
      <c r="L1420" s="53" t="s">
        <v>52</v>
      </c>
      <c r="M1420" s="53" t="s">
        <v>52</v>
      </c>
      <c r="N1420" s="62" t="s">
        <v>7225</v>
      </c>
      <c r="O1420" s="62" t="s">
        <v>44</v>
      </c>
      <c r="P1420" s="62" t="s">
        <v>6416</v>
      </c>
      <c r="Q1420" s="62" t="s">
        <v>7226</v>
      </c>
      <c r="R1420" s="53"/>
      <c r="S1420" s="53"/>
      <c r="T1420" s="82"/>
      <c r="U1420" s="42"/>
      <c r="V1420" s="62"/>
      <c r="W1420" s="64"/>
      <c r="X1420" s="223"/>
      <c r="Y1420" s="223"/>
      <c r="Z1420" s="223"/>
      <c r="AA1420" s="223"/>
    </row>
    <row r="1421">
      <c r="A1421" s="42">
        <f t="shared" si="3"/>
        <v>1420</v>
      </c>
      <c r="B1421" s="51" t="s">
        <v>41</v>
      </c>
      <c r="C1421" s="53" t="s">
        <v>7227</v>
      </c>
      <c r="D1421" s="42" t="s">
        <v>44</v>
      </c>
      <c r="E1421" s="42" t="s">
        <v>44</v>
      </c>
      <c r="F1421" s="53" t="s">
        <v>7215</v>
      </c>
      <c r="G1421" s="53" t="s">
        <v>47</v>
      </c>
      <c r="H1421" s="53" t="s">
        <v>48</v>
      </c>
      <c r="I1421" s="53" t="s">
        <v>401</v>
      </c>
      <c r="J1421" s="53" t="s">
        <v>7216</v>
      </c>
      <c r="K1421" s="53" t="s">
        <v>927</v>
      </c>
      <c r="L1421" s="53" t="s">
        <v>52</v>
      </c>
      <c r="M1421" s="53" t="s">
        <v>52</v>
      </c>
      <c r="N1421" s="62" t="s">
        <v>7217</v>
      </c>
      <c r="O1421" s="62" t="s">
        <v>44</v>
      </c>
      <c r="P1421" s="62" t="s">
        <v>6419</v>
      </c>
      <c r="Q1421" s="62" t="s">
        <v>6420</v>
      </c>
      <c r="R1421" s="53"/>
      <c r="S1421" s="53"/>
      <c r="T1421" s="82"/>
      <c r="U1421" s="42"/>
      <c r="V1421" s="62"/>
      <c r="W1421" s="64"/>
      <c r="X1421" s="223"/>
      <c r="Y1421" s="223"/>
      <c r="Z1421" s="223"/>
      <c r="AA1421" s="223"/>
    </row>
    <row r="1422">
      <c r="A1422" s="42">
        <f t="shared" si="3"/>
        <v>1421</v>
      </c>
      <c r="B1422" s="51" t="s">
        <v>41</v>
      </c>
      <c r="C1422" s="53" t="s">
        <v>7228</v>
      </c>
      <c r="D1422" s="42" t="s">
        <v>44</v>
      </c>
      <c r="E1422" s="42" t="s">
        <v>44</v>
      </c>
      <c r="F1422" s="53" t="s">
        <v>7215</v>
      </c>
      <c r="G1422" s="53" t="s">
        <v>47</v>
      </c>
      <c r="H1422" s="53" t="s">
        <v>48</v>
      </c>
      <c r="I1422" s="53" t="s">
        <v>401</v>
      </c>
      <c r="J1422" s="53" t="s">
        <v>7216</v>
      </c>
      <c r="K1422" s="53" t="s">
        <v>927</v>
      </c>
      <c r="L1422" s="53" t="s">
        <v>52</v>
      </c>
      <c r="M1422" s="53" t="s">
        <v>52</v>
      </c>
      <c r="N1422" s="62" t="s">
        <v>7229</v>
      </c>
      <c r="O1422" s="62" t="s">
        <v>44</v>
      </c>
      <c r="P1422" s="62" t="s">
        <v>6423</v>
      </c>
      <c r="Q1422" s="62" t="s">
        <v>6424</v>
      </c>
      <c r="R1422" s="53"/>
      <c r="S1422" s="53"/>
      <c r="T1422" s="82"/>
      <c r="U1422" s="42"/>
      <c r="V1422" s="62"/>
      <c r="W1422" s="64"/>
      <c r="X1422" s="223"/>
      <c r="Y1422" s="223"/>
      <c r="Z1422" s="223"/>
      <c r="AA1422" s="223"/>
    </row>
    <row r="1423">
      <c r="A1423" s="42">
        <f t="shared" si="3"/>
        <v>1422</v>
      </c>
      <c r="B1423" s="51" t="s">
        <v>41</v>
      </c>
      <c r="C1423" s="53" t="s">
        <v>7230</v>
      </c>
      <c r="D1423" s="42" t="s">
        <v>44</v>
      </c>
      <c r="E1423" s="42" t="s">
        <v>44</v>
      </c>
      <c r="F1423" s="53" t="s">
        <v>7215</v>
      </c>
      <c r="G1423" s="53" t="s">
        <v>47</v>
      </c>
      <c r="H1423" s="53" t="s">
        <v>48</v>
      </c>
      <c r="I1423" s="53" t="s">
        <v>401</v>
      </c>
      <c r="J1423" s="53" t="s">
        <v>7216</v>
      </c>
      <c r="K1423" s="53" t="s">
        <v>927</v>
      </c>
      <c r="L1423" s="53" t="s">
        <v>52</v>
      </c>
      <c r="M1423" s="53" t="s">
        <v>52</v>
      </c>
      <c r="N1423" s="62" t="s">
        <v>7217</v>
      </c>
      <c r="O1423" s="62" t="s">
        <v>44</v>
      </c>
      <c r="P1423" s="62" t="s">
        <v>6082</v>
      </c>
      <c r="Q1423" s="62" t="s">
        <v>6083</v>
      </c>
      <c r="R1423" s="53"/>
      <c r="S1423" s="53"/>
      <c r="T1423" s="82"/>
      <c r="U1423" s="42"/>
      <c r="V1423" s="62"/>
      <c r="W1423" s="64"/>
      <c r="X1423" s="223"/>
      <c r="Y1423" s="223"/>
      <c r="Z1423" s="223"/>
      <c r="AA1423" s="223"/>
    </row>
    <row r="1424">
      <c r="A1424" s="42">
        <f t="shared" si="3"/>
        <v>1423</v>
      </c>
      <c r="B1424" s="51" t="s">
        <v>41</v>
      </c>
      <c r="C1424" s="53" t="s">
        <v>7231</v>
      </c>
      <c r="D1424" s="42" t="s">
        <v>44</v>
      </c>
      <c r="E1424" s="42" t="s">
        <v>44</v>
      </c>
      <c r="F1424" s="53" t="s">
        <v>7215</v>
      </c>
      <c r="G1424" s="53" t="s">
        <v>47</v>
      </c>
      <c r="H1424" s="53" t="s">
        <v>48</v>
      </c>
      <c r="I1424" s="53" t="s">
        <v>401</v>
      </c>
      <c r="J1424" s="53" t="s">
        <v>7216</v>
      </c>
      <c r="K1424" s="53" t="s">
        <v>927</v>
      </c>
      <c r="L1424" s="53" t="s">
        <v>52</v>
      </c>
      <c r="M1424" s="53" t="s">
        <v>52</v>
      </c>
      <c r="N1424" s="62" t="s">
        <v>7217</v>
      </c>
      <c r="O1424" s="62" t="s">
        <v>44</v>
      </c>
      <c r="P1424" s="62" t="s">
        <v>6085</v>
      </c>
      <c r="Q1424" s="62" t="s">
        <v>6241</v>
      </c>
      <c r="R1424" s="53"/>
      <c r="S1424" s="53"/>
      <c r="T1424" s="82"/>
      <c r="U1424" s="42"/>
      <c r="V1424" s="62"/>
      <c r="W1424" s="64"/>
      <c r="X1424" s="223"/>
      <c r="Y1424" s="223"/>
      <c r="Z1424" s="223"/>
      <c r="AA1424" s="223"/>
    </row>
    <row r="1425">
      <c r="A1425" s="42">
        <f t="shared" si="3"/>
        <v>1424</v>
      </c>
      <c r="B1425" s="51" t="s">
        <v>41</v>
      </c>
      <c r="C1425" s="53" t="s">
        <v>7232</v>
      </c>
      <c r="D1425" s="42" t="s">
        <v>44</v>
      </c>
      <c r="E1425" s="42" t="s">
        <v>44</v>
      </c>
      <c r="F1425" s="53" t="s">
        <v>7215</v>
      </c>
      <c r="G1425" s="53" t="s">
        <v>47</v>
      </c>
      <c r="H1425" s="53" t="s">
        <v>48</v>
      </c>
      <c r="I1425" s="53" t="s">
        <v>401</v>
      </c>
      <c r="J1425" s="53" t="s">
        <v>7216</v>
      </c>
      <c r="K1425" s="53" t="s">
        <v>927</v>
      </c>
      <c r="L1425" s="53" t="s">
        <v>52</v>
      </c>
      <c r="M1425" s="53" t="s">
        <v>52</v>
      </c>
      <c r="N1425" s="62" t="s">
        <v>7233</v>
      </c>
      <c r="O1425" s="62" t="s">
        <v>44</v>
      </c>
      <c r="P1425" s="62" t="s">
        <v>6429</v>
      </c>
      <c r="Q1425" s="62" t="s">
        <v>7234</v>
      </c>
      <c r="R1425" s="53"/>
      <c r="S1425" s="53"/>
      <c r="T1425" s="82"/>
      <c r="U1425" s="42"/>
      <c r="V1425" s="62"/>
      <c r="W1425" s="64"/>
      <c r="X1425" s="223"/>
      <c r="Y1425" s="223"/>
      <c r="Z1425" s="223"/>
      <c r="AA1425" s="223"/>
    </row>
    <row r="1426">
      <c r="A1426" s="42">
        <f t="shared" si="3"/>
        <v>1425</v>
      </c>
      <c r="B1426" s="51" t="s">
        <v>41</v>
      </c>
      <c r="C1426" s="53" t="s">
        <v>7235</v>
      </c>
      <c r="D1426" s="42" t="s">
        <v>44</v>
      </c>
      <c r="E1426" s="42" t="s">
        <v>44</v>
      </c>
      <c r="F1426" s="53" t="s">
        <v>7215</v>
      </c>
      <c r="G1426" s="53" t="s">
        <v>47</v>
      </c>
      <c r="H1426" s="53" t="s">
        <v>48</v>
      </c>
      <c r="I1426" s="53" t="s">
        <v>401</v>
      </c>
      <c r="J1426" s="53" t="s">
        <v>7216</v>
      </c>
      <c r="K1426" s="53" t="s">
        <v>927</v>
      </c>
      <c r="L1426" s="53" t="s">
        <v>52</v>
      </c>
      <c r="M1426" s="53" t="s">
        <v>52</v>
      </c>
      <c r="N1426" s="62" t="s">
        <v>7217</v>
      </c>
      <c r="O1426" s="62" t="s">
        <v>44</v>
      </c>
      <c r="P1426" s="62" t="s">
        <v>5448</v>
      </c>
      <c r="Q1426" s="62" t="s">
        <v>5763</v>
      </c>
      <c r="R1426" s="53"/>
      <c r="S1426" s="53"/>
      <c r="T1426" s="82"/>
      <c r="U1426" s="42"/>
      <c r="V1426" s="62"/>
      <c r="W1426" s="64"/>
      <c r="X1426" s="223"/>
      <c r="Y1426" s="223"/>
      <c r="Z1426" s="223"/>
      <c r="AA1426" s="223"/>
    </row>
    <row r="1427">
      <c r="A1427" s="42">
        <f t="shared" si="3"/>
        <v>1426</v>
      </c>
      <c r="B1427" s="51" t="s">
        <v>41</v>
      </c>
      <c r="C1427" s="53" t="s">
        <v>7236</v>
      </c>
      <c r="D1427" s="42" t="s">
        <v>44</v>
      </c>
      <c r="E1427" s="42" t="s">
        <v>44</v>
      </c>
      <c r="F1427" s="53" t="s">
        <v>7215</v>
      </c>
      <c r="G1427" s="53" t="s">
        <v>47</v>
      </c>
      <c r="H1427" s="53" t="s">
        <v>48</v>
      </c>
      <c r="I1427" s="53" t="s">
        <v>401</v>
      </c>
      <c r="J1427" s="53" t="s">
        <v>7216</v>
      </c>
      <c r="K1427" s="53" t="s">
        <v>927</v>
      </c>
      <c r="L1427" s="53" t="s">
        <v>52</v>
      </c>
      <c r="M1427" s="53" t="s">
        <v>52</v>
      </c>
      <c r="N1427" s="62" t="s">
        <v>7217</v>
      </c>
      <c r="O1427" s="62" t="s">
        <v>44</v>
      </c>
      <c r="P1427" s="62" t="s">
        <v>1002</v>
      </c>
      <c r="Q1427" s="62" t="s">
        <v>6246</v>
      </c>
      <c r="R1427" s="53"/>
      <c r="S1427" s="53"/>
      <c r="T1427" s="82"/>
      <c r="U1427" s="42"/>
      <c r="V1427" s="62"/>
      <c r="W1427" s="64"/>
      <c r="X1427" s="223"/>
      <c r="Y1427" s="223"/>
      <c r="Z1427" s="223"/>
      <c r="AA1427" s="223"/>
    </row>
    <row r="1428">
      <c r="A1428" s="42">
        <f t="shared" si="3"/>
        <v>1427</v>
      </c>
      <c r="B1428" s="51" t="s">
        <v>41</v>
      </c>
      <c r="C1428" s="53" t="s">
        <v>7237</v>
      </c>
      <c r="D1428" s="42" t="s">
        <v>44</v>
      </c>
      <c r="E1428" s="42" t="s">
        <v>44</v>
      </c>
      <c r="F1428" s="53" t="s">
        <v>7215</v>
      </c>
      <c r="G1428" s="53" t="s">
        <v>47</v>
      </c>
      <c r="H1428" s="53" t="s">
        <v>48</v>
      </c>
      <c r="I1428" s="53" t="s">
        <v>401</v>
      </c>
      <c r="J1428" s="53" t="s">
        <v>7216</v>
      </c>
      <c r="K1428" s="53" t="s">
        <v>927</v>
      </c>
      <c r="L1428" s="53" t="s">
        <v>52</v>
      </c>
      <c r="M1428" s="53" t="s">
        <v>52</v>
      </c>
      <c r="N1428" s="62" t="s">
        <v>7217</v>
      </c>
      <c r="O1428" s="62" t="s">
        <v>44</v>
      </c>
      <c r="P1428" s="62" t="s">
        <v>1009</v>
      </c>
      <c r="Q1428" s="62" t="s">
        <v>6434</v>
      </c>
      <c r="R1428" s="53"/>
      <c r="S1428" s="53"/>
      <c r="T1428" s="82"/>
      <c r="U1428" s="42"/>
      <c r="V1428" s="62"/>
      <c r="W1428" s="64"/>
      <c r="X1428" s="223"/>
      <c r="Y1428" s="223"/>
      <c r="Z1428" s="223"/>
      <c r="AA1428" s="223"/>
    </row>
    <row r="1429">
      <c r="A1429" s="42">
        <f t="shared" si="3"/>
        <v>1428</v>
      </c>
      <c r="B1429" s="51" t="s">
        <v>41</v>
      </c>
      <c r="C1429" s="53" t="s">
        <v>7238</v>
      </c>
      <c r="D1429" s="42" t="s">
        <v>44</v>
      </c>
      <c r="E1429" s="42" t="s">
        <v>44</v>
      </c>
      <c r="F1429" s="53" t="s">
        <v>7215</v>
      </c>
      <c r="G1429" s="53" t="s">
        <v>47</v>
      </c>
      <c r="H1429" s="53" t="s">
        <v>48</v>
      </c>
      <c r="I1429" s="53" t="s">
        <v>401</v>
      </c>
      <c r="J1429" s="53" t="s">
        <v>7216</v>
      </c>
      <c r="K1429" s="53" t="s">
        <v>927</v>
      </c>
      <c r="L1429" s="53" t="s">
        <v>52</v>
      </c>
      <c r="M1429" s="53" t="s">
        <v>52</v>
      </c>
      <c r="N1429" s="62" t="s">
        <v>7217</v>
      </c>
      <c r="O1429" s="62" t="s">
        <v>44</v>
      </c>
      <c r="P1429" s="62" t="s">
        <v>6436</v>
      </c>
      <c r="Q1429" s="62" t="s">
        <v>6437</v>
      </c>
      <c r="R1429" s="53"/>
      <c r="S1429" s="53"/>
      <c r="T1429" s="82"/>
      <c r="U1429" s="42"/>
      <c r="V1429" s="62"/>
      <c r="W1429" s="64"/>
      <c r="X1429" s="223"/>
      <c r="Y1429" s="223"/>
      <c r="Z1429" s="223"/>
      <c r="AA1429" s="223"/>
    </row>
    <row r="1430">
      <c r="A1430" s="42">
        <f t="shared" si="3"/>
        <v>1429</v>
      </c>
      <c r="B1430" s="51" t="s">
        <v>41</v>
      </c>
      <c r="C1430" s="53" t="s">
        <v>7239</v>
      </c>
      <c r="D1430" s="42" t="s">
        <v>44</v>
      </c>
      <c r="E1430" s="42" t="s">
        <v>44</v>
      </c>
      <c r="F1430" s="53" t="s">
        <v>7215</v>
      </c>
      <c r="G1430" s="53" t="s">
        <v>47</v>
      </c>
      <c r="H1430" s="53" t="s">
        <v>48</v>
      </c>
      <c r="I1430" s="53" t="s">
        <v>401</v>
      </c>
      <c r="J1430" s="53" t="s">
        <v>7216</v>
      </c>
      <c r="K1430" s="53" t="s">
        <v>927</v>
      </c>
      <c r="L1430" s="53" t="s">
        <v>52</v>
      </c>
      <c r="M1430" s="53" t="s">
        <v>52</v>
      </c>
      <c r="N1430" s="62" t="s">
        <v>7217</v>
      </c>
      <c r="O1430" s="62" t="s">
        <v>44</v>
      </c>
      <c r="P1430" s="62" t="s">
        <v>6439</v>
      </c>
      <c r="Q1430" s="62" t="s">
        <v>6440</v>
      </c>
      <c r="R1430" s="53"/>
      <c r="S1430" s="53"/>
      <c r="T1430" s="82"/>
      <c r="U1430" s="42"/>
      <c r="V1430" s="62"/>
      <c r="W1430" s="64"/>
      <c r="X1430" s="223"/>
      <c r="Y1430" s="223"/>
      <c r="Z1430" s="223"/>
      <c r="AA1430" s="223"/>
    </row>
    <row r="1431">
      <c r="A1431" s="42">
        <f t="shared" si="3"/>
        <v>1430</v>
      </c>
      <c r="B1431" s="51" t="s">
        <v>41</v>
      </c>
      <c r="C1431" s="53" t="s">
        <v>7240</v>
      </c>
      <c r="D1431" s="42" t="s">
        <v>44</v>
      </c>
      <c r="E1431" s="42" t="s">
        <v>44</v>
      </c>
      <c r="F1431" s="53" t="s">
        <v>7215</v>
      </c>
      <c r="G1431" s="53" t="s">
        <v>47</v>
      </c>
      <c r="H1431" s="53" t="s">
        <v>48</v>
      </c>
      <c r="I1431" s="53" t="s">
        <v>401</v>
      </c>
      <c r="J1431" s="53" t="s">
        <v>7216</v>
      </c>
      <c r="K1431" s="53" t="s">
        <v>927</v>
      </c>
      <c r="L1431" s="53" t="s">
        <v>52</v>
      </c>
      <c r="M1431" s="53" t="s">
        <v>52</v>
      </c>
      <c r="N1431" s="62" t="s">
        <v>7217</v>
      </c>
      <c r="O1431" s="62" t="s">
        <v>44</v>
      </c>
      <c r="P1431" s="62" t="s">
        <v>6442</v>
      </c>
      <c r="Q1431" s="62" t="s">
        <v>6443</v>
      </c>
      <c r="R1431" s="53"/>
      <c r="S1431" s="53"/>
      <c r="T1431" s="82"/>
      <c r="U1431" s="42"/>
      <c r="V1431" s="62"/>
      <c r="W1431" s="64"/>
      <c r="X1431" s="223"/>
      <c r="Y1431" s="223"/>
      <c r="Z1431" s="223"/>
      <c r="AA1431" s="223"/>
    </row>
    <row r="1432">
      <c r="A1432" s="42">
        <f t="shared" si="3"/>
        <v>1431</v>
      </c>
      <c r="B1432" s="51" t="s">
        <v>41</v>
      </c>
      <c r="C1432" s="53" t="s">
        <v>7241</v>
      </c>
      <c r="D1432" s="42" t="s">
        <v>44</v>
      </c>
      <c r="E1432" s="42" t="s">
        <v>44</v>
      </c>
      <c r="F1432" s="53" t="s">
        <v>7215</v>
      </c>
      <c r="G1432" s="53" t="s">
        <v>47</v>
      </c>
      <c r="H1432" s="53" t="s">
        <v>48</v>
      </c>
      <c r="I1432" s="53" t="s">
        <v>401</v>
      </c>
      <c r="J1432" s="53" t="s">
        <v>7216</v>
      </c>
      <c r="K1432" s="53" t="s">
        <v>927</v>
      </c>
      <c r="L1432" s="53" t="s">
        <v>52</v>
      </c>
      <c r="M1432" s="53" t="s">
        <v>52</v>
      </c>
      <c r="N1432" s="62" t="s">
        <v>7217</v>
      </c>
      <c r="O1432" s="62" t="s">
        <v>44</v>
      </c>
      <c r="P1432" s="62" t="s">
        <v>6445</v>
      </c>
      <c r="Q1432" s="62" t="s">
        <v>6446</v>
      </c>
      <c r="R1432" s="53"/>
      <c r="S1432" s="53"/>
      <c r="T1432" s="82"/>
      <c r="U1432" s="42"/>
      <c r="V1432" s="62"/>
      <c r="W1432" s="64"/>
      <c r="X1432" s="223"/>
      <c r="Y1432" s="223"/>
      <c r="Z1432" s="223"/>
      <c r="AA1432" s="223"/>
    </row>
    <row r="1433">
      <c r="A1433" s="42">
        <f t="shared" si="3"/>
        <v>1432</v>
      </c>
      <c r="B1433" s="51" t="s">
        <v>41</v>
      </c>
      <c r="C1433" s="53" t="s">
        <v>7242</v>
      </c>
      <c r="D1433" s="42" t="s">
        <v>44</v>
      </c>
      <c r="E1433" s="42" t="s">
        <v>44</v>
      </c>
      <c r="F1433" s="53" t="s">
        <v>7215</v>
      </c>
      <c r="G1433" s="53" t="s">
        <v>47</v>
      </c>
      <c r="H1433" s="53" t="s">
        <v>48</v>
      </c>
      <c r="I1433" s="53" t="s">
        <v>401</v>
      </c>
      <c r="J1433" s="53" t="s">
        <v>7216</v>
      </c>
      <c r="K1433" s="53" t="s">
        <v>927</v>
      </c>
      <c r="L1433" s="53" t="s">
        <v>52</v>
      </c>
      <c r="M1433" s="53" t="s">
        <v>52</v>
      </c>
      <c r="N1433" s="62" t="s">
        <v>7217</v>
      </c>
      <c r="O1433" s="62" t="s">
        <v>44</v>
      </c>
      <c r="P1433" s="62" t="s">
        <v>6448</v>
      </c>
      <c r="Q1433" s="62" t="s">
        <v>6449</v>
      </c>
      <c r="R1433" s="53"/>
      <c r="S1433" s="53"/>
      <c r="T1433" s="82"/>
      <c r="U1433" s="42"/>
      <c r="V1433" s="62"/>
      <c r="W1433" s="64"/>
      <c r="X1433" s="223"/>
      <c r="Y1433" s="223"/>
      <c r="Z1433" s="223"/>
      <c r="AA1433" s="223"/>
    </row>
    <row r="1434">
      <c r="A1434" s="42">
        <f t="shared" si="3"/>
        <v>1433</v>
      </c>
      <c r="B1434" s="51" t="s">
        <v>41</v>
      </c>
      <c r="C1434" s="53" t="s">
        <v>7243</v>
      </c>
      <c r="D1434" s="42" t="s">
        <v>44</v>
      </c>
      <c r="E1434" s="42" t="s">
        <v>44</v>
      </c>
      <c r="F1434" s="53" t="s">
        <v>7215</v>
      </c>
      <c r="G1434" s="53" t="s">
        <v>47</v>
      </c>
      <c r="H1434" s="53" t="s">
        <v>48</v>
      </c>
      <c r="I1434" s="53" t="s">
        <v>401</v>
      </c>
      <c r="J1434" s="53" t="s">
        <v>7216</v>
      </c>
      <c r="K1434" s="53" t="s">
        <v>927</v>
      </c>
      <c r="L1434" s="53" t="s">
        <v>52</v>
      </c>
      <c r="M1434" s="53" t="s">
        <v>52</v>
      </c>
      <c r="N1434" s="62" t="s">
        <v>7217</v>
      </c>
      <c r="O1434" s="62" t="s">
        <v>44</v>
      </c>
      <c r="P1434" s="62" t="s">
        <v>7244</v>
      </c>
      <c r="Q1434" s="62" t="s">
        <v>7245</v>
      </c>
      <c r="R1434" s="53"/>
      <c r="S1434" s="53"/>
      <c r="T1434" s="82"/>
      <c r="U1434" s="42"/>
      <c r="V1434" s="62"/>
      <c r="W1434" s="64"/>
      <c r="X1434" s="223"/>
      <c r="Y1434" s="223"/>
      <c r="Z1434" s="223"/>
      <c r="AA1434" s="223"/>
    </row>
    <row r="1435">
      <c r="A1435" s="42">
        <f t="shared" si="3"/>
        <v>1434</v>
      </c>
      <c r="B1435" s="51" t="s">
        <v>41</v>
      </c>
      <c r="C1435" s="53" t="s">
        <v>7246</v>
      </c>
      <c r="D1435" s="42" t="s">
        <v>44</v>
      </c>
      <c r="E1435" s="42" t="s">
        <v>44</v>
      </c>
      <c r="F1435" s="53" t="s">
        <v>7215</v>
      </c>
      <c r="G1435" s="53" t="s">
        <v>111</v>
      </c>
      <c r="H1435" s="53" t="s">
        <v>91</v>
      </c>
      <c r="I1435" s="53" t="s">
        <v>401</v>
      </c>
      <c r="J1435" s="53" t="s">
        <v>7216</v>
      </c>
      <c r="K1435" s="53" t="s">
        <v>927</v>
      </c>
      <c r="L1435" s="53" t="s">
        <v>52</v>
      </c>
      <c r="M1435" s="53" t="s">
        <v>52</v>
      </c>
      <c r="N1435" s="62" t="s">
        <v>7217</v>
      </c>
      <c r="O1435" s="62" t="s">
        <v>44</v>
      </c>
      <c r="P1435" s="62" t="s">
        <v>6454</v>
      </c>
      <c r="Q1435" s="62" t="s">
        <v>7247</v>
      </c>
      <c r="R1435" s="53"/>
      <c r="S1435" s="53"/>
      <c r="T1435" s="82"/>
      <c r="U1435" s="42"/>
      <c r="V1435" s="62"/>
      <c r="W1435" s="64"/>
      <c r="X1435" s="223"/>
      <c r="Y1435" s="223"/>
      <c r="Z1435" s="223"/>
      <c r="AA1435" s="223"/>
    </row>
    <row r="1436">
      <c r="A1436" s="42">
        <f t="shared" si="3"/>
        <v>1435</v>
      </c>
      <c r="B1436" s="51" t="s">
        <v>41</v>
      </c>
      <c r="C1436" s="53" t="s">
        <v>7248</v>
      </c>
      <c r="D1436" s="42" t="s">
        <v>44</v>
      </c>
      <c r="E1436" s="42" t="s">
        <v>44</v>
      </c>
      <c r="F1436" s="53" t="s">
        <v>7215</v>
      </c>
      <c r="G1436" s="53" t="s">
        <v>47</v>
      </c>
      <c r="H1436" s="53" t="s">
        <v>48</v>
      </c>
      <c r="I1436" s="53" t="s">
        <v>401</v>
      </c>
      <c r="J1436" s="53" t="s">
        <v>7216</v>
      </c>
      <c r="K1436" s="53" t="s">
        <v>927</v>
      </c>
      <c r="L1436" s="53" t="s">
        <v>52</v>
      </c>
      <c r="M1436" s="53" t="s">
        <v>52</v>
      </c>
      <c r="N1436" s="62" t="s">
        <v>7249</v>
      </c>
      <c r="O1436" s="62" t="s">
        <v>44</v>
      </c>
      <c r="P1436" s="62" t="s">
        <v>6458</v>
      </c>
      <c r="Q1436" s="62" t="s">
        <v>7250</v>
      </c>
      <c r="R1436" s="53"/>
      <c r="S1436" s="53"/>
      <c r="T1436" s="82"/>
      <c r="U1436" s="42"/>
      <c r="V1436" s="62"/>
      <c r="W1436" s="64"/>
      <c r="X1436" s="223"/>
      <c r="Y1436" s="223"/>
      <c r="Z1436" s="223"/>
      <c r="AA1436" s="223"/>
    </row>
    <row r="1437">
      <c r="A1437" s="42">
        <f t="shared" si="3"/>
        <v>1436</v>
      </c>
      <c r="B1437" s="51" t="s">
        <v>41</v>
      </c>
      <c r="C1437" s="53" t="s">
        <v>7251</v>
      </c>
      <c r="D1437" s="42" t="s">
        <v>44</v>
      </c>
      <c r="E1437" s="42" t="s">
        <v>44</v>
      </c>
      <c r="F1437" s="53" t="s">
        <v>7215</v>
      </c>
      <c r="G1437" s="53" t="s">
        <v>47</v>
      </c>
      <c r="H1437" s="53" t="s">
        <v>48</v>
      </c>
      <c r="I1437" s="53" t="s">
        <v>401</v>
      </c>
      <c r="J1437" s="53" t="s">
        <v>7216</v>
      </c>
      <c r="K1437" s="53" t="s">
        <v>927</v>
      </c>
      <c r="L1437" s="53" t="s">
        <v>52</v>
      </c>
      <c r="M1437" s="53" t="s">
        <v>52</v>
      </c>
      <c r="N1437" s="62" t="s">
        <v>7249</v>
      </c>
      <c r="O1437" s="62" t="s">
        <v>44</v>
      </c>
      <c r="P1437" s="62" t="s">
        <v>6461</v>
      </c>
      <c r="Q1437" s="62" t="s">
        <v>6462</v>
      </c>
      <c r="R1437" s="53"/>
      <c r="S1437" s="53"/>
      <c r="T1437" s="82"/>
      <c r="U1437" s="42"/>
      <c r="V1437" s="62"/>
      <c r="W1437" s="64"/>
      <c r="X1437" s="223"/>
      <c r="Y1437" s="223"/>
      <c r="Z1437" s="223"/>
      <c r="AA1437" s="223"/>
    </row>
    <row r="1438">
      <c r="A1438" s="42">
        <f t="shared" si="3"/>
        <v>1437</v>
      </c>
      <c r="B1438" s="51" t="s">
        <v>41</v>
      </c>
      <c r="C1438" s="53" t="s">
        <v>7252</v>
      </c>
      <c r="D1438" s="42" t="s">
        <v>44</v>
      </c>
      <c r="E1438" s="42" t="s">
        <v>44</v>
      </c>
      <c r="F1438" s="53" t="s">
        <v>7215</v>
      </c>
      <c r="G1438" s="53" t="s">
        <v>47</v>
      </c>
      <c r="H1438" s="53" t="s">
        <v>48</v>
      </c>
      <c r="I1438" s="53" t="s">
        <v>401</v>
      </c>
      <c r="J1438" s="53" t="s">
        <v>7216</v>
      </c>
      <c r="K1438" s="53" t="s">
        <v>927</v>
      </c>
      <c r="L1438" s="53" t="s">
        <v>52</v>
      </c>
      <c r="M1438" s="53" t="s">
        <v>52</v>
      </c>
      <c r="N1438" s="62" t="s">
        <v>7249</v>
      </c>
      <c r="O1438" s="62" t="s">
        <v>44</v>
      </c>
      <c r="P1438" s="62" t="s">
        <v>7253</v>
      </c>
      <c r="Q1438" s="62" t="s">
        <v>7254</v>
      </c>
      <c r="R1438" s="53"/>
      <c r="S1438" s="53"/>
      <c r="T1438" s="82"/>
      <c r="U1438" s="42"/>
      <c r="V1438" s="62"/>
      <c r="W1438" s="64"/>
      <c r="X1438" s="223"/>
      <c r="Y1438" s="223"/>
      <c r="Z1438" s="223"/>
      <c r="AA1438" s="223"/>
    </row>
    <row r="1439">
      <c r="A1439" s="42">
        <f t="shared" si="3"/>
        <v>1438</v>
      </c>
      <c r="B1439" s="51" t="s">
        <v>41</v>
      </c>
      <c r="C1439" s="53" t="s">
        <v>7255</v>
      </c>
      <c r="D1439" s="42" t="s">
        <v>44</v>
      </c>
      <c r="E1439" s="42" t="s">
        <v>44</v>
      </c>
      <c r="F1439" s="53" t="s">
        <v>7215</v>
      </c>
      <c r="G1439" s="53" t="s">
        <v>47</v>
      </c>
      <c r="H1439" s="53" t="s">
        <v>95</v>
      </c>
      <c r="I1439" s="53" t="s">
        <v>401</v>
      </c>
      <c r="J1439" s="53" t="s">
        <v>7216</v>
      </c>
      <c r="K1439" s="53" t="s">
        <v>927</v>
      </c>
      <c r="L1439" s="53" t="s">
        <v>52</v>
      </c>
      <c r="M1439" s="53" t="s">
        <v>52</v>
      </c>
      <c r="N1439" s="62" t="s">
        <v>7256</v>
      </c>
      <c r="O1439" s="62" t="s">
        <v>44</v>
      </c>
      <c r="P1439" s="62" t="s">
        <v>6466</v>
      </c>
      <c r="Q1439" s="62" t="s">
        <v>6467</v>
      </c>
      <c r="R1439" s="53"/>
      <c r="S1439" s="53"/>
      <c r="T1439" s="82"/>
      <c r="U1439" s="42"/>
      <c r="V1439" s="62"/>
      <c r="W1439" s="64"/>
      <c r="X1439" s="223"/>
      <c r="Y1439" s="223"/>
      <c r="Z1439" s="223"/>
      <c r="AA1439" s="223"/>
    </row>
    <row r="1440">
      <c r="A1440" s="42">
        <f t="shared" si="3"/>
        <v>1439</v>
      </c>
      <c r="B1440" s="51" t="s">
        <v>41</v>
      </c>
      <c r="C1440" s="53" t="s">
        <v>7257</v>
      </c>
      <c r="D1440" s="42" t="s">
        <v>44</v>
      </c>
      <c r="E1440" s="42" t="s">
        <v>44</v>
      </c>
      <c r="F1440" s="53" t="s">
        <v>7215</v>
      </c>
      <c r="G1440" s="53" t="s">
        <v>47</v>
      </c>
      <c r="H1440" s="53" t="s">
        <v>95</v>
      </c>
      <c r="I1440" s="53" t="s">
        <v>401</v>
      </c>
      <c r="J1440" s="53" t="s">
        <v>7216</v>
      </c>
      <c r="K1440" s="53" t="s">
        <v>927</v>
      </c>
      <c r="L1440" s="53" t="s">
        <v>52</v>
      </c>
      <c r="M1440" s="53" t="s">
        <v>52</v>
      </c>
      <c r="N1440" s="62" t="s">
        <v>6473</v>
      </c>
      <c r="O1440" s="62" t="s">
        <v>44</v>
      </c>
      <c r="P1440" s="62" t="s">
        <v>7258</v>
      </c>
      <c r="Q1440" s="62" t="s">
        <v>7259</v>
      </c>
      <c r="R1440" s="53"/>
      <c r="S1440" s="53"/>
      <c r="T1440" s="82"/>
      <c r="U1440" s="42"/>
      <c r="V1440" s="62"/>
      <c r="W1440" s="64"/>
      <c r="X1440" s="223"/>
      <c r="Y1440" s="223"/>
      <c r="Z1440" s="223"/>
      <c r="AA1440" s="223"/>
    </row>
    <row r="1441">
      <c r="A1441" s="42">
        <f t="shared" si="3"/>
        <v>1440</v>
      </c>
      <c r="B1441" s="51" t="s">
        <v>41</v>
      </c>
      <c r="C1441" s="53" t="s">
        <v>7260</v>
      </c>
      <c r="D1441" s="42" t="s">
        <v>44</v>
      </c>
      <c r="E1441" s="42" t="s">
        <v>44</v>
      </c>
      <c r="F1441" s="53" t="s">
        <v>7215</v>
      </c>
      <c r="G1441" s="53" t="s">
        <v>47</v>
      </c>
      <c r="H1441" s="53" t="s">
        <v>48</v>
      </c>
      <c r="I1441" s="53" t="s">
        <v>401</v>
      </c>
      <c r="J1441" s="53" t="s">
        <v>7216</v>
      </c>
      <c r="K1441" s="53" t="s">
        <v>927</v>
      </c>
      <c r="L1441" s="53" t="s">
        <v>52</v>
      </c>
      <c r="M1441" s="53" t="s">
        <v>52</v>
      </c>
      <c r="N1441" s="62" t="s">
        <v>7249</v>
      </c>
      <c r="O1441" s="62" t="s">
        <v>44</v>
      </c>
      <c r="P1441" s="62" t="s">
        <v>6477</v>
      </c>
      <c r="Q1441" s="62" t="s">
        <v>6478</v>
      </c>
      <c r="R1441" s="53"/>
      <c r="S1441" s="53"/>
      <c r="T1441" s="82"/>
      <c r="U1441" s="42"/>
      <c r="V1441" s="62"/>
      <c r="W1441" s="64"/>
      <c r="X1441" s="223"/>
      <c r="Y1441" s="223"/>
      <c r="Z1441" s="223"/>
      <c r="AA1441" s="223"/>
    </row>
    <row r="1442">
      <c r="A1442" s="42">
        <f t="shared" si="3"/>
        <v>1441</v>
      </c>
      <c r="B1442" s="51" t="s">
        <v>41</v>
      </c>
      <c r="C1442" s="53" t="s">
        <v>7261</v>
      </c>
      <c r="D1442" s="42" t="s">
        <v>44</v>
      </c>
      <c r="E1442" s="42" t="s">
        <v>44</v>
      </c>
      <c r="F1442" s="53" t="s">
        <v>7215</v>
      </c>
      <c r="G1442" s="53" t="s">
        <v>47</v>
      </c>
      <c r="H1442" s="53" t="s">
        <v>48</v>
      </c>
      <c r="I1442" s="53" t="s">
        <v>401</v>
      </c>
      <c r="J1442" s="53" t="s">
        <v>7216</v>
      </c>
      <c r="K1442" s="53" t="s">
        <v>927</v>
      </c>
      <c r="L1442" s="53" t="s">
        <v>52</v>
      </c>
      <c r="M1442" s="53" t="s">
        <v>52</v>
      </c>
      <c r="N1442" s="62" t="s">
        <v>7262</v>
      </c>
      <c r="O1442" s="62" t="s">
        <v>44</v>
      </c>
      <c r="P1442" s="62" t="s">
        <v>6481</v>
      </c>
      <c r="Q1442" s="62" t="s">
        <v>7263</v>
      </c>
      <c r="R1442" s="53"/>
      <c r="S1442" s="53"/>
      <c r="T1442" s="82"/>
      <c r="U1442" s="42"/>
      <c r="V1442" s="62"/>
      <c r="W1442" s="64"/>
      <c r="X1442" s="223"/>
      <c r="Y1442" s="223"/>
      <c r="Z1442" s="223"/>
      <c r="AA1442" s="223"/>
    </row>
    <row r="1443">
      <c r="A1443" s="42">
        <f t="shared" si="3"/>
        <v>1442</v>
      </c>
      <c r="B1443" s="51" t="s">
        <v>41</v>
      </c>
      <c r="C1443" s="53" t="s">
        <v>7264</v>
      </c>
      <c r="D1443" s="42" t="s">
        <v>44</v>
      </c>
      <c r="E1443" s="42" t="s">
        <v>44</v>
      </c>
      <c r="F1443" s="53" t="s">
        <v>7215</v>
      </c>
      <c r="G1443" s="53" t="s">
        <v>111</v>
      </c>
      <c r="H1443" s="53" t="s">
        <v>91</v>
      </c>
      <c r="I1443" s="53" t="s">
        <v>401</v>
      </c>
      <c r="J1443" s="53" t="s">
        <v>7216</v>
      </c>
      <c r="K1443" s="53" t="s">
        <v>927</v>
      </c>
      <c r="L1443" s="53" t="s">
        <v>52</v>
      </c>
      <c r="M1443" s="53" t="s">
        <v>52</v>
      </c>
      <c r="N1443" s="62" t="s">
        <v>7262</v>
      </c>
      <c r="O1443" s="62" t="s">
        <v>44</v>
      </c>
      <c r="P1443" s="62" t="s">
        <v>7265</v>
      </c>
      <c r="Q1443" s="62" t="s">
        <v>7266</v>
      </c>
      <c r="R1443" s="53"/>
      <c r="S1443" s="53"/>
      <c r="T1443" s="82"/>
      <c r="U1443" s="42"/>
      <c r="V1443" s="62"/>
      <c r="W1443" s="64"/>
      <c r="X1443" s="223"/>
      <c r="Y1443" s="223"/>
      <c r="Z1443" s="223"/>
      <c r="AA1443" s="223"/>
    </row>
    <row r="1444">
      <c r="A1444" s="42">
        <f t="shared" si="3"/>
        <v>1443</v>
      </c>
      <c r="B1444" s="51" t="s">
        <v>41</v>
      </c>
      <c r="C1444" s="53" t="s">
        <v>7267</v>
      </c>
      <c r="D1444" s="42" t="s">
        <v>44</v>
      </c>
      <c r="E1444" s="42" t="s">
        <v>44</v>
      </c>
      <c r="F1444" s="53" t="s">
        <v>7215</v>
      </c>
      <c r="G1444" s="53" t="s">
        <v>47</v>
      </c>
      <c r="H1444" s="53" t="s">
        <v>48</v>
      </c>
      <c r="I1444" s="53" t="s">
        <v>401</v>
      </c>
      <c r="J1444" s="53" t="s">
        <v>7216</v>
      </c>
      <c r="K1444" s="53" t="s">
        <v>927</v>
      </c>
      <c r="L1444" s="53" t="s">
        <v>52</v>
      </c>
      <c r="M1444" s="53" t="s">
        <v>52</v>
      </c>
      <c r="N1444" s="62" t="s">
        <v>7249</v>
      </c>
      <c r="O1444" s="62" t="s">
        <v>44</v>
      </c>
      <c r="P1444" s="62" t="s">
        <v>6487</v>
      </c>
      <c r="Q1444" s="62" t="s">
        <v>6488</v>
      </c>
      <c r="R1444" s="53"/>
      <c r="S1444" s="53"/>
      <c r="T1444" s="82"/>
      <c r="U1444" s="42"/>
      <c r="V1444" s="62"/>
      <c r="W1444" s="64"/>
      <c r="X1444" s="223"/>
      <c r="Y1444" s="223"/>
      <c r="Z1444" s="223"/>
      <c r="AA1444" s="223"/>
    </row>
    <row r="1445">
      <c r="A1445" s="42">
        <f t="shared" si="3"/>
        <v>1444</v>
      </c>
      <c r="B1445" s="51" t="s">
        <v>41</v>
      </c>
      <c r="C1445" s="53" t="s">
        <v>7268</v>
      </c>
      <c r="D1445" s="42" t="s">
        <v>44</v>
      </c>
      <c r="E1445" s="42" t="s">
        <v>44</v>
      </c>
      <c r="F1445" s="53" t="s">
        <v>7215</v>
      </c>
      <c r="G1445" s="53" t="s">
        <v>47</v>
      </c>
      <c r="H1445" s="53" t="s">
        <v>48</v>
      </c>
      <c r="I1445" s="53" t="s">
        <v>401</v>
      </c>
      <c r="J1445" s="53" t="s">
        <v>7216</v>
      </c>
      <c r="K1445" s="53" t="s">
        <v>927</v>
      </c>
      <c r="L1445" s="53" t="s">
        <v>52</v>
      </c>
      <c r="M1445" s="53" t="s">
        <v>52</v>
      </c>
      <c r="N1445" s="62" t="s">
        <v>7262</v>
      </c>
      <c r="O1445" s="62" t="s">
        <v>44</v>
      </c>
      <c r="P1445" s="62" t="s">
        <v>6490</v>
      </c>
      <c r="Q1445" s="62" t="s">
        <v>7269</v>
      </c>
      <c r="R1445" s="53"/>
      <c r="S1445" s="53"/>
      <c r="T1445" s="82"/>
      <c r="U1445" s="42"/>
      <c r="V1445" s="62"/>
      <c r="W1445" s="64"/>
      <c r="X1445" s="223"/>
      <c r="Y1445" s="223"/>
      <c r="Z1445" s="223"/>
      <c r="AA1445" s="223"/>
    </row>
    <row r="1446">
      <c r="A1446" s="42">
        <f t="shared" si="3"/>
        <v>1445</v>
      </c>
      <c r="B1446" s="51" t="s">
        <v>41</v>
      </c>
      <c r="C1446" s="53" t="s">
        <v>7270</v>
      </c>
      <c r="D1446" s="42" t="s">
        <v>44</v>
      </c>
      <c r="E1446" s="42" t="s">
        <v>44</v>
      </c>
      <c r="F1446" s="53" t="s">
        <v>7215</v>
      </c>
      <c r="G1446" s="53" t="s">
        <v>47</v>
      </c>
      <c r="H1446" s="53" t="s">
        <v>91</v>
      </c>
      <c r="I1446" s="53" t="s">
        <v>401</v>
      </c>
      <c r="J1446" s="53" t="s">
        <v>7216</v>
      </c>
      <c r="K1446" s="53" t="s">
        <v>927</v>
      </c>
      <c r="L1446" s="53" t="s">
        <v>52</v>
      </c>
      <c r="M1446" s="53" t="s">
        <v>52</v>
      </c>
      <c r="N1446" s="62" t="s">
        <v>7262</v>
      </c>
      <c r="O1446" s="62" t="s">
        <v>44</v>
      </c>
      <c r="P1446" s="62" t="s">
        <v>6493</v>
      </c>
      <c r="Q1446" s="62" t="s">
        <v>6321</v>
      </c>
      <c r="R1446" s="53"/>
      <c r="S1446" s="53"/>
      <c r="T1446" s="82"/>
      <c r="U1446" s="42"/>
      <c r="V1446" s="62"/>
      <c r="W1446" s="64"/>
      <c r="X1446" s="223"/>
      <c r="Y1446" s="223"/>
      <c r="Z1446" s="223"/>
      <c r="AA1446" s="223"/>
    </row>
    <row r="1447">
      <c r="A1447" s="42">
        <f t="shared" si="3"/>
        <v>1446</v>
      </c>
      <c r="B1447" s="51" t="s">
        <v>41</v>
      </c>
      <c r="C1447" s="53" t="s">
        <v>7271</v>
      </c>
      <c r="D1447" s="42" t="s">
        <v>44</v>
      </c>
      <c r="E1447" s="42" t="s">
        <v>44</v>
      </c>
      <c r="F1447" s="53" t="s">
        <v>7215</v>
      </c>
      <c r="G1447" s="53" t="s">
        <v>47</v>
      </c>
      <c r="H1447" s="53" t="s">
        <v>48</v>
      </c>
      <c r="I1447" s="53" t="s">
        <v>401</v>
      </c>
      <c r="J1447" s="53" t="s">
        <v>7216</v>
      </c>
      <c r="K1447" s="53" t="s">
        <v>927</v>
      </c>
      <c r="L1447" s="53" t="s">
        <v>52</v>
      </c>
      <c r="M1447" s="53" t="s">
        <v>52</v>
      </c>
      <c r="N1447" s="62" t="s">
        <v>7249</v>
      </c>
      <c r="O1447" s="62" t="s">
        <v>44</v>
      </c>
      <c r="P1447" s="62" t="s">
        <v>6495</v>
      </c>
      <c r="Q1447" s="62" t="s">
        <v>6496</v>
      </c>
      <c r="R1447" s="53"/>
      <c r="S1447" s="53"/>
      <c r="T1447" s="82"/>
      <c r="U1447" s="42"/>
      <c r="V1447" s="62"/>
      <c r="W1447" s="64"/>
      <c r="X1447" s="223"/>
      <c r="Y1447" s="223"/>
      <c r="Z1447" s="223"/>
      <c r="AA1447" s="223"/>
    </row>
    <row r="1448">
      <c r="A1448" s="42">
        <f t="shared" si="3"/>
        <v>1447</v>
      </c>
      <c r="B1448" s="51" t="s">
        <v>41</v>
      </c>
      <c r="C1448" s="53" t="s">
        <v>7272</v>
      </c>
      <c r="D1448" s="42" t="s">
        <v>44</v>
      </c>
      <c r="E1448" s="42" t="s">
        <v>44</v>
      </c>
      <c r="F1448" s="53" t="s">
        <v>7215</v>
      </c>
      <c r="G1448" s="53" t="s">
        <v>47</v>
      </c>
      <c r="H1448" s="53" t="s">
        <v>48</v>
      </c>
      <c r="I1448" s="53" t="s">
        <v>401</v>
      </c>
      <c r="J1448" s="53" t="s">
        <v>7216</v>
      </c>
      <c r="K1448" s="53" t="s">
        <v>927</v>
      </c>
      <c r="L1448" s="53" t="s">
        <v>52</v>
      </c>
      <c r="M1448" s="53" t="s">
        <v>52</v>
      </c>
      <c r="N1448" s="62" t="s">
        <v>7249</v>
      </c>
      <c r="O1448" s="62" t="s">
        <v>44</v>
      </c>
      <c r="P1448" s="62" t="s">
        <v>6498</v>
      </c>
      <c r="Q1448" s="62" t="s">
        <v>6499</v>
      </c>
      <c r="R1448" s="53"/>
      <c r="S1448" s="53"/>
      <c r="T1448" s="82"/>
      <c r="U1448" s="42"/>
      <c r="V1448" s="62"/>
      <c r="W1448" s="64"/>
      <c r="X1448" s="223"/>
      <c r="Y1448" s="223"/>
      <c r="Z1448" s="223"/>
      <c r="AA1448" s="223"/>
    </row>
    <row r="1449">
      <c r="A1449" s="42">
        <f t="shared" si="3"/>
        <v>1448</v>
      </c>
      <c r="B1449" s="51" t="s">
        <v>41</v>
      </c>
      <c r="C1449" s="53" t="s">
        <v>7273</v>
      </c>
      <c r="D1449" s="42" t="s">
        <v>44</v>
      </c>
      <c r="E1449" s="42" t="s">
        <v>44</v>
      </c>
      <c r="F1449" s="53" t="s">
        <v>7215</v>
      </c>
      <c r="G1449" s="53" t="s">
        <v>47</v>
      </c>
      <c r="H1449" s="53" t="s">
        <v>48</v>
      </c>
      <c r="I1449" s="53" t="s">
        <v>401</v>
      </c>
      <c r="J1449" s="53" t="s">
        <v>7216</v>
      </c>
      <c r="K1449" s="53" t="s">
        <v>927</v>
      </c>
      <c r="L1449" s="53" t="s">
        <v>52</v>
      </c>
      <c r="M1449" s="53" t="s">
        <v>52</v>
      </c>
      <c r="N1449" s="62" t="s">
        <v>7249</v>
      </c>
      <c r="O1449" s="62" t="s">
        <v>44</v>
      </c>
      <c r="P1449" s="62" t="s">
        <v>6501</v>
      </c>
      <c r="Q1449" s="62" t="s">
        <v>7274</v>
      </c>
      <c r="R1449" s="53"/>
      <c r="S1449" s="53"/>
      <c r="T1449" s="82"/>
      <c r="U1449" s="42"/>
      <c r="V1449" s="62"/>
      <c r="W1449" s="64"/>
      <c r="X1449" s="223"/>
      <c r="Y1449" s="223"/>
      <c r="Z1449" s="223"/>
      <c r="AA1449" s="223"/>
    </row>
    <row r="1450">
      <c r="A1450" s="42">
        <f t="shared" si="3"/>
        <v>1449</v>
      </c>
      <c r="B1450" s="51" t="s">
        <v>41</v>
      </c>
      <c r="C1450" s="53" t="s">
        <v>7275</v>
      </c>
      <c r="D1450" s="42" t="s">
        <v>44</v>
      </c>
      <c r="E1450" s="42" t="s">
        <v>44</v>
      </c>
      <c r="F1450" s="53" t="s">
        <v>7215</v>
      </c>
      <c r="G1450" s="53" t="s">
        <v>47</v>
      </c>
      <c r="H1450" s="53" t="s">
        <v>48</v>
      </c>
      <c r="I1450" s="53" t="s">
        <v>401</v>
      </c>
      <c r="J1450" s="53" t="s">
        <v>7216</v>
      </c>
      <c r="K1450" s="53" t="s">
        <v>927</v>
      </c>
      <c r="L1450" s="53" t="s">
        <v>52</v>
      </c>
      <c r="M1450" s="53" t="s">
        <v>52</v>
      </c>
      <c r="N1450" s="62" t="s">
        <v>7262</v>
      </c>
      <c r="O1450" s="62" t="s">
        <v>44</v>
      </c>
      <c r="P1450" s="62" t="s">
        <v>7276</v>
      </c>
      <c r="Q1450" s="62" t="s">
        <v>7277</v>
      </c>
      <c r="R1450" s="53"/>
      <c r="S1450" s="53"/>
      <c r="T1450" s="82"/>
      <c r="U1450" s="42"/>
      <c r="V1450" s="62"/>
      <c r="W1450" s="64"/>
      <c r="X1450" s="223"/>
      <c r="Y1450" s="223"/>
      <c r="Z1450" s="223"/>
      <c r="AA1450" s="223"/>
    </row>
    <row r="1451">
      <c r="A1451" s="42">
        <f t="shared" si="3"/>
        <v>1450</v>
      </c>
      <c r="B1451" s="51" t="s">
        <v>41</v>
      </c>
      <c r="C1451" s="53" t="s">
        <v>7278</v>
      </c>
      <c r="D1451" s="42" t="s">
        <v>44</v>
      </c>
      <c r="E1451" s="42" t="s">
        <v>44</v>
      </c>
      <c r="F1451" s="53" t="s">
        <v>7215</v>
      </c>
      <c r="G1451" s="53" t="s">
        <v>47</v>
      </c>
      <c r="H1451" s="53" t="s">
        <v>91</v>
      </c>
      <c r="I1451" s="53" t="s">
        <v>401</v>
      </c>
      <c r="J1451" s="53" t="s">
        <v>7216</v>
      </c>
      <c r="K1451" s="53" t="s">
        <v>927</v>
      </c>
      <c r="L1451" s="53" t="s">
        <v>52</v>
      </c>
      <c r="M1451" s="53" t="s">
        <v>52</v>
      </c>
      <c r="N1451" s="62" t="s">
        <v>7262</v>
      </c>
      <c r="O1451" s="62" t="s">
        <v>44</v>
      </c>
      <c r="P1451" s="62" t="s">
        <v>7279</v>
      </c>
      <c r="Q1451" s="62" t="s">
        <v>7280</v>
      </c>
      <c r="R1451" s="53"/>
      <c r="S1451" s="53"/>
      <c r="T1451" s="82"/>
      <c r="U1451" s="42"/>
      <c r="V1451" s="62"/>
      <c r="W1451" s="64"/>
      <c r="X1451" s="223"/>
      <c r="Y1451" s="223"/>
      <c r="Z1451" s="223"/>
      <c r="AA1451" s="223"/>
    </row>
    <row r="1452">
      <c r="A1452" s="42">
        <f t="shared" si="3"/>
        <v>1451</v>
      </c>
      <c r="B1452" s="51" t="s">
        <v>41</v>
      </c>
      <c r="C1452" s="53" t="s">
        <v>7281</v>
      </c>
      <c r="D1452" s="42" t="s">
        <v>44</v>
      </c>
      <c r="E1452" s="42" t="s">
        <v>44</v>
      </c>
      <c r="F1452" s="53" t="s">
        <v>7215</v>
      </c>
      <c r="G1452" s="53" t="s">
        <v>47</v>
      </c>
      <c r="H1452" s="53" t="s">
        <v>48</v>
      </c>
      <c r="I1452" s="53" t="s">
        <v>401</v>
      </c>
      <c r="J1452" s="53" t="s">
        <v>7216</v>
      </c>
      <c r="K1452" s="53" t="s">
        <v>927</v>
      </c>
      <c r="L1452" s="53" t="s">
        <v>52</v>
      </c>
      <c r="M1452" s="53" t="s">
        <v>52</v>
      </c>
      <c r="N1452" s="62" t="s">
        <v>7249</v>
      </c>
      <c r="O1452" s="62" t="s">
        <v>44</v>
      </c>
      <c r="P1452" s="62" t="s">
        <v>6507</v>
      </c>
      <c r="Q1452" s="62" t="s">
        <v>7282</v>
      </c>
      <c r="R1452" s="53"/>
      <c r="S1452" s="53"/>
      <c r="T1452" s="82"/>
      <c r="U1452" s="42"/>
      <c r="V1452" s="62"/>
      <c r="W1452" s="64"/>
      <c r="X1452" s="223"/>
      <c r="Y1452" s="223"/>
      <c r="Z1452" s="223"/>
      <c r="AA1452" s="223"/>
    </row>
    <row r="1453">
      <c r="A1453" s="42">
        <f t="shared" si="3"/>
        <v>1452</v>
      </c>
      <c r="B1453" s="51" t="s">
        <v>41</v>
      </c>
      <c r="C1453" s="53" t="s">
        <v>7283</v>
      </c>
      <c r="D1453" s="42" t="s">
        <v>44</v>
      </c>
      <c r="E1453" s="42" t="s">
        <v>44</v>
      </c>
      <c r="F1453" s="53" t="s">
        <v>7215</v>
      </c>
      <c r="G1453" s="53" t="s">
        <v>47</v>
      </c>
      <c r="H1453" s="53" t="s">
        <v>48</v>
      </c>
      <c r="I1453" s="53" t="s">
        <v>401</v>
      </c>
      <c r="J1453" s="53" t="s">
        <v>7216</v>
      </c>
      <c r="K1453" s="53" t="s">
        <v>927</v>
      </c>
      <c r="L1453" s="53" t="s">
        <v>52</v>
      </c>
      <c r="M1453" s="53" t="s">
        <v>52</v>
      </c>
      <c r="N1453" s="62" t="s">
        <v>7262</v>
      </c>
      <c r="O1453" s="62" t="s">
        <v>44</v>
      </c>
      <c r="P1453" s="62" t="s">
        <v>7284</v>
      </c>
      <c r="Q1453" s="62" t="s">
        <v>7285</v>
      </c>
      <c r="R1453" s="53"/>
      <c r="S1453" s="53"/>
      <c r="T1453" s="82"/>
      <c r="U1453" s="42"/>
      <c r="V1453" s="62"/>
      <c r="W1453" s="64"/>
      <c r="X1453" s="223"/>
      <c r="Y1453" s="223"/>
      <c r="Z1453" s="223"/>
      <c r="AA1453" s="223"/>
    </row>
    <row r="1454">
      <c r="A1454" s="42">
        <f t="shared" si="3"/>
        <v>1453</v>
      </c>
      <c r="B1454" s="51" t="s">
        <v>41</v>
      </c>
      <c r="C1454" s="53" t="s">
        <v>7286</v>
      </c>
      <c r="D1454" s="42" t="s">
        <v>44</v>
      </c>
      <c r="E1454" s="42" t="s">
        <v>44</v>
      </c>
      <c r="F1454" s="53" t="s">
        <v>7215</v>
      </c>
      <c r="G1454" s="53" t="s">
        <v>47</v>
      </c>
      <c r="H1454" s="53" t="s">
        <v>48</v>
      </c>
      <c r="I1454" s="53" t="s">
        <v>401</v>
      </c>
      <c r="J1454" s="53" t="s">
        <v>7216</v>
      </c>
      <c r="K1454" s="53" t="s">
        <v>927</v>
      </c>
      <c r="L1454" s="53" t="s">
        <v>52</v>
      </c>
      <c r="M1454" s="53" t="s">
        <v>52</v>
      </c>
      <c r="N1454" s="62" t="s">
        <v>7249</v>
      </c>
      <c r="O1454" s="62" t="s">
        <v>44</v>
      </c>
      <c r="P1454" s="62" t="s">
        <v>6516</v>
      </c>
      <c r="Q1454" s="62" t="s">
        <v>7287</v>
      </c>
      <c r="R1454" s="53"/>
      <c r="S1454" s="53"/>
      <c r="T1454" s="82"/>
      <c r="U1454" s="42"/>
      <c r="V1454" s="62"/>
      <c r="W1454" s="64"/>
      <c r="X1454" s="223"/>
      <c r="Y1454" s="223"/>
      <c r="Z1454" s="223"/>
      <c r="AA1454" s="223"/>
    </row>
    <row r="1455">
      <c r="A1455" s="42">
        <f t="shared" si="3"/>
        <v>1454</v>
      </c>
      <c r="B1455" s="51" t="s">
        <v>41</v>
      </c>
      <c r="C1455" s="53" t="s">
        <v>7288</v>
      </c>
      <c r="D1455" s="42" t="s">
        <v>44</v>
      </c>
      <c r="E1455" s="42" t="s">
        <v>44</v>
      </c>
      <c r="F1455" s="53" t="s">
        <v>7215</v>
      </c>
      <c r="G1455" s="53" t="s">
        <v>47</v>
      </c>
      <c r="H1455" s="53" t="s">
        <v>48</v>
      </c>
      <c r="I1455" s="53" t="s">
        <v>401</v>
      </c>
      <c r="J1455" s="53" t="s">
        <v>7216</v>
      </c>
      <c r="K1455" s="53" t="s">
        <v>927</v>
      </c>
      <c r="L1455" s="53" t="s">
        <v>52</v>
      </c>
      <c r="M1455" s="53" t="s">
        <v>52</v>
      </c>
      <c r="N1455" s="62" t="s">
        <v>7249</v>
      </c>
      <c r="O1455" s="62" t="s">
        <v>44</v>
      </c>
      <c r="P1455" s="62" t="s">
        <v>6519</v>
      </c>
      <c r="Q1455" s="62" t="s">
        <v>6520</v>
      </c>
      <c r="R1455" s="53"/>
      <c r="S1455" s="53"/>
      <c r="T1455" s="82"/>
      <c r="U1455" s="42"/>
      <c r="V1455" s="62"/>
      <c r="W1455" s="64"/>
      <c r="X1455" s="223"/>
      <c r="Y1455" s="223"/>
      <c r="Z1455" s="223"/>
      <c r="AA1455" s="223"/>
    </row>
    <row r="1456">
      <c r="A1456" s="42">
        <f t="shared" si="3"/>
        <v>1455</v>
      </c>
      <c r="B1456" s="51" t="s">
        <v>41</v>
      </c>
      <c r="C1456" s="53" t="s">
        <v>7289</v>
      </c>
      <c r="D1456" s="42" t="s">
        <v>44</v>
      </c>
      <c r="E1456" s="42" t="s">
        <v>44</v>
      </c>
      <c r="F1456" s="53" t="s">
        <v>7215</v>
      </c>
      <c r="G1456" s="53" t="s">
        <v>47</v>
      </c>
      <c r="H1456" s="53" t="s">
        <v>48</v>
      </c>
      <c r="I1456" s="53" t="s">
        <v>401</v>
      </c>
      <c r="J1456" s="53" t="s">
        <v>7216</v>
      </c>
      <c r="K1456" s="53" t="s">
        <v>927</v>
      </c>
      <c r="L1456" s="53" t="s">
        <v>52</v>
      </c>
      <c r="M1456" s="53" t="s">
        <v>52</v>
      </c>
      <c r="N1456" s="62" t="s">
        <v>7249</v>
      </c>
      <c r="O1456" s="62" t="s">
        <v>44</v>
      </c>
      <c r="P1456" s="62" t="s">
        <v>6522</v>
      </c>
      <c r="Q1456" s="62" t="s">
        <v>6523</v>
      </c>
      <c r="R1456" s="53"/>
      <c r="S1456" s="53"/>
      <c r="T1456" s="82"/>
      <c r="U1456" s="42"/>
      <c r="V1456" s="62"/>
      <c r="W1456" s="64"/>
      <c r="X1456" s="223"/>
      <c r="Y1456" s="223"/>
      <c r="Z1456" s="223"/>
      <c r="AA1456" s="223"/>
    </row>
    <row r="1457">
      <c r="A1457" s="42">
        <f t="shared" si="3"/>
        <v>1456</v>
      </c>
      <c r="B1457" s="51" t="s">
        <v>41</v>
      </c>
      <c r="C1457" s="53" t="s">
        <v>7290</v>
      </c>
      <c r="D1457" s="42" t="s">
        <v>44</v>
      </c>
      <c r="E1457" s="42" t="s">
        <v>44</v>
      </c>
      <c r="F1457" s="53" t="s">
        <v>7215</v>
      </c>
      <c r="G1457" s="53" t="s">
        <v>47</v>
      </c>
      <c r="H1457" s="53" t="s">
        <v>91</v>
      </c>
      <c r="I1457" s="53" t="s">
        <v>401</v>
      </c>
      <c r="J1457" s="53" t="s">
        <v>7216</v>
      </c>
      <c r="K1457" s="53" t="s">
        <v>927</v>
      </c>
      <c r="L1457" s="53" t="s">
        <v>52</v>
      </c>
      <c r="M1457" s="53" t="s">
        <v>52</v>
      </c>
      <c r="N1457" s="62" t="s">
        <v>7291</v>
      </c>
      <c r="O1457" s="62" t="s">
        <v>44</v>
      </c>
      <c r="P1457" s="62" t="s">
        <v>6526</v>
      </c>
      <c r="Q1457" s="62" t="s">
        <v>6527</v>
      </c>
      <c r="R1457" s="53"/>
      <c r="S1457" s="53"/>
      <c r="T1457" s="82"/>
      <c r="U1457" s="42"/>
      <c r="V1457" s="62"/>
      <c r="W1457" s="64"/>
      <c r="X1457" s="223"/>
      <c r="Y1457" s="223"/>
      <c r="Z1457" s="223"/>
      <c r="AA1457" s="223"/>
    </row>
    <row r="1458">
      <c r="A1458" s="42">
        <f t="shared" si="3"/>
        <v>1457</v>
      </c>
      <c r="B1458" s="51" t="s">
        <v>41</v>
      </c>
      <c r="C1458" s="53" t="s">
        <v>7292</v>
      </c>
      <c r="D1458" s="42" t="s">
        <v>44</v>
      </c>
      <c r="E1458" s="42" t="s">
        <v>44</v>
      </c>
      <c r="F1458" s="53" t="s">
        <v>7215</v>
      </c>
      <c r="G1458" s="53" t="s">
        <v>111</v>
      </c>
      <c r="H1458" s="53" t="s">
        <v>91</v>
      </c>
      <c r="I1458" s="53" t="s">
        <v>401</v>
      </c>
      <c r="J1458" s="53" t="s">
        <v>7216</v>
      </c>
      <c r="K1458" s="53" t="s">
        <v>927</v>
      </c>
      <c r="L1458" s="53" t="s">
        <v>52</v>
      </c>
      <c r="M1458" s="53" t="s">
        <v>52</v>
      </c>
      <c r="N1458" s="62" t="s">
        <v>7291</v>
      </c>
      <c r="O1458" s="62" t="s">
        <v>44</v>
      </c>
      <c r="P1458" s="62" t="s">
        <v>5683</v>
      </c>
      <c r="Q1458" s="62" t="s">
        <v>7293</v>
      </c>
      <c r="R1458" s="53"/>
      <c r="S1458" s="53"/>
      <c r="T1458" s="82"/>
      <c r="U1458" s="42"/>
      <c r="V1458" s="62"/>
      <c r="W1458" s="64"/>
      <c r="X1458" s="223"/>
      <c r="Y1458" s="223"/>
      <c r="Z1458" s="223"/>
      <c r="AA1458" s="223"/>
    </row>
    <row r="1459">
      <c r="A1459" s="42">
        <f t="shared" si="3"/>
        <v>1458</v>
      </c>
      <c r="B1459" s="51" t="s">
        <v>41</v>
      </c>
      <c r="C1459" s="53" t="s">
        <v>7294</v>
      </c>
      <c r="D1459" s="42" t="s">
        <v>44</v>
      </c>
      <c r="E1459" s="42" t="s">
        <v>44</v>
      </c>
      <c r="F1459" s="53" t="s">
        <v>7215</v>
      </c>
      <c r="G1459" s="53" t="s">
        <v>47</v>
      </c>
      <c r="H1459" s="53" t="s">
        <v>48</v>
      </c>
      <c r="I1459" s="53" t="s">
        <v>401</v>
      </c>
      <c r="J1459" s="53" t="s">
        <v>7216</v>
      </c>
      <c r="K1459" s="53" t="s">
        <v>927</v>
      </c>
      <c r="L1459" s="53" t="s">
        <v>52</v>
      </c>
      <c r="M1459" s="53" t="s">
        <v>52</v>
      </c>
      <c r="N1459" s="62" t="s">
        <v>7291</v>
      </c>
      <c r="O1459" s="62" t="s">
        <v>44</v>
      </c>
      <c r="P1459" s="62" t="s">
        <v>5678</v>
      </c>
      <c r="Q1459" s="62" t="s">
        <v>5985</v>
      </c>
      <c r="R1459" s="53"/>
      <c r="S1459" s="53"/>
      <c r="T1459" s="82"/>
      <c r="U1459" s="42"/>
      <c r="V1459" s="62"/>
      <c r="W1459" s="64"/>
      <c r="X1459" s="223"/>
      <c r="Y1459" s="223"/>
      <c r="Z1459" s="223"/>
      <c r="AA1459" s="223"/>
    </row>
    <row r="1460">
      <c r="A1460" s="42">
        <f t="shared" si="3"/>
        <v>1459</v>
      </c>
      <c r="B1460" s="51" t="s">
        <v>41</v>
      </c>
      <c r="C1460" s="53" t="s">
        <v>7295</v>
      </c>
      <c r="D1460" s="42" t="s">
        <v>44</v>
      </c>
      <c r="E1460" s="42" t="s">
        <v>44</v>
      </c>
      <c r="F1460" s="53" t="s">
        <v>7215</v>
      </c>
      <c r="G1460" s="53" t="s">
        <v>111</v>
      </c>
      <c r="H1460" s="53" t="s">
        <v>91</v>
      </c>
      <c r="I1460" s="53" t="s">
        <v>401</v>
      </c>
      <c r="J1460" s="53" t="s">
        <v>7216</v>
      </c>
      <c r="K1460" s="53" t="s">
        <v>927</v>
      </c>
      <c r="L1460" s="53" t="s">
        <v>52</v>
      </c>
      <c r="M1460" s="53" t="s">
        <v>52</v>
      </c>
      <c r="N1460" s="62" t="s">
        <v>7296</v>
      </c>
      <c r="O1460" s="62" t="s">
        <v>44</v>
      </c>
      <c r="P1460" s="62" t="s">
        <v>5688</v>
      </c>
      <c r="Q1460" s="62" t="s">
        <v>1407</v>
      </c>
      <c r="R1460" s="53"/>
      <c r="S1460" s="53"/>
      <c r="T1460" s="82"/>
      <c r="U1460" s="42"/>
      <c r="V1460" s="62"/>
      <c r="W1460" s="64"/>
      <c r="X1460" s="223"/>
      <c r="Y1460" s="223"/>
      <c r="Z1460" s="223"/>
      <c r="AA1460" s="223"/>
    </row>
    <row r="1461">
      <c r="A1461" s="42">
        <f t="shared" si="3"/>
        <v>1460</v>
      </c>
      <c r="B1461" s="51" t="s">
        <v>41</v>
      </c>
      <c r="C1461" s="53" t="s">
        <v>7297</v>
      </c>
      <c r="D1461" s="42" t="s">
        <v>44</v>
      </c>
      <c r="E1461" s="42" t="s">
        <v>44</v>
      </c>
      <c r="F1461" s="53" t="s">
        <v>7215</v>
      </c>
      <c r="G1461" s="53" t="s">
        <v>47</v>
      </c>
      <c r="H1461" s="53" t="s">
        <v>95</v>
      </c>
      <c r="I1461" s="53" t="s">
        <v>401</v>
      </c>
      <c r="J1461" s="53" t="s">
        <v>7216</v>
      </c>
      <c r="K1461" s="53" t="s">
        <v>927</v>
      </c>
      <c r="L1461" s="53" t="s">
        <v>52</v>
      </c>
      <c r="M1461" s="53" t="s">
        <v>52</v>
      </c>
      <c r="N1461" s="62" t="s">
        <v>7298</v>
      </c>
      <c r="O1461" s="62" t="s">
        <v>44</v>
      </c>
      <c r="P1461" s="62" t="s">
        <v>5688</v>
      </c>
      <c r="Q1461" s="62" t="s">
        <v>6535</v>
      </c>
      <c r="R1461" s="53"/>
      <c r="S1461" s="53"/>
      <c r="T1461" s="82"/>
      <c r="U1461" s="42"/>
      <c r="V1461" s="62"/>
      <c r="W1461" s="64"/>
      <c r="X1461" s="223"/>
      <c r="Y1461" s="223"/>
      <c r="Z1461" s="223"/>
      <c r="AA1461" s="223"/>
    </row>
    <row r="1462">
      <c r="A1462" s="42">
        <f t="shared" si="3"/>
        <v>1461</v>
      </c>
      <c r="B1462" s="51" t="s">
        <v>41</v>
      </c>
      <c r="C1462" s="53" t="s">
        <v>7299</v>
      </c>
      <c r="D1462" s="42" t="s">
        <v>44</v>
      </c>
      <c r="E1462" s="42" t="s">
        <v>44</v>
      </c>
      <c r="F1462" s="53" t="s">
        <v>7215</v>
      </c>
      <c r="G1462" s="53" t="s">
        <v>47</v>
      </c>
      <c r="H1462" s="53" t="s">
        <v>48</v>
      </c>
      <c r="I1462" s="53" t="s">
        <v>401</v>
      </c>
      <c r="J1462" s="53" t="s">
        <v>7216</v>
      </c>
      <c r="K1462" s="53" t="s">
        <v>927</v>
      </c>
      <c r="L1462" s="53" t="s">
        <v>52</v>
      </c>
      <c r="M1462" s="53" t="s">
        <v>52</v>
      </c>
      <c r="N1462" s="62" t="s">
        <v>7249</v>
      </c>
      <c r="O1462" s="62" t="s">
        <v>44</v>
      </c>
      <c r="P1462" s="62" t="s">
        <v>6537</v>
      </c>
      <c r="Q1462" s="62" t="s">
        <v>6538</v>
      </c>
      <c r="R1462" s="53"/>
      <c r="S1462" s="53"/>
      <c r="T1462" s="82"/>
      <c r="U1462" s="42"/>
      <c r="V1462" s="62"/>
      <c r="W1462" s="64"/>
      <c r="X1462" s="223"/>
      <c r="Y1462" s="223"/>
      <c r="Z1462" s="223"/>
      <c r="AA1462" s="223"/>
    </row>
    <row r="1463">
      <c r="A1463" s="42">
        <f t="shared" si="3"/>
        <v>1462</v>
      </c>
      <c r="B1463" s="51" t="s">
        <v>41</v>
      </c>
      <c r="C1463" s="53" t="s">
        <v>7300</v>
      </c>
      <c r="D1463" s="42" t="s">
        <v>44</v>
      </c>
      <c r="E1463" s="42" t="s">
        <v>44</v>
      </c>
      <c r="F1463" s="53" t="s">
        <v>7215</v>
      </c>
      <c r="G1463" s="53" t="s">
        <v>47</v>
      </c>
      <c r="H1463" s="53" t="s">
        <v>48</v>
      </c>
      <c r="I1463" s="53" t="s">
        <v>401</v>
      </c>
      <c r="J1463" s="53" t="s">
        <v>7216</v>
      </c>
      <c r="K1463" s="53" t="s">
        <v>927</v>
      </c>
      <c r="L1463" s="53" t="s">
        <v>52</v>
      </c>
      <c r="M1463" s="53" t="s">
        <v>52</v>
      </c>
      <c r="N1463" s="62" t="s">
        <v>7249</v>
      </c>
      <c r="O1463" s="62" t="s">
        <v>44</v>
      </c>
      <c r="P1463" s="62" t="s">
        <v>6540</v>
      </c>
      <c r="Q1463" s="62" t="s">
        <v>6541</v>
      </c>
      <c r="R1463" s="53"/>
      <c r="S1463" s="53"/>
      <c r="T1463" s="82"/>
      <c r="U1463" s="42"/>
      <c r="V1463" s="62"/>
      <c r="W1463" s="64"/>
      <c r="X1463" s="223"/>
      <c r="Y1463" s="223"/>
      <c r="Z1463" s="223"/>
      <c r="AA1463" s="223"/>
    </row>
    <row r="1464">
      <c r="A1464" s="42">
        <f t="shared" si="3"/>
        <v>1463</v>
      </c>
      <c r="B1464" s="51" t="s">
        <v>41</v>
      </c>
      <c r="C1464" s="53" t="s">
        <v>7301</v>
      </c>
      <c r="D1464" s="42" t="s">
        <v>44</v>
      </c>
      <c r="E1464" s="42" t="s">
        <v>44</v>
      </c>
      <c r="F1464" s="53" t="s">
        <v>7215</v>
      </c>
      <c r="G1464" s="53" t="s">
        <v>47</v>
      </c>
      <c r="H1464" s="53" t="s">
        <v>48</v>
      </c>
      <c r="I1464" s="53" t="s">
        <v>401</v>
      </c>
      <c r="J1464" s="53" t="s">
        <v>7216</v>
      </c>
      <c r="K1464" s="53" t="s">
        <v>927</v>
      </c>
      <c r="L1464" s="53" t="s">
        <v>52</v>
      </c>
      <c r="M1464" s="53" t="s">
        <v>52</v>
      </c>
      <c r="N1464" s="62" t="s">
        <v>7249</v>
      </c>
      <c r="O1464" s="62" t="s">
        <v>44</v>
      </c>
      <c r="P1464" s="62" t="s">
        <v>6543</v>
      </c>
      <c r="Q1464" s="62" t="s">
        <v>6544</v>
      </c>
      <c r="R1464" s="53"/>
      <c r="S1464" s="53"/>
      <c r="T1464" s="82"/>
      <c r="U1464" s="42"/>
      <c r="V1464" s="62"/>
      <c r="W1464" s="64"/>
      <c r="X1464" s="223"/>
      <c r="Y1464" s="223"/>
      <c r="Z1464" s="223"/>
      <c r="AA1464" s="223"/>
    </row>
    <row r="1465">
      <c r="A1465" s="42">
        <f t="shared" si="3"/>
        <v>1464</v>
      </c>
      <c r="B1465" s="51" t="s">
        <v>41</v>
      </c>
      <c r="C1465" s="53" t="s">
        <v>7302</v>
      </c>
      <c r="D1465" s="42" t="s">
        <v>44</v>
      </c>
      <c r="E1465" s="42" t="s">
        <v>44</v>
      </c>
      <c r="F1465" s="53" t="s">
        <v>7215</v>
      </c>
      <c r="G1465" s="53" t="s">
        <v>47</v>
      </c>
      <c r="H1465" s="53" t="s">
        <v>48</v>
      </c>
      <c r="I1465" s="53" t="s">
        <v>401</v>
      </c>
      <c r="J1465" s="53" t="s">
        <v>7303</v>
      </c>
      <c r="K1465" s="53" t="s">
        <v>51</v>
      </c>
      <c r="L1465" s="53" t="s">
        <v>52</v>
      </c>
      <c r="M1465" s="53" t="s">
        <v>52</v>
      </c>
      <c r="N1465" s="62" t="s">
        <v>7304</v>
      </c>
      <c r="O1465" s="62" t="s">
        <v>44</v>
      </c>
      <c r="P1465" s="62" t="s">
        <v>6371</v>
      </c>
      <c r="Q1465" s="62" t="s">
        <v>7305</v>
      </c>
      <c r="R1465" s="53"/>
      <c r="S1465" s="53"/>
      <c r="T1465" s="82"/>
      <c r="U1465" s="42"/>
      <c r="V1465" s="62"/>
      <c r="W1465" s="64"/>
      <c r="X1465" s="223"/>
      <c r="Y1465" s="223"/>
      <c r="Z1465" s="223"/>
      <c r="AA1465" s="223"/>
    </row>
    <row r="1466">
      <c r="A1466" s="42">
        <f t="shared" si="3"/>
        <v>1465</v>
      </c>
      <c r="B1466" s="51" t="s">
        <v>41</v>
      </c>
      <c r="C1466" s="53" t="s">
        <v>7306</v>
      </c>
      <c r="D1466" s="42" t="s">
        <v>44</v>
      </c>
      <c r="E1466" s="42" t="s">
        <v>44</v>
      </c>
      <c r="F1466" s="53" t="s">
        <v>7215</v>
      </c>
      <c r="G1466" s="53" t="s">
        <v>47</v>
      </c>
      <c r="H1466" s="53" t="s">
        <v>48</v>
      </c>
      <c r="I1466" s="53" t="s">
        <v>401</v>
      </c>
      <c r="J1466" s="53" t="s">
        <v>7303</v>
      </c>
      <c r="K1466" s="53" t="s">
        <v>51</v>
      </c>
      <c r="L1466" s="53" t="s">
        <v>52</v>
      </c>
      <c r="M1466" s="53" t="s">
        <v>52</v>
      </c>
      <c r="N1466" s="62" t="s">
        <v>7304</v>
      </c>
      <c r="O1466" s="62" t="s">
        <v>44</v>
      </c>
      <c r="P1466" s="62" t="s">
        <v>6377</v>
      </c>
      <c r="Q1466" s="62" t="s">
        <v>6550</v>
      </c>
      <c r="R1466" s="53"/>
      <c r="S1466" s="53"/>
      <c r="T1466" s="82"/>
      <c r="U1466" s="42"/>
      <c r="V1466" s="62"/>
      <c r="W1466" s="64"/>
      <c r="X1466" s="223"/>
      <c r="Y1466" s="223"/>
      <c r="Z1466" s="223"/>
      <c r="AA1466" s="223"/>
    </row>
    <row r="1467">
      <c r="A1467" s="42">
        <f t="shared" si="3"/>
        <v>1466</v>
      </c>
      <c r="B1467" s="51" t="s">
        <v>41</v>
      </c>
      <c r="C1467" s="53" t="s">
        <v>7307</v>
      </c>
      <c r="D1467" s="42" t="s">
        <v>44</v>
      </c>
      <c r="E1467" s="42" t="s">
        <v>44</v>
      </c>
      <c r="F1467" s="53" t="s">
        <v>7215</v>
      </c>
      <c r="G1467" s="53" t="s">
        <v>47</v>
      </c>
      <c r="H1467" s="53" t="s">
        <v>48</v>
      </c>
      <c r="I1467" s="53" t="s">
        <v>401</v>
      </c>
      <c r="J1467" s="53" t="s">
        <v>7303</v>
      </c>
      <c r="K1467" s="53" t="s">
        <v>51</v>
      </c>
      <c r="L1467" s="53" t="s">
        <v>52</v>
      </c>
      <c r="M1467" s="53" t="s">
        <v>52</v>
      </c>
      <c r="N1467" s="62" t="s">
        <v>7304</v>
      </c>
      <c r="O1467" s="62" t="s">
        <v>44</v>
      </c>
      <c r="P1467" s="62" t="s">
        <v>6374</v>
      </c>
      <c r="Q1467" s="62" t="s">
        <v>6552</v>
      </c>
      <c r="R1467" s="53"/>
      <c r="S1467" s="53"/>
      <c r="T1467" s="82"/>
      <c r="U1467" s="42"/>
      <c r="V1467" s="62"/>
      <c r="W1467" s="64"/>
      <c r="X1467" s="223"/>
      <c r="Y1467" s="223"/>
      <c r="Z1467" s="223"/>
      <c r="AA1467" s="223"/>
    </row>
    <row r="1468">
      <c r="A1468" s="42">
        <f t="shared" si="3"/>
        <v>1467</v>
      </c>
      <c r="B1468" s="51" t="s">
        <v>41</v>
      </c>
      <c r="C1468" s="53" t="s">
        <v>7308</v>
      </c>
      <c r="D1468" s="42" t="s">
        <v>44</v>
      </c>
      <c r="E1468" s="42" t="s">
        <v>44</v>
      </c>
      <c r="F1468" s="53" t="s">
        <v>7215</v>
      </c>
      <c r="G1468" s="53" t="s">
        <v>47</v>
      </c>
      <c r="H1468" s="53" t="s">
        <v>48</v>
      </c>
      <c r="I1468" s="53" t="s">
        <v>401</v>
      </c>
      <c r="J1468" s="53" t="s">
        <v>7303</v>
      </c>
      <c r="K1468" s="53" t="s">
        <v>51</v>
      </c>
      <c r="L1468" s="53" t="s">
        <v>52</v>
      </c>
      <c r="M1468" s="53" t="s">
        <v>52</v>
      </c>
      <c r="N1468" s="62" t="s">
        <v>7309</v>
      </c>
      <c r="O1468" s="62" t="s">
        <v>44</v>
      </c>
      <c r="P1468" s="62" t="s">
        <v>6381</v>
      </c>
      <c r="Q1468" s="62" t="s">
        <v>6555</v>
      </c>
      <c r="R1468" s="53"/>
      <c r="S1468" s="53"/>
      <c r="T1468" s="82"/>
      <c r="U1468" s="42"/>
      <c r="V1468" s="62"/>
      <c r="W1468" s="64"/>
      <c r="X1468" s="223"/>
      <c r="Y1468" s="223"/>
      <c r="Z1468" s="223"/>
      <c r="AA1468" s="223"/>
    </row>
    <row r="1469">
      <c r="A1469" s="42">
        <f t="shared" si="3"/>
        <v>1468</v>
      </c>
      <c r="B1469" s="51" t="s">
        <v>41</v>
      </c>
      <c r="C1469" s="53" t="s">
        <v>7310</v>
      </c>
      <c r="D1469" s="42" t="s">
        <v>44</v>
      </c>
      <c r="E1469" s="42" t="s">
        <v>44</v>
      </c>
      <c r="F1469" s="53" t="s">
        <v>7215</v>
      </c>
      <c r="G1469" s="53" t="s">
        <v>47</v>
      </c>
      <c r="H1469" s="53" t="s">
        <v>48</v>
      </c>
      <c r="I1469" s="53" t="s">
        <v>401</v>
      </c>
      <c r="J1469" s="53" t="s">
        <v>7303</v>
      </c>
      <c r="K1469" s="53" t="s">
        <v>51</v>
      </c>
      <c r="L1469" s="53" t="s">
        <v>52</v>
      </c>
      <c r="M1469" s="53" t="s">
        <v>52</v>
      </c>
      <c r="N1469" s="62" t="s">
        <v>7304</v>
      </c>
      <c r="O1469" s="62" t="s">
        <v>44</v>
      </c>
      <c r="P1469" s="62" t="s">
        <v>6557</v>
      </c>
      <c r="Q1469" s="62" t="s">
        <v>7311</v>
      </c>
      <c r="R1469" s="53"/>
      <c r="S1469" s="53"/>
      <c r="T1469" s="82"/>
      <c r="U1469" s="42"/>
      <c r="V1469" s="62"/>
      <c r="W1469" s="64"/>
      <c r="X1469" s="223"/>
      <c r="Y1469" s="223"/>
      <c r="Z1469" s="223"/>
      <c r="AA1469" s="223"/>
    </row>
    <row r="1470">
      <c r="A1470" s="42">
        <f t="shared" si="3"/>
        <v>1469</v>
      </c>
      <c r="B1470" s="51" t="s">
        <v>41</v>
      </c>
      <c r="C1470" s="53" t="s">
        <v>7312</v>
      </c>
      <c r="D1470" s="42" t="s">
        <v>44</v>
      </c>
      <c r="E1470" s="42" t="s">
        <v>44</v>
      </c>
      <c r="F1470" s="53" t="s">
        <v>7215</v>
      </c>
      <c r="G1470" s="53" t="s">
        <v>47</v>
      </c>
      <c r="H1470" s="53" t="s">
        <v>48</v>
      </c>
      <c r="I1470" s="53" t="s">
        <v>401</v>
      </c>
      <c r="J1470" s="53" t="s">
        <v>7303</v>
      </c>
      <c r="K1470" s="53" t="s">
        <v>51</v>
      </c>
      <c r="L1470" s="53" t="s">
        <v>52</v>
      </c>
      <c r="M1470" s="53" t="s">
        <v>52</v>
      </c>
      <c r="N1470" s="62" t="s">
        <v>7309</v>
      </c>
      <c r="O1470" s="62" t="s">
        <v>44</v>
      </c>
      <c r="P1470" s="62" t="s">
        <v>6384</v>
      </c>
      <c r="Q1470" s="62" t="s">
        <v>6560</v>
      </c>
      <c r="R1470" s="53"/>
      <c r="S1470" s="53"/>
      <c r="T1470" s="82"/>
      <c r="U1470" s="42"/>
      <c r="V1470" s="62"/>
      <c r="W1470" s="64"/>
      <c r="X1470" s="223"/>
      <c r="Y1470" s="223"/>
      <c r="Z1470" s="223"/>
      <c r="AA1470" s="223"/>
    </row>
    <row r="1471">
      <c r="A1471" s="42">
        <f t="shared" si="3"/>
        <v>1470</v>
      </c>
      <c r="B1471" s="51" t="s">
        <v>41</v>
      </c>
      <c r="C1471" s="53" t="s">
        <v>7313</v>
      </c>
      <c r="D1471" s="42" t="s">
        <v>44</v>
      </c>
      <c r="E1471" s="42" t="s">
        <v>44</v>
      </c>
      <c r="F1471" s="53" t="s">
        <v>7215</v>
      </c>
      <c r="G1471" s="53" t="s">
        <v>85</v>
      </c>
      <c r="H1471" s="53" t="s">
        <v>86</v>
      </c>
      <c r="I1471" s="53" t="s">
        <v>401</v>
      </c>
      <c r="J1471" s="53" t="s">
        <v>7303</v>
      </c>
      <c r="K1471" s="53" t="s">
        <v>51</v>
      </c>
      <c r="L1471" s="53" t="s">
        <v>52</v>
      </c>
      <c r="M1471" s="53" t="s">
        <v>52</v>
      </c>
      <c r="N1471" s="62" t="s">
        <v>7304</v>
      </c>
      <c r="O1471" s="62" t="s">
        <v>44</v>
      </c>
      <c r="P1471" s="62" t="s">
        <v>6387</v>
      </c>
      <c r="Q1471" s="62" t="s">
        <v>5753</v>
      </c>
      <c r="R1471" s="53"/>
      <c r="S1471" s="53"/>
      <c r="T1471" s="82"/>
      <c r="U1471" s="42"/>
      <c r="V1471" s="62"/>
      <c r="W1471" s="64"/>
      <c r="X1471" s="223"/>
      <c r="Y1471" s="223"/>
      <c r="Z1471" s="223"/>
      <c r="AA1471" s="223"/>
    </row>
    <row r="1472">
      <c r="A1472" s="42">
        <f t="shared" si="3"/>
        <v>1471</v>
      </c>
      <c r="B1472" s="51" t="s">
        <v>41</v>
      </c>
      <c r="C1472" s="53" t="s">
        <v>7314</v>
      </c>
      <c r="D1472" s="42" t="s">
        <v>44</v>
      </c>
      <c r="E1472" s="42" t="s">
        <v>44</v>
      </c>
      <c r="F1472" s="53" t="s">
        <v>7315</v>
      </c>
      <c r="G1472" s="53" t="s">
        <v>111</v>
      </c>
      <c r="H1472" s="53" t="s">
        <v>112</v>
      </c>
      <c r="I1472" s="53" t="s">
        <v>401</v>
      </c>
      <c r="J1472" s="53" t="s">
        <v>7316</v>
      </c>
      <c r="K1472" s="53" t="s">
        <v>1615</v>
      </c>
      <c r="L1472" s="53" t="s">
        <v>52</v>
      </c>
      <c r="M1472" s="53" t="s">
        <v>52</v>
      </c>
      <c r="N1472" s="62" t="s">
        <v>7317</v>
      </c>
      <c r="O1472" s="62" t="s">
        <v>44</v>
      </c>
      <c r="P1472" s="62" t="s">
        <v>6399</v>
      </c>
      <c r="Q1472" s="62" t="s">
        <v>7318</v>
      </c>
      <c r="R1472" s="53"/>
      <c r="S1472" s="53"/>
      <c r="T1472" s="82"/>
      <c r="U1472" s="42"/>
      <c r="V1472" s="62"/>
      <c r="W1472" s="64"/>
      <c r="X1472" s="223"/>
      <c r="Y1472" s="223"/>
      <c r="Z1472" s="223"/>
      <c r="AA1472" s="223"/>
    </row>
    <row r="1473">
      <c r="A1473" s="42">
        <f t="shared" si="3"/>
        <v>1472</v>
      </c>
      <c r="B1473" s="51" t="s">
        <v>41</v>
      </c>
      <c r="C1473" s="53" t="s">
        <v>7319</v>
      </c>
      <c r="D1473" s="42" t="s">
        <v>44</v>
      </c>
      <c r="E1473" s="42" t="s">
        <v>44</v>
      </c>
      <c r="F1473" s="53" t="s">
        <v>7315</v>
      </c>
      <c r="G1473" s="53" t="s">
        <v>47</v>
      </c>
      <c r="H1473" s="53" t="s">
        <v>48</v>
      </c>
      <c r="I1473" s="53" t="s">
        <v>401</v>
      </c>
      <c r="J1473" s="53" t="s">
        <v>7316</v>
      </c>
      <c r="K1473" s="53" t="s">
        <v>1615</v>
      </c>
      <c r="L1473" s="53" t="s">
        <v>52</v>
      </c>
      <c r="M1473" s="53" t="s">
        <v>52</v>
      </c>
      <c r="N1473" s="62" t="s">
        <v>7317</v>
      </c>
      <c r="O1473" s="62" t="s">
        <v>44</v>
      </c>
      <c r="P1473" s="62" t="s">
        <v>5384</v>
      </c>
      <c r="Q1473" s="62" t="s">
        <v>7320</v>
      </c>
      <c r="R1473" s="53"/>
      <c r="S1473" s="53"/>
      <c r="T1473" s="82"/>
      <c r="U1473" s="42"/>
      <c r="V1473" s="62"/>
      <c r="W1473" s="64"/>
      <c r="X1473" s="223"/>
      <c r="Y1473" s="223"/>
      <c r="Z1473" s="223"/>
      <c r="AA1473" s="223"/>
    </row>
    <row r="1474">
      <c r="A1474" s="42">
        <f t="shared" si="3"/>
        <v>1473</v>
      </c>
      <c r="B1474" s="51" t="s">
        <v>41</v>
      </c>
      <c r="C1474" s="53" t="s">
        <v>7321</v>
      </c>
      <c r="D1474" s="42" t="s">
        <v>44</v>
      </c>
      <c r="E1474" s="42" t="s">
        <v>44</v>
      </c>
      <c r="F1474" s="53" t="s">
        <v>7315</v>
      </c>
      <c r="G1474" s="53" t="s">
        <v>47</v>
      </c>
      <c r="H1474" s="53" t="s">
        <v>48</v>
      </c>
      <c r="I1474" s="53" t="s">
        <v>401</v>
      </c>
      <c r="J1474" s="53" t="s">
        <v>7316</v>
      </c>
      <c r="K1474" s="53" t="s">
        <v>1615</v>
      </c>
      <c r="L1474" s="53" t="s">
        <v>52</v>
      </c>
      <c r="M1474" s="53" t="s">
        <v>52</v>
      </c>
      <c r="N1474" s="62" t="s">
        <v>7317</v>
      </c>
      <c r="O1474" s="62" t="s">
        <v>44</v>
      </c>
      <c r="P1474" s="62" t="s">
        <v>5389</v>
      </c>
      <c r="Q1474" s="62" t="s">
        <v>7322</v>
      </c>
      <c r="R1474" s="53"/>
      <c r="S1474" s="53"/>
      <c r="T1474" s="82"/>
      <c r="U1474" s="42"/>
      <c r="V1474" s="62"/>
      <c r="W1474" s="64"/>
      <c r="X1474" s="223"/>
      <c r="Y1474" s="223"/>
      <c r="Z1474" s="223"/>
      <c r="AA1474" s="223"/>
    </row>
    <row r="1475">
      <c r="A1475" s="42">
        <f t="shared" si="3"/>
        <v>1474</v>
      </c>
      <c r="B1475" s="51" t="s">
        <v>41</v>
      </c>
      <c r="C1475" s="53" t="s">
        <v>7323</v>
      </c>
      <c r="D1475" s="42" t="s">
        <v>44</v>
      </c>
      <c r="E1475" s="42" t="s">
        <v>44</v>
      </c>
      <c r="F1475" s="53" t="s">
        <v>7315</v>
      </c>
      <c r="G1475" s="53" t="s">
        <v>47</v>
      </c>
      <c r="H1475" s="53" t="s">
        <v>48</v>
      </c>
      <c r="I1475" s="53" t="s">
        <v>401</v>
      </c>
      <c r="J1475" s="53" t="s">
        <v>7316</v>
      </c>
      <c r="K1475" s="53" t="s">
        <v>1615</v>
      </c>
      <c r="L1475" s="53" t="s">
        <v>52</v>
      </c>
      <c r="M1475" s="53" t="s">
        <v>52</v>
      </c>
      <c r="N1475" s="62" t="s">
        <v>7317</v>
      </c>
      <c r="O1475" s="62" t="s">
        <v>44</v>
      </c>
      <c r="P1475" s="62" t="s">
        <v>7324</v>
      </c>
      <c r="Q1475" s="62" t="s">
        <v>7325</v>
      </c>
      <c r="R1475" s="53"/>
      <c r="S1475" s="53"/>
      <c r="T1475" s="82"/>
      <c r="U1475" s="42"/>
      <c r="V1475" s="62"/>
      <c r="W1475" s="64"/>
      <c r="X1475" s="223"/>
      <c r="Y1475" s="223"/>
      <c r="Z1475" s="223"/>
      <c r="AA1475" s="223"/>
    </row>
    <row r="1476">
      <c r="A1476" s="42">
        <f t="shared" si="3"/>
        <v>1475</v>
      </c>
      <c r="B1476" s="51" t="s">
        <v>41</v>
      </c>
      <c r="C1476" s="53" t="s">
        <v>7326</v>
      </c>
      <c r="D1476" s="42" t="s">
        <v>44</v>
      </c>
      <c r="E1476" s="42" t="s">
        <v>44</v>
      </c>
      <c r="F1476" s="53" t="s">
        <v>7315</v>
      </c>
      <c r="G1476" s="53" t="s">
        <v>47</v>
      </c>
      <c r="H1476" s="53" t="s">
        <v>48</v>
      </c>
      <c r="I1476" s="53" t="s">
        <v>401</v>
      </c>
      <c r="J1476" s="53" t="s">
        <v>7316</v>
      </c>
      <c r="K1476" s="53" t="s">
        <v>1615</v>
      </c>
      <c r="L1476" s="53" t="s">
        <v>52</v>
      </c>
      <c r="M1476" s="53" t="s">
        <v>52</v>
      </c>
      <c r="N1476" s="62" t="s">
        <v>7317</v>
      </c>
      <c r="O1476" s="62" t="s">
        <v>44</v>
      </c>
      <c r="P1476" s="62" t="s">
        <v>6082</v>
      </c>
      <c r="Q1476" s="62" t="s">
        <v>6083</v>
      </c>
      <c r="R1476" s="53"/>
      <c r="S1476" s="53"/>
      <c r="T1476" s="82"/>
      <c r="U1476" s="42"/>
      <c r="V1476" s="62"/>
      <c r="W1476" s="64"/>
      <c r="X1476" s="223"/>
      <c r="Y1476" s="223"/>
      <c r="Z1476" s="223"/>
      <c r="AA1476" s="223"/>
    </row>
    <row r="1477">
      <c r="A1477" s="42">
        <f t="shared" si="3"/>
        <v>1476</v>
      </c>
      <c r="B1477" s="51" t="s">
        <v>41</v>
      </c>
      <c r="C1477" s="53" t="s">
        <v>7327</v>
      </c>
      <c r="D1477" s="42" t="s">
        <v>44</v>
      </c>
      <c r="E1477" s="42" t="s">
        <v>44</v>
      </c>
      <c r="F1477" s="53" t="s">
        <v>7315</v>
      </c>
      <c r="G1477" s="53" t="s">
        <v>47</v>
      </c>
      <c r="H1477" s="53" t="s">
        <v>48</v>
      </c>
      <c r="I1477" s="53" t="s">
        <v>401</v>
      </c>
      <c r="J1477" s="53" t="s">
        <v>7316</v>
      </c>
      <c r="K1477" s="53" t="s">
        <v>1615</v>
      </c>
      <c r="L1477" s="53" t="s">
        <v>52</v>
      </c>
      <c r="M1477" s="53" t="s">
        <v>52</v>
      </c>
      <c r="N1477" s="62" t="s">
        <v>7317</v>
      </c>
      <c r="O1477" s="62" t="s">
        <v>44</v>
      </c>
      <c r="P1477" s="62" t="s">
        <v>6085</v>
      </c>
      <c r="Q1477" s="62" t="s">
        <v>6241</v>
      </c>
      <c r="R1477" s="53"/>
      <c r="S1477" s="53"/>
      <c r="T1477" s="82"/>
      <c r="U1477" s="42"/>
      <c r="V1477" s="62"/>
      <c r="W1477" s="64"/>
      <c r="X1477" s="223"/>
      <c r="Y1477" s="223"/>
      <c r="Z1477" s="223"/>
      <c r="AA1477" s="223"/>
    </row>
    <row r="1478">
      <c r="A1478" s="42">
        <f t="shared" si="3"/>
        <v>1477</v>
      </c>
      <c r="B1478" s="51" t="s">
        <v>41</v>
      </c>
      <c r="C1478" s="53" t="s">
        <v>7328</v>
      </c>
      <c r="D1478" s="42" t="s">
        <v>44</v>
      </c>
      <c r="E1478" s="42" t="s">
        <v>44</v>
      </c>
      <c r="F1478" s="53" t="s">
        <v>7315</v>
      </c>
      <c r="G1478" s="53" t="s">
        <v>47</v>
      </c>
      <c r="H1478" s="53" t="s">
        <v>48</v>
      </c>
      <c r="I1478" s="53" t="s">
        <v>401</v>
      </c>
      <c r="J1478" s="53" t="s">
        <v>7316</v>
      </c>
      <c r="K1478" s="53" t="s">
        <v>1615</v>
      </c>
      <c r="L1478" s="53" t="s">
        <v>52</v>
      </c>
      <c r="M1478" s="53" t="s">
        <v>52</v>
      </c>
      <c r="N1478" s="62" t="s">
        <v>7329</v>
      </c>
      <c r="O1478" s="62" t="s">
        <v>44</v>
      </c>
      <c r="P1478" s="62" t="s">
        <v>6429</v>
      </c>
      <c r="Q1478" s="62" t="s">
        <v>7234</v>
      </c>
      <c r="R1478" s="53"/>
      <c r="S1478" s="53"/>
      <c r="T1478" s="82"/>
      <c r="U1478" s="42"/>
      <c r="V1478" s="62"/>
      <c r="W1478" s="64"/>
      <c r="X1478" s="223"/>
      <c r="Y1478" s="223"/>
      <c r="Z1478" s="223"/>
      <c r="AA1478" s="223"/>
    </row>
    <row r="1479">
      <c r="A1479" s="42">
        <f t="shared" si="3"/>
        <v>1478</v>
      </c>
      <c r="B1479" s="51" t="s">
        <v>41</v>
      </c>
      <c r="C1479" s="53" t="s">
        <v>7330</v>
      </c>
      <c r="D1479" s="42" t="s">
        <v>44</v>
      </c>
      <c r="E1479" s="42" t="s">
        <v>44</v>
      </c>
      <c r="F1479" s="53" t="s">
        <v>7315</v>
      </c>
      <c r="G1479" s="53" t="s">
        <v>47</v>
      </c>
      <c r="H1479" s="53" t="s">
        <v>48</v>
      </c>
      <c r="I1479" s="53" t="s">
        <v>401</v>
      </c>
      <c r="J1479" s="53" t="s">
        <v>7316</v>
      </c>
      <c r="K1479" s="53" t="s">
        <v>1615</v>
      </c>
      <c r="L1479" s="53" t="s">
        <v>52</v>
      </c>
      <c r="M1479" s="53" t="s">
        <v>52</v>
      </c>
      <c r="N1479" s="62" t="s">
        <v>7317</v>
      </c>
      <c r="O1479" s="62" t="s">
        <v>44</v>
      </c>
      <c r="P1479" s="62" t="s">
        <v>1002</v>
      </c>
      <c r="Q1479" s="62" t="s">
        <v>6246</v>
      </c>
      <c r="R1479" s="53"/>
      <c r="S1479" s="53"/>
      <c r="T1479" s="82"/>
      <c r="U1479" s="42"/>
      <c r="V1479" s="62"/>
      <c r="W1479" s="64"/>
      <c r="X1479" s="223"/>
      <c r="Y1479" s="223"/>
      <c r="Z1479" s="223"/>
      <c r="AA1479" s="223"/>
    </row>
    <row r="1480">
      <c r="A1480" s="42">
        <f t="shared" si="3"/>
        <v>1479</v>
      </c>
      <c r="B1480" s="51" t="s">
        <v>41</v>
      </c>
      <c r="C1480" s="53" t="s">
        <v>7331</v>
      </c>
      <c r="D1480" s="42" t="s">
        <v>44</v>
      </c>
      <c r="E1480" s="42" t="s">
        <v>44</v>
      </c>
      <c r="F1480" s="53" t="s">
        <v>7315</v>
      </c>
      <c r="G1480" s="53" t="s">
        <v>47</v>
      </c>
      <c r="H1480" s="53" t="s">
        <v>48</v>
      </c>
      <c r="I1480" s="53" t="s">
        <v>401</v>
      </c>
      <c r="J1480" s="53" t="s">
        <v>7316</v>
      </c>
      <c r="K1480" s="53" t="s">
        <v>1615</v>
      </c>
      <c r="L1480" s="53" t="s">
        <v>52</v>
      </c>
      <c r="M1480" s="53" t="s">
        <v>52</v>
      </c>
      <c r="N1480" s="62" t="s">
        <v>7317</v>
      </c>
      <c r="O1480" s="62" t="s">
        <v>44</v>
      </c>
      <c r="P1480" s="62" t="s">
        <v>1009</v>
      </c>
      <c r="Q1480" s="62" t="s">
        <v>6434</v>
      </c>
      <c r="R1480" s="53"/>
      <c r="S1480" s="53"/>
      <c r="T1480" s="82"/>
      <c r="U1480" s="42"/>
      <c r="V1480" s="62"/>
      <c r="W1480" s="64"/>
      <c r="X1480" s="223"/>
      <c r="Y1480" s="223"/>
      <c r="Z1480" s="223"/>
      <c r="AA1480" s="223"/>
    </row>
    <row r="1481">
      <c r="A1481" s="42">
        <f t="shared" si="3"/>
        <v>1480</v>
      </c>
      <c r="B1481" s="51" t="s">
        <v>41</v>
      </c>
      <c r="C1481" s="53" t="s">
        <v>7332</v>
      </c>
      <c r="D1481" s="42" t="s">
        <v>44</v>
      </c>
      <c r="E1481" s="42" t="s">
        <v>44</v>
      </c>
      <c r="F1481" s="53" t="s">
        <v>7315</v>
      </c>
      <c r="G1481" s="53" t="s">
        <v>47</v>
      </c>
      <c r="H1481" s="53" t="s">
        <v>48</v>
      </c>
      <c r="I1481" s="53" t="s">
        <v>401</v>
      </c>
      <c r="J1481" s="53" t="s">
        <v>7316</v>
      </c>
      <c r="K1481" s="53" t="s">
        <v>1615</v>
      </c>
      <c r="L1481" s="53" t="s">
        <v>52</v>
      </c>
      <c r="M1481" s="53" t="s">
        <v>52</v>
      </c>
      <c r="N1481" s="62" t="s">
        <v>7317</v>
      </c>
      <c r="O1481" s="62" t="s">
        <v>44</v>
      </c>
      <c r="P1481" s="62" t="s">
        <v>7333</v>
      </c>
      <c r="Q1481" s="62" t="s">
        <v>7334</v>
      </c>
      <c r="R1481" s="53"/>
      <c r="S1481" s="53"/>
      <c r="T1481" s="82"/>
      <c r="U1481" s="42"/>
      <c r="V1481" s="62"/>
      <c r="W1481" s="64"/>
      <c r="X1481" s="223"/>
      <c r="Y1481" s="223"/>
      <c r="Z1481" s="223"/>
      <c r="AA1481" s="223"/>
    </row>
    <row r="1482">
      <c r="A1482" s="42">
        <f t="shared" si="3"/>
        <v>1481</v>
      </c>
      <c r="B1482" s="51" t="s">
        <v>41</v>
      </c>
      <c r="C1482" s="53" t="s">
        <v>7335</v>
      </c>
      <c r="D1482" s="42" t="s">
        <v>44</v>
      </c>
      <c r="E1482" s="42" t="s">
        <v>44</v>
      </c>
      <c r="F1482" s="53" t="s">
        <v>7315</v>
      </c>
      <c r="G1482" s="53" t="s">
        <v>47</v>
      </c>
      <c r="H1482" s="53" t="s">
        <v>48</v>
      </c>
      <c r="I1482" s="53" t="s">
        <v>401</v>
      </c>
      <c r="J1482" s="53" t="s">
        <v>7316</v>
      </c>
      <c r="K1482" s="53" t="s">
        <v>1615</v>
      </c>
      <c r="L1482" s="53" t="s">
        <v>52</v>
      </c>
      <c r="M1482" s="53" t="s">
        <v>52</v>
      </c>
      <c r="N1482" s="62" t="s">
        <v>7317</v>
      </c>
      <c r="O1482" s="62" t="s">
        <v>44</v>
      </c>
      <c r="P1482" s="62" t="s">
        <v>7336</v>
      </c>
      <c r="Q1482" s="62" t="s">
        <v>7337</v>
      </c>
      <c r="R1482" s="53"/>
      <c r="S1482" s="53"/>
      <c r="T1482" s="82"/>
      <c r="U1482" s="42"/>
      <c r="V1482" s="62"/>
      <c r="W1482" s="64"/>
      <c r="X1482" s="223"/>
      <c r="Y1482" s="223"/>
      <c r="Z1482" s="223"/>
      <c r="AA1482" s="223"/>
    </row>
    <row r="1483">
      <c r="A1483" s="42">
        <f t="shared" si="3"/>
        <v>1482</v>
      </c>
      <c r="B1483" s="51" t="s">
        <v>41</v>
      </c>
      <c r="C1483" s="53" t="s">
        <v>7338</v>
      </c>
      <c r="D1483" s="42" t="s">
        <v>44</v>
      </c>
      <c r="E1483" s="42" t="s">
        <v>44</v>
      </c>
      <c r="F1483" s="53" t="s">
        <v>7315</v>
      </c>
      <c r="G1483" s="53" t="s">
        <v>47</v>
      </c>
      <c r="H1483" s="53" t="s">
        <v>48</v>
      </c>
      <c r="I1483" s="53" t="s">
        <v>401</v>
      </c>
      <c r="J1483" s="53" t="s">
        <v>7316</v>
      </c>
      <c r="K1483" s="53" t="s">
        <v>1615</v>
      </c>
      <c r="L1483" s="53" t="s">
        <v>52</v>
      </c>
      <c r="M1483" s="53" t="s">
        <v>52</v>
      </c>
      <c r="N1483" s="62" t="s">
        <v>7317</v>
      </c>
      <c r="O1483" s="62" t="s">
        <v>44</v>
      </c>
      <c r="P1483" s="62" t="s">
        <v>7339</v>
      </c>
      <c r="Q1483" s="62" t="s">
        <v>7340</v>
      </c>
      <c r="R1483" s="53"/>
      <c r="S1483" s="53"/>
      <c r="T1483" s="82"/>
      <c r="U1483" s="42"/>
      <c r="V1483" s="62"/>
      <c r="W1483" s="64"/>
      <c r="X1483" s="223"/>
      <c r="Y1483" s="223"/>
      <c r="Z1483" s="223"/>
      <c r="AA1483" s="223"/>
    </row>
    <row r="1484">
      <c r="A1484" s="42">
        <f t="shared" si="3"/>
        <v>1483</v>
      </c>
      <c r="B1484" s="51" t="s">
        <v>41</v>
      </c>
      <c r="C1484" s="53" t="s">
        <v>7341</v>
      </c>
      <c r="D1484" s="42" t="s">
        <v>44</v>
      </c>
      <c r="E1484" s="42" t="s">
        <v>44</v>
      </c>
      <c r="F1484" s="53" t="s">
        <v>7315</v>
      </c>
      <c r="G1484" s="53" t="s">
        <v>47</v>
      </c>
      <c r="H1484" s="53" t="s">
        <v>48</v>
      </c>
      <c r="I1484" s="53" t="s">
        <v>401</v>
      </c>
      <c r="J1484" s="53" t="s">
        <v>7316</v>
      </c>
      <c r="K1484" s="53" t="s">
        <v>1615</v>
      </c>
      <c r="L1484" s="53" t="s">
        <v>52</v>
      </c>
      <c r="M1484" s="53" t="s">
        <v>52</v>
      </c>
      <c r="N1484" s="62" t="s">
        <v>7342</v>
      </c>
      <c r="O1484" s="62" t="s">
        <v>44</v>
      </c>
      <c r="P1484" s="62" t="s">
        <v>7343</v>
      </c>
      <c r="Q1484" s="62" t="s">
        <v>7344</v>
      </c>
      <c r="R1484" s="53"/>
      <c r="S1484" s="53"/>
      <c r="T1484" s="82"/>
      <c r="U1484" s="42"/>
      <c r="V1484" s="62"/>
      <c r="W1484" s="64"/>
      <c r="X1484" s="223"/>
      <c r="Y1484" s="223"/>
      <c r="Z1484" s="223"/>
      <c r="AA1484" s="223"/>
    </row>
    <row r="1485">
      <c r="A1485" s="42">
        <f t="shared" si="3"/>
        <v>1484</v>
      </c>
      <c r="B1485" s="51" t="s">
        <v>41</v>
      </c>
      <c r="C1485" s="53" t="s">
        <v>7345</v>
      </c>
      <c r="D1485" s="42" t="s">
        <v>44</v>
      </c>
      <c r="E1485" s="42" t="s">
        <v>44</v>
      </c>
      <c r="F1485" s="53" t="s">
        <v>7315</v>
      </c>
      <c r="G1485" s="53" t="s">
        <v>47</v>
      </c>
      <c r="H1485" s="53" t="s">
        <v>48</v>
      </c>
      <c r="I1485" s="53" t="s">
        <v>401</v>
      </c>
      <c r="J1485" s="53" t="s">
        <v>7316</v>
      </c>
      <c r="K1485" s="53" t="s">
        <v>1615</v>
      </c>
      <c r="L1485" s="53" t="s">
        <v>52</v>
      </c>
      <c r="M1485" s="53" t="s">
        <v>52</v>
      </c>
      <c r="N1485" s="62" t="s">
        <v>7317</v>
      </c>
      <c r="O1485" s="62" t="s">
        <v>44</v>
      </c>
      <c r="P1485" s="62" t="s">
        <v>1685</v>
      </c>
      <c r="Q1485" s="62" t="s">
        <v>7346</v>
      </c>
      <c r="R1485" s="53"/>
      <c r="S1485" s="53"/>
      <c r="T1485" s="82"/>
      <c r="U1485" s="42"/>
      <c r="V1485" s="62"/>
      <c r="W1485" s="64"/>
      <c r="X1485" s="223"/>
      <c r="Y1485" s="223"/>
      <c r="Z1485" s="223"/>
      <c r="AA1485" s="223"/>
    </row>
    <row r="1486">
      <c r="A1486" s="42">
        <f t="shared" si="3"/>
        <v>1485</v>
      </c>
      <c r="B1486" s="51" t="s">
        <v>41</v>
      </c>
      <c r="C1486" s="53" t="s">
        <v>7347</v>
      </c>
      <c r="D1486" s="42" t="s">
        <v>44</v>
      </c>
      <c r="E1486" s="42" t="s">
        <v>44</v>
      </c>
      <c r="F1486" s="53" t="s">
        <v>7315</v>
      </c>
      <c r="G1486" s="53" t="s">
        <v>47</v>
      </c>
      <c r="H1486" s="53" t="s">
        <v>48</v>
      </c>
      <c r="I1486" s="53" t="s">
        <v>401</v>
      </c>
      <c r="J1486" s="53" t="s">
        <v>7316</v>
      </c>
      <c r="K1486" s="53" t="s">
        <v>1615</v>
      </c>
      <c r="L1486" s="53" t="s">
        <v>52</v>
      </c>
      <c r="M1486" s="53" t="s">
        <v>52</v>
      </c>
      <c r="N1486" s="62" t="s">
        <v>7317</v>
      </c>
      <c r="O1486" s="62" t="s">
        <v>44</v>
      </c>
      <c r="P1486" s="62" t="s">
        <v>5796</v>
      </c>
      <c r="Q1486" s="62" t="s">
        <v>7348</v>
      </c>
      <c r="R1486" s="53"/>
      <c r="S1486" s="53"/>
      <c r="T1486" s="82"/>
      <c r="U1486" s="42"/>
      <c r="V1486" s="62"/>
      <c r="W1486" s="64"/>
      <c r="X1486" s="223"/>
      <c r="Y1486" s="223"/>
      <c r="Z1486" s="223"/>
      <c r="AA1486" s="223"/>
    </row>
    <row r="1487">
      <c r="A1487" s="42">
        <f t="shared" si="3"/>
        <v>1486</v>
      </c>
      <c r="B1487" s="51" t="s">
        <v>41</v>
      </c>
      <c r="C1487" s="53" t="s">
        <v>7349</v>
      </c>
      <c r="D1487" s="42" t="s">
        <v>44</v>
      </c>
      <c r="E1487" s="42" t="s">
        <v>44</v>
      </c>
      <c r="F1487" s="53" t="s">
        <v>7315</v>
      </c>
      <c r="G1487" s="53" t="s">
        <v>47</v>
      </c>
      <c r="H1487" s="53" t="s">
        <v>48</v>
      </c>
      <c r="I1487" s="53" t="s">
        <v>401</v>
      </c>
      <c r="J1487" s="53" t="s">
        <v>7316</v>
      </c>
      <c r="K1487" s="53" t="s">
        <v>1615</v>
      </c>
      <c r="L1487" s="53" t="s">
        <v>52</v>
      </c>
      <c r="M1487" s="53" t="s">
        <v>52</v>
      </c>
      <c r="N1487" s="62" t="s">
        <v>7350</v>
      </c>
      <c r="O1487" s="62" t="s">
        <v>44</v>
      </c>
      <c r="P1487" s="62" t="s">
        <v>1776</v>
      </c>
      <c r="Q1487" s="62" t="s">
        <v>7351</v>
      </c>
      <c r="R1487" s="53"/>
      <c r="S1487" s="53"/>
      <c r="T1487" s="82"/>
      <c r="U1487" s="42"/>
      <c r="V1487" s="62"/>
      <c r="W1487" s="64"/>
      <c r="X1487" s="223"/>
      <c r="Y1487" s="223"/>
      <c r="Z1487" s="223"/>
      <c r="AA1487" s="223"/>
    </row>
    <row r="1488">
      <c r="A1488" s="42">
        <f t="shared" si="3"/>
        <v>1487</v>
      </c>
      <c r="B1488" s="51" t="s">
        <v>41</v>
      </c>
      <c r="C1488" s="53" t="s">
        <v>7352</v>
      </c>
      <c r="D1488" s="42" t="s">
        <v>44</v>
      </c>
      <c r="E1488" s="42" t="s">
        <v>44</v>
      </c>
      <c r="F1488" s="53" t="s">
        <v>7315</v>
      </c>
      <c r="G1488" s="53" t="s">
        <v>47</v>
      </c>
      <c r="H1488" s="53" t="s">
        <v>48</v>
      </c>
      <c r="I1488" s="53" t="s">
        <v>401</v>
      </c>
      <c r="J1488" s="53" t="s">
        <v>7316</v>
      </c>
      <c r="K1488" s="53" t="s">
        <v>1615</v>
      </c>
      <c r="L1488" s="53" t="s">
        <v>52</v>
      </c>
      <c r="M1488" s="53" t="s">
        <v>52</v>
      </c>
      <c r="N1488" s="62" t="s">
        <v>7317</v>
      </c>
      <c r="O1488" s="62" t="s">
        <v>44</v>
      </c>
      <c r="P1488" s="62" t="s">
        <v>7353</v>
      </c>
      <c r="Q1488" s="62" t="s">
        <v>7354</v>
      </c>
      <c r="R1488" s="53"/>
      <c r="S1488" s="53"/>
      <c r="T1488" s="82"/>
      <c r="U1488" s="42"/>
      <c r="V1488" s="62"/>
      <c r="W1488" s="64"/>
      <c r="X1488" s="223"/>
      <c r="Y1488" s="223"/>
      <c r="Z1488" s="223"/>
      <c r="AA1488" s="223"/>
    </row>
    <row r="1489">
      <c r="A1489" s="42">
        <f t="shared" si="3"/>
        <v>1488</v>
      </c>
      <c r="B1489" s="51" t="s">
        <v>41</v>
      </c>
      <c r="C1489" s="53" t="s">
        <v>7355</v>
      </c>
      <c r="D1489" s="42" t="s">
        <v>44</v>
      </c>
      <c r="E1489" s="42" t="s">
        <v>44</v>
      </c>
      <c r="F1489" s="53" t="s">
        <v>7315</v>
      </c>
      <c r="G1489" s="53" t="s">
        <v>47</v>
      </c>
      <c r="H1489" s="53" t="s">
        <v>48</v>
      </c>
      <c r="I1489" s="53" t="s">
        <v>401</v>
      </c>
      <c r="J1489" s="53" t="s">
        <v>7316</v>
      </c>
      <c r="K1489" s="53" t="s">
        <v>1615</v>
      </c>
      <c r="L1489" s="53" t="s">
        <v>52</v>
      </c>
      <c r="M1489" s="53" t="s">
        <v>52</v>
      </c>
      <c r="N1489" s="62" t="s">
        <v>7317</v>
      </c>
      <c r="O1489" s="62" t="s">
        <v>44</v>
      </c>
      <c r="P1489" s="62" t="s">
        <v>7356</v>
      </c>
      <c r="Q1489" s="62" t="s">
        <v>7357</v>
      </c>
      <c r="R1489" s="53"/>
      <c r="S1489" s="53"/>
      <c r="T1489" s="82"/>
      <c r="U1489" s="42"/>
      <c r="V1489" s="62"/>
      <c r="W1489" s="64"/>
      <c r="X1489" s="223"/>
      <c r="Y1489" s="223"/>
      <c r="Z1489" s="223"/>
      <c r="AA1489" s="223"/>
    </row>
    <row r="1490">
      <c r="A1490" s="42">
        <f t="shared" si="3"/>
        <v>1489</v>
      </c>
      <c r="B1490" s="51" t="s">
        <v>41</v>
      </c>
      <c r="C1490" s="53" t="s">
        <v>7358</v>
      </c>
      <c r="D1490" s="42" t="s">
        <v>44</v>
      </c>
      <c r="E1490" s="42" t="s">
        <v>44</v>
      </c>
      <c r="F1490" s="53" t="s">
        <v>7315</v>
      </c>
      <c r="G1490" s="53" t="s">
        <v>47</v>
      </c>
      <c r="H1490" s="53" t="s">
        <v>48</v>
      </c>
      <c r="I1490" s="53" t="s">
        <v>401</v>
      </c>
      <c r="J1490" s="53" t="s">
        <v>7316</v>
      </c>
      <c r="K1490" s="53" t="s">
        <v>1615</v>
      </c>
      <c r="L1490" s="53" t="s">
        <v>52</v>
      </c>
      <c r="M1490" s="53" t="s">
        <v>52</v>
      </c>
      <c r="N1490" s="62" t="s">
        <v>7359</v>
      </c>
      <c r="O1490" s="62" t="s">
        <v>44</v>
      </c>
      <c r="P1490" s="62" t="s">
        <v>7360</v>
      </c>
      <c r="Q1490" s="62" t="s">
        <v>7361</v>
      </c>
      <c r="R1490" s="53"/>
      <c r="S1490" s="53"/>
      <c r="T1490" s="82"/>
      <c r="U1490" s="42"/>
      <c r="V1490" s="62"/>
      <c r="W1490" s="64"/>
      <c r="X1490" s="223"/>
      <c r="Y1490" s="223"/>
      <c r="Z1490" s="223"/>
      <c r="AA1490" s="223"/>
    </row>
    <row r="1491">
      <c r="A1491" s="42">
        <f t="shared" si="3"/>
        <v>1490</v>
      </c>
      <c r="B1491" s="51" t="s">
        <v>41</v>
      </c>
      <c r="C1491" s="53" t="s">
        <v>7362</v>
      </c>
      <c r="D1491" s="42" t="s">
        <v>44</v>
      </c>
      <c r="E1491" s="42" t="s">
        <v>44</v>
      </c>
      <c r="F1491" s="53" t="s">
        <v>7315</v>
      </c>
      <c r="G1491" s="53" t="s">
        <v>47</v>
      </c>
      <c r="H1491" s="53" t="s">
        <v>48</v>
      </c>
      <c r="I1491" s="53" t="s">
        <v>401</v>
      </c>
      <c r="J1491" s="53" t="s">
        <v>7316</v>
      </c>
      <c r="K1491" s="53" t="s">
        <v>1615</v>
      </c>
      <c r="L1491" s="53" t="s">
        <v>52</v>
      </c>
      <c r="M1491" s="53" t="s">
        <v>52</v>
      </c>
      <c r="N1491" s="62" t="s">
        <v>7317</v>
      </c>
      <c r="O1491" s="62" t="s">
        <v>44</v>
      </c>
      <c r="P1491" s="62" t="s">
        <v>7363</v>
      </c>
      <c r="Q1491" s="62" t="s">
        <v>7364</v>
      </c>
      <c r="R1491" s="53"/>
      <c r="S1491" s="53"/>
      <c r="T1491" s="82"/>
      <c r="U1491" s="42"/>
      <c r="V1491" s="62"/>
      <c r="W1491" s="64"/>
      <c r="X1491" s="223"/>
      <c r="Y1491" s="223"/>
      <c r="Z1491" s="223"/>
      <c r="AA1491" s="223"/>
    </row>
    <row r="1492">
      <c r="A1492" s="42">
        <f t="shared" si="3"/>
        <v>1491</v>
      </c>
      <c r="B1492" s="51" t="s">
        <v>41</v>
      </c>
      <c r="C1492" s="53" t="s">
        <v>7365</v>
      </c>
      <c r="D1492" s="42" t="s">
        <v>44</v>
      </c>
      <c r="E1492" s="42" t="s">
        <v>44</v>
      </c>
      <c r="F1492" s="53" t="s">
        <v>7315</v>
      </c>
      <c r="G1492" s="53" t="s">
        <v>47</v>
      </c>
      <c r="H1492" s="53" t="s">
        <v>48</v>
      </c>
      <c r="I1492" s="53" t="s">
        <v>401</v>
      </c>
      <c r="J1492" s="53" t="s">
        <v>7316</v>
      </c>
      <c r="K1492" s="53" t="s">
        <v>1615</v>
      </c>
      <c r="L1492" s="53" t="s">
        <v>52</v>
      </c>
      <c r="M1492" s="53" t="s">
        <v>52</v>
      </c>
      <c r="N1492" s="62" t="s">
        <v>7317</v>
      </c>
      <c r="O1492" s="62" t="s">
        <v>44</v>
      </c>
      <c r="P1492" s="62" t="s">
        <v>7366</v>
      </c>
      <c r="Q1492" s="62" t="s">
        <v>7367</v>
      </c>
      <c r="R1492" s="53"/>
      <c r="S1492" s="53"/>
      <c r="T1492" s="82"/>
      <c r="U1492" s="42"/>
      <c r="V1492" s="62"/>
      <c r="W1492" s="64"/>
      <c r="X1492" s="223"/>
      <c r="Y1492" s="223"/>
      <c r="Z1492" s="223"/>
      <c r="AA1492" s="223"/>
    </row>
    <row r="1493">
      <c r="A1493" s="42">
        <f t="shared" si="3"/>
        <v>1492</v>
      </c>
      <c r="B1493" s="51" t="s">
        <v>41</v>
      </c>
      <c r="C1493" s="53" t="s">
        <v>7368</v>
      </c>
      <c r="D1493" s="42" t="s">
        <v>44</v>
      </c>
      <c r="E1493" s="42" t="s">
        <v>44</v>
      </c>
      <c r="F1493" s="53" t="s">
        <v>7315</v>
      </c>
      <c r="G1493" s="53" t="s">
        <v>197</v>
      </c>
      <c r="H1493" s="53" t="s">
        <v>198</v>
      </c>
      <c r="I1493" s="53" t="s">
        <v>401</v>
      </c>
      <c r="J1493" s="53" t="s">
        <v>7316</v>
      </c>
      <c r="K1493" s="53" t="s">
        <v>1615</v>
      </c>
      <c r="L1493" s="53" t="s">
        <v>52</v>
      </c>
      <c r="M1493" s="53" t="s">
        <v>52</v>
      </c>
      <c r="N1493" s="62" t="s">
        <v>7369</v>
      </c>
      <c r="O1493" s="62" t="s">
        <v>44</v>
      </c>
      <c r="P1493" s="62" t="s">
        <v>7370</v>
      </c>
      <c r="Q1493" s="62" t="s">
        <v>7371</v>
      </c>
      <c r="R1493" s="53"/>
      <c r="S1493" s="53"/>
      <c r="T1493" s="82"/>
      <c r="U1493" s="42"/>
      <c r="V1493" s="62"/>
      <c r="W1493" s="64"/>
      <c r="X1493" s="223"/>
      <c r="Y1493" s="223"/>
      <c r="Z1493" s="223"/>
      <c r="AA1493" s="223"/>
    </row>
    <row r="1494">
      <c r="A1494" s="42">
        <f t="shared" si="3"/>
        <v>1493</v>
      </c>
      <c r="B1494" s="51" t="s">
        <v>41</v>
      </c>
      <c r="C1494" s="53" t="s">
        <v>7372</v>
      </c>
      <c r="D1494" s="42" t="s">
        <v>44</v>
      </c>
      <c r="E1494" s="42" t="s">
        <v>44</v>
      </c>
      <c r="F1494" s="53" t="s">
        <v>7315</v>
      </c>
      <c r="G1494" s="53" t="s">
        <v>197</v>
      </c>
      <c r="H1494" s="53" t="s">
        <v>198</v>
      </c>
      <c r="I1494" s="53" t="s">
        <v>401</v>
      </c>
      <c r="J1494" s="53" t="s">
        <v>7316</v>
      </c>
      <c r="K1494" s="53" t="s">
        <v>1615</v>
      </c>
      <c r="L1494" s="53" t="s">
        <v>52</v>
      </c>
      <c r="M1494" s="53" t="s">
        <v>52</v>
      </c>
      <c r="N1494" s="62" t="s">
        <v>7369</v>
      </c>
      <c r="O1494" s="62" t="s">
        <v>44</v>
      </c>
      <c r="P1494" s="62" t="s">
        <v>7373</v>
      </c>
      <c r="Q1494" s="62" t="s">
        <v>7374</v>
      </c>
      <c r="R1494" s="53"/>
      <c r="S1494" s="53"/>
      <c r="T1494" s="82"/>
      <c r="U1494" s="42"/>
      <c r="V1494" s="62"/>
      <c r="W1494" s="64"/>
      <c r="X1494" s="223"/>
      <c r="Y1494" s="223"/>
      <c r="Z1494" s="223"/>
      <c r="AA1494" s="223"/>
    </row>
    <row r="1495">
      <c r="A1495" s="42">
        <f t="shared" si="3"/>
        <v>1494</v>
      </c>
      <c r="B1495" s="51" t="s">
        <v>41</v>
      </c>
      <c r="C1495" s="53" t="s">
        <v>7375</v>
      </c>
      <c r="D1495" s="42" t="s">
        <v>44</v>
      </c>
      <c r="E1495" s="42" t="s">
        <v>44</v>
      </c>
      <c r="F1495" s="53" t="s">
        <v>7315</v>
      </c>
      <c r="G1495" s="53" t="s">
        <v>197</v>
      </c>
      <c r="H1495" s="53" t="s">
        <v>198</v>
      </c>
      <c r="I1495" s="53" t="s">
        <v>401</v>
      </c>
      <c r="J1495" s="53" t="s">
        <v>7316</v>
      </c>
      <c r="K1495" s="53" t="s">
        <v>1615</v>
      </c>
      <c r="L1495" s="53" t="s">
        <v>52</v>
      </c>
      <c r="M1495" s="53" t="s">
        <v>52</v>
      </c>
      <c r="N1495" s="62" t="s">
        <v>7369</v>
      </c>
      <c r="O1495" s="62" t="s">
        <v>44</v>
      </c>
      <c r="P1495" s="62" t="s">
        <v>7376</v>
      </c>
      <c r="Q1495" s="62" t="s">
        <v>7377</v>
      </c>
      <c r="R1495" s="53"/>
      <c r="S1495" s="53"/>
      <c r="T1495" s="82"/>
      <c r="U1495" s="42"/>
      <c r="V1495" s="62"/>
      <c r="W1495" s="64"/>
      <c r="X1495" s="223"/>
      <c r="Y1495" s="223"/>
      <c r="Z1495" s="223"/>
      <c r="AA1495" s="223"/>
    </row>
    <row r="1496">
      <c r="A1496" s="42">
        <f t="shared" si="3"/>
        <v>1495</v>
      </c>
      <c r="B1496" s="51" t="s">
        <v>41</v>
      </c>
      <c r="C1496" s="53" t="s">
        <v>7378</v>
      </c>
      <c r="D1496" s="42" t="s">
        <v>44</v>
      </c>
      <c r="E1496" s="42" t="s">
        <v>44</v>
      </c>
      <c r="F1496" s="53" t="s">
        <v>7315</v>
      </c>
      <c r="G1496" s="53" t="s">
        <v>197</v>
      </c>
      <c r="H1496" s="53" t="s">
        <v>112</v>
      </c>
      <c r="I1496" s="53" t="s">
        <v>401</v>
      </c>
      <c r="J1496" s="53" t="s">
        <v>7316</v>
      </c>
      <c r="K1496" s="53" t="s">
        <v>1615</v>
      </c>
      <c r="L1496" s="53" t="s">
        <v>52</v>
      </c>
      <c r="M1496" s="53" t="s">
        <v>52</v>
      </c>
      <c r="N1496" s="62" t="s">
        <v>7369</v>
      </c>
      <c r="O1496" s="62" t="s">
        <v>44</v>
      </c>
      <c r="P1496" s="62" t="s">
        <v>7379</v>
      </c>
      <c r="Q1496" s="62" t="s">
        <v>7380</v>
      </c>
      <c r="R1496" s="53"/>
      <c r="S1496" s="53"/>
      <c r="T1496" s="82"/>
      <c r="U1496" s="42"/>
      <c r="V1496" s="62"/>
      <c r="W1496" s="64"/>
      <c r="X1496" s="223"/>
      <c r="Y1496" s="223"/>
      <c r="Z1496" s="223"/>
      <c r="AA1496" s="223"/>
    </row>
    <row r="1497">
      <c r="A1497" s="42">
        <f t="shared" si="3"/>
        <v>1496</v>
      </c>
      <c r="B1497" s="51" t="s">
        <v>41</v>
      </c>
      <c r="C1497" s="53" t="s">
        <v>7381</v>
      </c>
      <c r="D1497" s="42" t="s">
        <v>44</v>
      </c>
      <c r="E1497" s="42" t="s">
        <v>44</v>
      </c>
      <c r="F1497" s="53" t="s">
        <v>7315</v>
      </c>
      <c r="G1497" s="53" t="s">
        <v>197</v>
      </c>
      <c r="H1497" s="53" t="s">
        <v>198</v>
      </c>
      <c r="I1497" s="53" t="s">
        <v>401</v>
      </c>
      <c r="J1497" s="53" t="s">
        <v>7316</v>
      </c>
      <c r="K1497" s="53" t="s">
        <v>1615</v>
      </c>
      <c r="L1497" s="53" t="s">
        <v>52</v>
      </c>
      <c r="M1497" s="53" t="s">
        <v>52</v>
      </c>
      <c r="N1497" s="62" t="s">
        <v>7369</v>
      </c>
      <c r="O1497" s="62" t="s">
        <v>44</v>
      </c>
      <c r="P1497" s="62" t="s">
        <v>7382</v>
      </c>
      <c r="Q1497" s="62" t="s">
        <v>7383</v>
      </c>
      <c r="R1497" s="53"/>
      <c r="S1497" s="53"/>
      <c r="T1497" s="82"/>
      <c r="U1497" s="42"/>
      <c r="V1497" s="62"/>
      <c r="W1497" s="64"/>
      <c r="X1497" s="223"/>
      <c r="Y1497" s="223"/>
      <c r="Z1497" s="223"/>
      <c r="AA1497" s="223"/>
    </row>
    <row r="1498">
      <c r="A1498" s="42">
        <f t="shared" si="3"/>
        <v>1497</v>
      </c>
      <c r="B1498" s="51" t="s">
        <v>41</v>
      </c>
      <c r="C1498" s="53" t="s">
        <v>7384</v>
      </c>
      <c r="D1498" s="42" t="s">
        <v>44</v>
      </c>
      <c r="E1498" s="42" t="s">
        <v>44</v>
      </c>
      <c r="F1498" s="53" t="s">
        <v>7315</v>
      </c>
      <c r="G1498" s="53" t="s">
        <v>197</v>
      </c>
      <c r="H1498" s="53" t="s">
        <v>198</v>
      </c>
      <c r="I1498" s="53" t="s">
        <v>401</v>
      </c>
      <c r="J1498" s="53" t="s">
        <v>7316</v>
      </c>
      <c r="K1498" s="53" t="s">
        <v>1615</v>
      </c>
      <c r="L1498" s="53" t="s">
        <v>52</v>
      </c>
      <c r="M1498" s="53" t="s">
        <v>52</v>
      </c>
      <c r="N1498" s="62" t="s">
        <v>7369</v>
      </c>
      <c r="O1498" s="62" t="s">
        <v>44</v>
      </c>
      <c r="P1498" s="62" t="s">
        <v>7385</v>
      </c>
      <c r="Q1498" s="62" t="s">
        <v>7386</v>
      </c>
      <c r="R1498" s="53"/>
      <c r="S1498" s="53"/>
      <c r="T1498" s="82"/>
      <c r="U1498" s="42"/>
      <c r="V1498" s="62"/>
      <c r="W1498" s="64"/>
      <c r="X1498" s="223"/>
      <c r="Y1498" s="223"/>
      <c r="Z1498" s="223"/>
      <c r="AA1498" s="223"/>
    </row>
    <row r="1499">
      <c r="A1499" s="42">
        <f t="shared" si="3"/>
        <v>1498</v>
      </c>
      <c r="B1499" s="51" t="s">
        <v>41</v>
      </c>
      <c r="C1499" s="53" t="s">
        <v>7387</v>
      </c>
      <c r="D1499" s="42" t="s">
        <v>44</v>
      </c>
      <c r="E1499" s="42" t="s">
        <v>44</v>
      </c>
      <c r="F1499" s="53" t="s">
        <v>7315</v>
      </c>
      <c r="G1499" s="53" t="s">
        <v>197</v>
      </c>
      <c r="H1499" s="53" t="s">
        <v>198</v>
      </c>
      <c r="I1499" s="53" t="s">
        <v>401</v>
      </c>
      <c r="J1499" s="53" t="s">
        <v>7316</v>
      </c>
      <c r="K1499" s="53" t="s">
        <v>1615</v>
      </c>
      <c r="L1499" s="53" t="s">
        <v>52</v>
      </c>
      <c r="M1499" s="53" t="s">
        <v>52</v>
      </c>
      <c r="N1499" s="62" t="s">
        <v>7369</v>
      </c>
      <c r="O1499" s="62" t="s">
        <v>44</v>
      </c>
      <c r="P1499" s="62" t="s">
        <v>7388</v>
      </c>
      <c r="Q1499" s="62" t="s">
        <v>7389</v>
      </c>
      <c r="R1499" s="53"/>
      <c r="S1499" s="53"/>
      <c r="T1499" s="82"/>
      <c r="U1499" s="42"/>
      <c r="V1499" s="62"/>
      <c r="W1499" s="64"/>
      <c r="X1499" s="223"/>
      <c r="Y1499" s="223"/>
      <c r="Z1499" s="223"/>
      <c r="AA1499" s="223"/>
    </row>
    <row r="1500">
      <c r="A1500" s="42">
        <f t="shared" si="3"/>
        <v>1499</v>
      </c>
      <c r="B1500" s="51" t="s">
        <v>41</v>
      </c>
      <c r="C1500" s="53" t="s">
        <v>7390</v>
      </c>
      <c r="D1500" s="42" t="s">
        <v>44</v>
      </c>
      <c r="E1500" s="42" t="s">
        <v>44</v>
      </c>
      <c r="F1500" s="53" t="s">
        <v>7315</v>
      </c>
      <c r="G1500" s="53" t="s">
        <v>47</v>
      </c>
      <c r="H1500" s="53" t="s">
        <v>95</v>
      </c>
      <c r="I1500" s="53" t="s">
        <v>401</v>
      </c>
      <c r="J1500" s="53" t="s">
        <v>7316</v>
      </c>
      <c r="K1500" s="53" t="s">
        <v>1615</v>
      </c>
      <c r="L1500" s="53" t="s">
        <v>52</v>
      </c>
      <c r="M1500" s="53" t="s">
        <v>52</v>
      </c>
      <c r="N1500" s="62" t="s">
        <v>7369</v>
      </c>
      <c r="O1500" s="62" t="s">
        <v>44</v>
      </c>
      <c r="P1500" s="62" t="s">
        <v>7391</v>
      </c>
      <c r="Q1500" s="62" t="s">
        <v>7392</v>
      </c>
      <c r="R1500" s="53"/>
      <c r="S1500" s="53"/>
      <c r="T1500" s="82"/>
      <c r="U1500" s="42"/>
      <c r="V1500" s="62"/>
      <c r="W1500" s="64"/>
      <c r="X1500" s="223"/>
      <c r="Y1500" s="223"/>
      <c r="Z1500" s="223"/>
      <c r="AA1500" s="223"/>
    </row>
    <row r="1501">
      <c r="A1501" s="42">
        <f t="shared" si="3"/>
        <v>1500</v>
      </c>
      <c r="B1501" s="51" t="s">
        <v>41</v>
      </c>
      <c r="C1501" s="53" t="s">
        <v>7393</v>
      </c>
      <c r="D1501" s="42" t="s">
        <v>44</v>
      </c>
      <c r="E1501" s="42" t="s">
        <v>44</v>
      </c>
      <c r="F1501" s="53" t="s">
        <v>7315</v>
      </c>
      <c r="G1501" s="53" t="s">
        <v>47</v>
      </c>
      <c r="H1501" s="53" t="s">
        <v>95</v>
      </c>
      <c r="I1501" s="53" t="s">
        <v>401</v>
      </c>
      <c r="J1501" s="53" t="s">
        <v>7316</v>
      </c>
      <c r="K1501" s="53" t="s">
        <v>1615</v>
      </c>
      <c r="L1501" s="53" t="s">
        <v>52</v>
      </c>
      <c r="M1501" s="53" t="s">
        <v>52</v>
      </c>
      <c r="N1501" s="62" t="s">
        <v>7369</v>
      </c>
      <c r="O1501" s="62" t="s">
        <v>44</v>
      </c>
      <c r="P1501" s="62" t="s">
        <v>7394</v>
      </c>
      <c r="Q1501" s="62" t="s">
        <v>7395</v>
      </c>
      <c r="R1501" s="53"/>
      <c r="S1501" s="53"/>
      <c r="T1501" s="82"/>
      <c r="U1501" s="42"/>
      <c r="V1501" s="62"/>
      <c r="W1501" s="64"/>
      <c r="X1501" s="223"/>
      <c r="Y1501" s="223"/>
      <c r="Z1501" s="223"/>
      <c r="AA1501" s="223"/>
    </row>
    <row r="1502">
      <c r="A1502" s="42">
        <f t="shared" si="3"/>
        <v>1501</v>
      </c>
      <c r="B1502" s="51" t="s">
        <v>41</v>
      </c>
      <c r="C1502" s="53" t="s">
        <v>7396</v>
      </c>
      <c r="D1502" s="42" t="s">
        <v>44</v>
      </c>
      <c r="E1502" s="42" t="s">
        <v>44</v>
      </c>
      <c r="F1502" s="53" t="s">
        <v>7315</v>
      </c>
      <c r="G1502" s="53" t="s">
        <v>47</v>
      </c>
      <c r="H1502" s="53" t="s">
        <v>95</v>
      </c>
      <c r="I1502" s="53" t="s">
        <v>401</v>
      </c>
      <c r="J1502" s="53" t="s">
        <v>7316</v>
      </c>
      <c r="K1502" s="53" t="s">
        <v>1615</v>
      </c>
      <c r="L1502" s="53" t="s">
        <v>52</v>
      </c>
      <c r="M1502" s="53" t="s">
        <v>52</v>
      </c>
      <c r="N1502" s="62" t="s">
        <v>7369</v>
      </c>
      <c r="O1502" s="62" t="s">
        <v>44</v>
      </c>
      <c r="P1502" s="62" t="s">
        <v>7397</v>
      </c>
      <c r="Q1502" s="62" t="s">
        <v>7398</v>
      </c>
      <c r="R1502" s="53"/>
      <c r="S1502" s="53"/>
      <c r="T1502" s="82"/>
      <c r="U1502" s="42"/>
      <c r="V1502" s="62"/>
      <c r="W1502" s="64"/>
      <c r="X1502" s="223"/>
      <c r="Y1502" s="223"/>
      <c r="Z1502" s="223"/>
      <c r="AA1502" s="223"/>
    </row>
    <row r="1503">
      <c r="A1503" s="42">
        <f t="shared" si="3"/>
        <v>1502</v>
      </c>
      <c r="B1503" s="51" t="s">
        <v>41</v>
      </c>
      <c r="C1503" s="53" t="s">
        <v>7399</v>
      </c>
      <c r="D1503" s="42" t="s">
        <v>44</v>
      </c>
      <c r="E1503" s="42" t="s">
        <v>44</v>
      </c>
      <c r="F1503" s="53" t="s">
        <v>7315</v>
      </c>
      <c r="G1503" s="53" t="s">
        <v>197</v>
      </c>
      <c r="H1503" s="53" t="s">
        <v>198</v>
      </c>
      <c r="I1503" s="53" t="s">
        <v>401</v>
      </c>
      <c r="J1503" s="53" t="s">
        <v>7316</v>
      </c>
      <c r="K1503" s="53" t="s">
        <v>1615</v>
      </c>
      <c r="L1503" s="53" t="s">
        <v>52</v>
      </c>
      <c r="M1503" s="53" t="s">
        <v>52</v>
      </c>
      <c r="N1503" s="62" t="s">
        <v>7400</v>
      </c>
      <c r="O1503" s="62" t="s">
        <v>44</v>
      </c>
      <c r="P1503" s="62" t="s">
        <v>7401</v>
      </c>
      <c r="Q1503" s="62" t="s">
        <v>7402</v>
      </c>
      <c r="R1503" s="53"/>
      <c r="S1503" s="53"/>
      <c r="T1503" s="82"/>
      <c r="U1503" s="42"/>
      <c r="V1503" s="62"/>
      <c r="W1503" s="64"/>
      <c r="X1503" s="223"/>
      <c r="Y1503" s="223"/>
      <c r="Z1503" s="223"/>
      <c r="AA1503" s="223"/>
    </row>
    <row r="1504">
      <c r="A1504" s="42">
        <f t="shared" si="3"/>
        <v>1503</v>
      </c>
      <c r="B1504" s="51" t="s">
        <v>41</v>
      </c>
      <c r="C1504" s="53" t="s">
        <v>7403</v>
      </c>
      <c r="D1504" s="42" t="s">
        <v>44</v>
      </c>
      <c r="E1504" s="42" t="s">
        <v>44</v>
      </c>
      <c r="F1504" s="53" t="s">
        <v>7315</v>
      </c>
      <c r="G1504" s="53" t="s">
        <v>197</v>
      </c>
      <c r="H1504" s="53" t="s">
        <v>198</v>
      </c>
      <c r="I1504" s="53" t="s">
        <v>401</v>
      </c>
      <c r="J1504" s="53" t="s">
        <v>7316</v>
      </c>
      <c r="K1504" s="53" t="s">
        <v>1615</v>
      </c>
      <c r="L1504" s="53" t="s">
        <v>52</v>
      </c>
      <c r="M1504" s="53" t="s">
        <v>52</v>
      </c>
      <c r="N1504" s="62" t="s">
        <v>7400</v>
      </c>
      <c r="O1504" s="62" t="s">
        <v>44</v>
      </c>
      <c r="P1504" s="62" t="s">
        <v>7404</v>
      </c>
      <c r="Q1504" s="62" t="s">
        <v>7405</v>
      </c>
      <c r="R1504" s="53"/>
      <c r="S1504" s="53"/>
      <c r="T1504" s="82"/>
      <c r="U1504" s="42"/>
      <c r="V1504" s="62"/>
      <c r="W1504" s="64"/>
      <c r="X1504" s="223"/>
      <c r="Y1504" s="223"/>
      <c r="Z1504" s="223"/>
      <c r="AA1504" s="223"/>
    </row>
    <row r="1505">
      <c r="A1505" s="42">
        <f t="shared" si="3"/>
        <v>1504</v>
      </c>
      <c r="B1505" s="51" t="s">
        <v>41</v>
      </c>
      <c r="C1505" s="53" t="s">
        <v>7406</v>
      </c>
      <c r="D1505" s="42" t="s">
        <v>44</v>
      </c>
      <c r="E1505" s="42" t="s">
        <v>44</v>
      </c>
      <c r="F1505" s="53" t="s">
        <v>7315</v>
      </c>
      <c r="G1505" s="53" t="s">
        <v>47</v>
      </c>
      <c r="H1505" s="53" t="s">
        <v>48</v>
      </c>
      <c r="I1505" s="53" t="s">
        <v>401</v>
      </c>
      <c r="J1505" s="53" t="s">
        <v>7316</v>
      </c>
      <c r="K1505" s="53" t="s">
        <v>1615</v>
      </c>
      <c r="L1505" s="53" t="s">
        <v>52</v>
      </c>
      <c r="M1505" s="53" t="s">
        <v>52</v>
      </c>
      <c r="N1505" s="62" t="s">
        <v>7317</v>
      </c>
      <c r="O1505" s="62" t="s">
        <v>44</v>
      </c>
      <c r="P1505" s="62" t="s">
        <v>7407</v>
      </c>
      <c r="Q1505" s="62" t="s">
        <v>7408</v>
      </c>
      <c r="R1505" s="53"/>
      <c r="S1505" s="53"/>
      <c r="T1505" s="82"/>
      <c r="U1505" s="42"/>
      <c r="V1505" s="62"/>
      <c r="W1505" s="64"/>
      <c r="X1505" s="223"/>
      <c r="Y1505" s="223"/>
      <c r="Z1505" s="223"/>
      <c r="AA1505" s="223"/>
    </row>
    <row r="1506">
      <c r="A1506" s="42">
        <f t="shared" si="3"/>
        <v>1505</v>
      </c>
      <c r="B1506" s="51" t="s">
        <v>41</v>
      </c>
      <c r="C1506" s="53" t="s">
        <v>7409</v>
      </c>
      <c r="D1506" s="42" t="s">
        <v>44</v>
      </c>
      <c r="E1506" s="42" t="s">
        <v>44</v>
      </c>
      <c r="F1506" s="53" t="s">
        <v>7315</v>
      </c>
      <c r="G1506" s="53" t="s">
        <v>47</v>
      </c>
      <c r="H1506" s="53" t="s">
        <v>91</v>
      </c>
      <c r="I1506" s="53" t="s">
        <v>401</v>
      </c>
      <c r="J1506" s="53" t="s">
        <v>7316</v>
      </c>
      <c r="K1506" s="53" t="s">
        <v>1615</v>
      </c>
      <c r="L1506" s="53" t="s">
        <v>52</v>
      </c>
      <c r="M1506" s="53" t="s">
        <v>52</v>
      </c>
      <c r="N1506" s="62" t="s">
        <v>7369</v>
      </c>
      <c r="O1506" s="62" t="s">
        <v>44</v>
      </c>
      <c r="P1506" s="62" t="s">
        <v>7410</v>
      </c>
      <c r="Q1506" s="62" t="s">
        <v>7411</v>
      </c>
      <c r="R1506" s="53"/>
      <c r="S1506" s="53"/>
      <c r="T1506" s="82"/>
      <c r="U1506" s="42"/>
      <c r="V1506" s="62"/>
      <c r="W1506" s="64"/>
      <c r="X1506" s="223"/>
      <c r="Y1506" s="223"/>
      <c r="Z1506" s="223"/>
      <c r="AA1506" s="223"/>
    </row>
    <row r="1507">
      <c r="A1507" s="42">
        <f t="shared" si="3"/>
        <v>1506</v>
      </c>
      <c r="B1507" s="51" t="s">
        <v>41</v>
      </c>
      <c r="C1507" s="53" t="s">
        <v>7412</v>
      </c>
      <c r="D1507" s="42" t="s">
        <v>44</v>
      </c>
      <c r="E1507" s="42" t="s">
        <v>44</v>
      </c>
      <c r="F1507" s="53" t="s">
        <v>7315</v>
      </c>
      <c r="G1507" s="53" t="s">
        <v>47</v>
      </c>
      <c r="H1507" s="53" t="s">
        <v>91</v>
      </c>
      <c r="I1507" s="53" t="s">
        <v>401</v>
      </c>
      <c r="J1507" s="53" t="s">
        <v>7316</v>
      </c>
      <c r="K1507" s="53" t="s">
        <v>1615</v>
      </c>
      <c r="L1507" s="53" t="s">
        <v>52</v>
      </c>
      <c r="M1507" s="53" t="s">
        <v>52</v>
      </c>
      <c r="N1507" s="62" t="s">
        <v>7413</v>
      </c>
      <c r="O1507" s="62" t="s">
        <v>44</v>
      </c>
      <c r="P1507" s="62" t="s">
        <v>7414</v>
      </c>
      <c r="Q1507" s="62" t="s">
        <v>7415</v>
      </c>
      <c r="R1507" s="53"/>
      <c r="S1507" s="53"/>
      <c r="T1507" s="82"/>
      <c r="U1507" s="42"/>
      <c r="V1507" s="62"/>
      <c r="W1507" s="64"/>
      <c r="X1507" s="223"/>
      <c r="Y1507" s="223"/>
      <c r="Z1507" s="223"/>
      <c r="AA1507" s="223"/>
    </row>
    <row r="1508">
      <c r="A1508" s="42">
        <f t="shared" si="3"/>
        <v>1507</v>
      </c>
      <c r="B1508" s="51" t="s">
        <v>41</v>
      </c>
      <c r="C1508" s="53" t="s">
        <v>7416</v>
      </c>
      <c r="D1508" s="42" t="s">
        <v>44</v>
      </c>
      <c r="E1508" s="42" t="s">
        <v>44</v>
      </c>
      <c r="F1508" s="53" t="s">
        <v>7315</v>
      </c>
      <c r="G1508" s="53" t="s">
        <v>47</v>
      </c>
      <c r="H1508" s="53" t="s">
        <v>48</v>
      </c>
      <c r="I1508" s="53" t="s">
        <v>401</v>
      </c>
      <c r="J1508" s="53" t="s">
        <v>7316</v>
      </c>
      <c r="K1508" s="53" t="s">
        <v>1615</v>
      </c>
      <c r="L1508" s="53" t="s">
        <v>52</v>
      </c>
      <c r="M1508" s="53" t="s">
        <v>52</v>
      </c>
      <c r="N1508" s="62" t="s">
        <v>7317</v>
      </c>
      <c r="O1508" s="62" t="s">
        <v>44</v>
      </c>
      <c r="P1508" s="62" t="s">
        <v>7417</v>
      </c>
      <c r="Q1508" s="62" t="s">
        <v>7418</v>
      </c>
      <c r="R1508" s="53"/>
      <c r="S1508" s="53"/>
      <c r="T1508" s="82"/>
      <c r="U1508" s="42"/>
      <c r="V1508" s="62"/>
      <c r="W1508" s="64"/>
      <c r="X1508" s="223"/>
      <c r="Y1508" s="223"/>
      <c r="Z1508" s="223"/>
      <c r="AA1508" s="223"/>
    </row>
    <row r="1509">
      <c r="A1509" s="42">
        <f t="shared" si="3"/>
        <v>1508</v>
      </c>
      <c r="B1509" s="51" t="s">
        <v>41</v>
      </c>
      <c r="C1509" s="53" t="s">
        <v>7419</v>
      </c>
      <c r="D1509" s="42" t="s">
        <v>44</v>
      </c>
      <c r="E1509" s="42" t="s">
        <v>44</v>
      </c>
      <c r="F1509" s="53" t="s">
        <v>7315</v>
      </c>
      <c r="G1509" s="53" t="s">
        <v>47</v>
      </c>
      <c r="H1509" s="53" t="s">
        <v>95</v>
      </c>
      <c r="I1509" s="53" t="s">
        <v>401</v>
      </c>
      <c r="J1509" s="53" t="s">
        <v>7316</v>
      </c>
      <c r="K1509" s="53" t="s">
        <v>1615</v>
      </c>
      <c r="L1509" s="53" t="s">
        <v>52</v>
      </c>
      <c r="M1509" s="53" t="s">
        <v>52</v>
      </c>
      <c r="N1509" s="62" t="s">
        <v>7369</v>
      </c>
      <c r="O1509" s="62" t="s">
        <v>44</v>
      </c>
      <c r="P1509" s="62" t="s">
        <v>7420</v>
      </c>
      <c r="Q1509" s="62" t="s">
        <v>7421</v>
      </c>
      <c r="R1509" s="53"/>
      <c r="S1509" s="53"/>
      <c r="T1509" s="82"/>
      <c r="U1509" s="42"/>
      <c r="V1509" s="62"/>
      <c r="W1509" s="64"/>
      <c r="X1509" s="223"/>
      <c r="Y1509" s="223"/>
      <c r="Z1509" s="223"/>
      <c r="AA1509" s="223"/>
    </row>
    <row r="1510">
      <c r="A1510" s="42">
        <f t="shared" si="3"/>
        <v>1509</v>
      </c>
      <c r="B1510" s="51" t="s">
        <v>41</v>
      </c>
      <c r="C1510" s="53" t="s">
        <v>7422</v>
      </c>
      <c r="D1510" s="42" t="s">
        <v>44</v>
      </c>
      <c r="E1510" s="42" t="s">
        <v>44</v>
      </c>
      <c r="F1510" s="53" t="s">
        <v>7315</v>
      </c>
      <c r="G1510" s="53" t="s">
        <v>47</v>
      </c>
      <c r="H1510" s="53" t="s">
        <v>95</v>
      </c>
      <c r="I1510" s="53" t="s">
        <v>401</v>
      </c>
      <c r="J1510" s="53" t="s">
        <v>7316</v>
      </c>
      <c r="K1510" s="53" t="s">
        <v>1615</v>
      </c>
      <c r="L1510" s="53" t="s">
        <v>52</v>
      </c>
      <c r="M1510" s="53" t="s">
        <v>52</v>
      </c>
      <c r="N1510" s="62" t="s">
        <v>7369</v>
      </c>
      <c r="O1510" s="62" t="s">
        <v>44</v>
      </c>
      <c r="P1510" s="62" t="s">
        <v>7423</v>
      </c>
      <c r="Q1510" s="62" t="s">
        <v>7424</v>
      </c>
      <c r="R1510" s="53"/>
      <c r="S1510" s="53"/>
      <c r="T1510" s="82"/>
      <c r="U1510" s="42"/>
      <c r="V1510" s="62"/>
      <c r="W1510" s="64"/>
      <c r="X1510" s="223"/>
      <c r="Y1510" s="223"/>
      <c r="Z1510" s="223"/>
      <c r="AA1510" s="223"/>
    </row>
    <row r="1511">
      <c r="A1511" s="42">
        <f t="shared" si="3"/>
        <v>1510</v>
      </c>
      <c r="B1511" s="51" t="s">
        <v>41</v>
      </c>
      <c r="C1511" s="53" t="s">
        <v>7425</v>
      </c>
      <c r="D1511" s="42" t="s">
        <v>44</v>
      </c>
      <c r="E1511" s="42" t="s">
        <v>44</v>
      </c>
      <c r="F1511" s="53" t="s">
        <v>7315</v>
      </c>
      <c r="G1511" s="53" t="s">
        <v>47</v>
      </c>
      <c r="H1511" s="53" t="s">
        <v>95</v>
      </c>
      <c r="I1511" s="53" t="s">
        <v>401</v>
      </c>
      <c r="J1511" s="53" t="s">
        <v>7316</v>
      </c>
      <c r="K1511" s="53" t="s">
        <v>1615</v>
      </c>
      <c r="L1511" s="53" t="s">
        <v>52</v>
      </c>
      <c r="M1511" s="53" t="s">
        <v>52</v>
      </c>
      <c r="N1511" s="62" t="s">
        <v>7369</v>
      </c>
      <c r="O1511" s="62" t="s">
        <v>44</v>
      </c>
      <c r="P1511" s="62" t="s">
        <v>7426</v>
      </c>
      <c r="Q1511" s="62" t="s">
        <v>7427</v>
      </c>
      <c r="R1511" s="53"/>
      <c r="S1511" s="53"/>
      <c r="T1511" s="82"/>
      <c r="U1511" s="42"/>
      <c r="V1511" s="62"/>
      <c r="W1511" s="64"/>
      <c r="X1511" s="223"/>
      <c r="Y1511" s="223"/>
      <c r="Z1511" s="223"/>
      <c r="AA1511" s="223"/>
    </row>
    <row r="1512">
      <c r="A1512" s="42">
        <f t="shared" si="3"/>
        <v>1511</v>
      </c>
      <c r="B1512" s="51" t="s">
        <v>41</v>
      </c>
      <c r="C1512" s="53" t="s">
        <v>7428</v>
      </c>
      <c r="D1512" s="42" t="s">
        <v>44</v>
      </c>
      <c r="E1512" s="42" t="s">
        <v>44</v>
      </c>
      <c r="F1512" s="53" t="s">
        <v>7315</v>
      </c>
      <c r="G1512" s="53" t="s">
        <v>47</v>
      </c>
      <c r="H1512" s="53" t="s">
        <v>48</v>
      </c>
      <c r="I1512" s="53" t="s">
        <v>401</v>
      </c>
      <c r="J1512" s="53" t="s">
        <v>7316</v>
      </c>
      <c r="K1512" s="53" t="s">
        <v>1615</v>
      </c>
      <c r="L1512" s="53" t="s">
        <v>52</v>
      </c>
      <c r="M1512" s="53" t="s">
        <v>52</v>
      </c>
      <c r="N1512" s="62" t="s">
        <v>7317</v>
      </c>
      <c r="O1512" s="62" t="s">
        <v>44</v>
      </c>
      <c r="P1512" s="62" t="s">
        <v>7429</v>
      </c>
      <c r="Q1512" s="62" t="s">
        <v>7430</v>
      </c>
      <c r="R1512" s="53"/>
      <c r="S1512" s="53"/>
      <c r="T1512" s="82"/>
      <c r="U1512" s="42"/>
      <c r="V1512" s="62"/>
      <c r="W1512" s="64"/>
      <c r="X1512" s="223"/>
      <c r="Y1512" s="223"/>
      <c r="Z1512" s="223"/>
      <c r="AA1512" s="223"/>
    </row>
    <row r="1513">
      <c r="A1513" s="42">
        <f t="shared" si="3"/>
        <v>1512</v>
      </c>
      <c r="B1513" s="51" t="s">
        <v>41</v>
      </c>
      <c r="C1513" s="53" t="s">
        <v>7431</v>
      </c>
      <c r="D1513" s="42" t="s">
        <v>44</v>
      </c>
      <c r="E1513" s="42" t="s">
        <v>44</v>
      </c>
      <c r="F1513" s="53" t="s">
        <v>7315</v>
      </c>
      <c r="G1513" s="53" t="s">
        <v>197</v>
      </c>
      <c r="H1513" s="53" t="s">
        <v>112</v>
      </c>
      <c r="I1513" s="53" t="s">
        <v>401</v>
      </c>
      <c r="J1513" s="53" t="s">
        <v>7316</v>
      </c>
      <c r="K1513" s="53" t="s">
        <v>1615</v>
      </c>
      <c r="L1513" s="53" t="s">
        <v>52</v>
      </c>
      <c r="M1513" s="53" t="s">
        <v>52</v>
      </c>
      <c r="N1513" s="62" t="s">
        <v>7369</v>
      </c>
      <c r="O1513" s="62" t="s">
        <v>44</v>
      </c>
      <c r="P1513" s="62" t="s">
        <v>7432</v>
      </c>
      <c r="Q1513" s="62" t="s">
        <v>7433</v>
      </c>
      <c r="R1513" s="53"/>
      <c r="S1513" s="53"/>
      <c r="T1513" s="82"/>
      <c r="U1513" s="42"/>
      <c r="V1513" s="62"/>
      <c r="W1513" s="64"/>
      <c r="X1513" s="223"/>
      <c r="Y1513" s="223"/>
      <c r="Z1513" s="223"/>
      <c r="AA1513" s="223"/>
    </row>
    <row r="1514">
      <c r="A1514" s="42">
        <f t="shared" si="3"/>
        <v>1513</v>
      </c>
      <c r="B1514" s="51" t="s">
        <v>41</v>
      </c>
      <c r="C1514" s="53" t="s">
        <v>7434</v>
      </c>
      <c r="D1514" s="42" t="s">
        <v>44</v>
      </c>
      <c r="E1514" s="42" t="s">
        <v>44</v>
      </c>
      <c r="F1514" s="53" t="s">
        <v>7315</v>
      </c>
      <c r="G1514" s="53" t="s">
        <v>197</v>
      </c>
      <c r="H1514" s="53" t="s">
        <v>198</v>
      </c>
      <c r="I1514" s="53" t="s">
        <v>401</v>
      </c>
      <c r="J1514" s="53" t="s">
        <v>7316</v>
      </c>
      <c r="K1514" s="53" t="s">
        <v>1615</v>
      </c>
      <c r="L1514" s="53" t="s">
        <v>52</v>
      </c>
      <c r="M1514" s="53" t="s">
        <v>52</v>
      </c>
      <c r="N1514" s="62" t="s">
        <v>7369</v>
      </c>
      <c r="O1514" s="62" t="s">
        <v>44</v>
      </c>
      <c r="P1514" s="62" t="s">
        <v>7435</v>
      </c>
      <c r="Q1514" s="62" t="s">
        <v>7436</v>
      </c>
      <c r="R1514" s="53"/>
      <c r="S1514" s="53"/>
      <c r="T1514" s="82"/>
      <c r="U1514" s="42"/>
      <c r="V1514" s="62"/>
      <c r="W1514" s="64"/>
      <c r="X1514" s="223"/>
      <c r="Y1514" s="223"/>
      <c r="Z1514" s="223"/>
      <c r="AA1514" s="223"/>
    </row>
    <row r="1515">
      <c r="A1515" s="42">
        <f t="shared" si="3"/>
        <v>1514</v>
      </c>
      <c r="B1515" s="51" t="s">
        <v>41</v>
      </c>
      <c r="C1515" s="53" t="s">
        <v>7437</v>
      </c>
      <c r="D1515" s="42" t="s">
        <v>44</v>
      </c>
      <c r="E1515" s="42" t="s">
        <v>44</v>
      </c>
      <c r="F1515" s="53" t="s">
        <v>7315</v>
      </c>
      <c r="G1515" s="53" t="s">
        <v>197</v>
      </c>
      <c r="H1515" s="53" t="s">
        <v>198</v>
      </c>
      <c r="I1515" s="53" t="s">
        <v>401</v>
      </c>
      <c r="J1515" s="53" t="s">
        <v>7316</v>
      </c>
      <c r="K1515" s="53" t="s">
        <v>1615</v>
      </c>
      <c r="L1515" s="53" t="s">
        <v>52</v>
      </c>
      <c r="M1515" s="53" t="s">
        <v>52</v>
      </c>
      <c r="N1515" s="62" t="s">
        <v>7369</v>
      </c>
      <c r="O1515" s="62" t="s">
        <v>44</v>
      </c>
      <c r="P1515" s="62" t="s">
        <v>7438</v>
      </c>
      <c r="Q1515" s="62" t="s">
        <v>7439</v>
      </c>
      <c r="R1515" s="53"/>
      <c r="S1515" s="53"/>
      <c r="T1515" s="82"/>
      <c r="U1515" s="42"/>
      <c r="V1515" s="62"/>
      <c r="W1515" s="64"/>
      <c r="X1515" s="223"/>
      <c r="Y1515" s="223"/>
      <c r="Z1515" s="223"/>
      <c r="AA1515" s="223"/>
    </row>
    <row r="1516">
      <c r="A1516" s="42">
        <f t="shared" si="3"/>
        <v>1515</v>
      </c>
      <c r="B1516" s="51" t="s">
        <v>41</v>
      </c>
      <c r="C1516" s="53" t="s">
        <v>7440</v>
      </c>
      <c r="D1516" s="42" t="s">
        <v>44</v>
      </c>
      <c r="E1516" s="42" t="s">
        <v>44</v>
      </c>
      <c r="F1516" s="53" t="s">
        <v>7315</v>
      </c>
      <c r="G1516" s="53" t="s">
        <v>47</v>
      </c>
      <c r="H1516" s="53" t="s">
        <v>48</v>
      </c>
      <c r="I1516" s="53" t="s">
        <v>401</v>
      </c>
      <c r="J1516" s="53" t="s">
        <v>7316</v>
      </c>
      <c r="K1516" s="53" t="s">
        <v>1615</v>
      </c>
      <c r="L1516" s="53" t="s">
        <v>52</v>
      </c>
      <c r="M1516" s="53" t="s">
        <v>52</v>
      </c>
      <c r="N1516" s="62" t="s">
        <v>7441</v>
      </c>
      <c r="O1516" s="62" t="s">
        <v>44</v>
      </c>
      <c r="P1516" s="62" t="s">
        <v>7442</v>
      </c>
      <c r="Q1516" s="62" t="s">
        <v>7443</v>
      </c>
      <c r="R1516" s="53"/>
      <c r="S1516" s="53"/>
      <c r="T1516" s="82"/>
      <c r="U1516" s="42"/>
      <c r="V1516" s="62"/>
      <c r="W1516" s="64"/>
      <c r="X1516" s="223"/>
      <c r="Y1516" s="223"/>
      <c r="Z1516" s="223"/>
      <c r="AA1516" s="223"/>
    </row>
    <row r="1517">
      <c r="A1517" s="42">
        <f t="shared" si="3"/>
        <v>1516</v>
      </c>
      <c r="B1517" s="51" t="s">
        <v>41</v>
      </c>
      <c r="C1517" s="53" t="s">
        <v>7444</v>
      </c>
      <c r="D1517" s="42" t="s">
        <v>44</v>
      </c>
      <c r="E1517" s="42" t="s">
        <v>44</v>
      </c>
      <c r="F1517" s="53" t="s">
        <v>7315</v>
      </c>
      <c r="G1517" s="53" t="s">
        <v>47</v>
      </c>
      <c r="H1517" s="53" t="s">
        <v>91</v>
      </c>
      <c r="I1517" s="53" t="s">
        <v>401</v>
      </c>
      <c r="J1517" s="53" t="s">
        <v>7316</v>
      </c>
      <c r="K1517" s="53" t="s">
        <v>1615</v>
      </c>
      <c r="L1517" s="53" t="s">
        <v>52</v>
      </c>
      <c r="M1517" s="53" t="s">
        <v>52</v>
      </c>
      <c r="N1517" s="62" t="s">
        <v>7441</v>
      </c>
      <c r="O1517" s="62" t="s">
        <v>44</v>
      </c>
      <c r="P1517" s="62" t="s">
        <v>7445</v>
      </c>
      <c r="Q1517" s="62" t="s">
        <v>7446</v>
      </c>
      <c r="R1517" s="53"/>
      <c r="S1517" s="53"/>
      <c r="T1517" s="82"/>
      <c r="U1517" s="42"/>
      <c r="V1517" s="62"/>
      <c r="W1517" s="64"/>
      <c r="X1517" s="223"/>
      <c r="Y1517" s="223"/>
      <c r="Z1517" s="223"/>
      <c r="AA1517" s="223"/>
    </row>
    <row r="1518">
      <c r="A1518" s="42">
        <f t="shared" si="3"/>
        <v>1517</v>
      </c>
      <c r="B1518" s="51" t="s">
        <v>41</v>
      </c>
      <c r="C1518" s="53" t="s">
        <v>7447</v>
      </c>
      <c r="D1518" s="42" t="s">
        <v>44</v>
      </c>
      <c r="E1518" s="42" t="s">
        <v>44</v>
      </c>
      <c r="F1518" s="53" t="s">
        <v>7315</v>
      </c>
      <c r="G1518" s="53" t="s">
        <v>47</v>
      </c>
      <c r="H1518" s="53" t="s">
        <v>48</v>
      </c>
      <c r="I1518" s="53" t="s">
        <v>401</v>
      </c>
      <c r="J1518" s="53" t="s">
        <v>7316</v>
      </c>
      <c r="K1518" s="53" t="s">
        <v>1615</v>
      </c>
      <c r="L1518" s="53" t="s">
        <v>52</v>
      </c>
      <c r="M1518" s="53" t="s">
        <v>52</v>
      </c>
      <c r="N1518" s="62" t="s">
        <v>7448</v>
      </c>
      <c r="O1518" s="62" t="s">
        <v>44</v>
      </c>
      <c r="P1518" s="62" t="s">
        <v>7449</v>
      </c>
      <c r="Q1518" s="62" t="s">
        <v>7450</v>
      </c>
      <c r="R1518" s="53"/>
      <c r="S1518" s="53"/>
      <c r="T1518" s="82"/>
      <c r="U1518" s="42"/>
      <c r="V1518" s="62"/>
      <c r="W1518" s="64"/>
      <c r="X1518" s="223"/>
      <c r="Y1518" s="223"/>
      <c r="Z1518" s="223"/>
      <c r="AA1518" s="223"/>
    </row>
    <row r="1519">
      <c r="A1519" s="42">
        <f t="shared" si="3"/>
        <v>1518</v>
      </c>
      <c r="B1519" s="51" t="s">
        <v>41</v>
      </c>
      <c r="C1519" s="53" t="s">
        <v>7451</v>
      </c>
      <c r="D1519" s="42" t="s">
        <v>44</v>
      </c>
      <c r="E1519" s="42" t="s">
        <v>44</v>
      </c>
      <c r="F1519" s="53" t="s">
        <v>7315</v>
      </c>
      <c r="G1519" s="53" t="s">
        <v>47</v>
      </c>
      <c r="H1519" s="53" t="s">
        <v>95</v>
      </c>
      <c r="I1519" s="53" t="s">
        <v>401</v>
      </c>
      <c r="J1519" s="53" t="s">
        <v>7316</v>
      </c>
      <c r="K1519" s="53" t="s">
        <v>1615</v>
      </c>
      <c r="L1519" s="53" t="s">
        <v>52</v>
      </c>
      <c r="M1519" s="53" t="s">
        <v>52</v>
      </c>
      <c r="N1519" s="62" t="s">
        <v>7452</v>
      </c>
      <c r="O1519" s="62" t="s">
        <v>44</v>
      </c>
      <c r="P1519" s="62" t="s">
        <v>7449</v>
      </c>
      <c r="Q1519" s="62" t="s">
        <v>7453</v>
      </c>
      <c r="R1519" s="53"/>
      <c r="S1519" s="53"/>
      <c r="T1519" s="82"/>
      <c r="U1519" s="42"/>
      <c r="V1519" s="62"/>
      <c r="W1519" s="64"/>
      <c r="X1519" s="223"/>
      <c r="Y1519" s="223"/>
      <c r="Z1519" s="223"/>
      <c r="AA1519" s="223"/>
    </row>
    <row r="1520">
      <c r="A1520" s="42">
        <f t="shared" si="3"/>
        <v>1519</v>
      </c>
      <c r="B1520" s="51" t="s">
        <v>41</v>
      </c>
      <c r="C1520" s="53" t="s">
        <v>7454</v>
      </c>
      <c r="D1520" s="42" t="s">
        <v>44</v>
      </c>
      <c r="E1520" s="42" t="s">
        <v>44</v>
      </c>
      <c r="F1520" s="53" t="s">
        <v>7315</v>
      </c>
      <c r="G1520" s="53" t="s">
        <v>47</v>
      </c>
      <c r="H1520" s="53" t="s">
        <v>48</v>
      </c>
      <c r="I1520" s="53" t="s">
        <v>401</v>
      </c>
      <c r="J1520" s="53" t="s">
        <v>7316</v>
      </c>
      <c r="K1520" s="53" t="s">
        <v>1615</v>
      </c>
      <c r="L1520" s="53" t="s">
        <v>52</v>
      </c>
      <c r="M1520" s="53" t="s">
        <v>52</v>
      </c>
      <c r="N1520" s="62" t="s">
        <v>7455</v>
      </c>
      <c r="O1520" s="62" t="s">
        <v>44</v>
      </c>
      <c r="P1520" s="62" t="s">
        <v>7456</v>
      </c>
      <c r="Q1520" s="62" t="s">
        <v>7457</v>
      </c>
      <c r="R1520" s="53"/>
      <c r="S1520" s="53"/>
      <c r="T1520" s="82"/>
      <c r="U1520" s="42"/>
      <c r="V1520" s="62"/>
      <c r="W1520" s="64"/>
      <c r="X1520" s="223"/>
      <c r="Y1520" s="223"/>
      <c r="Z1520" s="223"/>
      <c r="AA1520" s="223"/>
    </row>
    <row r="1521">
      <c r="A1521" s="42">
        <f t="shared" si="3"/>
        <v>1520</v>
      </c>
      <c r="B1521" s="51" t="s">
        <v>41</v>
      </c>
      <c r="C1521" s="53" t="s">
        <v>7458</v>
      </c>
      <c r="D1521" s="42" t="s">
        <v>44</v>
      </c>
      <c r="E1521" s="42" t="s">
        <v>44</v>
      </c>
      <c r="F1521" s="53" t="s">
        <v>7315</v>
      </c>
      <c r="G1521" s="53" t="s">
        <v>47</v>
      </c>
      <c r="H1521" s="53" t="s">
        <v>95</v>
      </c>
      <c r="I1521" s="53" t="s">
        <v>401</v>
      </c>
      <c r="J1521" s="53" t="s">
        <v>7316</v>
      </c>
      <c r="K1521" s="53" t="s">
        <v>1615</v>
      </c>
      <c r="L1521" s="53" t="s">
        <v>52</v>
      </c>
      <c r="M1521" s="53" t="s">
        <v>52</v>
      </c>
      <c r="N1521" s="62" t="s">
        <v>7459</v>
      </c>
      <c r="O1521" s="62" t="s">
        <v>44</v>
      </c>
      <c r="P1521" s="62" t="s">
        <v>7460</v>
      </c>
      <c r="Q1521" s="62" t="s">
        <v>7461</v>
      </c>
      <c r="R1521" s="53"/>
      <c r="S1521" s="53"/>
      <c r="T1521" s="82"/>
      <c r="U1521" s="42"/>
      <c r="V1521" s="62"/>
      <c r="W1521" s="64"/>
      <c r="X1521" s="223"/>
      <c r="Y1521" s="223"/>
      <c r="Z1521" s="223"/>
      <c r="AA1521" s="223"/>
    </row>
    <row r="1522">
      <c r="A1522" s="42">
        <f t="shared" si="3"/>
        <v>1521</v>
      </c>
      <c r="B1522" s="51" t="s">
        <v>41</v>
      </c>
      <c r="C1522" s="53" t="s">
        <v>7462</v>
      </c>
      <c r="D1522" s="42" t="s">
        <v>44</v>
      </c>
      <c r="E1522" s="42" t="s">
        <v>44</v>
      </c>
      <c r="F1522" s="53" t="s">
        <v>7315</v>
      </c>
      <c r="G1522" s="53" t="s">
        <v>47</v>
      </c>
      <c r="H1522" s="53" t="s">
        <v>95</v>
      </c>
      <c r="I1522" s="53" t="s">
        <v>401</v>
      </c>
      <c r="J1522" s="53" t="s">
        <v>7316</v>
      </c>
      <c r="K1522" s="53" t="s">
        <v>1615</v>
      </c>
      <c r="L1522" s="53" t="s">
        <v>52</v>
      </c>
      <c r="M1522" s="53" t="s">
        <v>52</v>
      </c>
      <c r="N1522" s="62" t="s">
        <v>7463</v>
      </c>
      <c r="O1522" s="62" t="s">
        <v>44</v>
      </c>
      <c r="P1522" s="62" t="s">
        <v>7464</v>
      </c>
      <c r="Q1522" s="62" t="s">
        <v>7465</v>
      </c>
      <c r="R1522" s="53"/>
      <c r="S1522" s="53"/>
      <c r="T1522" s="82"/>
      <c r="U1522" s="42"/>
      <c r="V1522" s="62"/>
      <c r="W1522" s="64"/>
      <c r="X1522" s="223"/>
      <c r="Y1522" s="223"/>
      <c r="Z1522" s="223"/>
      <c r="AA1522" s="223"/>
    </row>
    <row r="1523">
      <c r="A1523" s="42">
        <f t="shared" si="3"/>
        <v>1522</v>
      </c>
      <c r="B1523" s="51" t="s">
        <v>41</v>
      </c>
      <c r="C1523" s="53" t="s">
        <v>7466</v>
      </c>
      <c r="D1523" s="42" t="s">
        <v>44</v>
      </c>
      <c r="E1523" s="42" t="s">
        <v>44</v>
      </c>
      <c r="F1523" s="53" t="s">
        <v>7315</v>
      </c>
      <c r="G1523" s="53" t="s">
        <v>47</v>
      </c>
      <c r="H1523" s="53" t="s">
        <v>91</v>
      </c>
      <c r="I1523" s="53" t="s">
        <v>401</v>
      </c>
      <c r="J1523" s="53" t="s">
        <v>7316</v>
      </c>
      <c r="K1523" s="53" t="s">
        <v>1615</v>
      </c>
      <c r="L1523" s="53" t="s">
        <v>52</v>
      </c>
      <c r="M1523" s="53" t="s">
        <v>52</v>
      </c>
      <c r="N1523" s="62" t="s">
        <v>7317</v>
      </c>
      <c r="O1523" s="62" t="s">
        <v>44</v>
      </c>
      <c r="P1523" s="62" t="s">
        <v>7467</v>
      </c>
      <c r="Q1523" s="62" t="s">
        <v>7468</v>
      </c>
      <c r="R1523" s="53"/>
      <c r="S1523" s="53"/>
      <c r="T1523" s="82"/>
      <c r="U1523" s="42"/>
      <c r="V1523" s="62"/>
      <c r="W1523" s="64"/>
      <c r="X1523" s="223"/>
      <c r="Y1523" s="223"/>
      <c r="Z1523" s="223"/>
      <c r="AA1523" s="223"/>
    </row>
    <row r="1524">
      <c r="A1524" s="42">
        <f t="shared" si="3"/>
        <v>1523</v>
      </c>
      <c r="B1524" s="51" t="s">
        <v>41</v>
      </c>
      <c r="C1524" s="53" t="s">
        <v>7469</v>
      </c>
      <c r="D1524" s="42" t="s">
        <v>44</v>
      </c>
      <c r="E1524" s="42" t="s">
        <v>44</v>
      </c>
      <c r="F1524" s="53" t="s">
        <v>7315</v>
      </c>
      <c r="G1524" s="53" t="s">
        <v>47</v>
      </c>
      <c r="H1524" s="53" t="s">
        <v>48</v>
      </c>
      <c r="I1524" s="53" t="s">
        <v>401</v>
      </c>
      <c r="J1524" s="53" t="s">
        <v>7316</v>
      </c>
      <c r="K1524" s="53" t="s">
        <v>1615</v>
      </c>
      <c r="L1524" s="53" t="s">
        <v>52</v>
      </c>
      <c r="M1524" s="53" t="s">
        <v>52</v>
      </c>
      <c r="N1524" s="62" t="s">
        <v>7317</v>
      </c>
      <c r="O1524" s="62" t="s">
        <v>44</v>
      </c>
      <c r="P1524" s="62" t="s">
        <v>7470</v>
      </c>
      <c r="Q1524" s="62" t="s">
        <v>7471</v>
      </c>
      <c r="R1524" s="53"/>
      <c r="S1524" s="53"/>
      <c r="T1524" s="82"/>
      <c r="U1524" s="42"/>
      <c r="V1524" s="62"/>
      <c r="W1524" s="64"/>
      <c r="X1524" s="223"/>
      <c r="Y1524" s="223"/>
      <c r="Z1524" s="223"/>
      <c r="AA1524" s="223"/>
    </row>
    <row r="1525">
      <c r="A1525" s="42">
        <f t="shared" si="3"/>
        <v>1524</v>
      </c>
      <c r="B1525" s="51" t="s">
        <v>41</v>
      </c>
      <c r="C1525" s="53" t="s">
        <v>7472</v>
      </c>
      <c r="D1525" s="42" t="s">
        <v>44</v>
      </c>
      <c r="E1525" s="42" t="s">
        <v>44</v>
      </c>
      <c r="F1525" s="53" t="s">
        <v>7315</v>
      </c>
      <c r="G1525" s="53" t="s">
        <v>47</v>
      </c>
      <c r="H1525" s="53" t="s">
        <v>48</v>
      </c>
      <c r="I1525" s="53" t="s">
        <v>401</v>
      </c>
      <c r="J1525" s="53" t="s">
        <v>7316</v>
      </c>
      <c r="K1525" s="53" t="s">
        <v>1615</v>
      </c>
      <c r="L1525" s="53" t="s">
        <v>52</v>
      </c>
      <c r="M1525" s="53" t="s">
        <v>52</v>
      </c>
      <c r="N1525" s="62" t="s">
        <v>7473</v>
      </c>
      <c r="O1525" s="62" t="s">
        <v>44</v>
      </c>
      <c r="P1525" s="62" t="s">
        <v>7474</v>
      </c>
      <c r="Q1525" s="62" t="s">
        <v>7475</v>
      </c>
      <c r="R1525" s="53"/>
      <c r="S1525" s="53"/>
      <c r="T1525" s="82"/>
      <c r="U1525" s="42"/>
      <c r="V1525" s="62"/>
      <c r="W1525" s="64"/>
      <c r="X1525" s="223"/>
      <c r="Y1525" s="223"/>
      <c r="Z1525" s="223"/>
      <c r="AA1525" s="223"/>
    </row>
    <row r="1526">
      <c r="A1526" s="42">
        <f t="shared" si="3"/>
        <v>1525</v>
      </c>
      <c r="B1526" s="51" t="s">
        <v>41</v>
      </c>
      <c r="C1526" s="53" t="s">
        <v>7476</v>
      </c>
      <c r="D1526" s="42" t="s">
        <v>44</v>
      </c>
      <c r="E1526" s="42" t="s">
        <v>44</v>
      </c>
      <c r="F1526" s="53" t="s">
        <v>7315</v>
      </c>
      <c r="G1526" s="53" t="s">
        <v>47</v>
      </c>
      <c r="H1526" s="53" t="s">
        <v>91</v>
      </c>
      <c r="I1526" s="53" t="s">
        <v>401</v>
      </c>
      <c r="J1526" s="53" t="s">
        <v>7316</v>
      </c>
      <c r="K1526" s="53" t="s">
        <v>1615</v>
      </c>
      <c r="L1526" s="53" t="s">
        <v>52</v>
      </c>
      <c r="M1526" s="53" t="s">
        <v>52</v>
      </c>
      <c r="N1526" s="62" t="s">
        <v>7477</v>
      </c>
      <c r="O1526" s="62" t="s">
        <v>44</v>
      </c>
      <c r="P1526" s="62" t="s">
        <v>7478</v>
      </c>
      <c r="Q1526" s="62" t="s">
        <v>7479</v>
      </c>
      <c r="R1526" s="53"/>
      <c r="S1526" s="53"/>
      <c r="T1526" s="82"/>
      <c r="U1526" s="42"/>
      <c r="V1526" s="62"/>
      <c r="W1526" s="64"/>
      <c r="X1526" s="223"/>
      <c r="Y1526" s="223"/>
      <c r="Z1526" s="223"/>
      <c r="AA1526" s="223"/>
    </row>
    <row r="1527">
      <c r="A1527" s="42">
        <f t="shared" si="3"/>
        <v>1526</v>
      </c>
      <c r="B1527" s="51" t="s">
        <v>41</v>
      </c>
      <c r="C1527" s="53" t="s">
        <v>7480</v>
      </c>
      <c r="D1527" s="42" t="s">
        <v>44</v>
      </c>
      <c r="E1527" s="42" t="s">
        <v>44</v>
      </c>
      <c r="F1527" s="53" t="s">
        <v>7315</v>
      </c>
      <c r="G1527" s="53" t="s">
        <v>47</v>
      </c>
      <c r="H1527" s="53" t="s">
        <v>48</v>
      </c>
      <c r="I1527" s="53" t="s">
        <v>401</v>
      </c>
      <c r="J1527" s="53" t="s">
        <v>7316</v>
      </c>
      <c r="K1527" s="53" t="s">
        <v>1615</v>
      </c>
      <c r="L1527" s="53" t="s">
        <v>52</v>
      </c>
      <c r="M1527" s="53" t="s">
        <v>52</v>
      </c>
      <c r="N1527" s="62" t="s">
        <v>7481</v>
      </c>
      <c r="O1527" s="62" t="s">
        <v>44</v>
      </c>
      <c r="P1527" s="62" t="s">
        <v>7482</v>
      </c>
      <c r="Q1527" s="62" t="s">
        <v>7483</v>
      </c>
      <c r="R1527" s="53"/>
      <c r="S1527" s="53"/>
      <c r="T1527" s="82"/>
      <c r="U1527" s="42"/>
      <c r="V1527" s="62"/>
      <c r="W1527" s="64"/>
      <c r="X1527" s="223"/>
      <c r="Y1527" s="223"/>
      <c r="Z1527" s="223"/>
      <c r="AA1527" s="223"/>
    </row>
    <row r="1528">
      <c r="A1528" s="42">
        <f t="shared" si="3"/>
        <v>1527</v>
      </c>
      <c r="B1528" s="51" t="s">
        <v>41</v>
      </c>
      <c r="C1528" s="53" t="s">
        <v>7484</v>
      </c>
      <c r="D1528" s="42" t="s">
        <v>44</v>
      </c>
      <c r="E1528" s="42" t="s">
        <v>44</v>
      </c>
      <c r="F1528" s="53" t="s">
        <v>7315</v>
      </c>
      <c r="G1528" s="53" t="s">
        <v>47</v>
      </c>
      <c r="H1528" s="53" t="s">
        <v>48</v>
      </c>
      <c r="I1528" s="53" t="s">
        <v>401</v>
      </c>
      <c r="J1528" s="53" t="s">
        <v>7316</v>
      </c>
      <c r="K1528" s="53" t="s">
        <v>1615</v>
      </c>
      <c r="L1528" s="53" t="s">
        <v>52</v>
      </c>
      <c r="M1528" s="53" t="s">
        <v>52</v>
      </c>
      <c r="N1528" s="62" t="s">
        <v>7481</v>
      </c>
      <c r="O1528" s="62" t="s">
        <v>44</v>
      </c>
      <c r="P1528" s="62" t="s">
        <v>7485</v>
      </c>
      <c r="Q1528" s="62" t="s">
        <v>7486</v>
      </c>
      <c r="R1528" s="53"/>
      <c r="S1528" s="53"/>
      <c r="T1528" s="82"/>
      <c r="U1528" s="42"/>
      <c r="V1528" s="62"/>
      <c r="W1528" s="64"/>
      <c r="X1528" s="223"/>
      <c r="Y1528" s="223"/>
      <c r="Z1528" s="223"/>
      <c r="AA1528" s="223"/>
    </row>
    <row r="1529">
      <c r="A1529" s="42">
        <f t="shared" si="3"/>
        <v>1528</v>
      </c>
      <c r="B1529" s="51" t="s">
        <v>41</v>
      </c>
      <c r="C1529" s="53" t="s">
        <v>7487</v>
      </c>
      <c r="D1529" s="42" t="s">
        <v>44</v>
      </c>
      <c r="E1529" s="42" t="s">
        <v>44</v>
      </c>
      <c r="F1529" s="53" t="s">
        <v>7315</v>
      </c>
      <c r="G1529" s="53" t="s">
        <v>47</v>
      </c>
      <c r="H1529" s="53" t="s">
        <v>91</v>
      </c>
      <c r="I1529" s="53" t="s">
        <v>401</v>
      </c>
      <c r="J1529" s="53" t="s">
        <v>7316</v>
      </c>
      <c r="K1529" s="53" t="s">
        <v>1615</v>
      </c>
      <c r="L1529" s="53" t="s">
        <v>52</v>
      </c>
      <c r="M1529" s="53" t="s">
        <v>52</v>
      </c>
      <c r="N1529" s="62" t="s">
        <v>7488</v>
      </c>
      <c r="O1529" s="62" t="s">
        <v>44</v>
      </c>
      <c r="P1529" s="62" t="s">
        <v>7489</v>
      </c>
      <c r="Q1529" s="62" t="s">
        <v>7490</v>
      </c>
      <c r="R1529" s="53"/>
      <c r="S1529" s="53"/>
      <c r="T1529" s="82"/>
      <c r="U1529" s="42"/>
      <c r="V1529" s="62"/>
      <c r="W1529" s="64"/>
      <c r="X1529" s="223"/>
      <c r="Y1529" s="223"/>
      <c r="Z1529" s="223"/>
      <c r="AA1529" s="223"/>
    </row>
    <row r="1530">
      <c r="A1530" s="42">
        <f t="shared" si="3"/>
        <v>1529</v>
      </c>
      <c r="B1530" s="51" t="s">
        <v>41</v>
      </c>
      <c r="C1530" s="53" t="s">
        <v>7491</v>
      </c>
      <c r="D1530" s="42" t="s">
        <v>44</v>
      </c>
      <c r="E1530" s="42" t="s">
        <v>44</v>
      </c>
      <c r="F1530" s="53" t="s">
        <v>7315</v>
      </c>
      <c r="G1530" s="53" t="s">
        <v>47</v>
      </c>
      <c r="H1530" s="53" t="s">
        <v>48</v>
      </c>
      <c r="I1530" s="53" t="s">
        <v>401</v>
      </c>
      <c r="J1530" s="53" t="s">
        <v>7316</v>
      </c>
      <c r="K1530" s="53" t="s">
        <v>1615</v>
      </c>
      <c r="L1530" s="53" t="s">
        <v>52</v>
      </c>
      <c r="M1530" s="53" t="s">
        <v>52</v>
      </c>
      <c r="N1530" s="62" t="s">
        <v>7492</v>
      </c>
      <c r="O1530" s="62" t="s">
        <v>44</v>
      </c>
      <c r="P1530" s="62" t="s">
        <v>7493</v>
      </c>
      <c r="Q1530" s="62" t="s">
        <v>7494</v>
      </c>
      <c r="R1530" s="53"/>
      <c r="S1530" s="53"/>
      <c r="T1530" s="82"/>
      <c r="U1530" s="42"/>
      <c r="V1530" s="62"/>
      <c r="W1530" s="64"/>
      <c r="X1530" s="223"/>
      <c r="Y1530" s="223"/>
      <c r="Z1530" s="223"/>
      <c r="AA1530" s="223"/>
    </row>
    <row r="1531">
      <c r="A1531" s="42">
        <f t="shared" si="3"/>
        <v>1530</v>
      </c>
      <c r="B1531" s="51" t="s">
        <v>41</v>
      </c>
      <c r="C1531" s="53" t="s">
        <v>7495</v>
      </c>
      <c r="D1531" s="42" t="s">
        <v>44</v>
      </c>
      <c r="E1531" s="42" t="s">
        <v>44</v>
      </c>
      <c r="F1531" s="53" t="s">
        <v>7315</v>
      </c>
      <c r="G1531" s="53" t="s">
        <v>47</v>
      </c>
      <c r="H1531" s="53" t="s">
        <v>48</v>
      </c>
      <c r="I1531" s="53" t="s">
        <v>401</v>
      </c>
      <c r="J1531" s="53" t="s">
        <v>7316</v>
      </c>
      <c r="K1531" s="53" t="s">
        <v>1615</v>
      </c>
      <c r="L1531" s="53" t="s">
        <v>52</v>
      </c>
      <c r="M1531" s="53" t="s">
        <v>52</v>
      </c>
      <c r="N1531" s="62" t="s">
        <v>7492</v>
      </c>
      <c r="O1531" s="62" t="s">
        <v>44</v>
      </c>
      <c r="P1531" s="62" t="s">
        <v>7496</v>
      </c>
      <c r="Q1531" s="62" t="s">
        <v>7497</v>
      </c>
      <c r="R1531" s="53"/>
      <c r="S1531" s="53"/>
      <c r="T1531" s="82"/>
      <c r="U1531" s="42"/>
      <c r="V1531" s="62"/>
      <c r="W1531" s="64"/>
      <c r="X1531" s="223"/>
      <c r="Y1531" s="223"/>
      <c r="Z1531" s="223"/>
      <c r="AA1531" s="223"/>
    </row>
    <row r="1532">
      <c r="A1532" s="42">
        <f t="shared" si="3"/>
        <v>1531</v>
      </c>
      <c r="B1532" s="51" t="s">
        <v>41</v>
      </c>
      <c r="C1532" s="53" t="s">
        <v>7498</v>
      </c>
      <c r="D1532" s="42" t="s">
        <v>44</v>
      </c>
      <c r="E1532" s="42" t="s">
        <v>44</v>
      </c>
      <c r="F1532" s="53" t="s">
        <v>7315</v>
      </c>
      <c r="G1532" s="53" t="s">
        <v>47</v>
      </c>
      <c r="H1532" s="53" t="s">
        <v>48</v>
      </c>
      <c r="I1532" s="53" t="s">
        <v>401</v>
      </c>
      <c r="J1532" s="53" t="s">
        <v>7316</v>
      </c>
      <c r="K1532" s="53" t="s">
        <v>1615</v>
      </c>
      <c r="L1532" s="53" t="s">
        <v>52</v>
      </c>
      <c r="M1532" s="53" t="s">
        <v>52</v>
      </c>
      <c r="N1532" s="62" t="s">
        <v>7492</v>
      </c>
      <c r="O1532" s="62" t="s">
        <v>44</v>
      </c>
      <c r="P1532" s="62" t="s">
        <v>7499</v>
      </c>
      <c r="Q1532" s="62" t="s">
        <v>7500</v>
      </c>
      <c r="R1532" s="53"/>
      <c r="S1532" s="53"/>
      <c r="T1532" s="82"/>
      <c r="U1532" s="42"/>
      <c r="V1532" s="62"/>
      <c r="W1532" s="64"/>
      <c r="X1532" s="223"/>
      <c r="Y1532" s="223"/>
      <c r="Z1532" s="223"/>
      <c r="AA1532" s="223"/>
    </row>
    <row r="1533">
      <c r="A1533" s="42">
        <f t="shared" si="3"/>
        <v>1532</v>
      </c>
      <c r="B1533" s="51" t="s">
        <v>41</v>
      </c>
      <c r="C1533" s="53" t="s">
        <v>7501</v>
      </c>
      <c r="D1533" s="42" t="s">
        <v>44</v>
      </c>
      <c r="E1533" s="42" t="s">
        <v>44</v>
      </c>
      <c r="F1533" s="53" t="s">
        <v>7315</v>
      </c>
      <c r="G1533" s="53" t="s">
        <v>47</v>
      </c>
      <c r="H1533" s="53" t="s">
        <v>48</v>
      </c>
      <c r="I1533" s="53" t="s">
        <v>401</v>
      </c>
      <c r="J1533" s="53" t="s">
        <v>7316</v>
      </c>
      <c r="K1533" s="53" t="s">
        <v>1615</v>
      </c>
      <c r="L1533" s="53" t="s">
        <v>52</v>
      </c>
      <c r="M1533" s="53" t="s">
        <v>52</v>
      </c>
      <c r="N1533" s="62" t="s">
        <v>7492</v>
      </c>
      <c r="O1533" s="62" t="s">
        <v>44</v>
      </c>
      <c r="P1533" s="62" t="s">
        <v>7502</v>
      </c>
      <c r="Q1533" s="62" t="s">
        <v>7503</v>
      </c>
      <c r="R1533" s="53"/>
      <c r="S1533" s="53"/>
      <c r="T1533" s="82"/>
      <c r="U1533" s="42"/>
      <c r="V1533" s="62"/>
      <c r="W1533" s="64"/>
      <c r="X1533" s="223"/>
      <c r="Y1533" s="223"/>
      <c r="Z1533" s="223"/>
      <c r="AA1533" s="223"/>
    </row>
    <row r="1534">
      <c r="A1534" s="42">
        <f t="shared" si="3"/>
        <v>1533</v>
      </c>
      <c r="B1534" s="51" t="s">
        <v>41</v>
      </c>
      <c r="C1534" s="53" t="s">
        <v>7504</v>
      </c>
      <c r="D1534" s="42" t="s">
        <v>44</v>
      </c>
      <c r="E1534" s="42" t="s">
        <v>44</v>
      </c>
      <c r="F1534" s="53" t="s">
        <v>7315</v>
      </c>
      <c r="G1534" s="53" t="s">
        <v>47</v>
      </c>
      <c r="H1534" s="53" t="s">
        <v>48</v>
      </c>
      <c r="I1534" s="53" t="s">
        <v>401</v>
      </c>
      <c r="J1534" s="53" t="s">
        <v>7316</v>
      </c>
      <c r="K1534" s="53" t="s">
        <v>1615</v>
      </c>
      <c r="L1534" s="53" t="s">
        <v>52</v>
      </c>
      <c r="M1534" s="53" t="s">
        <v>52</v>
      </c>
      <c r="N1534" s="62" t="s">
        <v>7317</v>
      </c>
      <c r="O1534" s="62" t="s">
        <v>44</v>
      </c>
      <c r="P1534" s="62" t="s">
        <v>7505</v>
      </c>
      <c r="Q1534" s="62" t="s">
        <v>7506</v>
      </c>
      <c r="R1534" s="53"/>
      <c r="S1534" s="53"/>
      <c r="T1534" s="82"/>
      <c r="U1534" s="42"/>
      <c r="V1534" s="62"/>
      <c r="W1534" s="64"/>
      <c r="X1534" s="223"/>
      <c r="Y1534" s="223"/>
      <c r="Z1534" s="223"/>
      <c r="AA1534" s="223"/>
    </row>
    <row r="1535">
      <c r="A1535" s="42">
        <f t="shared" si="3"/>
        <v>1534</v>
      </c>
      <c r="B1535" s="51" t="s">
        <v>41</v>
      </c>
      <c r="C1535" s="53" t="s">
        <v>7507</v>
      </c>
      <c r="D1535" s="42" t="s">
        <v>44</v>
      </c>
      <c r="E1535" s="42" t="s">
        <v>44</v>
      </c>
      <c r="F1535" s="53" t="s">
        <v>7315</v>
      </c>
      <c r="G1535" s="53" t="s">
        <v>85</v>
      </c>
      <c r="H1535" s="53" t="s">
        <v>86</v>
      </c>
      <c r="I1535" s="53" t="s">
        <v>401</v>
      </c>
      <c r="J1535" s="53" t="s">
        <v>7316</v>
      </c>
      <c r="K1535" s="53" t="s">
        <v>1615</v>
      </c>
      <c r="L1535" s="53" t="s">
        <v>52</v>
      </c>
      <c r="M1535" s="53" t="s">
        <v>52</v>
      </c>
      <c r="N1535" s="62" t="s">
        <v>7317</v>
      </c>
      <c r="O1535" s="62" t="s">
        <v>44</v>
      </c>
      <c r="P1535" s="62" t="s">
        <v>7508</v>
      </c>
      <c r="Q1535" s="62" t="s">
        <v>5753</v>
      </c>
      <c r="R1535" s="53"/>
      <c r="S1535" s="53"/>
      <c r="T1535" s="82"/>
      <c r="U1535" s="42"/>
      <c r="V1535" s="62"/>
      <c r="W1535" s="64"/>
      <c r="X1535" s="223"/>
      <c r="Y1535" s="223"/>
      <c r="Z1535" s="223"/>
      <c r="AA1535" s="223"/>
    </row>
    <row r="1536">
      <c r="A1536" s="42">
        <f t="shared" si="3"/>
        <v>1535</v>
      </c>
      <c r="B1536" s="51" t="s">
        <v>41</v>
      </c>
      <c r="C1536" s="53" t="s">
        <v>7509</v>
      </c>
      <c r="D1536" s="42" t="s">
        <v>44</v>
      </c>
      <c r="E1536" s="42" t="s">
        <v>44</v>
      </c>
      <c r="F1536" s="53" t="s">
        <v>7510</v>
      </c>
      <c r="G1536" s="53" t="s">
        <v>111</v>
      </c>
      <c r="H1536" s="53" t="s">
        <v>112</v>
      </c>
      <c r="I1536" s="53" t="s">
        <v>401</v>
      </c>
      <c r="J1536" s="53" t="s">
        <v>7511</v>
      </c>
      <c r="K1536" s="53" t="s">
        <v>1615</v>
      </c>
      <c r="L1536" s="53" t="s">
        <v>52</v>
      </c>
      <c r="M1536" s="53" t="s">
        <v>52</v>
      </c>
      <c r="N1536" s="62" t="s">
        <v>7512</v>
      </c>
      <c r="O1536" s="62" t="s">
        <v>44</v>
      </c>
      <c r="P1536" s="62" t="s">
        <v>6399</v>
      </c>
      <c r="Q1536" s="62" t="s">
        <v>7513</v>
      </c>
      <c r="R1536" s="53"/>
      <c r="S1536" s="53"/>
      <c r="T1536" s="82"/>
      <c r="U1536" s="42"/>
      <c r="V1536" s="62"/>
      <c r="W1536" s="64"/>
      <c r="X1536" s="223"/>
      <c r="Y1536" s="223"/>
      <c r="Z1536" s="223"/>
      <c r="AA1536" s="223"/>
    </row>
    <row r="1537">
      <c r="A1537" s="42">
        <f t="shared" si="3"/>
        <v>1536</v>
      </c>
      <c r="B1537" s="51" t="s">
        <v>41</v>
      </c>
      <c r="C1537" s="53" t="s">
        <v>7514</v>
      </c>
      <c r="D1537" s="42" t="s">
        <v>44</v>
      </c>
      <c r="E1537" s="42" t="s">
        <v>44</v>
      </c>
      <c r="F1537" s="53" t="s">
        <v>7510</v>
      </c>
      <c r="G1537" s="53" t="s">
        <v>47</v>
      </c>
      <c r="H1537" s="53" t="s">
        <v>48</v>
      </c>
      <c r="I1537" s="53" t="s">
        <v>401</v>
      </c>
      <c r="J1537" s="53" t="s">
        <v>7511</v>
      </c>
      <c r="K1537" s="53" t="s">
        <v>1615</v>
      </c>
      <c r="L1537" s="53" t="s">
        <v>52</v>
      </c>
      <c r="M1537" s="53" t="s">
        <v>52</v>
      </c>
      <c r="N1537" s="62" t="s">
        <v>7512</v>
      </c>
      <c r="O1537" s="62" t="s">
        <v>44</v>
      </c>
      <c r="P1537" s="62" t="s">
        <v>5384</v>
      </c>
      <c r="Q1537" s="62" t="s">
        <v>7320</v>
      </c>
      <c r="R1537" s="53"/>
      <c r="S1537" s="53"/>
      <c r="T1537" s="82"/>
      <c r="U1537" s="42"/>
      <c r="V1537" s="62"/>
      <c r="W1537" s="64"/>
      <c r="X1537" s="223"/>
      <c r="Y1537" s="223"/>
      <c r="Z1537" s="223"/>
      <c r="AA1537" s="223"/>
    </row>
    <row r="1538">
      <c r="A1538" s="42">
        <f t="shared" si="3"/>
        <v>1537</v>
      </c>
      <c r="B1538" s="51" t="s">
        <v>41</v>
      </c>
      <c r="C1538" s="53" t="s">
        <v>7515</v>
      </c>
      <c r="D1538" s="42" t="s">
        <v>44</v>
      </c>
      <c r="E1538" s="42" t="s">
        <v>44</v>
      </c>
      <c r="F1538" s="53" t="s">
        <v>7510</v>
      </c>
      <c r="G1538" s="53" t="s">
        <v>47</v>
      </c>
      <c r="H1538" s="53" t="s">
        <v>48</v>
      </c>
      <c r="I1538" s="53" t="s">
        <v>401</v>
      </c>
      <c r="J1538" s="53" t="s">
        <v>7511</v>
      </c>
      <c r="K1538" s="53" t="s">
        <v>1615</v>
      </c>
      <c r="L1538" s="53" t="s">
        <v>52</v>
      </c>
      <c r="M1538" s="53" t="s">
        <v>52</v>
      </c>
      <c r="N1538" s="62" t="s">
        <v>7512</v>
      </c>
      <c r="O1538" s="62" t="s">
        <v>44</v>
      </c>
      <c r="P1538" s="62" t="s">
        <v>5389</v>
      </c>
      <c r="Q1538" s="62" t="s">
        <v>7322</v>
      </c>
      <c r="R1538" s="53"/>
      <c r="S1538" s="53"/>
      <c r="T1538" s="82"/>
      <c r="U1538" s="42"/>
      <c r="V1538" s="62"/>
      <c r="W1538" s="64"/>
      <c r="X1538" s="223"/>
      <c r="Y1538" s="223"/>
      <c r="Z1538" s="223"/>
      <c r="AA1538" s="223"/>
    </row>
    <row r="1539">
      <c r="A1539" s="42">
        <f t="shared" si="3"/>
        <v>1538</v>
      </c>
      <c r="B1539" s="51" t="s">
        <v>41</v>
      </c>
      <c r="C1539" s="53" t="s">
        <v>7516</v>
      </c>
      <c r="D1539" s="42" t="s">
        <v>44</v>
      </c>
      <c r="E1539" s="42" t="s">
        <v>44</v>
      </c>
      <c r="F1539" s="53" t="s">
        <v>7510</v>
      </c>
      <c r="G1539" s="53" t="s">
        <v>47</v>
      </c>
      <c r="H1539" s="53" t="s">
        <v>48</v>
      </c>
      <c r="I1539" s="53" t="s">
        <v>401</v>
      </c>
      <c r="J1539" s="53" t="s">
        <v>7511</v>
      </c>
      <c r="K1539" s="53" t="s">
        <v>1615</v>
      </c>
      <c r="L1539" s="53" t="s">
        <v>52</v>
      </c>
      <c r="M1539" s="53" t="s">
        <v>52</v>
      </c>
      <c r="N1539" s="62" t="s">
        <v>7512</v>
      </c>
      <c r="O1539" s="62" t="s">
        <v>44</v>
      </c>
      <c r="P1539" s="62" t="s">
        <v>7324</v>
      </c>
      <c r="Q1539" s="62" t="s">
        <v>7325</v>
      </c>
      <c r="R1539" s="53"/>
      <c r="S1539" s="53"/>
      <c r="T1539" s="82"/>
      <c r="U1539" s="42"/>
      <c r="V1539" s="62"/>
      <c r="W1539" s="64"/>
      <c r="X1539" s="223"/>
      <c r="Y1539" s="223"/>
      <c r="Z1539" s="223"/>
      <c r="AA1539" s="223"/>
    </row>
    <row r="1540">
      <c r="A1540" s="42">
        <f t="shared" si="3"/>
        <v>1539</v>
      </c>
      <c r="B1540" s="51" t="s">
        <v>41</v>
      </c>
      <c r="C1540" s="53" t="s">
        <v>7517</v>
      </c>
      <c r="D1540" s="42" t="s">
        <v>44</v>
      </c>
      <c r="E1540" s="42" t="s">
        <v>44</v>
      </c>
      <c r="F1540" s="53" t="s">
        <v>7510</v>
      </c>
      <c r="G1540" s="53" t="s">
        <v>47</v>
      </c>
      <c r="H1540" s="53" t="s">
        <v>48</v>
      </c>
      <c r="I1540" s="53" t="s">
        <v>401</v>
      </c>
      <c r="J1540" s="53" t="s">
        <v>7511</v>
      </c>
      <c r="K1540" s="53" t="s">
        <v>1615</v>
      </c>
      <c r="L1540" s="53" t="s">
        <v>52</v>
      </c>
      <c r="M1540" s="53" t="s">
        <v>52</v>
      </c>
      <c r="N1540" s="62" t="s">
        <v>7512</v>
      </c>
      <c r="O1540" s="62" t="s">
        <v>44</v>
      </c>
      <c r="P1540" s="62" t="s">
        <v>6082</v>
      </c>
      <c r="Q1540" s="62" t="s">
        <v>6083</v>
      </c>
      <c r="R1540" s="53"/>
      <c r="S1540" s="53"/>
      <c r="T1540" s="82"/>
      <c r="U1540" s="42"/>
      <c r="V1540" s="62"/>
      <c r="W1540" s="64"/>
      <c r="X1540" s="223"/>
      <c r="Y1540" s="223"/>
      <c r="Z1540" s="223"/>
      <c r="AA1540" s="223"/>
    </row>
    <row r="1541">
      <c r="A1541" s="42">
        <f t="shared" si="3"/>
        <v>1540</v>
      </c>
      <c r="B1541" s="51" t="s">
        <v>41</v>
      </c>
      <c r="C1541" s="53" t="s">
        <v>7518</v>
      </c>
      <c r="D1541" s="42" t="s">
        <v>44</v>
      </c>
      <c r="E1541" s="42" t="s">
        <v>44</v>
      </c>
      <c r="F1541" s="53" t="s">
        <v>7510</v>
      </c>
      <c r="G1541" s="53" t="s">
        <v>47</v>
      </c>
      <c r="H1541" s="53" t="s">
        <v>48</v>
      </c>
      <c r="I1541" s="53" t="s">
        <v>401</v>
      </c>
      <c r="J1541" s="53" t="s">
        <v>7511</v>
      </c>
      <c r="K1541" s="53" t="s">
        <v>1615</v>
      </c>
      <c r="L1541" s="53" t="s">
        <v>52</v>
      </c>
      <c r="M1541" s="53" t="s">
        <v>52</v>
      </c>
      <c r="N1541" s="62" t="s">
        <v>7512</v>
      </c>
      <c r="O1541" s="62" t="s">
        <v>44</v>
      </c>
      <c r="P1541" s="62" t="s">
        <v>6085</v>
      </c>
      <c r="Q1541" s="62" t="s">
        <v>6241</v>
      </c>
      <c r="R1541" s="53"/>
      <c r="S1541" s="53"/>
      <c r="T1541" s="82"/>
      <c r="U1541" s="42"/>
      <c r="V1541" s="62"/>
      <c r="W1541" s="64"/>
      <c r="X1541" s="223"/>
      <c r="Y1541" s="223"/>
      <c r="Z1541" s="223"/>
      <c r="AA1541" s="223"/>
    </row>
    <row r="1542">
      <c r="A1542" s="42">
        <f t="shared" si="3"/>
        <v>1541</v>
      </c>
      <c r="B1542" s="51" t="s">
        <v>41</v>
      </c>
      <c r="C1542" s="53" t="s">
        <v>7519</v>
      </c>
      <c r="D1542" s="42" t="s">
        <v>44</v>
      </c>
      <c r="E1542" s="42" t="s">
        <v>44</v>
      </c>
      <c r="F1542" s="53" t="s">
        <v>7510</v>
      </c>
      <c r="G1542" s="53" t="s">
        <v>47</v>
      </c>
      <c r="H1542" s="53" t="s">
        <v>48</v>
      </c>
      <c r="I1542" s="53" t="s">
        <v>401</v>
      </c>
      <c r="J1542" s="53" t="s">
        <v>7511</v>
      </c>
      <c r="K1542" s="53" t="s">
        <v>1615</v>
      </c>
      <c r="L1542" s="53" t="s">
        <v>52</v>
      </c>
      <c r="M1542" s="53" t="s">
        <v>52</v>
      </c>
      <c r="N1542" s="62" t="s">
        <v>7520</v>
      </c>
      <c r="O1542" s="62" t="s">
        <v>44</v>
      </c>
      <c r="P1542" s="62" t="s">
        <v>6429</v>
      </c>
      <c r="Q1542" s="62" t="s">
        <v>7234</v>
      </c>
      <c r="R1542" s="53"/>
      <c r="S1542" s="53"/>
      <c r="T1542" s="82"/>
      <c r="U1542" s="42"/>
      <c r="V1542" s="62"/>
      <c r="W1542" s="64"/>
      <c r="X1542" s="223"/>
      <c r="Y1542" s="223"/>
      <c r="Z1542" s="223"/>
      <c r="AA1542" s="223"/>
    </row>
    <row r="1543">
      <c r="A1543" s="42">
        <f t="shared" si="3"/>
        <v>1542</v>
      </c>
      <c r="B1543" s="51" t="s">
        <v>41</v>
      </c>
      <c r="C1543" s="53" t="s">
        <v>7521</v>
      </c>
      <c r="D1543" s="42" t="s">
        <v>44</v>
      </c>
      <c r="E1543" s="42" t="s">
        <v>44</v>
      </c>
      <c r="F1543" s="53" t="s">
        <v>7510</v>
      </c>
      <c r="G1543" s="53" t="s">
        <v>47</v>
      </c>
      <c r="H1543" s="53" t="s">
        <v>48</v>
      </c>
      <c r="I1543" s="53" t="s">
        <v>401</v>
      </c>
      <c r="J1543" s="53" t="s">
        <v>7511</v>
      </c>
      <c r="K1543" s="53" t="s">
        <v>1615</v>
      </c>
      <c r="L1543" s="53" t="s">
        <v>52</v>
      </c>
      <c r="M1543" s="53" t="s">
        <v>52</v>
      </c>
      <c r="N1543" s="62" t="s">
        <v>7512</v>
      </c>
      <c r="O1543" s="62" t="s">
        <v>44</v>
      </c>
      <c r="P1543" s="62" t="s">
        <v>1002</v>
      </c>
      <c r="Q1543" s="62" t="s">
        <v>6246</v>
      </c>
      <c r="R1543" s="53"/>
      <c r="S1543" s="53"/>
      <c r="T1543" s="82"/>
      <c r="U1543" s="42"/>
      <c r="V1543" s="62"/>
      <c r="W1543" s="64"/>
      <c r="X1543" s="223"/>
      <c r="Y1543" s="223"/>
      <c r="Z1543" s="223"/>
      <c r="AA1543" s="223"/>
    </row>
    <row r="1544">
      <c r="A1544" s="42">
        <f t="shared" si="3"/>
        <v>1543</v>
      </c>
      <c r="B1544" s="51" t="s">
        <v>41</v>
      </c>
      <c r="C1544" s="53" t="s">
        <v>7522</v>
      </c>
      <c r="D1544" s="42" t="s">
        <v>44</v>
      </c>
      <c r="E1544" s="42" t="s">
        <v>44</v>
      </c>
      <c r="F1544" s="53" t="s">
        <v>7510</v>
      </c>
      <c r="G1544" s="53" t="s">
        <v>47</v>
      </c>
      <c r="H1544" s="53" t="s">
        <v>48</v>
      </c>
      <c r="I1544" s="53" t="s">
        <v>401</v>
      </c>
      <c r="J1544" s="53" t="s">
        <v>7511</v>
      </c>
      <c r="K1544" s="53" t="s">
        <v>1615</v>
      </c>
      <c r="L1544" s="53" t="s">
        <v>52</v>
      </c>
      <c r="M1544" s="53" t="s">
        <v>52</v>
      </c>
      <c r="N1544" s="62" t="s">
        <v>7512</v>
      </c>
      <c r="O1544" s="62" t="s">
        <v>44</v>
      </c>
      <c r="P1544" s="62" t="s">
        <v>1009</v>
      </c>
      <c r="Q1544" s="62" t="s">
        <v>6434</v>
      </c>
      <c r="R1544" s="53"/>
      <c r="S1544" s="53"/>
      <c r="T1544" s="82"/>
      <c r="U1544" s="42"/>
      <c r="V1544" s="62"/>
      <c r="W1544" s="64"/>
      <c r="X1544" s="223"/>
      <c r="Y1544" s="223"/>
      <c r="Z1544" s="223"/>
      <c r="AA1544" s="223"/>
    </row>
    <row r="1545">
      <c r="A1545" s="42">
        <f t="shared" si="3"/>
        <v>1544</v>
      </c>
      <c r="B1545" s="51" t="s">
        <v>41</v>
      </c>
      <c r="C1545" s="53" t="s">
        <v>7523</v>
      </c>
      <c r="D1545" s="42" t="s">
        <v>44</v>
      </c>
      <c r="E1545" s="42" t="s">
        <v>44</v>
      </c>
      <c r="F1545" s="53" t="s">
        <v>7510</v>
      </c>
      <c r="G1545" s="53" t="s">
        <v>47</v>
      </c>
      <c r="H1545" s="53" t="s">
        <v>48</v>
      </c>
      <c r="I1545" s="53" t="s">
        <v>401</v>
      </c>
      <c r="J1545" s="53" t="s">
        <v>7511</v>
      </c>
      <c r="K1545" s="53" t="s">
        <v>1615</v>
      </c>
      <c r="L1545" s="53" t="s">
        <v>52</v>
      </c>
      <c r="M1545" s="53" t="s">
        <v>52</v>
      </c>
      <c r="N1545" s="62" t="s">
        <v>7512</v>
      </c>
      <c r="O1545" s="62" t="s">
        <v>44</v>
      </c>
      <c r="P1545" s="62" t="s">
        <v>7333</v>
      </c>
      <c r="Q1545" s="62" t="s">
        <v>7524</v>
      </c>
      <c r="R1545" s="53"/>
      <c r="S1545" s="53"/>
      <c r="T1545" s="82"/>
      <c r="U1545" s="42"/>
      <c r="V1545" s="62"/>
      <c r="W1545" s="64"/>
      <c r="X1545" s="223"/>
      <c r="Y1545" s="223"/>
      <c r="Z1545" s="223"/>
      <c r="AA1545" s="223"/>
    </row>
    <row r="1546">
      <c r="A1546" s="42">
        <f t="shared" si="3"/>
        <v>1545</v>
      </c>
      <c r="B1546" s="51" t="s">
        <v>41</v>
      </c>
      <c r="C1546" s="53" t="s">
        <v>7525</v>
      </c>
      <c r="D1546" s="42" t="s">
        <v>44</v>
      </c>
      <c r="E1546" s="42" t="s">
        <v>44</v>
      </c>
      <c r="F1546" s="53" t="s">
        <v>7510</v>
      </c>
      <c r="G1546" s="53" t="s">
        <v>47</v>
      </c>
      <c r="H1546" s="53" t="s">
        <v>48</v>
      </c>
      <c r="I1546" s="53" t="s">
        <v>401</v>
      </c>
      <c r="J1546" s="53" t="s">
        <v>7511</v>
      </c>
      <c r="K1546" s="53" t="s">
        <v>1615</v>
      </c>
      <c r="L1546" s="53" t="s">
        <v>52</v>
      </c>
      <c r="M1546" s="53" t="s">
        <v>52</v>
      </c>
      <c r="N1546" s="62" t="s">
        <v>7526</v>
      </c>
      <c r="O1546" s="62" t="s">
        <v>44</v>
      </c>
      <c r="P1546" s="62" t="s">
        <v>7527</v>
      </c>
      <c r="Q1546" s="62" t="s">
        <v>7528</v>
      </c>
      <c r="R1546" s="53"/>
      <c r="S1546" s="53"/>
      <c r="T1546" s="82"/>
      <c r="U1546" s="42"/>
      <c r="V1546" s="62"/>
      <c r="W1546" s="64"/>
      <c r="X1546" s="223"/>
      <c r="Y1546" s="223"/>
      <c r="Z1546" s="223"/>
      <c r="AA1546" s="223"/>
    </row>
    <row r="1547">
      <c r="A1547" s="42">
        <f t="shared" si="3"/>
        <v>1546</v>
      </c>
      <c r="B1547" s="51" t="s">
        <v>41</v>
      </c>
      <c r="C1547" s="53" t="s">
        <v>7529</v>
      </c>
      <c r="D1547" s="42" t="s">
        <v>44</v>
      </c>
      <c r="E1547" s="42" t="s">
        <v>44</v>
      </c>
      <c r="F1547" s="53" t="s">
        <v>7510</v>
      </c>
      <c r="G1547" s="53" t="s">
        <v>47</v>
      </c>
      <c r="H1547" s="53" t="s">
        <v>48</v>
      </c>
      <c r="I1547" s="53" t="s">
        <v>401</v>
      </c>
      <c r="J1547" s="53" t="s">
        <v>7511</v>
      </c>
      <c r="K1547" s="53" t="s">
        <v>1615</v>
      </c>
      <c r="L1547" s="53" t="s">
        <v>52</v>
      </c>
      <c r="M1547" s="53" t="s">
        <v>52</v>
      </c>
      <c r="N1547" s="62" t="s">
        <v>7512</v>
      </c>
      <c r="O1547" s="62" t="s">
        <v>44</v>
      </c>
      <c r="P1547" s="62" t="s">
        <v>7339</v>
      </c>
      <c r="Q1547" s="62" t="s">
        <v>7340</v>
      </c>
      <c r="R1547" s="53"/>
      <c r="S1547" s="53"/>
      <c r="T1547" s="82"/>
      <c r="U1547" s="42"/>
      <c r="V1547" s="62"/>
      <c r="W1547" s="64"/>
      <c r="X1547" s="223"/>
      <c r="Y1547" s="223"/>
      <c r="Z1547" s="223"/>
      <c r="AA1547" s="223"/>
    </row>
    <row r="1548">
      <c r="A1548" s="42">
        <f t="shared" si="3"/>
        <v>1547</v>
      </c>
      <c r="B1548" s="51" t="s">
        <v>41</v>
      </c>
      <c r="C1548" s="53" t="s">
        <v>7530</v>
      </c>
      <c r="D1548" s="42" t="s">
        <v>44</v>
      </c>
      <c r="E1548" s="42" t="s">
        <v>44</v>
      </c>
      <c r="F1548" s="53" t="s">
        <v>7510</v>
      </c>
      <c r="G1548" s="53" t="s">
        <v>47</v>
      </c>
      <c r="H1548" s="53" t="s">
        <v>48</v>
      </c>
      <c r="I1548" s="53" t="s">
        <v>401</v>
      </c>
      <c r="J1548" s="53" t="s">
        <v>7511</v>
      </c>
      <c r="K1548" s="53" t="s">
        <v>1615</v>
      </c>
      <c r="L1548" s="53" t="s">
        <v>52</v>
      </c>
      <c r="M1548" s="53" t="s">
        <v>52</v>
      </c>
      <c r="N1548" s="62" t="s">
        <v>7526</v>
      </c>
      <c r="O1548" s="62" t="s">
        <v>44</v>
      </c>
      <c r="P1548" s="62" t="s">
        <v>7343</v>
      </c>
      <c r="Q1548" s="62" t="s">
        <v>7531</v>
      </c>
      <c r="R1548" s="53"/>
      <c r="S1548" s="53"/>
      <c r="T1548" s="82"/>
      <c r="U1548" s="42"/>
      <c r="V1548" s="62"/>
      <c r="W1548" s="64"/>
      <c r="X1548" s="223"/>
      <c r="Y1548" s="223"/>
      <c r="Z1548" s="223"/>
      <c r="AA1548" s="223"/>
    </row>
    <row r="1549">
      <c r="A1549" s="42">
        <f t="shared" si="3"/>
        <v>1548</v>
      </c>
      <c r="B1549" s="51" t="s">
        <v>41</v>
      </c>
      <c r="C1549" s="53" t="s">
        <v>7532</v>
      </c>
      <c r="D1549" s="42" t="s">
        <v>44</v>
      </c>
      <c r="E1549" s="42" t="s">
        <v>44</v>
      </c>
      <c r="F1549" s="53" t="s">
        <v>7510</v>
      </c>
      <c r="G1549" s="53" t="s">
        <v>47</v>
      </c>
      <c r="H1549" s="53" t="s">
        <v>48</v>
      </c>
      <c r="I1549" s="53" t="s">
        <v>401</v>
      </c>
      <c r="J1549" s="53" t="s">
        <v>7511</v>
      </c>
      <c r="K1549" s="53" t="s">
        <v>1615</v>
      </c>
      <c r="L1549" s="53" t="s">
        <v>52</v>
      </c>
      <c r="M1549" s="53" t="s">
        <v>52</v>
      </c>
      <c r="N1549" s="62" t="s">
        <v>7526</v>
      </c>
      <c r="O1549" s="62" t="s">
        <v>44</v>
      </c>
      <c r="P1549" s="62" t="s">
        <v>7533</v>
      </c>
      <c r="Q1549" s="62" t="s">
        <v>7534</v>
      </c>
      <c r="R1549" s="53"/>
      <c r="S1549" s="53"/>
      <c r="T1549" s="82"/>
      <c r="U1549" s="42"/>
      <c r="V1549" s="62"/>
      <c r="W1549" s="64"/>
      <c r="X1549" s="223"/>
      <c r="Y1549" s="223"/>
      <c r="Z1549" s="223"/>
      <c r="AA1549" s="223"/>
    </row>
    <row r="1550">
      <c r="A1550" s="42">
        <f t="shared" si="3"/>
        <v>1549</v>
      </c>
      <c r="B1550" s="51" t="s">
        <v>41</v>
      </c>
      <c r="C1550" s="53" t="s">
        <v>7535</v>
      </c>
      <c r="D1550" s="42" t="s">
        <v>44</v>
      </c>
      <c r="E1550" s="42" t="s">
        <v>44</v>
      </c>
      <c r="F1550" s="53" t="s">
        <v>7510</v>
      </c>
      <c r="G1550" s="53" t="s">
        <v>47</v>
      </c>
      <c r="H1550" s="53" t="s">
        <v>95</v>
      </c>
      <c r="I1550" s="53" t="s">
        <v>401</v>
      </c>
      <c r="J1550" s="53" t="s">
        <v>7511</v>
      </c>
      <c r="K1550" s="53" t="s">
        <v>1615</v>
      </c>
      <c r="L1550" s="53" t="s">
        <v>52</v>
      </c>
      <c r="M1550" s="53" t="s">
        <v>52</v>
      </c>
      <c r="N1550" s="62" t="s">
        <v>7526</v>
      </c>
      <c r="O1550" s="62" t="s">
        <v>44</v>
      </c>
      <c r="P1550" s="62" t="s">
        <v>7536</v>
      </c>
      <c r="Q1550" s="62" t="s">
        <v>7537</v>
      </c>
      <c r="R1550" s="53"/>
      <c r="S1550" s="53"/>
      <c r="T1550" s="82"/>
      <c r="U1550" s="42"/>
      <c r="V1550" s="62"/>
      <c r="W1550" s="64"/>
      <c r="X1550" s="223"/>
      <c r="Y1550" s="223"/>
      <c r="Z1550" s="223"/>
      <c r="AA1550" s="223"/>
    </row>
    <row r="1551">
      <c r="A1551" s="42">
        <f t="shared" si="3"/>
        <v>1550</v>
      </c>
      <c r="B1551" s="51" t="s">
        <v>41</v>
      </c>
      <c r="C1551" s="53" t="s">
        <v>7538</v>
      </c>
      <c r="D1551" s="42" t="s">
        <v>44</v>
      </c>
      <c r="E1551" s="42" t="s">
        <v>44</v>
      </c>
      <c r="F1551" s="53" t="s">
        <v>7510</v>
      </c>
      <c r="G1551" s="53" t="s">
        <v>47</v>
      </c>
      <c r="H1551" s="53" t="s">
        <v>48</v>
      </c>
      <c r="I1551" s="53" t="s">
        <v>401</v>
      </c>
      <c r="J1551" s="53" t="s">
        <v>7511</v>
      </c>
      <c r="K1551" s="53" t="s">
        <v>1615</v>
      </c>
      <c r="L1551" s="53" t="s">
        <v>52</v>
      </c>
      <c r="M1551" s="53" t="s">
        <v>52</v>
      </c>
      <c r="N1551" s="62" t="s">
        <v>7539</v>
      </c>
      <c r="O1551" s="62" t="s">
        <v>44</v>
      </c>
      <c r="P1551" s="62" t="s">
        <v>7540</v>
      </c>
      <c r="Q1551" s="62" t="s">
        <v>7541</v>
      </c>
      <c r="R1551" s="53"/>
      <c r="S1551" s="53"/>
      <c r="T1551" s="82"/>
      <c r="U1551" s="42"/>
      <c r="V1551" s="62"/>
      <c r="W1551" s="64"/>
      <c r="X1551" s="223"/>
      <c r="Y1551" s="223"/>
      <c r="Z1551" s="223"/>
      <c r="AA1551" s="223"/>
    </row>
    <row r="1552">
      <c r="A1552" s="42">
        <f t="shared" si="3"/>
        <v>1551</v>
      </c>
      <c r="B1552" s="51" t="s">
        <v>41</v>
      </c>
      <c r="C1552" s="53" t="s">
        <v>7542</v>
      </c>
      <c r="D1552" s="42" t="s">
        <v>44</v>
      </c>
      <c r="E1552" s="42" t="s">
        <v>44</v>
      </c>
      <c r="F1552" s="53" t="s">
        <v>7510</v>
      </c>
      <c r="G1552" s="53" t="s">
        <v>47</v>
      </c>
      <c r="H1552" s="53" t="s">
        <v>48</v>
      </c>
      <c r="I1552" s="53" t="s">
        <v>401</v>
      </c>
      <c r="J1552" s="53" t="s">
        <v>7511</v>
      </c>
      <c r="K1552" s="53" t="s">
        <v>1615</v>
      </c>
      <c r="L1552" s="53" t="s">
        <v>52</v>
      </c>
      <c r="M1552" s="53" t="s">
        <v>52</v>
      </c>
      <c r="N1552" s="62" t="s">
        <v>7539</v>
      </c>
      <c r="O1552" s="62" t="s">
        <v>44</v>
      </c>
      <c r="P1552" s="62" t="s">
        <v>7543</v>
      </c>
      <c r="Q1552" s="62" t="s">
        <v>7544</v>
      </c>
      <c r="R1552" s="53"/>
      <c r="S1552" s="53"/>
      <c r="T1552" s="82"/>
      <c r="U1552" s="42"/>
      <c r="V1552" s="62"/>
      <c r="W1552" s="64"/>
      <c r="X1552" s="223"/>
      <c r="Y1552" s="223"/>
      <c r="Z1552" s="223"/>
      <c r="AA1552" s="223"/>
    </row>
    <row r="1553">
      <c r="A1553" s="42">
        <f t="shared" si="3"/>
        <v>1552</v>
      </c>
      <c r="B1553" s="51" t="s">
        <v>41</v>
      </c>
      <c r="C1553" s="53" t="s">
        <v>7545</v>
      </c>
      <c r="D1553" s="42" t="s">
        <v>44</v>
      </c>
      <c r="E1553" s="42" t="s">
        <v>44</v>
      </c>
      <c r="F1553" s="53" t="s">
        <v>7510</v>
      </c>
      <c r="G1553" s="53" t="s">
        <v>47</v>
      </c>
      <c r="H1553" s="53" t="s">
        <v>48</v>
      </c>
      <c r="I1553" s="53" t="s">
        <v>401</v>
      </c>
      <c r="J1553" s="53" t="s">
        <v>7511</v>
      </c>
      <c r="K1553" s="53" t="s">
        <v>1615</v>
      </c>
      <c r="L1553" s="53" t="s">
        <v>52</v>
      </c>
      <c r="M1553" s="53" t="s">
        <v>52</v>
      </c>
      <c r="N1553" s="62" t="s">
        <v>7539</v>
      </c>
      <c r="O1553" s="62" t="s">
        <v>44</v>
      </c>
      <c r="P1553" s="62" t="s">
        <v>7546</v>
      </c>
      <c r="Q1553" s="62" t="s">
        <v>7547</v>
      </c>
      <c r="R1553" s="53"/>
      <c r="S1553" s="53"/>
      <c r="T1553" s="82"/>
      <c r="U1553" s="42"/>
      <c r="V1553" s="62"/>
      <c r="W1553" s="64"/>
      <c r="X1553" s="223"/>
      <c r="Y1553" s="223"/>
      <c r="Z1553" s="223"/>
      <c r="AA1553" s="223"/>
    </row>
    <row r="1554">
      <c r="A1554" s="42">
        <f t="shared" si="3"/>
        <v>1553</v>
      </c>
      <c r="B1554" s="51" t="s">
        <v>41</v>
      </c>
      <c r="C1554" s="53" t="s">
        <v>7548</v>
      </c>
      <c r="D1554" s="42" t="s">
        <v>44</v>
      </c>
      <c r="E1554" s="42" t="s">
        <v>44</v>
      </c>
      <c r="F1554" s="53" t="s">
        <v>7510</v>
      </c>
      <c r="G1554" s="53" t="s">
        <v>47</v>
      </c>
      <c r="H1554" s="53" t="s">
        <v>48</v>
      </c>
      <c r="I1554" s="53" t="s">
        <v>401</v>
      </c>
      <c r="J1554" s="53" t="s">
        <v>7511</v>
      </c>
      <c r="K1554" s="53" t="s">
        <v>1615</v>
      </c>
      <c r="L1554" s="53" t="s">
        <v>52</v>
      </c>
      <c r="M1554" s="53" t="s">
        <v>52</v>
      </c>
      <c r="N1554" s="62" t="s">
        <v>7539</v>
      </c>
      <c r="O1554" s="62" t="s">
        <v>44</v>
      </c>
      <c r="P1554" s="62" t="s">
        <v>7549</v>
      </c>
      <c r="Q1554" s="62" t="s">
        <v>7550</v>
      </c>
      <c r="R1554" s="53"/>
      <c r="S1554" s="53"/>
      <c r="T1554" s="82"/>
      <c r="U1554" s="42"/>
      <c r="V1554" s="62"/>
      <c r="W1554" s="64"/>
      <c r="X1554" s="223"/>
      <c r="Y1554" s="223"/>
      <c r="Z1554" s="223"/>
      <c r="AA1554" s="223"/>
    </row>
    <row r="1555">
      <c r="A1555" s="42">
        <f t="shared" si="3"/>
        <v>1554</v>
      </c>
      <c r="B1555" s="51" t="s">
        <v>41</v>
      </c>
      <c r="C1555" s="53" t="s">
        <v>7551</v>
      </c>
      <c r="D1555" s="42" t="s">
        <v>44</v>
      </c>
      <c r="E1555" s="42" t="s">
        <v>44</v>
      </c>
      <c r="F1555" s="53" t="s">
        <v>7510</v>
      </c>
      <c r="G1555" s="53" t="s">
        <v>47</v>
      </c>
      <c r="H1555" s="53" t="s">
        <v>48</v>
      </c>
      <c r="I1555" s="53" t="s">
        <v>401</v>
      </c>
      <c r="J1555" s="53" t="s">
        <v>7511</v>
      </c>
      <c r="K1555" s="53" t="s">
        <v>1615</v>
      </c>
      <c r="L1555" s="53" t="s">
        <v>52</v>
      </c>
      <c r="M1555" s="53" t="s">
        <v>52</v>
      </c>
      <c r="N1555" s="62" t="s">
        <v>7539</v>
      </c>
      <c r="O1555" s="62" t="s">
        <v>44</v>
      </c>
      <c r="P1555" s="62" t="s">
        <v>7552</v>
      </c>
      <c r="Q1555" s="62" t="s">
        <v>7553</v>
      </c>
      <c r="R1555" s="53"/>
      <c r="S1555" s="53"/>
      <c r="T1555" s="82"/>
      <c r="U1555" s="42"/>
      <c r="V1555" s="62"/>
      <c r="W1555" s="64"/>
      <c r="X1555" s="223"/>
      <c r="Y1555" s="223"/>
      <c r="Z1555" s="223"/>
      <c r="AA1555" s="223"/>
    </row>
    <row r="1556">
      <c r="A1556" s="42">
        <f t="shared" si="3"/>
        <v>1555</v>
      </c>
      <c r="B1556" s="51" t="s">
        <v>41</v>
      </c>
      <c r="C1556" s="53" t="s">
        <v>7554</v>
      </c>
      <c r="D1556" s="42" t="s">
        <v>44</v>
      </c>
      <c r="E1556" s="42" t="s">
        <v>44</v>
      </c>
      <c r="F1556" s="53" t="s">
        <v>7510</v>
      </c>
      <c r="G1556" s="53" t="s">
        <v>47</v>
      </c>
      <c r="H1556" s="53" t="s">
        <v>48</v>
      </c>
      <c r="I1556" s="53" t="s">
        <v>401</v>
      </c>
      <c r="J1556" s="53" t="s">
        <v>7511</v>
      </c>
      <c r="K1556" s="53" t="s">
        <v>1615</v>
      </c>
      <c r="L1556" s="53" t="s">
        <v>52</v>
      </c>
      <c r="M1556" s="53" t="s">
        <v>52</v>
      </c>
      <c r="N1556" s="62" t="s">
        <v>7539</v>
      </c>
      <c r="O1556" s="62" t="s">
        <v>44</v>
      </c>
      <c r="P1556" s="62" t="s">
        <v>7555</v>
      </c>
      <c r="Q1556" s="62" t="s">
        <v>7556</v>
      </c>
      <c r="R1556" s="53"/>
      <c r="S1556" s="53"/>
      <c r="T1556" s="82"/>
      <c r="U1556" s="42"/>
      <c r="V1556" s="62"/>
      <c r="W1556" s="64"/>
      <c r="X1556" s="223"/>
      <c r="Y1556" s="223"/>
      <c r="Z1556" s="223"/>
      <c r="AA1556" s="223"/>
    </row>
    <row r="1557">
      <c r="A1557" s="42">
        <f t="shared" si="3"/>
        <v>1556</v>
      </c>
      <c r="B1557" s="51" t="s">
        <v>41</v>
      </c>
      <c r="C1557" s="53" t="s">
        <v>7557</v>
      </c>
      <c r="D1557" s="42" t="s">
        <v>44</v>
      </c>
      <c r="E1557" s="42" t="s">
        <v>44</v>
      </c>
      <c r="F1557" s="53" t="s">
        <v>7510</v>
      </c>
      <c r="G1557" s="53" t="s">
        <v>47</v>
      </c>
      <c r="H1557" s="53" t="s">
        <v>48</v>
      </c>
      <c r="I1557" s="53" t="s">
        <v>401</v>
      </c>
      <c r="J1557" s="53" t="s">
        <v>7511</v>
      </c>
      <c r="K1557" s="53" t="s">
        <v>1615</v>
      </c>
      <c r="L1557" s="53" t="s">
        <v>52</v>
      </c>
      <c r="M1557" s="53" t="s">
        <v>52</v>
      </c>
      <c r="N1557" s="62" t="s">
        <v>7539</v>
      </c>
      <c r="O1557" s="62" t="s">
        <v>44</v>
      </c>
      <c r="P1557" s="62" t="s">
        <v>7558</v>
      </c>
      <c r="Q1557" s="62" t="s">
        <v>7559</v>
      </c>
      <c r="R1557" s="53"/>
      <c r="S1557" s="53"/>
      <c r="T1557" s="82"/>
      <c r="U1557" s="42"/>
      <c r="V1557" s="62"/>
      <c r="W1557" s="64"/>
      <c r="X1557" s="223"/>
      <c r="Y1557" s="223"/>
      <c r="Z1557" s="223"/>
      <c r="AA1557" s="223"/>
    </row>
    <row r="1558">
      <c r="A1558" s="42">
        <f t="shared" si="3"/>
        <v>1557</v>
      </c>
      <c r="B1558" s="51" t="s">
        <v>41</v>
      </c>
      <c r="C1558" s="53" t="s">
        <v>7560</v>
      </c>
      <c r="D1558" s="42" t="s">
        <v>44</v>
      </c>
      <c r="E1558" s="42" t="s">
        <v>44</v>
      </c>
      <c r="F1558" s="53" t="s">
        <v>7510</v>
      </c>
      <c r="G1558" s="53" t="s">
        <v>47</v>
      </c>
      <c r="H1558" s="53" t="s">
        <v>48</v>
      </c>
      <c r="I1558" s="53" t="s">
        <v>401</v>
      </c>
      <c r="J1558" s="53" t="s">
        <v>7511</v>
      </c>
      <c r="K1558" s="53" t="s">
        <v>1615</v>
      </c>
      <c r="L1558" s="53" t="s">
        <v>52</v>
      </c>
      <c r="M1558" s="53" t="s">
        <v>52</v>
      </c>
      <c r="N1558" s="62" t="s">
        <v>7539</v>
      </c>
      <c r="O1558" s="62" t="s">
        <v>44</v>
      </c>
      <c r="P1558" s="62" t="s">
        <v>7561</v>
      </c>
      <c r="Q1558" s="62" t="s">
        <v>7562</v>
      </c>
      <c r="R1558" s="53"/>
      <c r="S1558" s="53"/>
      <c r="T1558" s="82"/>
      <c r="U1558" s="42"/>
      <c r="V1558" s="62"/>
      <c r="W1558" s="64"/>
      <c r="X1558" s="223"/>
      <c r="Y1558" s="223"/>
      <c r="Z1558" s="223"/>
      <c r="AA1558" s="223"/>
    </row>
    <row r="1559">
      <c r="A1559" s="42">
        <f t="shared" si="3"/>
        <v>1558</v>
      </c>
      <c r="B1559" s="51" t="s">
        <v>41</v>
      </c>
      <c r="C1559" s="53" t="s">
        <v>7563</v>
      </c>
      <c r="D1559" s="42" t="s">
        <v>44</v>
      </c>
      <c r="E1559" s="42" t="s">
        <v>44</v>
      </c>
      <c r="F1559" s="53" t="s">
        <v>7510</v>
      </c>
      <c r="G1559" s="53" t="s">
        <v>47</v>
      </c>
      <c r="H1559" s="53" t="s">
        <v>48</v>
      </c>
      <c r="I1559" s="53" t="s">
        <v>401</v>
      </c>
      <c r="J1559" s="53" t="s">
        <v>7511</v>
      </c>
      <c r="K1559" s="53" t="s">
        <v>1615</v>
      </c>
      <c r="L1559" s="53" t="s">
        <v>52</v>
      </c>
      <c r="M1559" s="53" t="s">
        <v>52</v>
      </c>
      <c r="N1559" s="62" t="s">
        <v>7539</v>
      </c>
      <c r="O1559" s="62" t="s">
        <v>44</v>
      </c>
      <c r="P1559" s="62" t="s">
        <v>7564</v>
      </c>
      <c r="Q1559" s="62" t="s">
        <v>7565</v>
      </c>
      <c r="R1559" s="53"/>
      <c r="S1559" s="53"/>
      <c r="T1559" s="82"/>
      <c r="U1559" s="42"/>
      <c r="V1559" s="62"/>
      <c r="W1559" s="64"/>
      <c r="X1559" s="223"/>
      <c r="Y1559" s="223"/>
      <c r="Z1559" s="223"/>
      <c r="AA1559" s="223"/>
    </row>
    <row r="1560">
      <c r="A1560" s="42">
        <f t="shared" si="3"/>
        <v>1559</v>
      </c>
      <c r="B1560" s="51" t="s">
        <v>41</v>
      </c>
      <c r="C1560" s="53" t="s">
        <v>7566</v>
      </c>
      <c r="D1560" s="42" t="s">
        <v>44</v>
      </c>
      <c r="E1560" s="42" t="s">
        <v>44</v>
      </c>
      <c r="F1560" s="53" t="s">
        <v>7510</v>
      </c>
      <c r="G1560" s="53" t="s">
        <v>47</v>
      </c>
      <c r="H1560" s="53" t="s">
        <v>48</v>
      </c>
      <c r="I1560" s="53" t="s">
        <v>401</v>
      </c>
      <c r="J1560" s="53" t="s">
        <v>7511</v>
      </c>
      <c r="K1560" s="53" t="s">
        <v>1615</v>
      </c>
      <c r="L1560" s="53" t="s">
        <v>52</v>
      </c>
      <c r="M1560" s="53" t="s">
        <v>52</v>
      </c>
      <c r="N1560" s="62" t="s">
        <v>7539</v>
      </c>
      <c r="O1560" s="62" t="s">
        <v>44</v>
      </c>
      <c r="P1560" s="62" t="s">
        <v>7567</v>
      </c>
      <c r="Q1560" s="62" t="s">
        <v>7568</v>
      </c>
      <c r="R1560" s="53"/>
      <c r="S1560" s="53"/>
      <c r="T1560" s="82"/>
      <c r="U1560" s="42"/>
      <c r="V1560" s="62"/>
      <c r="W1560" s="64"/>
      <c r="X1560" s="223"/>
      <c r="Y1560" s="223"/>
      <c r="Z1560" s="223"/>
      <c r="AA1560" s="223"/>
    </row>
    <row r="1561">
      <c r="A1561" s="42">
        <f t="shared" si="3"/>
        <v>1560</v>
      </c>
      <c r="B1561" s="51" t="s">
        <v>41</v>
      </c>
      <c r="C1561" s="53" t="s">
        <v>7569</v>
      </c>
      <c r="D1561" s="42" t="s">
        <v>44</v>
      </c>
      <c r="E1561" s="42" t="s">
        <v>44</v>
      </c>
      <c r="F1561" s="53" t="s">
        <v>7510</v>
      </c>
      <c r="G1561" s="53" t="s">
        <v>47</v>
      </c>
      <c r="H1561" s="53" t="s">
        <v>48</v>
      </c>
      <c r="I1561" s="53" t="s">
        <v>401</v>
      </c>
      <c r="J1561" s="53" t="s">
        <v>7511</v>
      </c>
      <c r="K1561" s="53" t="s">
        <v>1615</v>
      </c>
      <c r="L1561" s="53" t="s">
        <v>52</v>
      </c>
      <c r="M1561" s="53" t="s">
        <v>52</v>
      </c>
      <c r="N1561" s="62" t="s">
        <v>7539</v>
      </c>
      <c r="O1561" s="62" t="s">
        <v>44</v>
      </c>
      <c r="P1561" s="62" t="s">
        <v>7570</v>
      </c>
      <c r="Q1561" s="62" t="s">
        <v>7571</v>
      </c>
      <c r="R1561" s="53"/>
      <c r="S1561" s="53"/>
      <c r="T1561" s="82"/>
      <c r="U1561" s="42"/>
      <c r="V1561" s="62"/>
      <c r="W1561" s="64"/>
      <c r="X1561" s="223"/>
      <c r="Y1561" s="223"/>
      <c r="Z1561" s="223"/>
      <c r="AA1561" s="223"/>
    </row>
    <row r="1562">
      <c r="A1562" s="42">
        <f t="shared" si="3"/>
        <v>1561</v>
      </c>
      <c r="B1562" s="51" t="s">
        <v>41</v>
      </c>
      <c r="C1562" s="53" t="s">
        <v>7572</v>
      </c>
      <c r="D1562" s="42" t="s">
        <v>44</v>
      </c>
      <c r="E1562" s="42" t="s">
        <v>44</v>
      </c>
      <c r="F1562" s="53" t="s">
        <v>7510</v>
      </c>
      <c r="G1562" s="53" t="s">
        <v>47</v>
      </c>
      <c r="H1562" s="53" t="s">
        <v>48</v>
      </c>
      <c r="I1562" s="53" t="s">
        <v>401</v>
      </c>
      <c r="J1562" s="53" t="s">
        <v>7511</v>
      </c>
      <c r="K1562" s="53" t="s">
        <v>1615</v>
      </c>
      <c r="L1562" s="53" t="s">
        <v>52</v>
      </c>
      <c r="M1562" s="53" t="s">
        <v>52</v>
      </c>
      <c r="N1562" s="62" t="s">
        <v>7526</v>
      </c>
      <c r="O1562" s="62" t="s">
        <v>44</v>
      </c>
      <c r="P1562" s="62" t="s">
        <v>7505</v>
      </c>
      <c r="Q1562" s="62" t="s">
        <v>7573</v>
      </c>
      <c r="R1562" s="53"/>
      <c r="S1562" s="53"/>
      <c r="T1562" s="82"/>
      <c r="U1562" s="42"/>
      <c r="V1562" s="62"/>
      <c r="W1562" s="64"/>
      <c r="X1562" s="223"/>
      <c r="Y1562" s="223"/>
      <c r="Z1562" s="223"/>
      <c r="AA1562" s="223"/>
    </row>
    <row r="1563">
      <c r="A1563" s="42">
        <f t="shared" si="3"/>
        <v>1562</v>
      </c>
      <c r="B1563" s="51" t="s">
        <v>41</v>
      </c>
      <c r="C1563" s="53" t="s">
        <v>7574</v>
      </c>
      <c r="D1563" s="42" t="s">
        <v>44</v>
      </c>
      <c r="E1563" s="42" t="s">
        <v>44</v>
      </c>
      <c r="F1563" s="53" t="s">
        <v>7510</v>
      </c>
      <c r="G1563" s="53" t="s">
        <v>85</v>
      </c>
      <c r="H1563" s="53" t="s">
        <v>86</v>
      </c>
      <c r="I1563" s="53" t="s">
        <v>401</v>
      </c>
      <c r="J1563" s="53" t="s">
        <v>7511</v>
      </c>
      <c r="K1563" s="53" t="s">
        <v>1615</v>
      </c>
      <c r="L1563" s="53" t="s">
        <v>52</v>
      </c>
      <c r="M1563" s="53" t="s">
        <v>52</v>
      </c>
      <c r="N1563" s="62" t="s">
        <v>7526</v>
      </c>
      <c r="O1563" s="62" t="s">
        <v>44</v>
      </c>
      <c r="P1563" s="62" t="s">
        <v>7508</v>
      </c>
      <c r="Q1563" s="62" t="s">
        <v>5753</v>
      </c>
      <c r="R1563" s="53"/>
      <c r="S1563" s="53"/>
      <c r="T1563" s="82"/>
      <c r="U1563" s="42"/>
      <c r="V1563" s="62"/>
      <c r="W1563" s="64"/>
      <c r="X1563" s="223"/>
      <c r="Y1563" s="223"/>
      <c r="Z1563" s="223"/>
      <c r="AA1563" s="223"/>
    </row>
    <row r="1564">
      <c r="A1564" s="42">
        <f t="shared" si="3"/>
        <v>1563</v>
      </c>
      <c r="B1564" s="51" t="s">
        <v>41</v>
      </c>
      <c r="C1564" s="53" t="s">
        <v>7575</v>
      </c>
      <c r="D1564" s="42" t="s">
        <v>44</v>
      </c>
      <c r="E1564" s="42" t="s">
        <v>44</v>
      </c>
      <c r="F1564" s="53" t="s">
        <v>7576</v>
      </c>
      <c r="G1564" s="53" t="s">
        <v>111</v>
      </c>
      <c r="H1564" s="53" t="s">
        <v>112</v>
      </c>
      <c r="I1564" s="53" t="s">
        <v>401</v>
      </c>
      <c r="J1564" s="53" t="s">
        <v>7577</v>
      </c>
      <c r="K1564" s="53" t="s">
        <v>3753</v>
      </c>
      <c r="L1564" s="53" t="s">
        <v>52</v>
      </c>
      <c r="M1564" s="53" t="s">
        <v>52</v>
      </c>
      <c r="N1564" s="62" t="s">
        <v>7578</v>
      </c>
      <c r="O1564" s="62" t="s">
        <v>44</v>
      </c>
      <c r="P1564" s="62" t="s">
        <v>6399</v>
      </c>
      <c r="Q1564" s="62" t="s">
        <v>7579</v>
      </c>
      <c r="R1564" s="53"/>
      <c r="S1564" s="53"/>
      <c r="T1564" s="82"/>
      <c r="U1564" s="42"/>
      <c r="V1564" s="62"/>
      <c r="W1564" s="64"/>
      <c r="X1564" s="223"/>
      <c r="Y1564" s="223"/>
      <c r="Z1564" s="223"/>
      <c r="AA1564" s="223"/>
    </row>
    <row r="1565">
      <c r="A1565" s="42">
        <f t="shared" si="3"/>
        <v>1564</v>
      </c>
      <c r="B1565" s="51" t="s">
        <v>41</v>
      </c>
      <c r="C1565" s="53" t="s">
        <v>7580</v>
      </c>
      <c r="D1565" s="42" t="s">
        <v>44</v>
      </c>
      <c r="E1565" s="42" t="s">
        <v>44</v>
      </c>
      <c r="F1565" s="53" t="s">
        <v>7576</v>
      </c>
      <c r="G1565" s="53" t="s">
        <v>47</v>
      </c>
      <c r="H1565" s="53" t="s">
        <v>48</v>
      </c>
      <c r="I1565" s="53" t="s">
        <v>401</v>
      </c>
      <c r="J1565" s="53" t="s">
        <v>7577</v>
      </c>
      <c r="K1565" s="53" t="s">
        <v>3753</v>
      </c>
      <c r="L1565" s="53" t="s">
        <v>52</v>
      </c>
      <c r="M1565" s="53" t="s">
        <v>52</v>
      </c>
      <c r="N1565" s="62" t="s">
        <v>7578</v>
      </c>
      <c r="O1565" s="62" t="s">
        <v>44</v>
      </c>
      <c r="P1565" s="62" t="s">
        <v>5384</v>
      </c>
      <c r="Q1565" s="62" t="s">
        <v>7581</v>
      </c>
      <c r="R1565" s="53"/>
      <c r="S1565" s="53"/>
      <c r="T1565" s="82"/>
      <c r="U1565" s="42"/>
      <c r="V1565" s="62"/>
      <c r="W1565" s="64"/>
      <c r="X1565" s="223"/>
      <c r="Y1565" s="223"/>
      <c r="Z1565" s="223"/>
      <c r="AA1565" s="223"/>
    </row>
    <row r="1566">
      <c r="A1566" s="42">
        <f t="shared" si="3"/>
        <v>1565</v>
      </c>
      <c r="B1566" s="51" t="s">
        <v>41</v>
      </c>
      <c r="C1566" s="53" t="s">
        <v>7582</v>
      </c>
      <c r="D1566" s="42" t="s">
        <v>44</v>
      </c>
      <c r="E1566" s="42" t="s">
        <v>44</v>
      </c>
      <c r="F1566" s="53" t="s">
        <v>7576</v>
      </c>
      <c r="G1566" s="53" t="s">
        <v>47</v>
      </c>
      <c r="H1566" s="53" t="s">
        <v>48</v>
      </c>
      <c r="I1566" s="53" t="s">
        <v>401</v>
      </c>
      <c r="J1566" s="53" t="s">
        <v>7577</v>
      </c>
      <c r="K1566" s="53" t="s">
        <v>3753</v>
      </c>
      <c r="L1566" s="53" t="s">
        <v>52</v>
      </c>
      <c r="M1566" s="53" t="s">
        <v>52</v>
      </c>
      <c r="N1566" s="62" t="s">
        <v>7578</v>
      </c>
      <c r="O1566" s="62" t="s">
        <v>44</v>
      </c>
      <c r="P1566" s="62" t="s">
        <v>5389</v>
      </c>
      <c r="Q1566" s="62" t="s">
        <v>7583</v>
      </c>
      <c r="R1566" s="53"/>
      <c r="S1566" s="53"/>
      <c r="T1566" s="82"/>
      <c r="U1566" s="42"/>
      <c r="V1566" s="62"/>
      <c r="W1566" s="64"/>
      <c r="X1566" s="223"/>
      <c r="Y1566" s="223"/>
      <c r="Z1566" s="223"/>
      <c r="AA1566" s="223"/>
    </row>
    <row r="1567">
      <c r="A1567" s="42">
        <f t="shared" si="3"/>
        <v>1566</v>
      </c>
      <c r="B1567" s="51" t="s">
        <v>41</v>
      </c>
      <c r="C1567" s="53" t="s">
        <v>7584</v>
      </c>
      <c r="D1567" s="42" t="s">
        <v>44</v>
      </c>
      <c r="E1567" s="42" t="s">
        <v>44</v>
      </c>
      <c r="F1567" s="53" t="s">
        <v>7576</v>
      </c>
      <c r="G1567" s="53" t="s">
        <v>47</v>
      </c>
      <c r="H1567" s="53" t="s">
        <v>48</v>
      </c>
      <c r="I1567" s="53" t="s">
        <v>401</v>
      </c>
      <c r="J1567" s="53" t="s">
        <v>7577</v>
      </c>
      <c r="K1567" s="53" t="s">
        <v>3753</v>
      </c>
      <c r="L1567" s="53" t="s">
        <v>52</v>
      </c>
      <c r="M1567" s="53" t="s">
        <v>52</v>
      </c>
      <c r="N1567" s="62" t="s">
        <v>7578</v>
      </c>
      <c r="O1567" s="62" t="s">
        <v>44</v>
      </c>
      <c r="P1567" s="62" t="s">
        <v>7324</v>
      </c>
      <c r="Q1567" s="62" t="s">
        <v>7585</v>
      </c>
      <c r="R1567" s="53"/>
      <c r="S1567" s="53"/>
      <c r="T1567" s="82"/>
      <c r="U1567" s="42"/>
      <c r="V1567" s="62"/>
      <c r="W1567" s="64"/>
      <c r="X1567" s="223"/>
      <c r="Y1567" s="223"/>
      <c r="Z1567" s="223"/>
      <c r="AA1567" s="223"/>
    </row>
    <row r="1568">
      <c r="A1568" s="42">
        <f t="shared" si="3"/>
        <v>1567</v>
      </c>
      <c r="B1568" s="51" t="s">
        <v>41</v>
      </c>
      <c r="C1568" s="53" t="s">
        <v>7586</v>
      </c>
      <c r="D1568" s="42" t="s">
        <v>44</v>
      </c>
      <c r="E1568" s="42" t="s">
        <v>44</v>
      </c>
      <c r="F1568" s="53" t="s">
        <v>7576</v>
      </c>
      <c r="G1568" s="53" t="s">
        <v>47</v>
      </c>
      <c r="H1568" s="53" t="s">
        <v>48</v>
      </c>
      <c r="I1568" s="53" t="s">
        <v>401</v>
      </c>
      <c r="J1568" s="53" t="s">
        <v>7577</v>
      </c>
      <c r="K1568" s="53" t="s">
        <v>3753</v>
      </c>
      <c r="L1568" s="53" t="s">
        <v>52</v>
      </c>
      <c r="M1568" s="53" t="s">
        <v>52</v>
      </c>
      <c r="N1568" s="62" t="s">
        <v>7578</v>
      </c>
      <c r="O1568" s="62" t="s">
        <v>44</v>
      </c>
      <c r="P1568" s="62" t="s">
        <v>6082</v>
      </c>
      <c r="Q1568" s="62" t="s">
        <v>6083</v>
      </c>
      <c r="R1568" s="53"/>
      <c r="S1568" s="53"/>
      <c r="T1568" s="82"/>
      <c r="U1568" s="42"/>
      <c r="V1568" s="62"/>
      <c r="W1568" s="64"/>
      <c r="X1568" s="223"/>
      <c r="Y1568" s="223"/>
      <c r="Z1568" s="223"/>
      <c r="AA1568" s="223"/>
    </row>
    <row r="1569">
      <c r="A1569" s="42">
        <f t="shared" si="3"/>
        <v>1568</v>
      </c>
      <c r="B1569" s="51" t="s">
        <v>41</v>
      </c>
      <c r="C1569" s="53" t="s">
        <v>7587</v>
      </c>
      <c r="D1569" s="42" t="s">
        <v>44</v>
      </c>
      <c r="E1569" s="42" t="s">
        <v>44</v>
      </c>
      <c r="F1569" s="53" t="s">
        <v>7576</v>
      </c>
      <c r="G1569" s="53" t="s">
        <v>47</v>
      </c>
      <c r="H1569" s="53" t="s">
        <v>48</v>
      </c>
      <c r="I1569" s="53" t="s">
        <v>401</v>
      </c>
      <c r="J1569" s="53" t="s">
        <v>7577</v>
      </c>
      <c r="K1569" s="53" t="s">
        <v>3753</v>
      </c>
      <c r="L1569" s="53" t="s">
        <v>52</v>
      </c>
      <c r="M1569" s="53" t="s">
        <v>52</v>
      </c>
      <c r="N1569" s="62" t="s">
        <v>7578</v>
      </c>
      <c r="O1569" s="62" t="s">
        <v>44</v>
      </c>
      <c r="P1569" s="62" t="s">
        <v>6085</v>
      </c>
      <c r="Q1569" s="62" t="s">
        <v>6241</v>
      </c>
      <c r="R1569" s="53"/>
      <c r="S1569" s="53"/>
      <c r="T1569" s="82"/>
      <c r="U1569" s="42"/>
      <c r="V1569" s="62"/>
      <c r="W1569" s="64"/>
      <c r="X1569" s="223"/>
      <c r="Y1569" s="223"/>
      <c r="Z1569" s="223"/>
      <c r="AA1569" s="223"/>
    </row>
    <row r="1570">
      <c r="A1570" s="42">
        <f t="shared" si="3"/>
        <v>1569</v>
      </c>
      <c r="B1570" s="51" t="s">
        <v>41</v>
      </c>
      <c r="C1570" s="53" t="s">
        <v>7588</v>
      </c>
      <c r="D1570" s="42" t="s">
        <v>44</v>
      </c>
      <c r="E1570" s="42" t="s">
        <v>44</v>
      </c>
      <c r="F1570" s="53" t="s">
        <v>7576</v>
      </c>
      <c r="G1570" s="53" t="s">
        <v>47</v>
      </c>
      <c r="H1570" s="53" t="s">
        <v>48</v>
      </c>
      <c r="I1570" s="53" t="s">
        <v>401</v>
      </c>
      <c r="J1570" s="53" t="s">
        <v>7577</v>
      </c>
      <c r="K1570" s="53" t="s">
        <v>3753</v>
      </c>
      <c r="L1570" s="53" t="s">
        <v>52</v>
      </c>
      <c r="M1570" s="53" t="s">
        <v>52</v>
      </c>
      <c r="N1570" s="62" t="s">
        <v>7589</v>
      </c>
      <c r="O1570" s="62" t="s">
        <v>44</v>
      </c>
      <c r="P1570" s="62" t="s">
        <v>6429</v>
      </c>
      <c r="Q1570" s="62" t="s">
        <v>7234</v>
      </c>
      <c r="R1570" s="53"/>
      <c r="S1570" s="53"/>
      <c r="T1570" s="82"/>
      <c r="U1570" s="42"/>
      <c r="V1570" s="62"/>
      <c r="W1570" s="64"/>
      <c r="X1570" s="223"/>
      <c r="Y1570" s="223"/>
      <c r="Z1570" s="223"/>
      <c r="AA1570" s="223"/>
    </row>
    <row r="1571">
      <c r="A1571" s="42">
        <f t="shared" si="3"/>
        <v>1570</v>
      </c>
      <c r="B1571" s="51" t="s">
        <v>41</v>
      </c>
      <c r="C1571" s="53" t="s">
        <v>7590</v>
      </c>
      <c r="D1571" s="42" t="s">
        <v>44</v>
      </c>
      <c r="E1571" s="42" t="s">
        <v>44</v>
      </c>
      <c r="F1571" s="53" t="s">
        <v>7576</v>
      </c>
      <c r="G1571" s="53" t="s">
        <v>47</v>
      </c>
      <c r="H1571" s="53" t="s">
        <v>48</v>
      </c>
      <c r="I1571" s="53" t="s">
        <v>401</v>
      </c>
      <c r="J1571" s="53" t="s">
        <v>7577</v>
      </c>
      <c r="K1571" s="53" t="s">
        <v>3753</v>
      </c>
      <c r="L1571" s="53" t="s">
        <v>52</v>
      </c>
      <c r="M1571" s="53" t="s">
        <v>52</v>
      </c>
      <c r="N1571" s="62" t="s">
        <v>7578</v>
      </c>
      <c r="O1571" s="62" t="s">
        <v>44</v>
      </c>
      <c r="P1571" s="62" t="s">
        <v>5448</v>
      </c>
      <c r="Q1571" s="62" t="s">
        <v>5763</v>
      </c>
      <c r="R1571" s="53"/>
      <c r="S1571" s="53"/>
      <c r="T1571" s="82"/>
      <c r="U1571" s="42"/>
      <c r="V1571" s="62"/>
      <c r="W1571" s="64"/>
      <c r="X1571" s="223"/>
      <c r="Y1571" s="223"/>
      <c r="Z1571" s="223"/>
      <c r="AA1571" s="223"/>
    </row>
    <row r="1572">
      <c r="A1572" s="42">
        <f t="shared" si="3"/>
        <v>1571</v>
      </c>
      <c r="B1572" s="51" t="s">
        <v>41</v>
      </c>
      <c r="C1572" s="53" t="s">
        <v>7591</v>
      </c>
      <c r="D1572" s="42" t="s">
        <v>44</v>
      </c>
      <c r="E1572" s="42" t="s">
        <v>44</v>
      </c>
      <c r="F1572" s="53" t="s">
        <v>7576</v>
      </c>
      <c r="G1572" s="53" t="s">
        <v>47</v>
      </c>
      <c r="H1572" s="53" t="s">
        <v>48</v>
      </c>
      <c r="I1572" s="53" t="s">
        <v>401</v>
      </c>
      <c r="J1572" s="53" t="s">
        <v>7577</v>
      </c>
      <c r="K1572" s="53" t="s">
        <v>3753</v>
      </c>
      <c r="L1572" s="53" t="s">
        <v>52</v>
      </c>
      <c r="M1572" s="53" t="s">
        <v>52</v>
      </c>
      <c r="N1572" s="62" t="s">
        <v>7578</v>
      </c>
      <c r="O1572" s="62" t="s">
        <v>44</v>
      </c>
      <c r="P1572" s="62" t="s">
        <v>1002</v>
      </c>
      <c r="Q1572" s="62" t="s">
        <v>6246</v>
      </c>
      <c r="R1572" s="53"/>
      <c r="S1572" s="53"/>
      <c r="T1572" s="82"/>
      <c r="U1572" s="42"/>
      <c r="V1572" s="62"/>
      <c r="W1572" s="64"/>
      <c r="X1572" s="223"/>
      <c r="Y1572" s="223"/>
      <c r="Z1572" s="223"/>
      <c r="AA1572" s="223"/>
    </row>
    <row r="1573">
      <c r="A1573" s="42">
        <f t="shared" si="3"/>
        <v>1572</v>
      </c>
      <c r="B1573" s="51" t="s">
        <v>41</v>
      </c>
      <c r="C1573" s="53" t="s">
        <v>7592</v>
      </c>
      <c r="D1573" s="42" t="s">
        <v>44</v>
      </c>
      <c r="E1573" s="42" t="s">
        <v>44</v>
      </c>
      <c r="F1573" s="53" t="s">
        <v>7576</v>
      </c>
      <c r="G1573" s="53" t="s">
        <v>47</v>
      </c>
      <c r="H1573" s="53" t="s">
        <v>48</v>
      </c>
      <c r="I1573" s="53" t="s">
        <v>401</v>
      </c>
      <c r="J1573" s="53" t="s">
        <v>7577</v>
      </c>
      <c r="K1573" s="53" t="s">
        <v>3753</v>
      </c>
      <c r="L1573" s="53" t="s">
        <v>52</v>
      </c>
      <c r="M1573" s="53" t="s">
        <v>52</v>
      </c>
      <c r="N1573" s="62" t="s">
        <v>7578</v>
      </c>
      <c r="O1573" s="62" t="s">
        <v>44</v>
      </c>
      <c r="P1573" s="62" t="s">
        <v>1009</v>
      </c>
      <c r="Q1573" s="62" t="s">
        <v>6434</v>
      </c>
      <c r="R1573" s="53"/>
      <c r="S1573" s="53"/>
      <c r="T1573" s="82"/>
      <c r="U1573" s="42"/>
      <c r="V1573" s="62"/>
      <c r="W1573" s="64"/>
      <c r="X1573" s="223"/>
      <c r="Y1573" s="223"/>
      <c r="Z1573" s="223"/>
      <c r="AA1573" s="223"/>
    </row>
    <row r="1574">
      <c r="A1574" s="42">
        <f t="shared" si="3"/>
        <v>1573</v>
      </c>
      <c r="B1574" s="51" t="s">
        <v>41</v>
      </c>
      <c r="C1574" s="53" t="s">
        <v>7593</v>
      </c>
      <c r="D1574" s="42" t="s">
        <v>44</v>
      </c>
      <c r="E1574" s="42" t="s">
        <v>44</v>
      </c>
      <c r="F1574" s="53" t="s">
        <v>7576</v>
      </c>
      <c r="G1574" s="53" t="s">
        <v>47</v>
      </c>
      <c r="H1574" s="53" t="s">
        <v>48</v>
      </c>
      <c r="I1574" s="53" t="s">
        <v>401</v>
      </c>
      <c r="J1574" s="53" t="s">
        <v>7577</v>
      </c>
      <c r="K1574" s="53" t="s">
        <v>3753</v>
      </c>
      <c r="L1574" s="53" t="s">
        <v>52</v>
      </c>
      <c r="M1574" s="53" t="s">
        <v>52</v>
      </c>
      <c r="N1574" s="62" t="s">
        <v>7578</v>
      </c>
      <c r="O1574" s="62" t="s">
        <v>44</v>
      </c>
      <c r="P1574" s="62" t="s">
        <v>7594</v>
      </c>
      <c r="Q1574" s="62" t="s">
        <v>7595</v>
      </c>
      <c r="R1574" s="53"/>
      <c r="S1574" s="53"/>
      <c r="T1574" s="82"/>
      <c r="U1574" s="42"/>
      <c r="V1574" s="62"/>
      <c r="W1574" s="64"/>
      <c r="X1574" s="223"/>
      <c r="Y1574" s="223"/>
      <c r="Z1574" s="223"/>
      <c r="AA1574" s="223"/>
    </row>
    <row r="1575">
      <c r="A1575" s="42">
        <f t="shared" si="3"/>
        <v>1574</v>
      </c>
      <c r="B1575" s="51" t="s">
        <v>41</v>
      </c>
      <c r="C1575" s="53" t="s">
        <v>7596</v>
      </c>
      <c r="D1575" s="42" t="s">
        <v>44</v>
      </c>
      <c r="E1575" s="42" t="s">
        <v>44</v>
      </c>
      <c r="F1575" s="53" t="s">
        <v>7576</v>
      </c>
      <c r="G1575" s="53" t="s">
        <v>47</v>
      </c>
      <c r="H1575" s="53" t="s">
        <v>48</v>
      </c>
      <c r="I1575" s="53" t="s">
        <v>401</v>
      </c>
      <c r="J1575" s="53" t="s">
        <v>7577</v>
      </c>
      <c r="K1575" s="53" t="s">
        <v>3753</v>
      </c>
      <c r="L1575" s="53" t="s">
        <v>52</v>
      </c>
      <c r="M1575" s="53" t="s">
        <v>52</v>
      </c>
      <c r="N1575" s="62" t="s">
        <v>7578</v>
      </c>
      <c r="O1575" s="62" t="s">
        <v>44</v>
      </c>
      <c r="P1575" s="62" t="s">
        <v>7533</v>
      </c>
      <c r="Q1575" s="62" t="s">
        <v>7534</v>
      </c>
      <c r="R1575" s="53"/>
      <c r="S1575" s="53"/>
      <c r="T1575" s="82"/>
      <c r="U1575" s="42"/>
      <c r="V1575" s="62"/>
      <c r="W1575" s="64"/>
      <c r="X1575" s="223"/>
      <c r="Y1575" s="223"/>
      <c r="Z1575" s="223"/>
      <c r="AA1575" s="223"/>
    </row>
    <row r="1576">
      <c r="A1576" s="42">
        <f t="shared" si="3"/>
        <v>1575</v>
      </c>
      <c r="B1576" s="51" t="s">
        <v>41</v>
      </c>
      <c r="C1576" s="53" t="s">
        <v>7597</v>
      </c>
      <c r="D1576" s="42" t="s">
        <v>44</v>
      </c>
      <c r="E1576" s="42" t="s">
        <v>44</v>
      </c>
      <c r="F1576" s="53" t="s">
        <v>7576</v>
      </c>
      <c r="G1576" s="53" t="s">
        <v>47</v>
      </c>
      <c r="H1576" s="53" t="s">
        <v>95</v>
      </c>
      <c r="I1576" s="53" t="s">
        <v>401</v>
      </c>
      <c r="J1576" s="53" t="s">
        <v>7577</v>
      </c>
      <c r="K1576" s="53" t="s">
        <v>3753</v>
      </c>
      <c r="L1576" s="53" t="s">
        <v>52</v>
      </c>
      <c r="M1576" s="53" t="s">
        <v>52</v>
      </c>
      <c r="N1576" s="62" t="s">
        <v>7578</v>
      </c>
      <c r="O1576" s="62" t="s">
        <v>44</v>
      </c>
      <c r="P1576" s="62" t="s">
        <v>7598</v>
      </c>
      <c r="Q1576" s="62" t="s">
        <v>7599</v>
      </c>
      <c r="R1576" s="53"/>
      <c r="S1576" s="53"/>
      <c r="T1576" s="82"/>
      <c r="U1576" s="42"/>
      <c r="V1576" s="62"/>
      <c r="W1576" s="64"/>
      <c r="X1576" s="223"/>
      <c r="Y1576" s="223"/>
      <c r="Z1576" s="223"/>
      <c r="AA1576" s="223"/>
    </row>
    <row r="1577">
      <c r="A1577" s="42">
        <f t="shared" si="3"/>
        <v>1576</v>
      </c>
      <c r="B1577" s="51" t="s">
        <v>41</v>
      </c>
      <c r="C1577" s="53" t="s">
        <v>7600</v>
      </c>
      <c r="D1577" s="42" t="s">
        <v>44</v>
      </c>
      <c r="E1577" s="42" t="s">
        <v>44</v>
      </c>
      <c r="F1577" s="53" t="s">
        <v>7576</v>
      </c>
      <c r="G1577" s="53" t="s">
        <v>47</v>
      </c>
      <c r="H1577" s="53" t="s">
        <v>48</v>
      </c>
      <c r="I1577" s="53" t="s">
        <v>401</v>
      </c>
      <c r="J1577" s="53" t="s">
        <v>7577</v>
      </c>
      <c r="K1577" s="53" t="s">
        <v>3753</v>
      </c>
      <c r="L1577" s="53" t="s">
        <v>52</v>
      </c>
      <c r="M1577" s="53" t="s">
        <v>52</v>
      </c>
      <c r="N1577" s="62" t="s">
        <v>7578</v>
      </c>
      <c r="O1577" s="62" t="s">
        <v>44</v>
      </c>
      <c r="P1577" s="62" t="s">
        <v>7601</v>
      </c>
      <c r="Q1577" s="62" t="s">
        <v>6848</v>
      </c>
      <c r="R1577" s="53"/>
      <c r="S1577" s="53"/>
      <c r="T1577" s="82"/>
      <c r="U1577" s="42"/>
      <c r="V1577" s="62"/>
      <c r="W1577" s="64"/>
      <c r="X1577" s="223"/>
      <c r="Y1577" s="223"/>
      <c r="Z1577" s="223"/>
      <c r="AA1577" s="223"/>
    </row>
    <row r="1578">
      <c r="A1578" s="42">
        <f t="shared" si="3"/>
        <v>1577</v>
      </c>
      <c r="B1578" s="51" t="s">
        <v>41</v>
      </c>
      <c r="C1578" s="53" t="s">
        <v>7602</v>
      </c>
      <c r="D1578" s="42" t="s">
        <v>44</v>
      </c>
      <c r="E1578" s="42" t="s">
        <v>44</v>
      </c>
      <c r="F1578" s="53" t="s">
        <v>7576</v>
      </c>
      <c r="G1578" s="53" t="s">
        <v>47</v>
      </c>
      <c r="H1578" s="53" t="s">
        <v>48</v>
      </c>
      <c r="I1578" s="53" t="s">
        <v>401</v>
      </c>
      <c r="J1578" s="53" t="s">
        <v>7577</v>
      </c>
      <c r="K1578" s="53" t="s">
        <v>3753</v>
      </c>
      <c r="L1578" s="53" t="s">
        <v>52</v>
      </c>
      <c r="M1578" s="53" t="s">
        <v>52</v>
      </c>
      <c r="N1578" s="62" t="s">
        <v>7578</v>
      </c>
      <c r="O1578" s="62" t="s">
        <v>44</v>
      </c>
      <c r="P1578" s="62" t="s">
        <v>7603</v>
      </c>
      <c r="Q1578" s="62" t="s">
        <v>7604</v>
      </c>
      <c r="R1578" s="53"/>
      <c r="S1578" s="53"/>
      <c r="T1578" s="82"/>
      <c r="U1578" s="42"/>
      <c r="V1578" s="62"/>
      <c r="W1578" s="64"/>
      <c r="X1578" s="223"/>
      <c r="Y1578" s="223"/>
      <c r="Z1578" s="223"/>
      <c r="AA1578" s="223"/>
    </row>
    <row r="1579">
      <c r="A1579" s="42">
        <f t="shared" si="3"/>
        <v>1578</v>
      </c>
      <c r="B1579" s="51" t="s">
        <v>41</v>
      </c>
      <c r="C1579" s="53" t="s">
        <v>7605</v>
      </c>
      <c r="D1579" s="42" t="s">
        <v>44</v>
      </c>
      <c r="E1579" s="42" t="s">
        <v>44</v>
      </c>
      <c r="F1579" s="53" t="s">
        <v>7576</v>
      </c>
      <c r="G1579" s="53" t="s">
        <v>47</v>
      </c>
      <c r="H1579" s="53" t="s">
        <v>48</v>
      </c>
      <c r="I1579" s="53" t="s">
        <v>401</v>
      </c>
      <c r="J1579" s="53" t="s">
        <v>7577</v>
      </c>
      <c r="K1579" s="53" t="s">
        <v>3753</v>
      </c>
      <c r="L1579" s="53" t="s">
        <v>52</v>
      </c>
      <c r="M1579" s="53" t="s">
        <v>52</v>
      </c>
      <c r="N1579" s="62" t="s">
        <v>7578</v>
      </c>
      <c r="O1579" s="62" t="s">
        <v>44</v>
      </c>
      <c r="P1579" s="62" t="s">
        <v>7505</v>
      </c>
      <c r="Q1579" s="62" t="s">
        <v>7606</v>
      </c>
      <c r="R1579" s="53"/>
      <c r="S1579" s="53"/>
      <c r="T1579" s="82"/>
      <c r="U1579" s="42"/>
      <c r="V1579" s="62"/>
      <c r="W1579" s="64"/>
      <c r="X1579" s="223"/>
      <c r="Y1579" s="223"/>
      <c r="Z1579" s="223"/>
      <c r="AA1579" s="223"/>
    </row>
    <row r="1580">
      <c r="A1580" s="42">
        <f t="shared" si="3"/>
        <v>1579</v>
      </c>
      <c r="B1580" s="51" t="s">
        <v>41</v>
      </c>
      <c r="C1580" s="53" t="s">
        <v>7607</v>
      </c>
      <c r="D1580" s="42" t="s">
        <v>44</v>
      </c>
      <c r="E1580" s="42" t="s">
        <v>44</v>
      </c>
      <c r="F1580" s="53" t="s">
        <v>7576</v>
      </c>
      <c r="G1580" s="53" t="s">
        <v>85</v>
      </c>
      <c r="H1580" s="53" t="s">
        <v>86</v>
      </c>
      <c r="I1580" s="53" t="s">
        <v>401</v>
      </c>
      <c r="J1580" s="53" t="s">
        <v>7577</v>
      </c>
      <c r="K1580" s="53" t="s">
        <v>3753</v>
      </c>
      <c r="L1580" s="53" t="s">
        <v>52</v>
      </c>
      <c r="M1580" s="53" t="s">
        <v>52</v>
      </c>
      <c r="N1580" s="62" t="s">
        <v>7578</v>
      </c>
      <c r="O1580" s="62" t="s">
        <v>44</v>
      </c>
      <c r="P1580" s="62" t="s">
        <v>7508</v>
      </c>
      <c r="Q1580" s="62" t="s">
        <v>5753</v>
      </c>
      <c r="R1580" s="53"/>
      <c r="S1580" s="53"/>
      <c r="T1580" s="82"/>
      <c r="U1580" s="42"/>
      <c r="V1580" s="62"/>
      <c r="W1580" s="64"/>
      <c r="X1580" s="223"/>
      <c r="Y1580" s="223"/>
      <c r="Z1580" s="223"/>
      <c r="AA1580" s="223"/>
    </row>
    <row r="1581">
      <c r="A1581" s="42">
        <f t="shared" si="3"/>
        <v>1580</v>
      </c>
      <c r="B1581" s="51" t="s">
        <v>41</v>
      </c>
      <c r="C1581" s="53" t="s">
        <v>7608</v>
      </c>
      <c r="D1581" s="42" t="s">
        <v>44</v>
      </c>
      <c r="E1581" s="42" t="s">
        <v>44</v>
      </c>
      <c r="F1581" s="53" t="s">
        <v>7609</v>
      </c>
      <c r="G1581" s="53" t="s">
        <v>111</v>
      </c>
      <c r="H1581" s="53" t="s">
        <v>112</v>
      </c>
      <c r="I1581" s="53" t="s">
        <v>401</v>
      </c>
      <c r="J1581" s="53" t="s">
        <v>7610</v>
      </c>
      <c r="K1581" s="53" t="s">
        <v>51</v>
      </c>
      <c r="L1581" s="53" t="s">
        <v>52</v>
      </c>
      <c r="M1581" s="53" t="s">
        <v>52</v>
      </c>
      <c r="N1581" s="62" t="s">
        <v>7611</v>
      </c>
      <c r="O1581" s="62" t="s">
        <v>44</v>
      </c>
      <c r="P1581" s="62" t="s">
        <v>6399</v>
      </c>
      <c r="Q1581" s="62" t="s">
        <v>7612</v>
      </c>
      <c r="R1581" s="53"/>
      <c r="S1581" s="53"/>
      <c r="T1581" s="82"/>
      <c r="U1581" s="42"/>
      <c r="V1581" s="62"/>
      <c r="W1581" s="64"/>
      <c r="X1581" s="223"/>
      <c r="Y1581" s="223"/>
      <c r="Z1581" s="223"/>
      <c r="AA1581" s="223"/>
    </row>
    <row r="1582">
      <c r="A1582" s="42">
        <f t="shared" si="3"/>
        <v>1581</v>
      </c>
      <c r="B1582" s="51" t="s">
        <v>41</v>
      </c>
      <c r="C1582" s="53" t="s">
        <v>7613</v>
      </c>
      <c r="D1582" s="42" t="s">
        <v>44</v>
      </c>
      <c r="E1582" s="42" t="s">
        <v>44</v>
      </c>
      <c r="F1582" s="53" t="s">
        <v>7609</v>
      </c>
      <c r="G1582" s="53" t="s">
        <v>47</v>
      </c>
      <c r="H1582" s="53" t="s">
        <v>48</v>
      </c>
      <c r="I1582" s="53" t="s">
        <v>401</v>
      </c>
      <c r="J1582" s="53" t="s">
        <v>7610</v>
      </c>
      <c r="K1582" s="53" t="s">
        <v>51</v>
      </c>
      <c r="L1582" s="53" t="s">
        <v>52</v>
      </c>
      <c r="M1582" s="53" t="s">
        <v>52</v>
      </c>
      <c r="N1582" s="62" t="s">
        <v>7611</v>
      </c>
      <c r="O1582" s="62" t="s">
        <v>44</v>
      </c>
      <c r="P1582" s="62" t="s">
        <v>5384</v>
      </c>
      <c r="Q1582" s="62" t="s">
        <v>7614</v>
      </c>
      <c r="R1582" s="53"/>
      <c r="S1582" s="53"/>
      <c r="T1582" s="82"/>
      <c r="U1582" s="42"/>
      <c r="V1582" s="62"/>
      <c r="W1582" s="64"/>
      <c r="X1582" s="223"/>
      <c r="Y1582" s="223"/>
      <c r="Z1582" s="223"/>
      <c r="AA1582" s="223"/>
    </row>
    <row r="1583">
      <c r="A1583" s="42">
        <f t="shared" si="3"/>
        <v>1582</v>
      </c>
      <c r="B1583" s="51" t="s">
        <v>41</v>
      </c>
      <c r="C1583" s="53" t="s">
        <v>7615</v>
      </c>
      <c r="D1583" s="42" t="s">
        <v>44</v>
      </c>
      <c r="E1583" s="42" t="s">
        <v>44</v>
      </c>
      <c r="F1583" s="53" t="s">
        <v>7609</v>
      </c>
      <c r="G1583" s="53" t="s">
        <v>47</v>
      </c>
      <c r="H1583" s="53" t="s">
        <v>48</v>
      </c>
      <c r="I1583" s="53" t="s">
        <v>401</v>
      </c>
      <c r="J1583" s="53" t="s">
        <v>7610</v>
      </c>
      <c r="K1583" s="53" t="s">
        <v>51</v>
      </c>
      <c r="L1583" s="53" t="s">
        <v>52</v>
      </c>
      <c r="M1583" s="53" t="s">
        <v>52</v>
      </c>
      <c r="N1583" s="62" t="s">
        <v>7611</v>
      </c>
      <c r="O1583" s="62" t="s">
        <v>44</v>
      </c>
      <c r="P1583" s="62" t="s">
        <v>5389</v>
      </c>
      <c r="Q1583" s="62" t="s">
        <v>7616</v>
      </c>
      <c r="R1583" s="53"/>
      <c r="S1583" s="53"/>
      <c r="T1583" s="82"/>
      <c r="U1583" s="42"/>
      <c r="V1583" s="62"/>
      <c r="W1583" s="64"/>
      <c r="X1583" s="223"/>
      <c r="Y1583" s="223"/>
      <c r="Z1583" s="223"/>
      <c r="AA1583" s="223"/>
    </row>
    <row r="1584">
      <c r="A1584" s="42">
        <f t="shared" si="3"/>
        <v>1583</v>
      </c>
      <c r="B1584" s="51" t="s">
        <v>41</v>
      </c>
      <c r="C1584" s="53" t="s">
        <v>7617</v>
      </c>
      <c r="D1584" s="42" t="s">
        <v>44</v>
      </c>
      <c r="E1584" s="42" t="s">
        <v>44</v>
      </c>
      <c r="F1584" s="53" t="s">
        <v>7609</v>
      </c>
      <c r="G1584" s="53" t="s">
        <v>47</v>
      </c>
      <c r="H1584" s="53" t="s">
        <v>48</v>
      </c>
      <c r="I1584" s="53" t="s">
        <v>401</v>
      </c>
      <c r="J1584" s="53" t="s">
        <v>7610</v>
      </c>
      <c r="K1584" s="53" t="s">
        <v>51</v>
      </c>
      <c r="L1584" s="53" t="s">
        <v>52</v>
      </c>
      <c r="M1584" s="53" t="s">
        <v>52</v>
      </c>
      <c r="N1584" s="62" t="s">
        <v>7611</v>
      </c>
      <c r="O1584" s="62" t="s">
        <v>44</v>
      </c>
      <c r="P1584" s="62" t="s">
        <v>7324</v>
      </c>
      <c r="Q1584" s="62" t="s">
        <v>7618</v>
      </c>
      <c r="R1584" s="53"/>
      <c r="S1584" s="53"/>
      <c r="T1584" s="82"/>
      <c r="U1584" s="42"/>
      <c r="V1584" s="62"/>
      <c r="W1584" s="64"/>
      <c r="X1584" s="223"/>
      <c r="Y1584" s="223"/>
      <c r="Z1584" s="223"/>
      <c r="AA1584" s="223"/>
    </row>
    <row r="1585">
      <c r="A1585" s="42">
        <f t="shared" si="3"/>
        <v>1584</v>
      </c>
      <c r="B1585" s="51" t="s">
        <v>41</v>
      </c>
      <c r="C1585" s="53" t="s">
        <v>7619</v>
      </c>
      <c r="D1585" s="42" t="s">
        <v>44</v>
      </c>
      <c r="E1585" s="42" t="s">
        <v>44</v>
      </c>
      <c r="F1585" s="53" t="s">
        <v>7609</v>
      </c>
      <c r="G1585" s="53" t="s">
        <v>47</v>
      </c>
      <c r="H1585" s="53" t="s">
        <v>48</v>
      </c>
      <c r="I1585" s="53" t="s">
        <v>401</v>
      </c>
      <c r="J1585" s="53" t="s">
        <v>7610</v>
      </c>
      <c r="K1585" s="53" t="s">
        <v>51</v>
      </c>
      <c r="L1585" s="53" t="s">
        <v>52</v>
      </c>
      <c r="M1585" s="53" t="s">
        <v>52</v>
      </c>
      <c r="N1585" s="62" t="s">
        <v>7620</v>
      </c>
      <c r="O1585" s="62" t="s">
        <v>44</v>
      </c>
      <c r="P1585" s="62" t="s">
        <v>6429</v>
      </c>
      <c r="Q1585" s="62" t="s">
        <v>7234</v>
      </c>
      <c r="R1585" s="53"/>
      <c r="S1585" s="53"/>
      <c r="T1585" s="82"/>
      <c r="U1585" s="42"/>
      <c r="V1585" s="62"/>
      <c r="W1585" s="64"/>
      <c r="X1585" s="223"/>
      <c r="Y1585" s="223"/>
      <c r="Z1585" s="223"/>
      <c r="AA1585" s="223"/>
    </row>
    <row r="1586">
      <c r="A1586" s="42">
        <f t="shared" si="3"/>
        <v>1585</v>
      </c>
      <c r="B1586" s="51" t="s">
        <v>41</v>
      </c>
      <c r="C1586" s="53" t="s">
        <v>7621</v>
      </c>
      <c r="D1586" s="42" t="s">
        <v>44</v>
      </c>
      <c r="E1586" s="42" t="s">
        <v>44</v>
      </c>
      <c r="F1586" s="53" t="s">
        <v>7609</v>
      </c>
      <c r="G1586" s="53" t="s">
        <v>47</v>
      </c>
      <c r="H1586" s="53" t="s">
        <v>48</v>
      </c>
      <c r="I1586" s="53" t="s">
        <v>401</v>
      </c>
      <c r="J1586" s="53" t="s">
        <v>7610</v>
      </c>
      <c r="K1586" s="53" t="s">
        <v>51</v>
      </c>
      <c r="L1586" s="53" t="s">
        <v>52</v>
      </c>
      <c r="M1586" s="53" t="s">
        <v>52</v>
      </c>
      <c r="N1586" s="62" t="s">
        <v>7611</v>
      </c>
      <c r="O1586" s="62" t="s">
        <v>44</v>
      </c>
      <c r="P1586" s="62" t="s">
        <v>1002</v>
      </c>
      <c r="Q1586" s="62" t="s">
        <v>6246</v>
      </c>
      <c r="R1586" s="53"/>
      <c r="S1586" s="53"/>
      <c r="T1586" s="82"/>
      <c r="U1586" s="42"/>
      <c r="V1586" s="62"/>
      <c r="W1586" s="64"/>
      <c r="X1586" s="223"/>
      <c r="Y1586" s="223"/>
      <c r="Z1586" s="223"/>
      <c r="AA1586" s="223"/>
    </row>
    <row r="1587">
      <c r="A1587" s="42">
        <f t="shared" si="3"/>
        <v>1586</v>
      </c>
      <c r="B1587" s="51" t="s">
        <v>41</v>
      </c>
      <c r="C1587" s="53" t="s">
        <v>7622</v>
      </c>
      <c r="D1587" s="42" t="s">
        <v>44</v>
      </c>
      <c r="E1587" s="42" t="s">
        <v>44</v>
      </c>
      <c r="F1587" s="53" t="s">
        <v>7609</v>
      </c>
      <c r="G1587" s="53" t="s">
        <v>47</v>
      </c>
      <c r="H1587" s="53" t="s">
        <v>48</v>
      </c>
      <c r="I1587" s="53" t="s">
        <v>401</v>
      </c>
      <c r="J1587" s="53" t="s">
        <v>7610</v>
      </c>
      <c r="K1587" s="53" t="s">
        <v>51</v>
      </c>
      <c r="L1587" s="53" t="s">
        <v>52</v>
      </c>
      <c r="M1587" s="53" t="s">
        <v>52</v>
      </c>
      <c r="N1587" s="62" t="s">
        <v>7611</v>
      </c>
      <c r="O1587" s="62" t="s">
        <v>44</v>
      </c>
      <c r="P1587" s="62" t="s">
        <v>1009</v>
      </c>
      <c r="Q1587" s="62" t="s">
        <v>6434</v>
      </c>
      <c r="R1587" s="53"/>
      <c r="S1587" s="53"/>
      <c r="T1587" s="82"/>
      <c r="U1587" s="42"/>
      <c r="V1587" s="62"/>
      <c r="W1587" s="64"/>
      <c r="X1587" s="223"/>
      <c r="Y1587" s="223"/>
      <c r="Z1587" s="223"/>
      <c r="AA1587" s="223"/>
    </row>
    <row r="1588">
      <c r="A1588" s="42">
        <f t="shared" si="3"/>
        <v>1587</v>
      </c>
      <c r="B1588" s="51" t="s">
        <v>41</v>
      </c>
      <c r="C1588" s="53" t="s">
        <v>7623</v>
      </c>
      <c r="D1588" s="42" t="s">
        <v>44</v>
      </c>
      <c r="E1588" s="42" t="s">
        <v>44</v>
      </c>
      <c r="F1588" s="53" t="s">
        <v>7609</v>
      </c>
      <c r="G1588" s="53" t="s">
        <v>47</v>
      </c>
      <c r="H1588" s="53" t="s">
        <v>48</v>
      </c>
      <c r="I1588" s="53" t="s">
        <v>401</v>
      </c>
      <c r="J1588" s="53" t="s">
        <v>7610</v>
      </c>
      <c r="K1588" s="53" t="s">
        <v>51</v>
      </c>
      <c r="L1588" s="53" t="s">
        <v>52</v>
      </c>
      <c r="M1588" s="53" t="s">
        <v>52</v>
      </c>
      <c r="N1588" s="62" t="s">
        <v>7611</v>
      </c>
      <c r="O1588" s="62" t="s">
        <v>44</v>
      </c>
      <c r="P1588" s="62" t="s">
        <v>7624</v>
      </c>
      <c r="Q1588" s="62" t="s">
        <v>7625</v>
      </c>
      <c r="R1588" s="53"/>
      <c r="S1588" s="53"/>
      <c r="T1588" s="82"/>
      <c r="U1588" s="42"/>
      <c r="V1588" s="62"/>
      <c r="W1588" s="64"/>
      <c r="X1588" s="223"/>
      <c r="Y1588" s="223"/>
      <c r="Z1588" s="223"/>
      <c r="AA1588" s="223"/>
    </row>
    <row r="1589">
      <c r="A1589" s="42">
        <f t="shared" si="3"/>
        <v>1588</v>
      </c>
      <c r="B1589" s="51" t="s">
        <v>41</v>
      </c>
      <c r="C1589" s="53" t="s">
        <v>7626</v>
      </c>
      <c r="D1589" s="42" t="s">
        <v>44</v>
      </c>
      <c r="E1589" s="42" t="s">
        <v>44</v>
      </c>
      <c r="F1589" s="53" t="s">
        <v>7609</v>
      </c>
      <c r="G1589" s="53" t="s">
        <v>47</v>
      </c>
      <c r="H1589" s="53" t="s">
        <v>48</v>
      </c>
      <c r="I1589" s="53" t="s">
        <v>401</v>
      </c>
      <c r="J1589" s="53" t="s">
        <v>7610</v>
      </c>
      <c r="K1589" s="53" t="s">
        <v>51</v>
      </c>
      <c r="L1589" s="53" t="s">
        <v>52</v>
      </c>
      <c r="M1589" s="53" t="s">
        <v>52</v>
      </c>
      <c r="N1589" s="62" t="s">
        <v>7611</v>
      </c>
      <c r="O1589" s="62" t="s">
        <v>44</v>
      </c>
      <c r="P1589" s="62" t="s">
        <v>7627</v>
      </c>
      <c r="Q1589" s="62" t="s">
        <v>7628</v>
      </c>
      <c r="R1589" s="53"/>
      <c r="S1589" s="53"/>
      <c r="T1589" s="82"/>
      <c r="U1589" s="42"/>
      <c r="V1589" s="62"/>
      <c r="W1589" s="64"/>
      <c r="X1589" s="223"/>
      <c r="Y1589" s="223"/>
      <c r="Z1589" s="223"/>
      <c r="AA1589" s="223"/>
    </row>
    <row r="1590">
      <c r="A1590" s="42">
        <f t="shared" si="3"/>
        <v>1589</v>
      </c>
      <c r="B1590" s="51" t="s">
        <v>41</v>
      </c>
      <c r="C1590" s="53" t="s">
        <v>7629</v>
      </c>
      <c r="D1590" s="42" t="s">
        <v>44</v>
      </c>
      <c r="E1590" s="42" t="s">
        <v>44</v>
      </c>
      <c r="F1590" s="53" t="s">
        <v>7609</v>
      </c>
      <c r="G1590" s="53" t="s">
        <v>47</v>
      </c>
      <c r="H1590" s="53" t="s">
        <v>48</v>
      </c>
      <c r="I1590" s="53" t="s">
        <v>401</v>
      </c>
      <c r="J1590" s="53" t="s">
        <v>7610</v>
      </c>
      <c r="K1590" s="53" t="s">
        <v>51</v>
      </c>
      <c r="L1590" s="53" t="s">
        <v>52</v>
      </c>
      <c r="M1590" s="53" t="s">
        <v>52</v>
      </c>
      <c r="N1590" s="62" t="s">
        <v>7611</v>
      </c>
      <c r="O1590" s="62" t="s">
        <v>44</v>
      </c>
      <c r="P1590" s="62" t="s">
        <v>7630</v>
      </c>
      <c r="Q1590" s="62" t="s">
        <v>7631</v>
      </c>
      <c r="R1590" s="53"/>
      <c r="S1590" s="53"/>
      <c r="T1590" s="82"/>
      <c r="U1590" s="42"/>
      <c r="V1590" s="62"/>
      <c r="W1590" s="64"/>
      <c r="X1590" s="223"/>
      <c r="Y1590" s="223"/>
      <c r="Z1590" s="223"/>
      <c r="AA1590" s="223"/>
    </row>
    <row r="1591">
      <c r="A1591" s="42">
        <f t="shared" si="3"/>
        <v>1590</v>
      </c>
      <c r="B1591" s="51" t="s">
        <v>41</v>
      </c>
      <c r="C1591" s="53" t="s">
        <v>7632</v>
      </c>
      <c r="D1591" s="42" t="s">
        <v>44</v>
      </c>
      <c r="E1591" s="42" t="s">
        <v>44</v>
      </c>
      <c r="F1591" s="53" t="s">
        <v>7609</v>
      </c>
      <c r="G1591" s="53" t="s">
        <v>47</v>
      </c>
      <c r="H1591" s="53" t="s">
        <v>48</v>
      </c>
      <c r="I1591" s="53" t="s">
        <v>401</v>
      </c>
      <c r="J1591" s="53" t="s">
        <v>7610</v>
      </c>
      <c r="K1591" s="53" t="s">
        <v>51</v>
      </c>
      <c r="L1591" s="53" t="s">
        <v>52</v>
      </c>
      <c r="M1591" s="53" t="s">
        <v>52</v>
      </c>
      <c r="N1591" s="62" t="s">
        <v>7611</v>
      </c>
      <c r="O1591" s="62" t="s">
        <v>44</v>
      </c>
      <c r="P1591" s="62" t="s">
        <v>7633</v>
      </c>
      <c r="Q1591" s="62" t="s">
        <v>7634</v>
      </c>
      <c r="R1591" s="53"/>
      <c r="S1591" s="53"/>
      <c r="T1591" s="82"/>
      <c r="U1591" s="42"/>
      <c r="V1591" s="62"/>
      <c r="W1591" s="64"/>
      <c r="X1591" s="223"/>
      <c r="Y1591" s="223"/>
      <c r="Z1591" s="223"/>
      <c r="AA1591" s="223"/>
    </row>
    <row r="1592">
      <c r="A1592" s="42">
        <f t="shared" si="3"/>
        <v>1591</v>
      </c>
      <c r="B1592" s="51" t="s">
        <v>41</v>
      </c>
      <c r="C1592" s="53" t="s">
        <v>7635</v>
      </c>
      <c r="D1592" s="42" t="s">
        <v>44</v>
      </c>
      <c r="E1592" s="42" t="s">
        <v>44</v>
      </c>
      <c r="F1592" s="53" t="s">
        <v>7609</v>
      </c>
      <c r="G1592" s="53" t="s">
        <v>111</v>
      </c>
      <c r="H1592" s="53" t="s">
        <v>91</v>
      </c>
      <c r="I1592" s="53" t="s">
        <v>401</v>
      </c>
      <c r="J1592" s="53" t="s">
        <v>7610</v>
      </c>
      <c r="K1592" s="53" t="s">
        <v>51</v>
      </c>
      <c r="L1592" s="53" t="s">
        <v>52</v>
      </c>
      <c r="M1592" s="53" t="s">
        <v>52</v>
      </c>
      <c r="N1592" s="62" t="s">
        <v>7611</v>
      </c>
      <c r="O1592" s="62" t="s">
        <v>44</v>
      </c>
      <c r="P1592" s="62" t="s">
        <v>7636</v>
      </c>
      <c r="Q1592" s="62" t="s">
        <v>7637</v>
      </c>
      <c r="R1592" s="53"/>
      <c r="S1592" s="53"/>
      <c r="T1592" s="82"/>
      <c r="U1592" s="42"/>
      <c r="V1592" s="62"/>
      <c r="W1592" s="64"/>
      <c r="X1592" s="223"/>
      <c r="Y1592" s="223"/>
      <c r="Z1592" s="223"/>
      <c r="AA1592" s="223"/>
    </row>
    <row r="1593">
      <c r="A1593" s="42">
        <f t="shared" si="3"/>
        <v>1592</v>
      </c>
      <c r="B1593" s="51" t="s">
        <v>41</v>
      </c>
      <c r="C1593" s="53" t="s">
        <v>7638</v>
      </c>
      <c r="D1593" s="42" t="s">
        <v>44</v>
      </c>
      <c r="E1593" s="42" t="s">
        <v>44</v>
      </c>
      <c r="F1593" s="53" t="s">
        <v>7609</v>
      </c>
      <c r="G1593" s="53" t="s">
        <v>47</v>
      </c>
      <c r="H1593" s="53" t="s">
        <v>48</v>
      </c>
      <c r="I1593" s="53" t="s">
        <v>401</v>
      </c>
      <c r="J1593" s="53" t="s">
        <v>7610</v>
      </c>
      <c r="K1593" s="53" t="s">
        <v>51</v>
      </c>
      <c r="L1593" s="53" t="s">
        <v>52</v>
      </c>
      <c r="M1593" s="53" t="s">
        <v>52</v>
      </c>
      <c r="N1593" s="62" t="s">
        <v>7611</v>
      </c>
      <c r="O1593" s="62" t="s">
        <v>44</v>
      </c>
      <c r="P1593" s="62" t="s">
        <v>7639</v>
      </c>
      <c r="Q1593" s="62" t="s">
        <v>7640</v>
      </c>
      <c r="R1593" s="53"/>
      <c r="S1593" s="53"/>
      <c r="T1593" s="82"/>
      <c r="U1593" s="42"/>
      <c r="V1593" s="62"/>
      <c r="W1593" s="64"/>
      <c r="X1593" s="223"/>
      <c r="Y1593" s="223"/>
      <c r="Z1593" s="223"/>
      <c r="AA1593" s="223"/>
    </row>
    <row r="1594">
      <c r="A1594" s="42">
        <f t="shared" si="3"/>
        <v>1593</v>
      </c>
      <c r="B1594" s="51" t="s">
        <v>41</v>
      </c>
      <c r="C1594" s="53" t="s">
        <v>7641</v>
      </c>
      <c r="D1594" s="42" t="s">
        <v>44</v>
      </c>
      <c r="E1594" s="42" t="s">
        <v>44</v>
      </c>
      <c r="F1594" s="53" t="s">
        <v>7609</v>
      </c>
      <c r="G1594" s="53" t="s">
        <v>111</v>
      </c>
      <c r="H1594" s="53" t="s">
        <v>91</v>
      </c>
      <c r="I1594" s="53" t="s">
        <v>401</v>
      </c>
      <c r="J1594" s="53" t="s">
        <v>7610</v>
      </c>
      <c r="K1594" s="53" t="s">
        <v>51</v>
      </c>
      <c r="L1594" s="53" t="s">
        <v>52</v>
      </c>
      <c r="M1594" s="53" t="s">
        <v>52</v>
      </c>
      <c r="N1594" s="62" t="s">
        <v>7642</v>
      </c>
      <c r="O1594" s="62" t="s">
        <v>44</v>
      </c>
      <c r="P1594" s="62" t="s">
        <v>7643</v>
      </c>
      <c r="Q1594" s="62" t="s">
        <v>1407</v>
      </c>
      <c r="R1594" s="53"/>
      <c r="S1594" s="53"/>
      <c r="T1594" s="82"/>
      <c r="U1594" s="42"/>
      <c r="V1594" s="62"/>
      <c r="W1594" s="64"/>
      <c r="X1594" s="223"/>
      <c r="Y1594" s="223"/>
      <c r="Z1594" s="223"/>
      <c r="AA1594" s="223"/>
    </row>
    <row r="1595">
      <c r="A1595" s="42">
        <f t="shared" si="3"/>
        <v>1594</v>
      </c>
      <c r="B1595" s="51" t="s">
        <v>41</v>
      </c>
      <c r="C1595" s="53" t="s">
        <v>7644</v>
      </c>
      <c r="D1595" s="42" t="s">
        <v>44</v>
      </c>
      <c r="E1595" s="42" t="s">
        <v>44</v>
      </c>
      <c r="F1595" s="53" t="s">
        <v>7609</v>
      </c>
      <c r="G1595" s="53" t="s">
        <v>47</v>
      </c>
      <c r="H1595" s="53" t="s">
        <v>95</v>
      </c>
      <c r="I1595" s="53" t="s">
        <v>401</v>
      </c>
      <c r="J1595" s="53" t="s">
        <v>7610</v>
      </c>
      <c r="K1595" s="53" t="s">
        <v>51</v>
      </c>
      <c r="L1595" s="53" t="s">
        <v>52</v>
      </c>
      <c r="M1595" s="53" t="s">
        <v>52</v>
      </c>
      <c r="N1595" s="62" t="s">
        <v>7645</v>
      </c>
      <c r="O1595" s="62" t="s">
        <v>44</v>
      </c>
      <c r="P1595" s="62" t="s">
        <v>7643</v>
      </c>
      <c r="Q1595" s="62" t="s">
        <v>6535</v>
      </c>
      <c r="R1595" s="53"/>
      <c r="S1595" s="53"/>
      <c r="T1595" s="82"/>
      <c r="U1595" s="42"/>
      <c r="V1595" s="62"/>
      <c r="W1595" s="64"/>
      <c r="X1595" s="223"/>
      <c r="Y1595" s="223"/>
      <c r="Z1595" s="223"/>
      <c r="AA1595" s="223"/>
    </row>
    <row r="1596">
      <c r="A1596" s="42">
        <f t="shared" si="3"/>
        <v>1595</v>
      </c>
      <c r="B1596" s="51" t="s">
        <v>41</v>
      </c>
      <c r="C1596" s="53" t="s">
        <v>7646</v>
      </c>
      <c r="D1596" s="42" t="s">
        <v>44</v>
      </c>
      <c r="E1596" s="42" t="s">
        <v>44</v>
      </c>
      <c r="F1596" s="53" t="s">
        <v>7609</v>
      </c>
      <c r="G1596" s="53" t="s">
        <v>47</v>
      </c>
      <c r="H1596" s="53" t="s">
        <v>48</v>
      </c>
      <c r="I1596" s="53" t="s">
        <v>401</v>
      </c>
      <c r="J1596" s="53" t="s">
        <v>7610</v>
      </c>
      <c r="K1596" s="53" t="s">
        <v>51</v>
      </c>
      <c r="L1596" s="53" t="s">
        <v>52</v>
      </c>
      <c r="M1596" s="53" t="s">
        <v>52</v>
      </c>
      <c r="N1596" s="62" t="s">
        <v>7611</v>
      </c>
      <c r="O1596" s="62" t="s">
        <v>44</v>
      </c>
      <c r="P1596" s="62" t="s">
        <v>7647</v>
      </c>
      <c r="Q1596" s="62" t="s">
        <v>7648</v>
      </c>
      <c r="R1596" s="53"/>
      <c r="S1596" s="53"/>
      <c r="T1596" s="82"/>
      <c r="U1596" s="42"/>
      <c r="V1596" s="62"/>
      <c r="W1596" s="64"/>
      <c r="X1596" s="223"/>
      <c r="Y1596" s="223"/>
      <c r="Z1596" s="223"/>
      <c r="AA1596" s="223"/>
    </row>
    <row r="1597">
      <c r="A1597" s="42">
        <f t="shared" si="3"/>
        <v>1596</v>
      </c>
      <c r="B1597" s="51" t="s">
        <v>41</v>
      </c>
      <c r="C1597" s="53" t="s">
        <v>7649</v>
      </c>
      <c r="D1597" s="42" t="s">
        <v>44</v>
      </c>
      <c r="E1597" s="42" t="s">
        <v>44</v>
      </c>
      <c r="F1597" s="53" t="s">
        <v>7609</v>
      </c>
      <c r="G1597" s="53" t="s">
        <v>47</v>
      </c>
      <c r="H1597" s="53" t="s">
        <v>48</v>
      </c>
      <c r="I1597" s="53" t="s">
        <v>401</v>
      </c>
      <c r="J1597" s="53" t="s">
        <v>7610</v>
      </c>
      <c r="K1597" s="53" t="s">
        <v>51</v>
      </c>
      <c r="L1597" s="53" t="s">
        <v>52</v>
      </c>
      <c r="M1597" s="53" t="s">
        <v>52</v>
      </c>
      <c r="N1597" s="62" t="s">
        <v>7611</v>
      </c>
      <c r="O1597" s="62" t="s">
        <v>44</v>
      </c>
      <c r="P1597" s="62" t="s">
        <v>7650</v>
      </c>
      <c r="Q1597" s="62" t="s">
        <v>7651</v>
      </c>
      <c r="R1597" s="53"/>
      <c r="S1597" s="53"/>
      <c r="T1597" s="82"/>
      <c r="U1597" s="42"/>
      <c r="V1597" s="62"/>
      <c r="W1597" s="64"/>
      <c r="X1597" s="223"/>
      <c r="Y1597" s="223"/>
      <c r="Z1597" s="223"/>
      <c r="AA1597" s="223"/>
    </row>
    <row r="1598">
      <c r="A1598" s="42">
        <f t="shared" si="3"/>
        <v>1597</v>
      </c>
      <c r="B1598" s="51" t="s">
        <v>41</v>
      </c>
      <c r="C1598" s="53" t="s">
        <v>7652</v>
      </c>
      <c r="D1598" s="42" t="s">
        <v>44</v>
      </c>
      <c r="E1598" s="42" t="s">
        <v>44</v>
      </c>
      <c r="F1598" s="53" t="s">
        <v>7609</v>
      </c>
      <c r="G1598" s="53" t="s">
        <v>47</v>
      </c>
      <c r="H1598" s="53" t="s">
        <v>48</v>
      </c>
      <c r="I1598" s="53" t="s">
        <v>401</v>
      </c>
      <c r="J1598" s="53" t="s">
        <v>7610</v>
      </c>
      <c r="K1598" s="53" t="s">
        <v>51</v>
      </c>
      <c r="L1598" s="53" t="s">
        <v>52</v>
      </c>
      <c r="M1598" s="53" t="s">
        <v>52</v>
      </c>
      <c r="N1598" s="62" t="s">
        <v>7611</v>
      </c>
      <c r="O1598" s="62" t="s">
        <v>44</v>
      </c>
      <c r="P1598" s="62" t="s">
        <v>7653</v>
      </c>
      <c r="Q1598" s="62" t="s">
        <v>7654</v>
      </c>
      <c r="R1598" s="53"/>
      <c r="S1598" s="53"/>
      <c r="T1598" s="82"/>
      <c r="U1598" s="42"/>
      <c r="V1598" s="62"/>
      <c r="W1598" s="64"/>
      <c r="X1598" s="223"/>
      <c r="Y1598" s="223"/>
      <c r="Z1598" s="223"/>
      <c r="AA1598" s="223"/>
    </row>
    <row r="1599">
      <c r="A1599" s="42">
        <f t="shared" si="3"/>
        <v>1598</v>
      </c>
      <c r="B1599" s="51" t="s">
        <v>41</v>
      </c>
      <c r="C1599" s="53" t="s">
        <v>7655</v>
      </c>
      <c r="D1599" s="42" t="s">
        <v>44</v>
      </c>
      <c r="E1599" s="42" t="s">
        <v>44</v>
      </c>
      <c r="F1599" s="53" t="s">
        <v>7609</v>
      </c>
      <c r="G1599" s="53" t="s">
        <v>47</v>
      </c>
      <c r="H1599" s="53" t="s">
        <v>48</v>
      </c>
      <c r="I1599" s="53" t="s">
        <v>401</v>
      </c>
      <c r="J1599" s="53" t="s">
        <v>7610</v>
      </c>
      <c r="K1599" s="53" t="s">
        <v>51</v>
      </c>
      <c r="L1599" s="53" t="s">
        <v>52</v>
      </c>
      <c r="M1599" s="53" t="s">
        <v>52</v>
      </c>
      <c r="N1599" s="62" t="s">
        <v>7611</v>
      </c>
      <c r="O1599" s="62" t="s">
        <v>44</v>
      </c>
      <c r="P1599" s="62" t="s">
        <v>7656</v>
      </c>
      <c r="Q1599" s="62" t="s">
        <v>7657</v>
      </c>
      <c r="R1599" s="53"/>
      <c r="S1599" s="53"/>
      <c r="T1599" s="82"/>
      <c r="U1599" s="42"/>
      <c r="V1599" s="62"/>
      <c r="W1599" s="64"/>
      <c r="X1599" s="223"/>
      <c r="Y1599" s="223"/>
      <c r="Z1599" s="223"/>
      <c r="AA1599" s="223"/>
    </row>
    <row r="1600">
      <c r="A1600" s="42">
        <f t="shared" si="3"/>
        <v>1599</v>
      </c>
      <c r="B1600" s="51" t="s">
        <v>41</v>
      </c>
      <c r="C1600" s="53" t="s">
        <v>7658</v>
      </c>
      <c r="D1600" s="42" t="s">
        <v>44</v>
      </c>
      <c r="E1600" s="42" t="s">
        <v>44</v>
      </c>
      <c r="F1600" s="53" t="s">
        <v>7609</v>
      </c>
      <c r="G1600" s="53" t="s">
        <v>47</v>
      </c>
      <c r="H1600" s="53" t="s">
        <v>48</v>
      </c>
      <c r="I1600" s="53" t="s">
        <v>401</v>
      </c>
      <c r="J1600" s="53" t="s">
        <v>7610</v>
      </c>
      <c r="K1600" s="53" t="s">
        <v>51</v>
      </c>
      <c r="L1600" s="53" t="s">
        <v>52</v>
      </c>
      <c r="M1600" s="53" t="s">
        <v>52</v>
      </c>
      <c r="N1600" s="62" t="s">
        <v>7611</v>
      </c>
      <c r="O1600" s="62" t="s">
        <v>44</v>
      </c>
      <c r="P1600" s="62" t="s">
        <v>7659</v>
      </c>
      <c r="Q1600" s="62" t="s">
        <v>7660</v>
      </c>
      <c r="R1600" s="53"/>
      <c r="S1600" s="53"/>
      <c r="T1600" s="82"/>
      <c r="U1600" s="42"/>
      <c r="V1600" s="62"/>
      <c r="W1600" s="64"/>
      <c r="X1600" s="223"/>
      <c r="Y1600" s="223"/>
      <c r="Z1600" s="223"/>
      <c r="AA1600" s="223"/>
    </row>
    <row r="1601">
      <c r="A1601" s="42">
        <f t="shared" si="3"/>
        <v>1600</v>
      </c>
      <c r="B1601" s="51" t="s">
        <v>41</v>
      </c>
      <c r="C1601" s="53" t="s">
        <v>7661</v>
      </c>
      <c r="D1601" s="42" t="s">
        <v>44</v>
      </c>
      <c r="E1601" s="42" t="s">
        <v>44</v>
      </c>
      <c r="F1601" s="53" t="s">
        <v>7609</v>
      </c>
      <c r="G1601" s="53" t="s">
        <v>47</v>
      </c>
      <c r="H1601" s="53" t="s">
        <v>48</v>
      </c>
      <c r="I1601" s="53" t="s">
        <v>401</v>
      </c>
      <c r="J1601" s="53" t="s">
        <v>7610</v>
      </c>
      <c r="K1601" s="53" t="s">
        <v>51</v>
      </c>
      <c r="L1601" s="53" t="s">
        <v>52</v>
      </c>
      <c r="M1601" s="53" t="s">
        <v>52</v>
      </c>
      <c r="N1601" s="62" t="s">
        <v>7611</v>
      </c>
      <c r="O1601" s="62" t="s">
        <v>44</v>
      </c>
      <c r="P1601" s="62" t="s">
        <v>7662</v>
      </c>
      <c r="Q1601" s="62" t="s">
        <v>7663</v>
      </c>
      <c r="R1601" s="53"/>
      <c r="S1601" s="53"/>
      <c r="T1601" s="82"/>
      <c r="U1601" s="42"/>
      <c r="V1601" s="62"/>
      <c r="W1601" s="64"/>
      <c r="X1601" s="223"/>
      <c r="Y1601" s="223"/>
      <c r="Z1601" s="223"/>
      <c r="AA1601" s="223"/>
    </row>
    <row r="1602">
      <c r="A1602" s="42">
        <f t="shared" si="3"/>
        <v>1601</v>
      </c>
      <c r="B1602" s="51" t="s">
        <v>41</v>
      </c>
      <c r="C1602" s="53" t="s">
        <v>7664</v>
      </c>
      <c r="D1602" s="42" t="s">
        <v>44</v>
      </c>
      <c r="E1602" s="42" t="s">
        <v>44</v>
      </c>
      <c r="F1602" s="53" t="s">
        <v>7609</v>
      </c>
      <c r="G1602" s="53" t="s">
        <v>47</v>
      </c>
      <c r="H1602" s="53" t="s">
        <v>48</v>
      </c>
      <c r="I1602" s="53" t="s">
        <v>401</v>
      </c>
      <c r="J1602" s="53" t="s">
        <v>7610</v>
      </c>
      <c r="K1602" s="53" t="s">
        <v>51</v>
      </c>
      <c r="L1602" s="53" t="s">
        <v>52</v>
      </c>
      <c r="M1602" s="53" t="s">
        <v>52</v>
      </c>
      <c r="N1602" s="62" t="s">
        <v>7611</v>
      </c>
      <c r="O1602" s="62" t="s">
        <v>44</v>
      </c>
      <c r="P1602" s="62" t="s">
        <v>7665</v>
      </c>
      <c r="Q1602" s="62" t="s">
        <v>7666</v>
      </c>
      <c r="R1602" s="53"/>
      <c r="S1602" s="53"/>
      <c r="T1602" s="82"/>
      <c r="U1602" s="42"/>
      <c r="V1602" s="62"/>
      <c r="W1602" s="64"/>
      <c r="X1602" s="223"/>
      <c r="Y1602" s="223"/>
      <c r="Z1602" s="223"/>
      <c r="AA1602" s="223"/>
    </row>
    <row r="1603">
      <c r="A1603" s="42">
        <f t="shared" si="3"/>
        <v>1602</v>
      </c>
      <c r="B1603" s="51" t="s">
        <v>41</v>
      </c>
      <c r="C1603" s="53" t="s">
        <v>7667</v>
      </c>
      <c r="D1603" s="42" t="s">
        <v>44</v>
      </c>
      <c r="E1603" s="42" t="s">
        <v>44</v>
      </c>
      <c r="F1603" s="53" t="s">
        <v>7609</v>
      </c>
      <c r="G1603" s="53" t="s">
        <v>47</v>
      </c>
      <c r="H1603" s="53" t="s">
        <v>48</v>
      </c>
      <c r="I1603" s="53" t="s">
        <v>401</v>
      </c>
      <c r="J1603" s="53" t="s">
        <v>7610</v>
      </c>
      <c r="K1603" s="53" t="s">
        <v>51</v>
      </c>
      <c r="L1603" s="53" t="s">
        <v>52</v>
      </c>
      <c r="M1603" s="53" t="s">
        <v>52</v>
      </c>
      <c r="N1603" s="62" t="s">
        <v>7611</v>
      </c>
      <c r="O1603" s="62" t="s">
        <v>44</v>
      </c>
      <c r="P1603" s="62" t="s">
        <v>7668</v>
      </c>
      <c r="Q1603" s="62" t="s">
        <v>7669</v>
      </c>
      <c r="R1603" s="53"/>
      <c r="S1603" s="53"/>
      <c r="T1603" s="82"/>
      <c r="U1603" s="42"/>
      <c r="V1603" s="62"/>
      <c r="W1603" s="64"/>
      <c r="X1603" s="223"/>
      <c r="Y1603" s="223"/>
      <c r="Z1603" s="223"/>
      <c r="AA1603" s="223"/>
    </row>
    <row r="1604">
      <c r="A1604" s="42">
        <f t="shared" si="3"/>
        <v>1603</v>
      </c>
      <c r="B1604" s="51" t="s">
        <v>41</v>
      </c>
      <c r="C1604" s="53" t="s">
        <v>7670</v>
      </c>
      <c r="D1604" s="42" t="s">
        <v>44</v>
      </c>
      <c r="E1604" s="42" t="s">
        <v>44</v>
      </c>
      <c r="F1604" s="53" t="s">
        <v>7609</v>
      </c>
      <c r="G1604" s="53" t="s">
        <v>47</v>
      </c>
      <c r="H1604" s="53" t="s">
        <v>48</v>
      </c>
      <c r="I1604" s="53" t="s">
        <v>401</v>
      </c>
      <c r="J1604" s="53" t="s">
        <v>7610</v>
      </c>
      <c r="K1604" s="53" t="s">
        <v>51</v>
      </c>
      <c r="L1604" s="53" t="s">
        <v>52</v>
      </c>
      <c r="M1604" s="53" t="s">
        <v>52</v>
      </c>
      <c r="N1604" s="62" t="s">
        <v>7611</v>
      </c>
      <c r="O1604" s="62" t="s">
        <v>44</v>
      </c>
      <c r="P1604" s="62" t="s">
        <v>7671</v>
      </c>
      <c r="Q1604" s="62" t="s">
        <v>7672</v>
      </c>
      <c r="R1604" s="53"/>
      <c r="S1604" s="53"/>
      <c r="T1604" s="82"/>
      <c r="U1604" s="42"/>
      <c r="V1604" s="62"/>
      <c r="W1604" s="64"/>
      <c r="X1604" s="223"/>
      <c r="Y1604" s="223"/>
      <c r="Z1604" s="223"/>
      <c r="AA1604" s="223"/>
    </row>
    <row r="1605">
      <c r="A1605" s="42">
        <f t="shared" si="3"/>
        <v>1604</v>
      </c>
      <c r="B1605" s="51" t="s">
        <v>41</v>
      </c>
      <c r="C1605" s="53" t="s">
        <v>7673</v>
      </c>
      <c r="D1605" s="42" t="s">
        <v>44</v>
      </c>
      <c r="E1605" s="42" t="s">
        <v>44</v>
      </c>
      <c r="F1605" s="53" t="s">
        <v>7609</v>
      </c>
      <c r="G1605" s="53" t="s">
        <v>47</v>
      </c>
      <c r="H1605" s="53" t="s">
        <v>48</v>
      </c>
      <c r="I1605" s="53" t="s">
        <v>401</v>
      </c>
      <c r="J1605" s="53" t="s">
        <v>7610</v>
      </c>
      <c r="K1605" s="53" t="s">
        <v>51</v>
      </c>
      <c r="L1605" s="53" t="s">
        <v>52</v>
      </c>
      <c r="M1605" s="53" t="s">
        <v>52</v>
      </c>
      <c r="N1605" s="62" t="s">
        <v>7611</v>
      </c>
      <c r="O1605" s="62" t="s">
        <v>44</v>
      </c>
      <c r="P1605" s="62" t="s">
        <v>7674</v>
      </c>
      <c r="Q1605" s="62" t="s">
        <v>7675</v>
      </c>
      <c r="R1605" s="53"/>
      <c r="S1605" s="53"/>
      <c r="T1605" s="82"/>
      <c r="U1605" s="42"/>
      <c r="V1605" s="62"/>
      <c r="W1605" s="64"/>
      <c r="X1605" s="223"/>
      <c r="Y1605" s="223"/>
      <c r="Z1605" s="223"/>
      <c r="AA1605" s="223"/>
    </row>
    <row r="1606">
      <c r="A1606" s="42">
        <f t="shared" si="3"/>
        <v>1605</v>
      </c>
      <c r="B1606" s="51" t="s">
        <v>41</v>
      </c>
      <c r="C1606" s="53" t="s">
        <v>7676</v>
      </c>
      <c r="D1606" s="42" t="s">
        <v>44</v>
      </c>
      <c r="E1606" s="42" t="s">
        <v>44</v>
      </c>
      <c r="F1606" s="53" t="s">
        <v>7609</v>
      </c>
      <c r="G1606" s="53" t="s">
        <v>47</v>
      </c>
      <c r="H1606" s="53" t="s">
        <v>48</v>
      </c>
      <c r="I1606" s="53" t="s">
        <v>401</v>
      </c>
      <c r="J1606" s="53" t="s">
        <v>7610</v>
      </c>
      <c r="K1606" s="53" t="s">
        <v>51</v>
      </c>
      <c r="L1606" s="53" t="s">
        <v>52</v>
      </c>
      <c r="M1606" s="53" t="s">
        <v>52</v>
      </c>
      <c r="N1606" s="62" t="s">
        <v>7611</v>
      </c>
      <c r="O1606" s="62" t="s">
        <v>44</v>
      </c>
      <c r="P1606" s="62" t="s">
        <v>7677</v>
      </c>
      <c r="Q1606" s="62" t="s">
        <v>7678</v>
      </c>
      <c r="R1606" s="53"/>
      <c r="S1606" s="53"/>
      <c r="T1606" s="82"/>
      <c r="U1606" s="42"/>
      <c r="V1606" s="62"/>
      <c r="W1606" s="64"/>
      <c r="X1606" s="223"/>
      <c r="Y1606" s="223"/>
      <c r="Z1606" s="223"/>
      <c r="AA1606" s="223"/>
    </row>
    <row r="1607">
      <c r="A1607" s="42">
        <f t="shared" si="3"/>
        <v>1606</v>
      </c>
      <c r="B1607" s="51" t="s">
        <v>41</v>
      </c>
      <c r="C1607" s="53" t="s">
        <v>7679</v>
      </c>
      <c r="D1607" s="42" t="s">
        <v>44</v>
      </c>
      <c r="E1607" s="42" t="s">
        <v>44</v>
      </c>
      <c r="F1607" s="53" t="s">
        <v>7609</v>
      </c>
      <c r="G1607" s="53" t="s">
        <v>47</v>
      </c>
      <c r="H1607" s="53" t="s">
        <v>91</v>
      </c>
      <c r="I1607" s="53" t="s">
        <v>401</v>
      </c>
      <c r="J1607" s="53" t="s">
        <v>7610</v>
      </c>
      <c r="K1607" s="53" t="s">
        <v>51</v>
      </c>
      <c r="L1607" s="53" t="s">
        <v>52</v>
      </c>
      <c r="M1607" s="53" t="s">
        <v>52</v>
      </c>
      <c r="N1607" s="62" t="s">
        <v>7680</v>
      </c>
      <c r="O1607" s="62" t="s">
        <v>44</v>
      </c>
      <c r="P1607" s="62" t="s">
        <v>7681</v>
      </c>
      <c r="Q1607" s="62" t="s">
        <v>7682</v>
      </c>
      <c r="R1607" s="53"/>
      <c r="S1607" s="53"/>
      <c r="T1607" s="82"/>
      <c r="U1607" s="42"/>
      <c r="V1607" s="62"/>
      <c r="W1607" s="64"/>
      <c r="X1607" s="223"/>
      <c r="Y1607" s="223"/>
      <c r="Z1607" s="223"/>
      <c r="AA1607" s="223"/>
    </row>
    <row r="1608">
      <c r="A1608" s="42">
        <f t="shared" si="3"/>
        <v>1607</v>
      </c>
      <c r="B1608" s="51" t="s">
        <v>41</v>
      </c>
      <c r="C1608" s="53" t="s">
        <v>7683</v>
      </c>
      <c r="D1608" s="42" t="s">
        <v>44</v>
      </c>
      <c r="E1608" s="42" t="s">
        <v>44</v>
      </c>
      <c r="F1608" s="53" t="s">
        <v>7609</v>
      </c>
      <c r="G1608" s="53" t="s">
        <v>47</v>
      </c>
      <c r="H1608" s="53" t="s">
        <v>91</v>
      </c>
      <c r="I1608" s="53" t="s">
        <v>401</v>
      </c>
      <c r="J1608" s="53" t="s">
        <v>7610</v>
      </c>
      <c r="K1608" s="53" t="s">
        <v>51</v>
      </c>
      <c r="L1608" s="53" t="s">
        <v>52</v>
      </c>
      <c r="M1608" s="53" t="s">
        <v>52</v>
      </c>
      <c r="N1608" s="62" t="s">
        <v>7611</v>
      </c>
      <c r="O1608" s="62" t="s">
        <v>44</v>
      </c>
      <c r="P1608" s="62" t="s">
        <v>7684</v>
      </c>
      <c r="Q1608" s="62" t="s">
        <v>7685</v>
      </c>
      <c r="R1608" s="53"/>
      <c r="S1608" s="53"/>
      <c r="T1608" s="82"/>
      <c r="U1608" s="42"/>
      <c r="V1608" s="62"/>
      <c r="W1608" s="64"/>
      <c r="X1608" s="223"/>
      <c r="Y1608" s="223"/>
      <c r="Z1608" s="223"/>
      <c r="AA1608" s="223"/>
    </row>
    <row r="1609">
      <c r="A1609" s="42">
        <f t="shared" si="3"/>
        <v>1608</v>
      </c>
      <c r="B1609" s="51" t="s">
        <v>41</v>
      </c>
      <c r="C1609" s="53" t="s">
        <v>7686</v>
      </c>
      <c r="D1609" s="42" t="s">
        <v>44</v>
      </c>
      <c r="E1609" s="42" t="s">
        <v>44</v>
      </c>
      <c r="F1609" s="53" t="s">
        <v>7609</v>
      </c>
      <c r="G1609" s="53" t="s">
        <v>47</v>
      </c>
      <c r="H1609" s="53" t="s">
        <v>48</v>
      </c>
      <c r="I1609" s="53" t="s">
        <v>401</v>
      </c>
      <c r="J1609" s="53" t="s">
        <v>7610</v>
      </c>
      <c r="K1609" s="53" t="s">
        <v>51</v>
      </c>
      <c r="L1609" s="53" t="s">
        <v>52</v>
      </c>
      <c r="M1609" s="53" t="s">
        <v>52</v>
      </c>
      <c r="N1609" s="62" t="s">
        <v>7680</v>
      </c>
      <c r="O1609" s="62" t="s">
        <v>44</v>
      </c>
      <c r="P1609" s="62" t="s">
        <v>7056</v>
      </c>
      <c r="Q1609" s="62" t="s">
        <v>7687</v>
      </c>
      <c r="R1609" s="53"/>
      <c r="S1609" s="53"/>
      <c r="T1609" s="82"/>
      <c r="U1609" s="42"/>
      <c r="V1609" s="62"/>
      <c r="W1609" s="64"/>
      <c r="X1609" s="223"/>
      <c r="Y1609" s="223"/>
      <c r="Z1609" s="223"/>
      <c r="AA1609" s="223"/>
    </row>
    <row r="1610">
      <c r="A1610" s="42">
        <f t="shared" si="3"/>
        <v>1609</v>
      </c>
      <c r="B1610" s="51" t="s">
        <v>41</v>
      </c>
      <c r="C1610" s="53" t="s">
        <v>7688</v>
      </c>
      <c r="D1610" s="42" t="s">
        <v>44</v>
      </c>
      <c r="E1610" s="42" t="s">
        <v>44</v>
      </c>
      <c r="F1610" s="53" t="s">
        <v>7609</v>
      </c>
      <c r="G1610" s="53" t="s">
        <v>47</v>
      </c>
      <c r="H1610" s="53" t="s">
        <v>48</v>
      </c>
      <c r="I1610" s="53" t="s">
        <v>401</v>
      </c>
      <c r="J1610" s="53" t="s">
        <v>7610</v>
      </c>
      <c r="K1610" s="53" t="s">
        <v>51</v>
      </c>
      <c r="L1610" s="53" t="s">
        <v>52</v>
      </c>
      <c r="M1610" s="53" t="s">
        <v>52</v>
      </c>
      <c r="N1610" s="62" t="s">
        <v>7689</v>
      </c>
      <c r="O1610" s="62" t="s">
        <v>44</v>
      </c>
      <c r="P1610" s="62" t="s">
        <v>7690</v>
      </c>
      <c r="Q1610" s="62" t="s">
        <v>7691</v>
      </c>
      <c r="R1610" s="53"/>
      <c r="S1610" s="53"/>
      <c r="T1610" s="82"/>
      <c r="U1610" s="42"/>
      <c r="V1610" s="62"/>
      <c r="W1610" s="64"/>
      <c r="X1610" s="223"/>
      <c r="Y1610" s="223"/>
      <c r="Z1610" s="223"/>
      <c r="AA1610" s="223"/>
    </row>
    <row r="1611">
      <c r="A1611" s="42">
        <f t="shared" si="3"/>
        <v>1610</v>
      </c>
      <c r="B1611" s="51" t="s">
        <v>41</v>
      </c>
      <c r="C1611" s="53" t="s">
        <v>7692</v>
      </c>
      <c r="D1611" s="42" t="s">
        <v>44</v>
      </c>
      <c r="E1611" s="42" t="s">
        <v>44</v>
      </c>
      <c r="F1611" s="53" t="s">
        <v>7609</v>
      </c>
      <c r="G1611" s="53" t="s">
        <v>47</v>
      </c>
      <c r="H1611" s="53" t="s">
        <v>48</v>
      </c>
      <c r="I1611" s="53" t="s">
        <v>401</v>
      </c>
      <c r="J1611" s="53" t="s">
        <v>7610</v>
      </c>
      <c r="K1611" s="53" t="s">
        <v>51</v>
      </c>
      <c r="L1611" s="53" t="s">
        <v>52</v>
      </c>
      <c r="M1611" s="53" t="s">
        <v>52</v>
      </c>
      <c r="N1611" s="62" t="s">
        <v>7693</v>
      </c>
      <c r="O1611" s="62" t="s">
        <v>44</v>
      </c>
      <c r="P1611" s="62" t="s">
        <v>7694</v>
      </c>
      <c r="Q1611" s="62" t="s">
        <v>7695</v>
      </c>
      <c r="R1611" s="53"/>
      <c r="S1611" s="53"/>
      <c r="T1611" s="82"/>
      <c r="U1611" s="42"/>
      <c r="V1611" s="62"/>
      <c r="W1611" s="64"/>
      <c r="X1611" s="223"/>
      <c r="Y1611" s="223"/>
      <c r="Z1611" s="223"/>
      <c r="AA1611" s="223"/>
    </row>
    <row r="1612">
      <c r="A1612" s="42">
        <f t="shared" si="3"/>
        <v>1611</v>
      </c>
      <c r="B1612" s="51" t="s">
        <v>41</v>
      </c>
      <c r="C1612" s="53" t="s">
        <v>7696</v>
      </c>
      <c r="D1612" s="42" t="s">
        <v>44</v>
      </c>
      <c r="E1612" s="42" t="s">
        <v>44</v>
      </c>
      <c r="F1612" s="53" t="s">
        <v>7609</v>
      </c>
      <c r="G1612" s="53" t="s">
        <v>47</v>
      </c>
      <c r="H1612" s="53" t="s">
        <v>48</v>
      </c>
      <c r="I1612" s="53" t="s">
        <v>401</v>
      </c>
      <c r="J1612" s="53" t="s">
        <v>7610</v>
      </c>
      <c r="K1612" s="53" t="s">
        <v>51</v>
      </c>
      <c r="L1612" s="53" t="s">
        <v>52</v>
      </c>
      <c r="M1612" s="53" t="s">
        <v>52</v>
      </c>
      <c r="N1612" s="62" t="s">
        <v>7680</v>
      </c>
      <c r="O1612" s="62" t="s">
        <v>44</v>
      </c>
      <c r="P1612" s="62" t="s">
        <v>7697</v>
      </c>
      <c r="Q1612" s="62" t="s">
        <v>7698</v>
      </c>
      <c r="R1612" s="53"/>
      <c r="S1612" s="53"/>
      <c r="T1612" s="82"/>
      <c r="U1612" s="42"/>
      <c r="V1612" s="62"/>
      <c r="W1612" s="64"/>
      <c r="X1612" s="223"/>
      <c r="Y1612" s="223"/>
      <c r="Z1612" s="223"/>
      <c r="AA1612" s="223"/>
    </row>
    <row r="1613">
      <c r="A1613" s="42">
        <f t="shared" si="3"/>
        <v>1612</v>
      </c>
      <c r="B1613" s="51" t="s">
        <v>41</v>
      </c>
      <c r="C1613" s="53" t="s">
        <v>7699</v>
      </c>
      <c r="D1613" s="42" t="s">
        <v>44</v>
      </c>
      <c r="E1613" s="42" t="s">
        <v>44</v>
      </c>
      <c r="F1613" s="53" t="s">
        <v>7609</v>
      </c>
      <c r="G1613" s="53" t="s">
        <v>47</v>
      </c>
      <c r="H1613" s="53" t="s">
        <v>48</v>
      </c>
      <c r="I1613" s="53" t="s">
        <v>401</v>
      </c>
      <c r="J1613" s="53" t="s">
        <v>7610</v>
      </c>
      <c r="K1613" s="53" t="s">
        <v>51</v>
      </c>
      <c r="L1613" s="53" t="s">
        <v>52</v>
      </c>
      <c r="M1613" s="53" t="s">
        <v>52</v>
      </c>
      <c r="N1613" s="62" t="s">
        <v>7700</v>
      </c>
      <c r="O1613" s="62" t="s">
        <v>44</v>
      </c>
      <c r="P1613" s="62" t="s">
        <v>7701</v>
      </c>
      <c r="Q1613" s="62" t="s">
        <v>7702</v>
      </c>
      <c r="R1613" s="53"/>
      <c r="S1613" s="53"/>
      <c r="T1613" s="82"/>
      <c r="U1613" s="42"/>
      <c r="V1613" s="62"/>
      <c r="W1613" s="64"/>
      <c r="X1613" s="223"/>
      <c r="Y1613" s="223"/>
      <c r="Z1613" s="223"/>
      <c r="AA1613" s="223"/>
    </row>
    <row r="1614">
      <c r="A1614" s="42">
        <f t="shared" si="3"/>
        <v>1613</v>
      </c>
      <c r="B1614" s="51" t="s">
        <v>41</v>
      </c>
      <c r="C1614" s="53" t="s">
        <v>7703</v>
      </c>
      <c r="D1614" s="42" t="s">
        <v>44</v>
      </c>
      <c r="E1614" s="42" t="s">
        <v>44</v>
      </c>
      <c r="F1614" s="53" t="s">
        <v>7609</v>
      </c>
      <c r="G1614" s="53" t="s">
        <v>47</v>
      </c>
      <c r="H1614" s="53" t="s">
        <v>95</v>
      </c>
      <c r="I1614" s="53" t="s">
        <v>401</v>
      </c>
      <c r="J1614" s="53" t="s">
        <v>7610</v>
      </c>
      <c r="K1614" s="53" t="s">
        <v>51</v>
      </c>
      <c r="L1614" s="53" t="s">
        <v>52</v>
      </c>
      <c r="M1614" s="53" t="s">
        <v>52</v>
      </c>
      <c r="N1614" s="62" t="s">
        <v>7704</v>
      </c>
      <c r="O1614" s="62" t="s">
        <v>44</v>
      </c>
      <c r="P1614" s="62" t="s">
        <v>7705</v>
      </c>
      <c r="Q1614" s="62" t="s">
        <v>6467</v>
      </c>
      <c r="R1614" s="53"/>
      <c r="S1614" s="53"/>
      <c r="T1614" s="82"/>
      <c r="U1614" s="42"/>
      <c r="V1614" s="62"/>
      <c r="W1614" s="64"/>
      <c r="X1614" s="223"/>
      <c r="Y1614" s="223"/>
      <c r="Z1614" s="223"/>
      <c r="AA1614" s="223"/>
    </row>
    <row r="1615">
      <c r="A1615" s="42">
        <f t="shared" si="3"/>
        <v>1614</v>
      </c>
      <c r="B1615" s="51" t="s">
        <v>41</v>
      </c>
      <c r="C1615" s="53" t="s">
        <v>7706</v>
      </c>
      <c r="D1615" s="42" t="s">
        <v>44</v>
      </c>
      <c r="E1615" s="42" t="s">
        <v>44</v>
      </c>
      <c r="F1615" s="53" t="s">
        <v>7609</v>
      </c>
      <c r="G1615" s="53" t="s">
        <v>47</v>
      </c>
      <c r="H1615" s="53" t="s">
        <v>91</v>
      </c>
      <c r="I1615" s="53" t="s">
        <v>401</v>
      </c>
      <c r="J1615" s="53" t="s">
        <v>7610</v>
      </c>
      <c r="K1615" s="53" t="s">
        <v>51</v>
      </c>
      <c r="L1615" s="53" t="s">
        <v>52</v>
      </c>
      <c r="M1615" s="53" t="s">
        <v>52</v>
      </c>
      <c r="N1615" s="62" t="s">
        <v>7700</v>
      </c>
      <c r="O1615" s="62" t="s">
        <v>44</v>
      </c>
      <c r="P1615" s="62" t="s">
        <v>7707</v>
      </c>
      <c r="Q1615" s="62" t="s">
        <v>7708</v>
      </c>
      <c r="R1615" s="53"/>
      <c r="S1615" s="53"/>
      <c r="T1615" s="82"/>
      <c r="U1615" s="42"/>
      <c r="V1615" s="62"/>
      <c r="W1615" s="64"/>
      <c r="X1615" s="223"/>
      <c r="Y1615" s="223"/>
      <c r="Z1615" s="223"/>
      <c r="AA1615" s="223"/>
    </row>
    <row r="1616">
      <c r="A1616" s="42">
        <f t="shared" si="3"/>
        <v>1615</v>
      </c>
      <c r="B1616" s="51" t="s">
        <v>41</v>
      </c>
      <c r="C1616" s="53" t="s">
        <v>7709</v>
      </c>
      <c r="D1616" s="42" t="s">
        <v>44</v>
      </c>
      <c r="E1616" s="42" t="s">
        <v>44</v>
      </c>
      <c r="F1616" s="53" t="s">
        <v>7609</v>
      </c>
      <c r="G1616" s="53" t="s">
        <v>47</v>
      </c>
      <c r="H1616" s="53" t="s">
        <v>95</v>
      </c>
      <c r="I1616" s="53" t="s">
        <v>401</v>
      </c>
      <c r="J1616" s="53" t="s">
        <v>7610</v>
      </c>
      <c r="K1616" s="53" t="s">
        <v>51</v>
      </c>
      <c r="L1616" s="53" t="s">
        <v>52</v>
      </c>
      <c r="M1616" s="53" t="s">
        <v>52</v>
      </c>
      <c r="N1616" s="62" t="s">
        <v>7710</v>
      </c>
      <c r="O1616" s="62" t="s">
        <v>44</v>
      </c>
      <c r="P1616" s="62" t="s">
        <v>7711</v>
      </c>
      <c r="Q1616" s="62" t="s">
        <v>7712</v>
      </c>
      <c r="R1616" s="53"/>
      <c r="S1616" s="53"/>
      <c r="T1616" s="82"/>
      <c r="U1616" s="42"/>
      <c r="V1616" s="62"/>
      <c r="W1616" s="64"/>
      <c r="X1616" s="223"/>
      <c r="Y1616" s="223"/>
      <c r="Z1616" s="223"/>
      <c r="AA1616" s="223"/>
    </row>
    <row r="1617">
      <c r="A1617" s="42">
        <f t="shared" si="3"/>
        <v>1616</v>
      </c>
      <c r="B1617" s="51" t="s">
        <v>41</v>
      </c>
      <c r="C1617" s="53" t="s">
        <v>7713</v>
      </c>
      <c r="D1617" s="42" t="s">
        <v>44</v>
      </c>
      <c r="E1617" s="42" t="s">
        <v>44</v>
      </c>
      <c r="F1617" s="53" t="s">
        <v>7609</v>
      </c>
      <c r="G1617" s="53" t="s">
        <v>47</v>
      </c>
      <c r="H1617" s="53" t="s">
        <v>91</v>
      </c>
      <c r="I1617" s="53" t="s">
        <v>401</v>
      </c>
      <c r="J1617" s="53" t="s">
        <v>7610</v>
      </c>
      <c r="K1617" s="53" t="s">
        <v>51</v>
      </c>
      <c r="L1617" s="53" t="s">
        <v>52</v>
      </c>
      <c r="M1617" s="53" t="s">
        <v>52</v>
      </c>
      <c r="N1617" s="62" t="s">
        <v>7714</v>
      </c>
      <c r="O1617" s="62" t="s">
        <v>44</v>
      </c>
      <c r="P1617" s="62" t="s">
        <v>7715</v>
      </c>
      <c r="Q1617" s="62" t="s">
        <v>6321</v>
      </c>
      <c r="R1617" s="53"/>
      <c r="S1617" s="53"/>
      <c r="T1617" s="82"/>
      <c r="U1617" s="42"/>
      <c r="V1617" s="62"/>
      <c r="W1617" s="64"/>
      <c r="X1617" s="223"/>
      <c r="Y1617" s="223"/>
      <c r="Z1617" s="223"/>
      <c r="AA1617" s="223"/>
    </row>
    <row r="1618">
      <c r="A1618" s="42">
        <f t="shared" si="3"/>
        <v>1617</v>
      </c>
      <c r="B1618" s="51" t="s">
        <v>41</v>
      </c>
      <c r="C1618" s="53" t="s">
        <v>7716</v>
      </c>
      <c r="D1618" s="42" t="s">
        <v>44</v>
      </c>
      <c r="E1618" s="42" t="s">
        <v>44</v>
      </c>
      <c r="F1618" s="53" t="s">
        <v>7609</v>
      </c>
      <c r="G1618" s="53" t="s">
        <v>47</v>
      </c>
      <c r="H1618" s="53" t="s">
        <v>48</v>
      </c>
      <c r="I1618" s="53" t="s">
        <v>401</v>
      </c>
      <c r="J1618" s="53" t="s">
        <v>7610</v>
      </c>
      <c r="K1618" s="53" t="s">
        <v>51</v>
      </c>
      <c r="L1618" s="53" t="s">
        <v>52</v>
      </c>
      <c r="M1618" s="53" t="s">
        <v>52</v>
      </c>
      <c r="N1618" s="62" t="s">
        <v>7714</v>
      </c>
      <c r="O1618" s="62" t="s">
        <v>44</v>
      </c>
      <c r="P1618" s="62" t="s">
        <v>7717</v>
      </c>
      <c r="Q1618" s="62" t="s">
        <v>7718</v>
      </c>
      <c r="R1618" s="53"/>
      <c r="S1618" s="53"/>
      <c r="T1618" s="82"/>
      <c r="U1618" s="42"/>
      <c r="V1618" s="62"/>
      <c r="W1618" s="64"/>
      <c r="X1618" s="223"/>
      <c r="Y1618" s="223"/>
      <c r="Z1618" s="223"/>
      <c r="AA1618" s="223"/>
    </row>
    <row r="1619">
      <c r="A1619" s="42">
        <f t="shared" si="3"/>
        <v>1618</v>
      </c>
      <c r="B1619" s="51" t="s">
        <v>41</v>
      </c>
      <c r="C1619" s="53" t="s">
        <v>7719</v>
      </c>
      <c r="D1619" s="42" t="s">
        <v>44</v>
      </c>
      <c r="E1619" s="42" t="s">
        <v>44</v>
      </c>
      <c r="F1619" s="53" t="s">
        <v>7609</v>
      </c>
      <c r="G1619" s="53" t="s">
        <v>47</v>
      </c>
      <c r="H1619" s="53" t="s">
        <v>48</v>
      </c>
      <c r="I1619" s="53" t="s">
        <v>401</v>
      </c>
      <c r="J1619" s="53" t="s">
        <v>7610</v>
      </c>
      <c r="K1619" s="53" t="s">
        <v>51</v>
      </c>
      <c r="L1619" s="53" t="s">
        <v>52</v>
      </c>
      <c r="M1619" s="53" t="s">
        <v>52</v>
      </c>
      <c r="N1619" s="62" t="s">
        <v>7720</v>
      </c>
      <c r="O1619" s="62" t="s">
        <v>44</v>
      </c>
      <c r="P1619" s="62" t="s">
        <v>7721</v>
      </c>
      <c r="Q1619" s="62" t="s">
        <v>7722</v>
      </c>
      <c r="R1619" s="53"/>
      <c r="S1619" s="53"/>
      <c r="T1619" s="82"/>
      <c r="U1619" s="42"/>
      <c r="V1619" s="62"/>
      <c r="W1619" s="64"/>
      <c r="X1619" s="223"/>
      <c r="Y1619" s="223"/>
      <c r="Z1619" s="223"/>
      <c r="AA1619" s="223"/>
    </row>
    <row r="1620">
      <c r="A1620" s="42">
        <f t="shared" si="3"/>
        <v>1619</v>
      </c>
      <c r="B1620" s="51" t="s">
        <v>41</v>
      </c>
      <c r="C1620" s="53" t="s">
        <v>7723</v>
      </c>
      <c r="D1620" s="42" t="s">
        <v>44</v>
      </c>
      <c r="E1620" s="42" t="s">
        <v>44</v>
      </c>
      <c r="F1620" s="53" t="s">
        <v>7609</v>
      </c>
      <c r="G1620" s="53" t="s">
        <v>47</v>
      </c>
      <c r="H1620" s="53" t="s">
        <v>48</v>
      </c>
      <c r="I1620" s="53" t="s">
        <v>401</v>
      </c>
      <c r="J1620" s="53" t="s">
        <v>7610</v>
      </c>
      <c r="K1620" s="53" t="s">
        <v>51</v>
      </c>
      <c r="L1620" s="53" t="s">
        <v>52</v>
      </c>
      <c r="M1620" s="53" t="s">
        <v>52</v>
      </c>
      <c r="N1620" s="62" t="s">
        <v>7724</v>
      </c>
      <c r="O1620" s="62" t="s">
        <v>44</v>
      </c>
      <c r="P1620" s="62" t="s">
        <v>7725</v>
      </c>
      <c r="Q1620" s="62" t="s">
        <v>7722</v>
      </c>
      <c r="R1620" s="53"/>
      <c r="S1620" s="53"/>
      <c r="T1620" s="82"/>
      <c r="U1620" s="42"/>
      <c r="V1620" s="62"/>
      <c r="W1620" s="64"/>
      <c r="X1620" s="223"/>
      <c r="Y1620" s="223"/>
      <c r="Z1620" s="223"/>
      <c r="AA1620" s="223"/>
    </row>
    <row r="1621">
      <c r="A1621" s="42">
        <f t="shared" si="3"/>
        <v>1620</v>
      </c>
      <c r="B1621" s="51" t="s">
        <v>41</v>
      </c>
      <c r="C1621" s="53" t="s">
        <v>7726</v>
      </c>
      <c r="D1621" s="42" t="s">
        <v>44</v>
      </c>
      <c r="E1621" s="42" t="s">
        <v>44</v>
      </c>
      <c r="F1621" s="53" t="s">
        <v>7609</v>
      </c>
      <c r="G1621" s="53" t="s">
        <v>47</v>
      </c>
      <c r="H1621" s="53" t="s">
        <v>48</v>
      </c>
      <c r="I1621" s="53" t="s">
        <v>401</v>
      </c>
      <c r="J1621" s="53" t="s">
        <v>7610</v>
      </c>
      <c r="K1621" s="53" t="s">
        <v>51</v>
      </c>
      <c r="L1621" s="53" t="s">
        <v>52</v>
      </c>
      <c r="M1621" s="53" t="s">
        <v>52</v>
      </c>
      <c r="N1621" s="62" t="s">
        <v>7727</v>
      </c>
      <c r="O1621" s="62" t="s">
        <v>44</v>
      </c>
      <c r="P1621" s="62" t="s">
        <v>7728</v>
      </c>
      <c r="Q1621" s="62" t="s">
        <v>7722</v>
      </c>
      <c r="R1621" s="53"/>
      <c r="S1621" s="53"/>
      <c r="T1621" s="82"/>
      <c r="U1621" s="42"/>
      <c r="V1621" s="62"/>
      <c r="W1621" s="64"/>
      <c r="X1621" s="223"/>
      <c r="Y1621" s="223"/>
      <c r="Z1621" s="223"/>
      <c r="AA1621" s="223"/>
    </row>
    <row r="1622">
      <c r="A1622" s="42">
        <f t="shared" si="3"/>
        <v>1621</v>
      </c>
      <c r="B1622" s="51" t="s">
        <v>41</v>
      </c>
      <c r="C1622" s="53" t="s">
        <v>7729</v>
      </c>
      <c r="D1622" s="42" t="s">
        <v>44</v>
      </c>
      <c r="E1622" s="42" t="s">
        <v>44</v>
      </c>
      <c r="F1622" s="53" t="s">
        <v>7609</v>
      </c>
      <c r="G1622" s="53" t="s">
        <v>47</v>
      </c>
      <c r="H1622" s="53" t="s">
        <v>95</v>
      </c>
      <c r="I1622" s="53" t="s">
        <v>401</v>
      </c>
      <c r="J1622" s="53" t="s">
        <v>7610</v>
      </c>
      <c r="K1622" s="53" t="s">
        <v>51</v>
      </c>
      <c r="L1622" s="53" t="s">
        <v>52</v>
      </c>
      <c r="M1622" s="53" t="s">
        <v>52</v>
      </c>
      <c r="N1622" s="62" t="s">
        <v>7730</v>
      </c>
      <c r="O1622" s="62" t="s">
        <v>44</v>
      </c>
      <c r="P1622" s="62" t="s">
        <v>7731</v>
      </c>
      <c r="Q1622" s="62" t="s">
        <v>7732</v>
      </c>
      <c r="R1622" s="53"/>
      <c r="S1622" s="53"/>
      <c r="T1622" s="82"/>
      <c r="U1622" s="42"/>
      <c r="V1622" s="62"/>
      <c r="W1622" s="64"/>
      <c r="X1622" s="223"/>
      <c r="Y1622" s="223"/>
      <c r="Z1622" s="223"/>
      <c r="AA1622" s="223"/>
    </row>
    <row r="1623">
      <c r="A1623" s="42">
        <f t="shared" si="3"/>
        <v>1622</v>
      </c>
      <c r="B1623" s="51" t="s">
        <v>41</v>
      </c>
      <c r="C1623" s="53" t="s">
        <v>7733</v>
      </c>
      <c r="D1623" s="42" t="s">
        <v>44</v>
      </c>
      <c r="E1623" s="42" t="s">
        <v>44</v>
      </c>
      <c r="F1623" s="53" t="s">
        <v>7609</v>
      </c>
      <c r="G1623" s="53" t="s">
        <v>47</v>
      </c>
      <c r="H1623" s="53" t="s">
        <v>48</v>
      </c>
      <c r="I1623" s="53" t="s">
        <v>401</v>
      </c>
      <c r="J1623" s="53" t="s">
        <v>7610</v>
      </c>
      <c r="K1623" s="53" t="s">
        <v>51</v>
      </c>
      <c r="L1623" s="53" t="s">
        <v>52</v>
      </c>
      <c r="M1623" s="53" t="s">
        <v>52</v>
      </c>
      <c r="N1623" s="62" t="s">
        <v>7680</v>
      </c>
      <c r="O1623" s="62" t="s">
        <v>44</v>
      </c>
      <c r="P1623" s="62" t="s">
        <v>7734</v>
      </c>
      <c r="Q1623" s="62" t="s">
        <v>7735</v>
      </c>
      <c r="R1623" s="53"/>
      <c r="S1623" s="53"/>
      <c r="T1623" s="82"/>
      <c r="U1623" s="42"/>
      <c r="V1623" s="62"/>
      <c r="W1623" s="64"/>
      <c r="X1623" s="223"/>
      <c r="Y1623" s="223"/>
      <c r="Z1623" s="223"/>
      <c r="AA1623" s="223"/>
    </row>
    <row r="1624">
      <c r="A1624" s="42">
        <f t="shared" si="3"/>
        <v>1623</v>
      </c>
      <c r="B1624" s="51" t="s">
        <v>41</v>
      </c>
      <c r="C1624" s="53" t="s">
        <v>7736</v>
      </c>
      <c r="D1624" s="42" t="s">
        <v>44</v>
      </c>
      <c r="E1624" s="42" t="s">
        <v>44</v>
      </c>
      <c r="F1624" s="53" t="s">
        <v>7609</v>
      </c>
      <c r="G1624" s="53" t="s">
        <v>47</v>
      </c>
      <c r="H1624" s="53" t="s">
        <v>48</v>
      </c>
      <c r="I1624" s="53" t="s">
        <v>401</v>
      </c>
      <c r="J1624" s="53" t="s">
        <v>7610</v>
      </c>
      <c r="K1624" s="53" t="s">
        <v>51</v>
      </c>
      <c r="L1624" s="53" t="s">
        <v>52</v>
      </c>
      <c r="M1624" s="53" t="s">
        <v>52</v>
      </c>
      <c r="N1624" s="62" t="s">
        <v>7737</v>
      </c>
      <c r="O1624" s="62" t="s">
        <v>44</v>
      </c>
      <c r="P1624" s="62" t="s">
        <v>7738</v>
      </c>
      <c r="Q1624" s="62" t="s">
        <v>7739</v>
      </c>
      <c r="R1624" s="53"/>
      <c r="S1624" s="53"/>
      <c r="T1624" s="82"/>
      <c r="U1624" s="42"/>
      <c r="V1624" s="62"/>
      <c r="W1624" s="64"/>
      <c r="X1624" s="223"/>
      <c r="Y1624" s="223"/>
      <c r="Z1624" s="223"/>
      <c r="AA1624" s="223"/>
    </row>
    <row r="1625">
      <c r="A1625" s="42">
        <f t="shared" si="3"/>
        <v>1624</v>
      </c>
      <c r="B1625" s="51" t="s">
        <v>41</v>
      </c>
      <c r="C1625" s="53" t="s">
        <v>7740</v>
      </c>
      <c r="D1625" s="42" t="s">
        <v>44</v>
      </c>
      <c r="E1625" s="42" t="s">
        <v>44</v>
      </c>
      <c r="F1625" s="53" t="s">
        <v>7609</v>
      </c>
      <c r="G1625" s="53" t="s">
        <v>47</v>
      </c>
      <c r="H1625" s="53" t="s">
        <v>95</v>
      </c>
      <c r="I1625" s="53" t="s">
        <v>401</v>
      </c>
      <c r="J1625" s="53" t="s">
        <v>7610</v>
      </c>
      <c r="K1625" s="53" t="s">
        <v>51</v>
      </c>
      <c r="L1625" s="53" t="s">
        <v>52</v>
      </c>
      <c r="M1625" s="53" t="s">
        <v>52</v>
      </c>
      <c r="N1625" s="62" t="s">
        <v>7741</v>
      </c>
      <c r="O1625" s="62" t="s">
        <v>44</v>
      </c>
      <c r="P1625" s="62" t="s">
        <v>7742</v>
      </c>
      <c r="Q1625" s="62" t="s">
        <v>7712</v>
      </c>
      <c r="R1625" s="53"/>
      <c r="S1625" s="53"/>
      <c r="T1625" s="82"/>
      <c r="U1625" s="42"/>
      <c r="V1625" s="62"/>
      <c r="W1625" s="64"/>
      <c r="X1625" s="223"/>
      <c r="Y1625" s="223"/>
      <c r="Z1625" s="223"/>
      <c r="AA1625" s="223"/>
    </row>
    <row r="1626">
      <c r="A1626" s="42">
        <f t="shared" si="3"/>
        <v>1625</v>
      </c>
      <c r="B1626" s="51" t="s">
        <v>41</v>
      </c>
      <c r="C1626" s="53" t="s">
        <v>7743</v>
      </c>
      <c r="D1626" s="42" t="s">
        <v>44</v>
      </c>
      <c r="E1626" s="42" t="s">
        <v>44</v>
      </c>
      <c r="F1626" s="53" t="s">
        <v>7609</v>
      </c>
      <c r="G1626" s="53" t="s">
        <v>47</v>
      </c>
      <c r="H1626" s="53" t="s">
        <v>91</v>
      </c>
      <c r="I1626" s="53" t="s">
        <v>401</v>
      </c>
      <c r="J1626" s="53" t="s">
        <v>7610</v>
      </c>
      <c r="K1626" s="53" t="s">
        <v>51</v>
      </c>
      <c r="L1626" s="53" t="s">
        <v>52</v>
      </c>
      <c r="M1626" s="53" t="s">
        <v>52</v>
      </c>
      <c r="N1626" s="62" t="s">
        <v>7737</v>
      </c>
      <c r="O1626" s="62" t="s">
        <v>44</v>
      </c>
      <c r="P1626" s="62" t="s">
        <v>7744</v>
      </c>
      <c r="Q1626" s="62" t="s">
        <v>6321</v>
      </c>
      <c r="R1626" s="53"/>
      <c r="S1626" s="53"/>
      <c r="T1626" s="82"/>
      <c r="U1626" s="42"/>
      <c r="V1626" s="62"/>
      <c r="W1626" s="64"/>
      <c r="X1626" s="223"/>
      <c r="Y1626" s="223"/>
      <c r="Z1626" s="223"/>
      <c r="AA1626" s="223"/>
    </row>
    <row r="1627">
      <c r="A1627" s="42">
        <f t="shared" si="3"/>
        <v>1626</v>
      </c>
      <c r="B1627" s="51" t="s">
        <v>41</v>
      </c>
      <c r="C1627" s="53" t="s">
        <v>7745</v>
      </c>
      <c r="D1627" s="42" t="s">
        <v>44</v>
      </c>
      <c r="E1627" s="42" t="s">
        <v>44</v>
      </c>
      <c r="F1627" s="53" t="s">
        <v>7609</v>
      </c>
      <c r="G1627" s="53" t="s">
        <v>47</v>
      </c>
      <c r="H1627" s="53" t="s">
        <v>48</v>
      </c>
      <c r="I1627" s="53" t="s">
        <v>401</v>
      </c>
      <c r="J1627" s="53" t="s">
        <v>7610</v>
      </c>
      <c r="K1627" s="53" t="s">
        <v>51</v>
      </c>
      <c r="L1627" s="53" t="s">
        <v>52</v>
      </c>
      <c r="M1627" s="53" t="s">
        <v>52</v>
      </c>
      <c r="N1627" s="62" t="s">
        <v>7700</v>
      </c>
      <c r="O1627" s="62" t="s">
        <v>44</v>
      </c>
      <c r="P1627" s="62" t="s">
        <v>7746</v>
      </c>
      <c r="Q1627" s="62" t="s">
        <v>7747</v>
      </c>
      <c r="R1627" s="53"/>
      <c r="S1627" s="53"/>
      <c r="T1627" s="82"/>
      <c r="U1627" s="42"/>
      <c r="V1627" s="62"/>
      <c r="W1627" s="64"/>
      <c r="X1627" s="223"/>
      <c r="Y1627" s="223"/>
      <c r="Z1627" s="223"/>
      <c r="AA1627" s="223"/>
    </row>
    <row r="1628">
      <c r="A1628" s="42">
        <f t="shared" si="3"/>
        <v>1627</v>
      </c>
      <c r="B1628" s="51" t="s">
        <v>41</v>
      </c>
      <c r="C1628" s="53" t="s">
        <v>7748</v>
      </c>
      <c r="D1628" s="42" t="s">
        <v>44</v>
      </c>
      <c r="E1628" s="42" t="s">
        <v>44</v>
      </c>
      <c r="F1628" s="53" t="s">
        <v>7609</v>
      </c>
      <c r="G1628" s="53" t="s">
        <v>47</v>
      </c>
      <c r="H1628" s="53" t="s">
        <v>48</v>
      </c>
      <c r="I1628" s="53" t="s">
        <v>401</v>
      </c>
      <c r="J1628" s="53" t="s">
        <v>7610</v>
      </c>
      <c r="K1628" s="53" t="s">
        <v>51</v>
      </c>
      <c r="L1628" s="53" t="s">
        <v>52</v>
      </c>
      <c r="M1628" s="53" t="s">
        <v>52</v>
      </c>
      <c r="N1628" s="62" t="s">
        <v>7737</v>
      </c>
      <c r="O1628" s="62" t="s">
        <v>44</v>
      </c>
      <c r="P1628" s="62" t="s">
        <v>7749</v>
      </c>
      <c r="Q1628" s="62" t="s">
        <v>7750</v>
      </c>
      <c r="R1628" s="53"/>
      <c r="S1628" s="53"/>
      <c r="T1628" s="82"/>
      <c r="U1628" s="42"/>
      <c r="V1628" s="62"/>
      <c r="W1628" s="64"/>
      <c r="X1628" s="223"/>
      <c r="Y1628" s="223"/>
      <c r="Z1628" s="223"/>
      <c r="AA1628" s="223"/>
    </row>
    <row r="1629">
      <c r="A1629" s="42">
        <f t="shared" si="3"/>
        <v>1628</v>
      </c>
      <c r="B1629" s="51" t="s">
        <v>41</v>
      </c>
      <c r="C1629" s="53" t="s">
        <v>7751</v>
      </c>
      <c r="D1629" s="42" t="s">
        <v>44</v>
      </c>
      <c r="E1629" s="42" t="s">
        <v>44</v>
      </c>
      <c r="F1629" s="53" t="s">
        <v>7609</v>
      </c>
      <c r="G1629" s="53" t="s">
        <v>47</v>
      </c>
      <c r="H1629" s="53" t="s">
        <v>48</v>
      </c>
      <c r="I1629" s="53" t="s">
        <v>401</v>
      </c>
      <c r="J1629" s="53" t="s">
        <v>7610</v>
      </c>
      <c r="K1629" s="53" t="s">
        <v>51</v>
      </c>
      <c r="L1629" s="53" t="s">
        <v>52</v>
      </c>
      <c r="M1629" s="53" t="s">
        <v>52</v>
      </c>
      <c r="N1629" s="62" t="s">
        <v>7714</v>
      </c>
      <c r="O1629" s="62" t="s">
        <v>44</v>
      </c>
      <c r="P1629" s="62" t="s">
        <v>7752</v>
      </c>
      <c r="Q1629" s="62" t="s">
        <v>7753</v>
      </c>
      <c r="R1629" s="53"/>
      <c r="S1629" s="53"/>
      <c r="T1629" s="82"/>
      <c r="U1629" s="42"/>
      <c r="V1629" s="62"/>
      <c r="W1629" s="64"/>
      <c r="X1629" s="223"/>
      <c r="Y1629" s="223"/>
      <c r="Z1629" s="223"/>
      <c r="AA1629" s="223"/>
    </row>
    <row r="1630">
      <c r="A1630" s="42">
        <f t="shared" si="3"/>
        <v>1629</v>
      </c>
      <c r="B1630" s="51" t="s">
        <v>41</v>
      </c>
      <c r="C1630" s="53" t="s">
        <v>7754</v>
      </c>
      <c r="D1630" s="42" t="s">
        <v>44</v>
      </c>
      <c r="E1630" s="42" t="s">
        <v>44</v>
      </c>
      <c r="F1630" s="53" t="s">
        <v>7609</v>
      </c>
      <c r="G1630" s="53" t="s">
        <v>47</v>
      </c>
      <c r="H1630" s="53" t="s">
        <v>48</v>
      </c>
      <c r="I1630" s="53" t="s">
        <v>401</v>
      </c>
      <c r="J1630" s="53" t="s">
        <v>7610</v>
      </c>
      <c r="K1630" s="53" t="s">
        <v>51</v>
      </c>
      <c r="L1630" s="53" t="s">
        <v>52</v>
      </c>
      <c r="M1630" s="53" t="s">
        <v>52</v>
      </c>
      <c r="N1630" s="62" t="s">
        <v>7700</v>
      </c>
      <c r="O1630" s="62" t="s">
        <v>44</v>
      </c>
      <c r="P1630" s="62" t="s">
        <v>7755</v>
      </c>
      <c r="Q1630" s="62" t="s">
        <v>7756</v>
      </c>
      <c r="R1630" s="53"/>
      <c r="S1630" s="53"/>
      <c r="T1630" s="82"/>
      <c r="U1630" s="42"/>
      <c r="V1630" s="62"/>
      <c r="W1630" s="64"/>
      <c r="X1630" s="223"/>
      <c r="Y1630" s="223"/>
      <c r="Z1630" s="223"/>
      <c r="AA1630" s="223"/>
    </row>
    <row r="1631">
      <c r="A1631" s="42">
        <f t="shared" si="3"/>
        <v>1630</v>
      </c>
      <c r="B1631" s="51" t="s">
        <v>41</v>
      </c>
      <c r="C1631" s="53" t="s">
        <v>7757</v>
      </c>
      <c r="D1631" s="42" t="s">
        <v>44</v>
      </c>
      <c r="E1631" s="42" t="s">
        <v>44</v>
      </c>
      <c r="F1631" s="53" t="s">
        <v>7609</v>
      </c>
      <c r="G1631" s="53" t="s">
        <v>47</v>
      </c>
      <c r="H1631" s="53" t="s">
        <v>95</v>
      </c>
      <c r="I1631" s="53" t="s">
        <v>401</v>
      </c>
      <c r="J1631" s="53" t="s">
        <v>7610</v>
      </c>
      <c r="K1631" s="53" t="s">
        <v>51</v>
      </c>
      <c r="L1631" s="53" t="s">
        <v>52</v>
      </c>
      <c r="M1631" s="53" t="s">
        <v>52</v>
      </c>
      <c r="N1631" s="62" t="s">
        <v>7737</v>
      </c>
      <c r="O1631" s="62" t="s">
        <v>44</v>
      </c>
      <c r="P1631" s="62" t="s">
        <v>7758</v>
      </c>
      <c r="Q1631" s="62" t="s">
        <v>7759</v>
      </c>
      <c r="R1631" s="53"/>
      <c r="S1631" s="53"/>
      <c r="T1631" s="82"/>
      <c r="U1631" s="42"/>
      <c r="V1631" s="62"/>
      <c r="W1631" s="64"/>
      <c r="X1631" s="223"/>
      <c r="Y1631" s="223"/>
      <c r="Z1631" s="223"/>
      <c r="AA1631" s="223"/>
    </row>
    <row r="1632">
      <c r="A1632" s="42">
        <f t="shared" si="3"/>
        <v>1631</v>
      </c>
      <c r="B1632" s="51" t="s">
        <v>41</v>
      </c>
      <c r="C1632" s="53" t="s">
        <v>7760</v>
      </c>
      <c r="D1632" s="42" t="s">
        <v>44</v>
      </c>
      <c r="E1632" s="42" t="s">
        <v>44</v>
      </c>
      <c r="F1632" s="53" t="s">
        <v>7761</v>
      </c>
      <c r="G1632" s="53" t="s">
        <v>111</v>
      </c>
      <c r="H1632" s="53" t="s">
        <v>112</v>
      </c>
      <c r="I1632" s="53" t="s">
        <v>401</v>
      </c>
      <c r="J1632" s="53" t="s">
        <v>7762</v>
      </c>
      <c r="K1632" s="53" t="s">
        <v>51</v>
      </c>
      <c r="L1632" s="53" t="s">
        <v>52</v>
      </c>
      <c r="M1632" s="53" t="s">
        <v>52</v>
      </c>
      <c r="N1632" s="62" t="s">
        <v>7763</v>
      </c>
      <c r="O1632" s="62" t="s">
        <v>44</v>
      </c>
      <c r="P1632" s="62" t="s">
        <v>6399</v>
      </c>
      <c r="Q1632" s="62" t="s">
        <v>7764</v>
      </c>
      <c r="R1632" s="53"/>
      <c r="S1632" s="53"/>
      <c r="T1632" s="82"/>
      <c r="U1632" s="42"/>
      <c r="V1632" s="62"/>
      <c r="W1632" s="64"/>
      <c r="X1632" s="223"/>
      <c r="Y1632" s="223"/>
      <c r="Z1632" s="223"/>
      <c r="AA1632" s="223"/>
    </row>
    <row r="1633">
      <c r="A1633" s="42">
        <f t="shared" si="3"/>
        <v>1632</v>
      </c>
      <c r="B1633" s="51" t="s">
        <v>41</v>
      </c>
      <c r="C1633" s="53" t="s">
        <v>7765</v>
      </c>
      <c r="D1633" s="42" t="s">
        <v>44</v>
      </c>
      <c r="E1633" s="42" t="s">
        <v>44</v>
      </c>
      <c r="F1633" s="53" t="s">
        <v>7761</v>
      </c>
      <c r="G1633" s="53" t="s">
        <v>47</v>
      </c>
      <c r="H1633" s="53" t="s">
        <v>48</v>
      </c>
      <c r="I1633" s="53" t="s">
        <v>401</v>
      </c>
      <c r="J1633" s="53" t="s">
        <v>7762</v>
      </c>
      <c r="K1633" s="53" t="s">
        <v>51</v>
      </c>
      <c r="L1633" s="53" t="s">
        <v>52</v>
      </c>
      <c r="M1633" s="53" t="s">
        <v>52</v>
      </c>
      <c r="N1633" s="62" t="s">
        <v>7763</v>
      </c>
      <c r="O1633" s="62" t="s">
        <v>44</v>
      </c>
      <c r="P1633" s="62" t="s">
        <v>5384</v>
      </c>
      <c r="Q1633" s="62" t="s">
        <v>7614</v>
      </c>
      <c r="R1633" s="53"/>
      <c r="S1633" s="53"/>
      <c r="T1633" s="82"/>
      <c r="U1633" s="42"/>
      <c r="V1633" s="62"/>
      <c r="W1633" s="64"/>
      <c r="X1633" s="223"/>
      <c r="Y1633" s="223"/>
      <c r="Z1633" s="223"/>
      <c r="AA1633" s="223"/>
    </row>
    <row r="1634">
      <c r="A1634" s="42">
        <f t="shared" si="3"/>
        <v>1633</v>
      </c>
      <c r="B1634" s="51" t="s">
        <v>41</v>
      </c>
      <c r="C1634" s="53" t="s">
        <v>7766</v>
      </c>
      <c r="D1634" s="42" t="s">
        <v>44</v>
      </c>
      <c r="E1634" s="42" t="s">
        <v>44</v>
      </c>
      <c r="F1634" s="53" t="s">
        <v>7761</v>
      </c>
      <c r="G1634" s="53" t="s">
        <v>47</v>
      </c>
      <c r="H1634" s="53" t="s">
        <v>48</v>
      </c>
      <c r="I1634" s="53" t="s">
        <v>401</v>
      </c>
      <c r="J1634" s="53" t="s">
        <v>7762</v>
      </c>
      <c r="K1634" s="53" t="s">
        <v>51</v>
      </c>
      <c r="L1634" s="53" t="s">
        <v>52</v>
      </c>
      <c r="M1634" s="53" t="s">
        <v>52</v>
      </c>
      <c r="N1634" s="62" t="s">
        <v>7763</v>
      </c>
      <c r="O1634" s="62" t="s">
        <v>44</v>
      </c>
      <c r="P1634" s="62" t="s">
        <v>5389</v>
      </c>
      <c r="Q1634" s="62" t="s">
        <v>7616</v>
      </c>
      <c r="R1634" s="53"/>
      <c r="S1634" s="53"/>
      <c r="T1634" s="82"/>
      <c r="U1634" s="42"/>
      <c r="V1634" s="62"/>
      <c r="W1634" s="64"/>
      <c r="X1634" s="223"/>
      <c r="Y1634" s="223"/>
      <c r="Z1634" s="223"/>
      <c r="AA1634" s="223"/>
    </row>
    <row r="1635">
      <c r="A1635" s="42">
        <f t="shared" si="3"/>
        <v>1634</v>
      </c>
      <c r="B1635" s="51" t="s">
        <v>41</v>
      </c>
      <c r="C1635" s="53" t="s">
        <v>7767</v>
      </c>
      <c r="D1635" s="42" t="s">
        <v>44</v>
      </c>
      <c r="E1635" s="42" t="s">
        <v>44</v>
      </c>
      <c r="F1635" s="53" t="s">
        <v>7761</v>
      </c>
      <c r="G1635" s="53" t="s">
        <v>47</v>
      </c>
      <c r="H1635" s="53" t="s">
        <v>48</v>
      </c>
      <c r="I1635" s="53" t="s">
        <v>401</v>
      </c>
      <c r="J1635" s="53" t="s">
        <v>7762</v>
      </c>
      <c r="K1635" s="53" t="s">
        <v>51</v>
      </c>
      <c r="L1635" s="53" t="s">
        <v>52</v>
      </c>
      <c r="M1635" s="53" t="s">
        <v>52</v>
      </c>
      <c r="N1635" s="62" t="s">
        <v>7768</v>
      </c>
      <c r="O1635" s="62" t="s">
        <v>44</v>
      </c>
      <c r="P1635" s="62" t="s">
        <v>7769</v>
      </c>
      <c r="Q1635" s="62" t="s">
        <v>7770</v>
      </c>
      <c r="R1635" s="53"/>
      <c r="S1635" s="53"/>
      <c r="T1635" s="82"/>
      <c r="U1635" s="42"/>
      <c r="V1635" s="62"/>
      <c r="W1635" s="64"/>
      <c r="X1635" s="223"/>
      <c r="Y1635" s="223"/>
      <c r="Z1635" s="223"/>
      <c r="AA1635" s="223"/>
    </row>
    <row r="1636">
      <c r="A1636" s="42">
        <f t="shared" si="3"/>
        <v>1635</v>
      </c>
      <c r="B1636" s="51" t="s">
        <v>41</v>
      </c>
      <c r="C1636" s="53" t="s">
        <v>7771</v>
      </c>
      <c r="D1636" s="42" t="s">
        <v>44</v>
      </c>
      <c r="E1636" s="42" t="s">
        <v>44</v>
      </c>
      <c r="F1636" s="53" t="s">
        <v>7761</v>
      </c>
      <c r="G1636" s="53" t="s">
        <v>47</v>
      </c>
      <c r="H1636" s="53" t="s">
        <v>48</v>
      </c>
      <c r="I1636" s="53" t="s">
        <v>401</v>
      </c>
      <c r="J1636" s="53" t="s">
        <v>7762</v>
      </c>
      <c r="K1636" s="53" t="s">
        <v>51</v>
      </c>
      <c r="L1636" s="53" t="s">
        <v>52</v>
      </c>
      <c r="M1636" s="53" t="s">
        <v>52</v>
      </c>
      <c r="N1636" s="62" t="s">
        <v>7772</v>
      </c>
      <c r="O1636" s="62" t="s">
        <v>44</v>
      </c>
      <c r="P1636" s="62" t="s">
        <v>6429</v>
      </c>
      <c r="Q1636" s="62" t="s">
        <v>7773</v>
      </c>
      <c r="R1636" s="53"/>
      <c r="S1636" s="53"/>
      <c r="T1636" s="82"/>
      <c r="U1636" s="42"/>
      <c r="V1636" s="62"/>
      <c r="W1636" s="64"/>
      <c r="X1636" s="223"/>
      <c r="Y1636" s="223"/>
      <c r="Z1636" s="223"/>
      <c r="AA1636" s="223"/>
    </row>
    <row r="1637">
      <c r="A1637" s="42">
        <f t="shared" si="3"/>
        <v>1636</v>
      </c>
      <c r="B1637" s="51" t="s">
        <v>41</v>
      </c>
      <c r="C1637" s="53" t="s">
        <v>7774</v>
      </c>
      <c r="D1637" s="42" t="s">
        <v>44</v>
      </c>
      <c r="E1637" s="42" t="s">
        <v>44</v>
      </c>
      <c r="F1637" s="53" t="s">
        <v>7761</v>
      </c>
      <c r="G1637" s="53" t="s">
        <v>47</v>
      </c>
      <c r="H1637" s="53" t="s">
        <v>48</v>
      </c>
      <c r="I1637" s="53" t="s">
        <v>401</v>
      </c>
      <c r="J1637" s="53" t="s">
        <v>7762</v>
      </c>
      <c r="K1637" s="53" t="s">
        <v>51</v>
      </c>
      <c r="L1637" s="53" t="s">
        <v>52</v>
      </c>
      <c r="M1637" s="53" t="s">
        <v>52</v>
      </c>
      <c r="N1637" s="62" t="s">
        <v>7763</v>
      </c>
      <c r="O1637" s="62" t="s">
        <v>44</v>
      </c>
      <c r="P1637" s="62" t="s">
        <v>5448</v>
      </c>
      <c r="Q1637" s="62" t="s">
        <v>7775</v>
      </c>
      <c r="R1637" s="53"/>
      <c r="S1637" s="53"/>
      <c r="T1637" s="82"/>
      <c r="U1637" s="42"/>
      <c r="V1637" s="62"/>
      <c r="W1637" s="64"/>
      <c r="X1637" s="223"/>
      <c r="Y1637" s="223"/>
      <c r="Z1637" s="223"/>
      <c r="AA1637" s="223"/>
    </row>
    <row r="1638">
      <c r="A1638" s="42">
        <f t="shared" si="3"/>
        <v>1637</v>
      </c>
      <c r="B1638" s="51" t="s">
        <v>41</v>
      </c>
      <c r="C1638" s="53" t="s">
        <v>7776</v>
      </c>
      <c r="D1638" s="42" t="s">
        <v>44</v>
      </c>
      <c r="E1638" s="42" t="s">
        <v>44</v>
      </c>
      <c r="F1638" s="53" t="s">
        <v>7761</v>
      </c>
      <c r="G1638" s="53" t="s">
        <v>47</v>
      </c>
      <c r="H1638" s="53" t="s">
        <v>48</v>
      </c>
      <c r="I1638" s="53" t="s">
        <v>401</v>
      </c>
      <c r="J1638" s="53" t="s">
        <v>7762</v>
      </c>
      <c r="K1638" s="53" t="s">
        <v>51</v>
      </c>
      <c r="L1638" s="53" t="s">
        <v>52</v>
      </c>
      <c r="M1638" s="53" t="s">
        <v>52</v>
      </c>
      <c r="N1638" s="62" t="s">
        <v>7763</v>
      </c>
      <c r="O1638" s="62" t="s">
        <v>44</v>
      </c>
      <c r="P1638" s="62" t="s">
        <v>1002</v>
      </c>
      <c r="Q1638" s="62" t="s">
        <v>6246</v>
      </c>
      <c r="R1638" s="53"/>
      <c r="S1638" s="53"/>
      <c r="T1638" s="82"/>
      <c r="U1638" s="42"/>
      <c r="V1638" s="62"/>
      <c r="W1638" s="64"/>
      <c r="X1638" s="223"/>
      <c r="Y1638" s="223"/>
      <c r="Z1638" s="223"/>
      <c r="AA1638" s="223"/>
    </row>
    <row r="1639">
      <c r="A1639" s="42">
        <f t="shared" si="3"/>
        <v>1638</v>
      </c>
      <c r="B1639" s="51" t="s">
        <v>41</v>
      </c>
      <c r="C1639" s="53" t="s">
        <v>7777</v>
      </c>
      <c r="D1639" s="42" t="s">
        <v>44</v>
      </c>
      <c r="E1639" s="42" t="s">
        <v>44</v>
      </c>
      <c r="F1639" s="53" t="s">
        <v>7761</v>
      </c>
      <c r="G1639" s="53" t="s">
        <v>47</v>
      </c>
      <c r="H1639" s="53" t="s">
        <v>48</v>
      </c>
      <c r="I1639" s="53" t="s">
        <v>401</v>
      </c>
      <c r="J1639" s="53" t="s">
        <v>7762</v>
      </c>
      <c r="K1639" s="53" t="s">
        <v>51</v>
      </c>
      <c r="L1639" s="53" t="s">
        <v>52</v>
      </c>
      <c r="M1639" s="53" t="s">
        <v>52</v>
      </c>
      <c r="N1639" s="62" t="s">
        <v>7763</v>
      </c>
      <c r="O1639" s="62" t="s">
        <v>44</v>
      </c>
      <c r="P1639" s="62" t="s">
        <v>1009</v>
      </c>
      <c r="Q1639" s="62" t="s">
        <v>7778</v>
      </c>
      <c r="R1639" s="53"/>
      <c r="S1639" s="53"/>
      <c r="T1639" s="82"/>
      <c r="U1639" s="42"/>
      <c r="V1639" s="62"/>
      <c r="W1639" s="64"/>
      <c r="X1639" s="223"/>
      <c r="Y1639" s="223"/>
      <c r="Z1639" s="223"/>
      <c r="AA1639" s="223"/>
    </row>
    <row r="1640">
      <c r="A1640" s="42">
        <f t="shared" si="3"/>
        <v>1639</v>
      </c>
      <c r="B1640" s="51" t="s">
        <v>41</v>
      </c>
      <c r="C1640" s="53" t="s">
        <v>7779</v>
      </c>
      <c r="D1640" s="42" t="s">
        <v>44</v>
      </c>
      <c r="E1640" s="42" t="s">
        <v>44</v>
      </c>
      <c r="F1640" s="53" t="s">
        <v>7761</v>
      </c>
      <c r="G1640" s="53" t="s">
        <v>47</v>
      </c>
      <c r="H1640" s="53" t="s">
        <v>48</v>
      </c>
      <c r="I1640" s="53" t="s">
        <v>401</v>
      </c>
      <c r="J1640" s="53" t="s">
        <v>7762</v>
      </c>
      <c r="K1640" s="53" t="s">
        <v>51</v>
      </c>
      <c r="L1640" s="53" t="s">
        <v>52</v>
      </c>
      <c r="M1640" s="53" t="s">
        <v>52</v>
      </c>
      <c r="N1640" s="62" t="s">
        <v>7763</v>
      </c>
      <c r="O1640" s="62" t="s">
        <v>44</v>
      </c>
      <c r="P1640" s="62" t="s">
        <v>7324</v>
      </c>
      <c r="Q1640" s="62" t="s">
        <v>7618</v>
      </c>
      <c r="R1640" s="53"/>
      <c r="S1640" s="53"/>
      <c r="T1640" s="82"/>
      <c r="U1640" s="42"/>
      <c r="V1640" s="62"/>
      <c r="W1640" s="64"/>
      <c r="X1640" s="223"/>
      <c r="Y1640" s="223"/>
      <c r="Z1640" s="223"/>
      <c r="AA1640" s="223"/>
    </row>
    <row r="1641">
      <c r="A1641" s="42">
        <f t="shared" si="3"/>
        <v>1640</v>
      </c>
      <c r="B1641" s="51" t="s">
        <v>41</v>
      </c>
      <c r="C1641" s="53" t="s">
        <v>7780</v>
      </c>
      <c r="D1641" s="42" t="s">
        <v>44</v>
      </c>
      <c r="E1641" s="42" t="s">
        <v>44</v>
      </c>
      <c r="F1641" s="53" t="s">
        <v>7761</v>
      </c>
      <c r="G1641" s="53" t="s">
        <v>47</v>
      </c>
      <c r="H1641" s="53" t="s">
        <v>48</v>
      </c>
      <c r="I1641" s="53" t="s">
        <v>401</v>
      </c>
      <c r="J1641" s="53" t="s">
        <v>7762</v>
      </c>
      <c r="K1641" s="53" t="s">
        <v>51</v>
      </c>
      <c r="L1641" s="53" t="s">
        <v>52</v>
      </c>
      <c r="M1641" s="53" t="s">
        <v>52</v>
      </c>
      <c r="N1641" s="62" t="s">
        <v>7763</v>
      </c>
      <c r="O1641" s="62" t="s">
        <v>44</v>
      </c>
      <c r="P1641" s="62" t="s">
        <v>7781</v>
      </c>
      <c r="Q1641" s="62" t="s">
        <v>7634</v>
      </c>
      <c r="R1641" s="53"/>
      <c r="S1641" s="53"/>
      <c r="T1641" s="82"/>
      <c r="U1641" s="42"/>
      <c r="V1641" s="62"/>
      <c r="W1641" s="64"/>
      <c r="X1641" s="223"/>
      <c r="Y1641" s="223"/>
      <c r="Z1641" s="223"/>
      <c r="AA1641" s="223"/>
    </row>
    <row r="1642">
      <c r="A1642" s="42">
        <f t="shared" si="3"/>
        <v>1641</v>
      </c>
      <c r="B1642" s="51" t="s">
        <v>41</v>
      </c>
      <c r="C1642" s="53" t="s">
        <v>7782</v>
      </c>
      <c r="D1642" s="42" t="s">
        <v>44</v>
      </c>
      <c r="E1642" s="42" t="s">
        <v>44</v>
      </c>
      <c r="F1642" s="53" t="s">
        <v>7761</v>
      </c>
      <c r="G1642" s="53" t="s">
        <v>47</v>
      </c>
      <c r="H1642" s="53" t="s">
        <v>48</v>
      </c>
      <c r="I1642" s="53" t="s">
        <v>401</v>
      </c>
      <c r="J1642" s="53" t="s">
        <v>7762</v>
      </c>
      <c r="K1642" s="53" t="s">
        <v>51</v>
      </c>
      <c r="L1642" s="53" t="s">
        <v>52</v>
      </c>
      <c r="M1642" s="53" t="s">
        <v>52</v>
      </c>
      <c r="N1642" s="62" t="s">
        <v>7763</v>
      </c>
      <c r="O1642" s="62" t="s">
        <v>44</v>
      </c>
      <c r="P1642" s="62" t="s">
        <v>7783</v>
      </c>
      <c r="Q1642" s="62" t="s">
        <v>7784</v>
      </c>
      <c r="R1642" s="53"/>
      <c r="S1642" s="53"/>
      <c r="T1642" s="82"/>
      <c r="U1642" s="42"/>
      <c r="V1642" s="62"/>
      <c r="W1642" s="64"/>
      <c r="X1642" s="223"/>
      <c r="Y1642" s="223"/>
      <c r="Z1642" s="223"/>
      <c r="AA1642" s="223"/>
    </row>
    <row r="1643">
      <c r="A1643" s="42">
        <f t="shared" si="3"/>
        <v>1642</v>
      </c>
      <c r="B1643" s="51" t="s">
        <v>41</v>
      </c>
      <c r="C1643" s="53" t="s">
        <v>7785</v>
      </c>
      <c r="D1643" s="42" t="s">
        <v>44</v>
      </c>
      <c r="E1643" s="42" t="s">
        <v>44</v>
      </c>
      <c r="F1643" s="53" t="s">
        <v>7761</v>
      </c>
      <c r="G1643" s="53" t="s">
        <v>47</v>
      </c>
      <c r="H1643" s="53" t="s">
        <v>48</v>
      </c>
      <c r="I1643" s="53" t="s">
        <v>401</v>
      </c>
      <c r="J1643" s="53" t="s">
        <v>7762</v>
      </c>
      <c r="K1643" s="53" t="s">
        <v>51</v>
      </c>
      <c r="L1643" s="53" t="s">
        <v>52</v>
      </c>
      <c r="M1643" s="53" t="s">
        <v>52</v>
      </c>
      <c r="N1643" s="62" t="s">
        <v>7689</v>
      </c>
      <c r="O1643" s="62" t="s">
        <v>44</v>
      </c>
      <c r="P1643" s="62" t="s">
        <v>7677</v>
      </c>
      <c r="Q1643" s="62" t="s">
        <v>7786</v>
      </c>
      <c r="R1643" s="53"/>
      <c r="S1643" s="53"/>
      <c r="T1643" s="82"/>
      <c r="U1643" s="42"/>
      <c r="V1643" s="62"/>
      <c r="W1643" s="64"/>
      <c r="X1643" s="223"/>
      <c r="Y1643" s="223"/>
      <c r="Z1643" s="223"/>
      <c r="AA1643" s="223"/>
    </row>
    <row r="1644">
      <c r="A1644" s="42">
        <f t="shared" si="3"/>
        <v>1643</v>
      </c>
      <c r="B1644" s="51" t="s">
        <v>41</v>
      </c>
      <c r="C1644" s="53" t="s">
        <v>7787</v>
      </c>
      <c r="D1644" s="42" t="s">
        <v>44</v>
      </c>
      <c r="E1644" s="42" t="s">
        <v>44</v>
      </c>
      <c r="F1644" s="53" t="s">
        <v>7761</v>
      </c>
      <c r="G1644" s="53" t="s">
        <v>47</v>
      </c>
      <c r="H1644" s="53" t="s">
        <v>48</v>
      </c>
      <c r="I1644" s="53" t="s">
        <v>401</v>
      </c>
      <c r="J1644" s="53" t="s">
        <v>7762</v>
      </c>
      <c r="K1644" s="53" t="s">
        <v>51</v>
      </c>
      <c r="L1644" s="53" t="s">
        <v>52</v>
      </c>
      <c r="M1644" s="53" t="s">
        <v>52</v>
      </c>
      <c r="N1644" s="62" t="s">
        <v>7788</v>
      </c>
      <c r="O1644" s="62" t="s">
        <v>44</v>
      </c>
      <c r="P1644" s="62" t="s">
        <v>7789</v>
      </c>
      <c r="Q1644" s="62" t="s">
        <v>7790</v>
      </c>
      <c r="R1644" s="53"/>
      <c r="S1644" s="53"/>
      <c r="T1644" s="82"/>
      <c r="U1644" s="42"/>
      <c r="V1644" s="62"/>
      <c r="W1644" s="64"/>
      <c r="X1644" s="223"/>
      <c r="Y1644" s="223"/>
      <c r="Z1644" s="223"/>
      <c r="AA1644" s="223"/>
    </row>
    <row r="1645">
      <c r="A1645" s="42">
        <f t="shared" si="3"/>
        <v>1644</v>
      </c>
      <c r="B1645" s="51" t="s">
        <v>41</v>
      </c>
      <c r="C1645" s="53" t="s">
        <v>7791</v>
      </c>
      <c r="D1645" s="42" t="s">
        <v>44</v>
      </c>
      <c r="E1645" s="42" t="s">
        <v>44</v>
      </c>
      <c r="F1645" s="53" t="s">
        <v>7761</v>
      </c>
      <c r="G1645" s="53" t="s">
        <v>47</v>
      </c>
      <c r="H1645" s="53" t="s">
        <v>48</v>
      </c>
      <c r="I1645" s="53" t="s">
        <v>401</v>
      </c>
      <c r="J1645" s="53" t="s">
        <v>7762</v>
      </c>
      <c r="K1645" s="53" t="s">
        <v>51</v>
      </c>
      <c r="L1645" s="53" t="s">
        <v>52</v>
      </c>
      <c r="M1645" s="53" t="s">
        <v>52</v>
      </c>
      <c r="N1645" s="62" t="s">
        <v>7763</v>
      </c>
      <c r="O1645" s="62" t="s">
        <v>44</v>
      </c>
      <c r="P1645" s="62" t="s">
        <v>7792</v>
      </c>
      <c r="Q1645" s="62" t="s">
        <v>7793</v>
      </c>
      <c r="R1645" s="53"/>
      <c r="S1645" s="53"/>
      <c r="T1645" s="82"/>
      <c r="U1645" s="42"/>
      <c r="V1645" s="62"/>
      <c r="W1645" s="64"/>
      <c r="X1645" s="223"/>
      <c r="Y1645" s="223"/>
      <c r="Z1645" s="223"/>
      <c r="AA1645" s="223"/>
    </row>
    <row r="1646">
      <c r="A1646" s="42">
        <f t="shared" si="3"/>
        <v>1645</v>
      </c>
      <c r="B1646" s="51" t="s">
        <v>41</v>
      </c>
      <c r="C1646" s="53" t="s">
        <v>7794</v>
      </c>
      <c r="D1646" s="42" t="s">
        <v>44</v>
      </c>
      <c r="E1646" s="42" t="s">
        <v>44</v>
      </c>
      <c r="F1646" s="53" t="s">
        <v>7761</v>
      </c>
      <c r="G1646" s="53" t="s">
        <v>47</v>
      </c>
      <c r="H1646" s="53" t="s">
        <v>48</v>
      </c>
      <c r="I1646" s="53" t="s">
        <v>401</v>
      </c>
      <c r="J1646" s="53" t="s">
        <v>7762</v>
      </c>
      <c r="K1646" s="53" t="s">
        <v>51</v>
      </c>
      <c r="L1646" s="53" t="s">
        <v>52</v>
      </c>
      <c r="M1646" s="53" t="s">
        <v>52</v>
      </c>
      <c r="N1646" s="62" t="s">
        <v>7795</v>
      </c>
      <c r="O1646" s="62" t="s">
        <v>44</v>
      </c>
      <c r="P1646" s="62" t="s">
        <v>7796</v>
      </c>
      <c r="Q1646" s="62" t="s">
        <v>7797</v>
      </c>
      <c r="R1646" s="53"/>
      <c r="S1646" s="53"/>
      <c r="T1646" s="82"/>
      <c r="U1646" s="42"/>
      <c r="V1646" s="62"/>
      <c r="W1646" s="64"/>
      <c r="X1646" s="223"/>
      <c r="Y1646" s="223"/>
      <c r="Z1646" s="223"/>
      <c r="AA1646" s="223"/>
    </row>
    <row r="1647">
      <c r="A1647" s="42">
        <f t="shared" si="3"/>
        <v>1646</v>
      </c>
      <c r="B1647" s="51" t="s">
        <v>41</v>
      </c>
      <c r="C1647" s="53" t="s">
        <v>7798</v>
      </c>
      <c r="D1647" s="42" t="s">
        <v>44</v>
      </c>
      <c r="E1647" s="42" t="s">
        <v>44</v>
      </c>
      <c r="F1647" s="53" t="s">
        <v>7761</v>
      </c>
      <c r="G1647" s="53" t="s">
        <v>47</v>
      </c>
      <c r="H1647" s="53" t="s">
        <v>48</v>
      </c>
      <c r="I1647" s="53" t="s">
        <v>401</v>
      </c>
      <c r="J1647" s="53" t="s">
        <v>7762</v>
      </c>
      <c r="K1647" s="53" t="s">
        <v>51</v>
      </c>
      <c r="L1647" s="53" t="s">
        <v>52</v>
      </c>
      <c r="M1647" s="53" t="s">
        <v>52</v>
      </c>
      <c r="N1647" s="62" t="s">
        <v>7763</v>
      </c>
      <c r="O1647" s="62" t="s">
        <v>44</v>
      </c>
      <c r="P1647" s="62" t="s">
        <v>7799</v>
      </c>
      <c r="Q1647" s="62" t="s">
        <v>7800</v>
      </c>
      <c r="R1647" s="53"/>
      <c r="S1647" s="53"/>
      <c r="T1647" s="82"/>
      <c r="U1647" s="42"/>
      <c r="V1647" s="62"/>
      <c r="W1647" s="64"/>
      <c r="X1647" s="223"/>
      <c r="Y1647" s="223"/>
      <c r="Z1647" s="223"/>
      <c r="AA1647" s="223"/>
    </row>
    <row r="1648">
      <c r="A1648" s="42">
        <f t="shared" si="3"/>
        <v>1647</v>
      </c>
      <c r="B1648" s="51" t="s">
        <v>41</v>
      </c>
      <c r="C1648" s="53" t="s">
        <v>7801</v>
      </c>
      <c r="D1648" s="42" t="s">
        <v>44</v>
      </c>
      <c r="E1648" s="42" t="s">
        <v>44</v>
      </c>
      <c r="F1648" s="53" t="s">
        <v>7761</v>
      </c>
      <c r="G1648" s="53" t="s">
        <v>47</v>
      </c>
      <c r="H1648" s="53" t="s">
        <v>48</v>
      </c>
      <c r="I1648" s="53" t="s">
        <v>401</v>
      </c>
      <c r="J1648" s="53" t="s">
        <v>7762</v>
      </c>
      <c r="K1648" s="53" t="s">
        <v>51</v>
      </c>
      <c r="L1648" s="53" t="s">
        <v>52</v>
      </c>
      <c r="M1648" s="53" t="s">
        <v>52</v>
      </c>
      <c r="N1648" s="62" t="s">
        <v>7763</v>
      </c>
      <c r="O1648" s="62" t="s">
        <v>44</v>
      </c>
      <c r="P1648" s="62" t="s">
        <v>7802</v>
      </c>
      <c r="Q1648" s="62" t="s">
        <v>7803</v>
      </c>
      <c r="R1648" s="53"/>
      <c r="S1648" s="53"/>
      <c r="T1648" s="82"/>
      <c r="U1648" s="42"/>
      <c r="V1648" s="62"/>
      <c r="W1648" s="64"/>
      <c r="X1648" s="223"/>
      <c r="Y1648" s="223"/>
      <c r="Z1648" s="223"/>
      <c r="AA1648" s="223"/>
    </row>
    <row r="1649">
      <c r="A1649" s="42">
        <f t="shared" si="3"/>
        <v>1648</v>
      </c>
      <c r="B1649" s="51" t="s">
        <v>41</v>
      </c>
      <c r="C1649" s="53" t="s">
        <v>7804</v>
      </c>
      <c r="D1649" s="42" t="s">
        <v>44</v>
      </c>
      <c r="E1649" s="42" t="s">
        <v>44</v>
      </c>
      <c r="F1649" s="53" t="s">
        <v>7761</v>
      </c>
      <c r="G1649" s="53" t="s">
        <v>47</v>
      </c>
      <c r="H1649" s="53" t="s">
        <v>48</v>
      </c>
      <c r="I1649" s="53" t="s">
        <v>401</v>
      </c>
      <c r="J1649" s="53" t="s">
        <v>7762</v>
      </c>
      <c r="K1649" s="53" t="s">
        <v>51</v>
      </c>
      <c r="L1649" s="53" t="s">
        <v>52</v>
      </c>
      <c r="M1649" s="53" t="s">
        <v>52</v>
      </c>
      <c r="N1649" s="62" t="s">
        <v>7763</v>
      </c>
      <c r="O1649" s="62" t="s">
        <v>44</v>
      </c>
      <c r="P1649" s="62" t="s">
        <v>7805</v>
      </c>
      <c r="Q1649" s="62" t="s">
        <v>7806</v>
      </c>
      <c r="R1649" s="53"/>
      <c r="S1649" s="53"/>
      <c r="T1649" s="82"/>
      <c r="U1649" s="42"/>
      <c r="V1649" s="62"/>
      <c r="W1649" s="64"/>
      <c r="X1649" s="223"/>
      <c r="Y1649" s="223"/>
      <c r="Z1649" s="223"/>
      <c r="AA1649" s="223"/>
    </row>
    <row r="1650">
      <c r="A1650" s="42">
        <f t="shared" si="3"/>
        <v>1649</v>
      </c>
      <c r="B1650" s="51" t="s">
        <v>41</v>
      </c>
      <c r="C1650" s="53" t="s">
        <v>7807</v>
      </c>
      <c r="D1650" s="42" t="s">
        <v>44</v>
      </c>
      <c r="E1650" s="42" t="s">
        <v>44</v>
      </c>
      <c r="F1650" s="53" t="s">
        <v>7761</v>
      </c>
      <c r="G1650" s="53" t="s">
        <v>47</v>
      </c>
      <c r="H1650" s="53" t="s">
        <v>48</v>
      </c>
      <c r="I1650" s="53" t="s">
        <v>401</v>
      </c>
      <c r="J1650" s="53" t="s">
        <v>7762</v>
      </c>
      <c r="K1650" s="53" t="s">
        <v>51</v>
      </c>
      <c r="L1650" s="53" t="s">
        <v>52</v>
      </c>
      <c r="M1650" s="53" t="s">
        <v>52</v>
      </c>
      <c r="N1650" s="62" t="s">
        <v>7763</v>
      </c>
      <c r="O1650" s="62" t="s">
        <v>44</v>
      </c>
      <c r="P1650" s="62" t="s">
        <v>7808</v>
      </c>
      <c r="Q1650" s="62" t="s">
        <v>7809</v>
      </c>
      <c r="R1650" s="53"/>
      <c r="S1650" s="53"/>
      <c r="T1650" s="82"/>
      <c r="U1650" s="42"/>
      <c r="V1650" s="62"/>
      <c r="W1650" s="64"/>
      <c r="X1650" s="223"/>
      <c r="Y1650" s="223"/>
      <c r="Z1650" s="223"/>
      <c r="AA1650" s="223"/>
    </row>
    <row r="1651">
      <c r="A1651" s="42">
        <f t="shared" si="3"/>
        <v>1650</v>
      </c>
      <c r="B1651" s="51" t="s">
        <v>41</v>
      </c>
      <c r="C1651" s="53" t="s">
        <v>7810</v>
      </c>
      <c r="D1651" s="42" t="s">
        <v>44</v>
      </c>
      <c r="E1651" s="42" t="s">
        <v>44</v>
      </c>
      <c r="F1651" s="53" t="s">
        <v>7761</v>
      </c>
      <c r="G1651" s="53" t="s">
        <v>47</v>
      </c>
      <c r="H1651" s="53" t="s">
        <v>48</v>
      </c>
      <c r="I1651" s="53" t="s">
        <v>401</v>
      </c>
      <c r="J1651" s="53" t="s">
        <v>7762</v>
      </c>
      <c r="K1651" s="53" t="s">
        <v>51</v>
      </c>
      <c r="L1651" s="53" t="s">
        <v>52</v>
      </c>
      <c r="M1651" s="53" t="s">
        <v>52</v>
      </c>
      <c r="N1651" s="62" t="s">
        <v>7811</v>
      </c>
      <c r="O1651" s="62" t="s">
        <v>44</v>
      </c>
      <c r="P1651" s="62" t="s">
        <v>7812</v>
      </c>
      <c r="Q1651" s="62" t="s">
        <v>7813</v>
      </c>
      <c r="R1651" s="53"/>
      <c r="S1651" s="53"/>
      <c r="T1651" s="82"/>
      <c r="U1651" s="42"/>
      <c r="V1651" s="62"/>
      <c r="W1651" s="64"/>
      <c r="X1651" s="223"/>
      <c r="Y1651" s="223"/>
      <c r="Z1651" s="223"/>
      <c r="AA1651" s="223"/>
    </row>
    <row r="1652">
      <c r="A1652" s="42">
        <f t="shared" si="3"/>
        <v>1651</v>
      </c>
      <c r="B1652" s="51" t="s">
        <v>41</v>
      </c>
      <c r="C1652" s="53" t="s">
        <v>7814</v>
      </c>
      <c r="D1652" s="42" t="s">
        <v>44</v>
      </c>
      <c r="E1652" s="42" t="s">
        <v>44</v>
      </c>
      <c r="F1652" s="53" t="s">
        <v>7761</v>
      </c>
      <c r="G1652" s="53" t="s">
        <v>47</v>
      </c>
      <c r="H1652" s="53" t="s">
        <v>95</v>
      </c>
      <c r="I1652" s="53" t="s">
        <v>401</v>
      </c>
      <c r="J1652" s="53" t="s">
        <v>7762</v>
      </c>
      <c r="K1652" s="53" t="s">
        <v>51</v>
      </c>
      <c r="L1652" s="53" t="s">
        <v>52</v>
      </c>
      <c r="M1652" s="53" t="s">
        <v>52</v>
      </c>
      <c r="N1652" s="62" t="s">
        <v>7815</v>
      </c>
      <c r="O1652" s="62" t="s">
        <v>44</v>
      </c>
      <c r="P1652" s="62" t="s">
        <v>7816</v>
      </c>
      <c r="Q1652" s="62" t="s">
        <v>7817</v>
      </c>
      <c r="R1652" s="53"/>
      <c r="S1652" s="53"/>
      <c r="T1652" s="82"/>
      <c r="U1652" s="42"/>
      <c r="V1652" s="62"/>
      <c r="W1652" s="64"/>
      <c r="X1652" s="223"/>
      <c r="Y1652" s="223"/>
      <c r="Z1652" s="223"/>
      <c r="AA1652" s="223"/>
    </row>
    <row r="1653">
      <c r="A1653" s="42">
        <f t="shared" si="3"/>
        <v>1652</v>
      </c>
      <c r="B1653" s="51" t="s">
        <v>41</v>
      </c>
      <c r="C1653" s="53" t="s">
        <v>7818</v>
      </c>
      <c r="D1653" s="42" t="s">
        <v>44</v>
      </c>
      <c r="E1653" s="42" t="s">
        <v>44</v>
      </c>
      <c r="F1653" s="53" t="s">
        <v>7761</v>
      </c>
      <c r="G1653" s="53" t="s">
        <v>47</v>
      </c>
      <c r="H1653" s="53" t="s">
        <v>48</v>
      </c>
      <c r="I1653" s="53" t="s">
        <v>401</v>
      </c>
      <c r="J1653" s="53" t="s">
        <v>7762</v>
      </c>
      <c r="K1653" s="53" t="s">
        <v>51</v>
      </c>
      <c r="L1653" s="53" t="s">
        <v>52</v>
      </c>
      <c r="M1653" s="53" t="s">
        <v>52</v>
      </c>
      <c r="N1653" s="62" t="s">
        <v>7763</v>
      </c>
      <c r="O1653" s="62" t="s">
        <v>44</v>
      </c>
      <c r="P1653" s="62" t="s">
        <v>7819</v>
      </c>
      <c r="Q1653" s="62" t="s">
        <v>7820</v>
      </c>
      <c r="R1653" s="53"/>
      <c r="S1653" s="53"/>
      <c r="T1653" s="82"/>
      <c r="U1653" s="42"/>
      <c r="V1653" s="62"/>
      <c r="W1653" s="64"/>
      <c r="X1653" s="223"/>
      <c r="Y1653" s="223"/>
      <c r="Z1653" s="223"/>
      <c r="AA1653" s="223"/>
    </row>
    <row r="1654">
      <c r="A1654" s="42">
        <f t="shared" si="3"/>
        <v>1653</v>
      </c>
      <c r="B1654" s="51" t="s">
        <v>41</v>
      </c>
      <c r="C1654" s="53" t="s">
        <v>7821</v>
      </c>
      <c r="D1654" s="42" t="s">
        <v>44</v>
      </c>
      <c r="E1654" s="42" t="s">
        <v>44</v>
      </c>
      <c r="F1654" s="53" t="s">
        <v>7761</v>
      </c>
      <c r="G1654" s="53" t="s">
        <v>47</v>
      </c>
      <c r="H1654" s="53" t="s">
        <v>48</v>
      </c>
      <c r="I1654" s="53" t="s">
        <v>401</v>
      </c>
      <c r="J1654" s="53" t="s">
        <v>7762</v>
      </c>
      <c r="K1654" s="53" t="s">
        <v>51</v>
      </c>
      <c r="L1654" s="53" t="s">
        <v>52</v>
      </c>
      <c r="M1654" s="53" t="s">
        <v>52</v>
      </c>
      <c r="N1654" s="62" t="s">
        <v>7822</v>
      </c>
      <c r="O1654" s="62" t="s">
        <v>44</v>
      </c>
      <c r="P1654" s="62" t="s">
        <v>7823</v>
      </c>
      <c r="Q1654" s="62" t="s">
        <v>7824</v>
      </c>
      <c r="R1654" s="53"/>
      <c r="S1654" s="53"/>
      <c r="T1654" s="82"/>
      <c r="U1654" s="42"/>
      <c r="V1654" s="62"/>
      <c r="W1654" s="64"/>
      <c r="X1654" s="223"/>
      <c r="Y1654" s="223"/>
      <c r="Z1654" s="223"/>
      <c r="AA1654" s="223"/>
    </row>
    <row r="1655">
      <c r="A1655" s="42">
        <f t="shared" si="3"/>
        <v>1654</v>
      </c>
      <c r="B1655" s="51" t="s">
        <v>41</v>
      </c>
      <c r="C1655" s="53" t="s">
        <v>7825</v>
      </c>
      <c r="D1655" s="42" t="s">
        <v>44</v>
      </c>
      <c r="E1655" s="42" t="s">
        <v>44</v>
      </c>
      <c r="F1655" s="53" t="s">
        <v>7761</v>
      </c>
      <c r="G1655" s="53" t="s">
        <v>47</v>
      </c>
      <c r="H1655" s="53" t="s">
        <v>48</v>
      </c>
      <c r="I1655" s="53" t="s">
        <v>401</v>
      </c>
      <c r="J1655" s="53" t="s">
        <v>7762</v>
      </c>
      <c r="K1655" s="53" t="s">
        <v>51</v>
      </c>
      <c r="L1655" s="53" t="s">
        <v>52</v>
      </c>
      <c r="M1655" s="53" t="s">
        <v>52</v>
      </c>
      <c r="N1655" s="62" t="s">
        <v>7822</v>
      </c>
      <c r="O1655" s="62" t="s">
        <v>44</v>
      </c>
      <c r="P1655" s="62" t="s">
        <v>7826</v>
      </c>
      <c r="Q1655" s="62" t="s">
        <v>7827</v>
      </c>
      <c r="R1655" s="53"/>
      <c r="S1655" s="53"/>
      <c r="T1655" s="82"/>
      <c r="U1655" s="42"/>
      <c r="V1655" s="62"/>
      <c r="W1655" s="64"/>
      <c r="X1655" s="223"/>
      <c r="Y1655" s="223"/>
      <c r="Z1655" s="223"/>
      <c r="AA1655" s="223"/>
    </row>
    <row r="1656">
      <c r="A1656" s="42">
        <f t="shared" si="3"/>
        <v>1655</v>
      </c>
      <c r="B1656" s="51" t="s">
        <v>41</v>
      </c>
      <c r="C1656" s="53" t="s">
        <v>7828</v>
      </c>
      <c r="D1656" s="42" t="s">
        <v>44</v>
      </c>
      <c r="E1656" s="42" t="s">
        <v>44</v>
      </c>
      <c r="F1656" s="53" t="s">
        <v>7761</v>
      </c>
      <c r="G1656" s="53" t="s">
        <v>47</v>
      </c>
      <c r="H1656" s="53" t="s">
        <v>95</v>
      </c>
      <c r="I1656" s="53" t="s">
        <v>401</v>
      </c>
      <c r="J1656" s="53" t="s">
        <v>7762</v>
      </c>
      <c r="K1656" s="53" t="s">
        <v>51</v>
      </c>
      <c r="L1656" s="53" t="s">
        <v>52</v>
      </c>
      <c r="M1656" s="53" t="s">
        <v>52</v>
      </c>
      <c r="N1656" s="62" t="s">
        <v>7829</v>
      </c>
      <c r="O1656" s="62" t="s">
        <v>44</v>
      </c>
      <c r="P1656" s="62" t="s">
        <v>7830</v>
      </c>
      <c r="Q1656" s="62" t="s">
        <v>7831</v>
      </c>
      <c r="R1656" s="53"/>
      <c r="S1656" s="53"/>
      <c r="T1656" s="82"/>
      <c r="U1656" s="42"/>
      <c r="V1656" s="62"/>
      <c r="W1656" s="64"/>
      <c r="X1656" s="223"/>
      <c r="Y1656" s="223"/>
      <c r="Z1656" s="223"/>
      <c r="AA1656" s="223"/>
    </row>
    <row r="1657">
      <c r="A1657" s="42">
        <f t="shared" si="3"/>
        <v>1656</v>
      </c>
      <c r="B1657" s="51" t="s">
        <v>41</v>
      </c>
      <c r="C1657" s="53" t="s">
        <v>7832</v>
      </c>
      <c r="D1657" s="42" t="s">
        <v>44</v>
      </c>
      <c r="E1657" s="42" t="s">
        <v>44</v>
      </c>
      <c r="F1657" s="53" t="s">
        <v>7761</v>
      </c>
      <c r="G1657" s="53" t="s">
        <v>47</v>
      </c>
      <c r="H1657" s="53" t="s">
        <v>48</v>
      </c>
      <c r="I1657" s="53" t="s">
        <v>401</v>
      </c>
      <c r="J1657" s="53" t="s">
        <v>7762</v>
      </c>
      <c r="K1657" s="53" t="s">
        <v>51</v>
      </c>
      <c r="L1657" s="53" t="s">
        <v>52</v>
      </c>
      <c r="M1657" s="53" t="s">
        <v>52</v>
      </c>
      <c r="N1657" s="62" t="s">
        <v>7822</v>
      </c>
      <c r="O1657" s="62" t="s">
        <v>44</v>
      </c>
      <c r="P1657" s="62" t="s">
        <v>7833</v>
      </c>
      <c r="Q1657" s="62" t="s">
        <v>7834</v>
      </c>
      <c r="R1657" s="53"/>
      <c r="S1657" s="53"/>
      <c r="T1657" s="82"/>
      <c r="U1657" s="42"/>
      <c r="V1657" s="62"/>
      <c r="W1657" s="64"/>
      <c r="X1657" s="223"/>
      <c r="Y1657" s="223"/>
      <c r="Z1657" s="223"/>
      <c r="AA1657" s="223"/>
    </row>
    <row r="1658">
      <c r="A1658" s="42">
        <f t="shared" si="3"/>
        <v>1657</v>
      </c>
      <c r="B1658" s="51" t="s">
        <v>41</v>
      </c>
      <c r="C1658" s="53" t="s">
        <v>7835</v>
      </c>
      <c r="D1658" s="42" t="s">
        <v>44</v>
      </c>
      <c r="E1658" s="42" t="s">
        <v>44</v>
      </c>
      <c r="F1658" s="53" t="s">
        <v>7761</v>
      </c>
      <c r="G1658" s="53" t="s">
        <v>47</v>
      </c>
      <c r="H1658" s="53" t="s">
        <v>48</v>
      </c>
      <c r="I1658" s="53" t="s">
        <v>401</v>
      </c>
      <c r="J1658" s="53" t="s">
        <v>7762</v>
      </c>
      <c r="K1658" s="53" t="s">
        <v>51</v>
      </c>
      <c r="L1658" s="53" t="s">
        <v>52</v>
      </c>
      <c r="M1658" s="53" t="s">
        <v>52</v>
      </c>
      <c r="N1658" s="62" t="s">
        <v>7822</v>
      </c>
      <c r="O1658" s="62" t="s">
        <v>44</v>
      </c>
      <c r="P1658" s="62" t="s">
        <v>7836</v>
      </c>
      <c r="Q1658" s="62" t="s">
        <v>7837</v>
      </c>
      <c r="R1658" s="53"/>
      <c r="S1658" s="53"/>
      <c r="T1658" s="82"/>
      <c r="U1658" s="42"/>
      <c r="V1658" s="62"/>
      <c r="W1658" s="64"/>
      <c r="X1658" s="223"/>
      <c r="Y1658" s="223"/>
      <c r="Z1658" s="223"/>
      <c r="AA1658" s="223"/>
    </row>
    <row r="1659">
      <c r="A1659" s="42">
        <f t="shared" si="3"/>
        <v>1658</v>
      </c>
      <c r="B1659" s="51" t="s">
        <v>41</v>
      </c>
      <c r="C1659" s="53" t="s">
        <v>7838</v>
      </c>
      <c r="D1659" s="42" t="s">
        <v>44</v>
      </c>
      <c r="E1659" s="42" t="s">
        <v>44</v>
      </c>
      <c r="F1659" s="53" t="s">
        <v>7761</v>
      </c>
      <c r="G1659" s="53" t="s">
        <v>47</v>
      </c>
      <c r="H1659" s="53" t="s">
        <v>48</v>
      </c>
      <c r="I1659" s="53" t="s">
        <v>401</v>
      </c>
      <c r="J1659" s="53" t="s">
        <v>7762</v>
      </c>
      <c r="K1659" s="53" t="s">
        <v>51</v>
      </c>
      <c r="L1659" s="53" t="s">
        <v>52</v>
      </c>
      <c r="M1659" s="53" t="s">
        <v>52</v>
      </c>
      <c r="N1659" s="62" t="s">
        <v>7822</v>
      </c>
      <c r="O1659" s="62" t="s">
        <v>44</v>
      </c>
      <c r="P1659" s="62" t="s">
        <v>7839</v>
      </c>
      <c r="Q1659" s="62" t="s">
        <v>7840</v>
      </c>
      <c r="R1659" s="53"/>
      <c r="S1659" s="53"/>
      <c r="T1659" s="82"/>
      <c r="U1659" s="42"/>
      <c r="V1659" s="62"/>
      <c r="W1659" s="64"/>
      <c r="X1659" s="223"/>
      <c r="Y1659" s="223"/>
      <c r="Z1659" s="223"/>
      <c r="AA1659" s="223"/>
    </row>
    <row r="1660">
      <c r="A1660" s="42">
        <f t="shared" si="3"/>
        <v>1659</v>
      </c>
      <c r="B1660" s="51" t="s">
        <v>41</v>
      </c>
      <c r="C1660" s="53" t="s">
        <v>7841</v>
      </c>
      <c r="D1660" s="42" t="s">
        <v>44</v>
      </c>
      <c r="E1660" s="42" t="s">
        <v>44</v>
      </c>
      <c r="F1660" s="53" t="s">
        <v>7761</v>
      </c>
      <c r="G1660" s="53" t="s">
        <v>47</v>
      </c>
      <c r="H1660" s="53" t="s">
        <v>48</v>
      </c>
      <c r="I1660" s="53" t="s">
        <v>401</v>
      </c>
      <c r="J1660" s="53" t="s">
        <v>7762</v>
      </c>
      <c r="K1660" s="53" t="s">
        <v>51</v>
      </c>
      <c r="L1660" s="53" t="s">
        <v>52</v>
      </c>
      <c r="M1660" s="53" t="s">
        <v>52</v>
      </c>
      <c r="N1660" s="62" t="s">
        <v>7822</v>
      </c>
      <c r="O1660" s="62" t="s">
        <v>44</v>
      </c>
      <c r="P1660" s="62" t="s">
        <v>7842</v>
      </c>
      <c r="Q1660" s="62" t="s">
        <v>7843</v>
      </c>
      <c r="R1660" s="53"/>
      <c r="S1660" s="53"/>
      <c r="T1660" s="82"/>
      <c r="U1660" s="42"/>
      <c r="V1660" s="62"/>
      <c r="W1660" s="64"/>
      <c r="X1660" s="223"/>
      <c r="Y1660" s="223"/>
      <c r="Z1660" s="223"/>
      <c r="AA1660" s="223"/>
    </row>
    <row r="1661">
      <c r="A1661" s="42">
        <f t="shared" si="3"/>
        <v>1660</v>
      </c>
      <c r="B1661" s="51" t="s">
        <v>41</v>
      </c>
      <c r="C1661" s="53" t="s">
        <v>7844</v>
      </c>
      <c r="D1661" s="42" t="s">
        <v>44</v>
      </c>
      <c r="E1661" s="42" t="s">
        <v>44</v>
      </c>
      <c r="F1661" s="53" t="s">
        <v>7761</v>
      </c>
      <c r="G1661" s="53" t="s">
        <v>47</v>
      </c>
      <c r="H1661" s="53" t="s">
        <v>48</v>
      </c>
      <c r="I1661" s="53" t="s">
        <v>401</v>
      </c>
      <c r="J1661" s="53" t="s">
        <v>7762</v>
      </c>
      <c r="K1661" s="53" t="s">
        <v>51</v>
      </c>
      <c r="L1661" s="53" t="s">
        <v>52</v>
      </c>
      <c r="M1661" s="53" t="s">
        <v>52</v>
      </c>
      <c r="N1661" s="62" t="s">
        <v>7822</v>
      </c>
      <c r="O1661" s="62" t="s">
        <v>44</v>
      </c>
      <c r="P1661" s="62" t="s">
        <v>7845</v>
      </c>
      <c r="Q1661" s="62" t="s">
        <v>7846</v>
      </c>
      <c r="R1661" s="53"/>
      <c r="S1661" s="53"/>
      <c r="T1661" s="82"/>
      <c r="U1661" s="42"/>
      <c r="V1661" s="62"/>
      <c r="W1661" s="64"/>
      <c r="X1661" s="223"/>
      <c r="Y1661" s="223"/>
      <c r="Z1661" s="223"/>
      <c r="AA1661" s="223"/>
    </row>
    <row r="1662">
      <c r="A1662" s="42">
        <f t="shared" si="3"/>
        <v>1661</v>
      </c>
      <c r="B1662" s="51" t="s">
        <v>41</v>
      </c>
      <c r="C1662" s="53" t="s">
        <v>7847</v>
      </c>
      <c r="D1662" s="42" t="s">
        <v>44</v>
      </c>
      <c r="E1662" s="42" t="s">
        <v>44</v>
      </c>
      <c r="F1662" s="53" t="s">
        <v>7761</v>
      </c>
      <c r="G1662" s="53" t="s">
        <v>47</v>
      </c>
      <c r="H1662" s="53" t="s">
        <v>48</v>
      </c>
      <c r="I1662" s="53" t="s">
        <v>401</v>
      </c>
      <c r="J1662" s="53" t="s">
        <v>7762</v>
      </c>
      <c r="K1662" s="53" t="s">
        <v>51</v>
      </c>
      <c r="L1662" s="53" t="s">
        <v>52</v>
      </c>
      <c r="M1662" s="53" t="s">
        <v>52</v>
      </c>
      <c r="N1662" s="62" t="s">
        <v>7822</v>
      </c>
      <c r="O1662" s="62" t="s">
        <v>44</v>
      </c>
      <c r="P1662" s="62" t="s">
        <v>7848</v>
      </c>
      <c r="Q1662" s="62" t="s">
        <v>7849</v>
      </c>
      <c r="R1662" s="53"/>
      <c r="S1662" s="53"/>
      <c r="T1662" s="82"/>
      <c r="U1662" s="42"/>
      <c r="V1662" s="62"/>
      <c r="W1662" s="64"/>
      <c r="X1662" s="223"/>
      <c r="Y1662" s="223"/>
      <c r="Z1662" s="223"/>
      <c r="AA1662" s="223"/>
    </row>
    <row r="1663">
      <c r="A1663" s="42">
        <f t="shared" si="3"/>
        <v>1662</v>
      </c>
      <c r="B1663" s="51" t="s">
        <v>41</v>
      </c>
      <c r="C1663" s="53" t="s">
        <v>7850</v>
      </c>
      <c r="D1663" s="42" t="s">
        <v>44</v>
      </c>
      <c r="E1663" s="42" t="s">
        <v>44</v>
      </c>
      <c r="F1663" s="53" t="s">
        <v>7761</v>
      </c>
      <c r="G1663" s="53" t="s">
        <v>47</v>
      </c>
      <c r="H1663" s="53" t="s">
        <v>48</v>
      </c>
      <c r="I1663" s="53" t="s">
        <v>401</v>
      </c>
      <c r="J1663" s="53" t="s">
        <v>7762</v>
      </c>
      <c r="K1663" s="53" t="s">
        <v>51</v>
      </c>
      <c r="L1663" s="53" t="s">
        <v>52</v>
      </c>
      <c r="M1663" s="53" t="s">
        <v>52</v>
      </c>
      <c r="N1663" s="62" t="s">
        <v>7822</v>
      </c>
      <c r="O1663" s="62" t="s">
        <v>44</v>
      </c>
      <c r="P1663" s="62" t="s">
        <v>7851</v>
      </c>
      <c r="Q1663" s="62" t="s">
        <v>7852</v>
      </c>
      <c r="R1663" s="53"/>
      <c r="S1663" s="53"/>
      <c r="T1663" s="82"/>
      <c r="U1663" s="42"/>
      <c r="V1663" s="62"/>
      <c r="W1663" s="64"/>
      <c r="X1663" s="223"/>
      <c r="Y1663" s="223"/>
      <c r="Z1663" s="223"/>
      <c r="AA1663" s="223"/>
    </row>
    <row r="1664">
      <c r="A1664" s="42">
        <f t="shared" si="3"/>
        <v>1663</v>
      </c>
      <c r="B1664" s="51" t="s">
        <v>41</v>
      </c>
      <c r="C1664" s="53" t="s">
        <v>7853</v>
      </c>
      <c r="D1664" s="42" t="s">
        <v>44</v>
      </c>
      <c r="E1664" s="42" t="s">
        <v>44</v>
      </c>
      <c r="F1664" s="53" t="s">
        <v>7761</v>
      </c>
      <c r="G1664" s="53" t="s">
        <v>47</v>
      </c>
      <c r="H1664" s="53" t="s">
        <v>48</v>
      </c>
      <c r="I1664" s="53" t="s">
        <v>401</v>
      </c>
      <c r="J1664" s="53" t="s">
        <v>7762</v>
      </c>
      <c r="K1664" s="53" t="s">
        <v>51</v>
      </c>
      <c r="L1664" s="53" t="s">
        <v>52</v>
      </c>
      <c r="M1664" s="53" t="s">
        <v>52</v>
      </c>
      <c r="N1664" s="62" t="s">
        <v>7822</v>
      </c>
      <c r="O1664" s="62" t="s">
        <v>44</v>
      </c>
      <c r="P1664" s="62" t="s">
        <v>7854</v>
      </c>
      <c r="Q1664" s="62" t="s">
        <v>7855</v>
      </c>
      <c r="R1664" s="53"/>
      <c r="S1664" s="53"/>
      <c r="T1664" s="82"/>
      <c r="U1664" s="42"/>
      <c r="V1664" s="62"/>
      <c r="W1664" s="64"/>
      <c r="X1664" s="223"/>
      <c r="Y1664" s="223"/>
      <c r="Z1664" s="223"/>
      <c r="AA1664" s="223"/>
    </row>
    <row r="1665">
      <c r="A1665" s="42">
        <f t="shared" si="3"/>
        <v>1664</v>
      </c>
      <c r="B1665" s="51" t="s">
        <v>41</v>
      </c>
      <c r="C1665" s="53" t="s">
        <v>7856</v>
      </c>
      <c r="D1665" s="42" t="s">
        <v>44</v>
      </c>
      <c r="E1665" s="42" t="s">
        <v>44</v>
      </c>
      <c r="F1665" s="53" t="s">
        <v>7761</v>
      </c>
      <c r="G1665" s="53" t="s">
        <v>47</v>
      </c>
      <c r="H1665" s="53" t="s">
        <v>48</v>
      </c>
      <c r="I1665" s="53" t="s">
        <v>401</v>
      </c>
      <c r="J1665" s="53" t="s">
        <v>7762</v>
      </c>
      <c r="K1665" s="53" t="s">
        <v>51</v>
      </c>
      <c r="L1665" s="53" t="s">
        <v>52</v>
      </c>
      <c r="M1665" s="53" t="s">
        <v>52</v>
      </c>
      <c r="N1665" s="62" t="s">
        <v>7822</v>
      </c>
      <c r="O1665" s="62" t="s">
        <v>44</v>
      </c>
      <c r="P1665" s="62" t="s">
        <v>7857</v>
      </c>
      <c r="Q1665" s="62" t="s">
        <v>7858</v>
      </c>
      <c r="R1665" s="53"/>
      <c r="S1665" s="53"/>
      <c r="T1665" s="82"/>
      <c r="U1665" s="42"/>
      <c r="V1665" s="62"/>
      <c r="W1665" s="64"/>
      <c r="X1665" s="223"/>
      <c r="Y1665" s="223"/>
      <c r="Z1665" s="223"/>
      <c r="AA1665" s="223"/>
    </row>
    <row r="1666">
      <c r="A1666" s="42">
        <f t="shared" si="3"/>
        <v>1665</v>
      </c>
      <c r="B1666" s="51" t="s">
        <v>41</v>
      </c>
      <c r="C1666" s="53" t="s">
        <v>7859</v>
      </c>
      <c r="D1666" s="42" t="s">
        <v>44</v>
      </c>
      <c r="E1666" s="42" t="s">
        <v>44</v>
      </c>
      <c r="F1666" s="53" t="s">
        <v>7860</v>
      </c>
      <c r="G1666" s="53" t="s">
        <v>111</v>
      </c>
      <c r="H1666" s="53" t="s">
        <v>112</v>
      </c>
      <c r="I1666" s="53" t="s">
        <v>401</v>
      </c>
      <c r="J1666" s="53" t="s">
        <v>7861</v>
      </c>
      <c r="K1666" s="53" t="s">
        <v>51</v>
      </c>
      <c r="L1666" s="53" t="s">
        <v>52</v>
      </c>
      <c r="M1666" s="53" t="s">
        <v>52</v>
      </c>
      <c r="N1666" s="62" t="s">
        <v>7862</v>
      </c>
      <c r="O1666" s="62" t="s">
        <v>44</v>
      </c>
      <c r="P1666" s="62" t="s">
        <v>6399</v>
      </c>
      <c r="Q1666" s="62" t="s">
        <v>7863</v>
      </c>
      <c r="R1666" s="53"/>
      <c r="S1666" s="53"/>
      <c r="T1666" s="82"/>
      <c r="U1666" s="42"/>
      <c r="V1666" s="62"/>
      <c r="W1666" s="64"/>
      <c r="X1666" s="223"/>
      <c r="Y1666" s="223"/>
      <c r="Z1666" s="223"/>
      <c r="AA1666" s="223"/>
    </row>
    <row r="1667">
      <c r="A1667" s="42">
        <f t="shared" si="3"/>
        <v>1666</v>
      </c>
      <c r="B1667" s="51" t="s">
        <v>41</v>
      </c>
      <c r="C1667" s="53" t="s">
        <v>7864</v>
      </c>
      <c r="D1667" s="42" t="s">
        <v>44</v>
      </c>
      <c r="E1667" s="42" t="s">
        <v>44</v>
      </c>
      <c r="F1667" s="53" t="s">
        <v>7860</v>
      </c>
      <c r="G1667" s="53" t="s">
        <v>47</v>
      </c>
      <c r="H1667" s="53" t="s">
        <v>48</v>
      </c>
      <c r="I1667" s="53" t="s">
        <v>401</v>
      </c>
      <c r="J1667" s="53" t="s">
        <v>7861</v>
      </c>
      <c r="K1667" s="53" t="s">
        <v>51</v>
      </c>
      <c r="L1667" s="53" t="s">
        <v>52</v>
      </c>
      <c r="M1667" s="53" t="s">
        <v>52</v>
      </c>
      <c r="N1667" s="62" t="s">
        <v>7862</v>
      </c>
      <c r="O1667" s="62" t="s">
        <v>44</v>
      </c>
      <c r="P1667" s="62" t="s">
        <v>5384</v>
      </c>
      <c r="Q1667" s="62" t="s">
        <v>7614</v>
      </c>
      <c r="R1667" s="53"/>
      <c r="S1667" s="53"/>
      <c r="T1667" s="82"/>
      <c r="U1667" s="42"/>
      <c r="V1667" s="62"/>
      <c r="W1667" s="64"/>
      <c r="X1667" s="223"/>
      <c r="Y1667" s="223"/>
      <c r="Z1667" s="223"/>
      <c r="AA1667" s="223"/>
    </row>
    <row r="1668">
      <c r="A1668" s="42">
        <f t="shared" si="3"/>
        <v>1667</v>
      </c>
      <c r="B1668" s="51" t="s">
        <v>41</v>
      </c>
      <c r="C1668" s="53" t="s">
        <v>7865</v>
      </c>
      <c r="D1668" s="42" t="s">
        <v>44</v>
      </c>
      <c r="E1668" s="42" t="s">
        <v>44</v>
      </c>
      <c r="F1668" s="53" t="s">
        <v>7860</v>
      </c>
      <c r="G1668" s="53" t="s">
        <v>47</v>
      </c>
      <c r="H1668" s="53" t="s">
        <v>48</v>
      </c>
      <c r="I1668" s="53" t="s">
        <v>401</v>
      </c>
      <c r="J1668" s="53" t="s">
        <v>7861</v>
      </c>
      <c r="K1668" s="53" t="s">
        <v>51</v>
      </c>
      <c r="L1668" s="53" t="s">
        <v>52</v>
      </c>
      <c r="M1668" s="53" t="s">
        <v>52</v>
      </c>
      <c r="N1668" s="62" t="s">
        <v>7862</v>
      </c>
      <c r="O1668" s="62" t="s">
        <v>44</v>
      </c>
      <c r="P1668" s="62" t="s">
        <v>5389</v>
      </c>
      <c r="Q1668" s="62" t="s">
        <v>7616</v>
      </c>
      <c r="R1668" s="53"/>
      <c r="S1668" s="53"/>
      <c r="T1668" s="82"/>
      <c r="U1668" s="42"/>
      <c r="V1668" s="62"/>
      <c r="W1668" s="64"/>
      <c r="X1668" s="223"/>
      <c r="Y1668" s="223"/>
      <c r="Z1668" s="223"/>
      <c r="AA1668" s="223"/>
    </row>
    <row r="1669">
      <c r="A1669" s="42">
        <f t="shared" si="3"/>
        <v>1668</v>
      </c>
      <c r="B1669" s="51" t="s">
        <v>41</v>
      </c>
      <c r="C1669" s="53" t="s">
        <v>7866</v>
      </c>
      <c r="D1669" s="42" t="s">
        <v>44</v>
      </c>
      <c r="E1669" s="42" t="s">
        <v>44</v>
      </c>
      <c r="F1669" s="53" t="s">
        <v>7860</v>
      </c>
      <c r="G1669" s="53" t="s">
        <v>47</v>
      </c>
      <c r="H1669" s="53" t="s">
        <v>48</v>
      </c>
      <c r="I1669" s="53" t="s">
        <v>401</v>
      </c>
      <c r="J1669" s="53" t="s">
        <v>7861</v>
      </c>
      <c r="K1669" s="53" t="s">
        <v>51</v>
      </c>
      <c r="L1669" s="53" t="s">
        <v>52</v>
      </c>
      <c r="M1669" s="53" t="s">
        <v>52</v>
      </c>
      <c r="N1669" s="62" t="s">
        <v>7867</v>
      </c>
      <c r="O1669" s="62" t="s">
        <v>44</v>
      </c>
      <c r="P1669" s="62" t="s">
        <v>7769</v>
      </c>
      <c r="Q1669" s="62" t="s">
        <v>7770</v>
      </c>
      <c r="R1669" s="53"/>
      <c r="S1669" s="53"/>
      <c r="T1669" s="82"/>
      <c r="U1669" s="42"/>
      <c r="V1669" s="62"/>
      <c r="W1669" s="64"/>
      <c r="X1669" s="223"/>
      <c r="Y1669" s="223"/>
      <c r="Z1669" s="223"/>
      <c r="AA1669" s="223"/>
    </row>
    <row r="1670">
      <c r="A1670" s="42">
        <f t="shared" si="3"/>
        <v>1669</v>
      </c>
      <c r="B1670" s="51" t="s">
        <v>41</v>
      </c>
      <c r="C1670" s="53" t="s">
        <v>7868</v>
      </c>
      <c r="D1670" s="42" t="s">
        <v>44</v>
      </c>
      <c r="E1670" s="42" t="s">
        <v>44</v>
      </c>
      <c r="F1670" s="53" t="s">
        <v>7860</v>
      </c>
      <c r="G1670" s="53" t="s">
        <v>47</v>
      </c>
      <c r="H1670" s="53" t="s">
        <v>48</v>
      </c>
      <c r="I1670" s="53" t="s">
        <v>401</v>
      </c>
      <c r="J1670" s="53" t="s">
        <v>7861</v>
      </c>
      <c r="K1670" s="53" t="s">
        <v>51</v>
      </c>
      <c r="L1670" s="53" t="s">
        <v>52</v>
      </c>
      <c r="M1670" s="53" t="s">
        <v>52</v>
      </c>
      <c r="N1670" s="62" t="s">
        <v>7869</v>
      </c>
      <c r="O1670" s="62" t="s">
        <v>44</v>
      </c>
      <c r="P1670" s="62" t="s">
        <v>6429</v>
      </c>
      <c r="Q1670" s="62" t="s">
        <v>7773</v>
      </c>
      <c r="R1670" s="53"/>
      <c r="S1670" s="53"/>
      <c r="T1670" s="82"/>
      <c r="U1670" s="42"/>
      <c r="V1670" s="62"/>
      <c r="W1670" s="64"/>
      <c r="X1670" s="223"/>
      <c r="Y1670" s="223"/>
      <c r="Z1670" s="223"/>
      <c r="AA1670" s="223"/>
    </row>
    <row r="1671">
      <c r="A1671" s="42">
        <f t="shared" si="3"/>
        <v>1670</v>
      </c>
      <c r="B1671" s="51" t="s">
        <v>41</v>
      </c>
      <c r="C1671" s="53" t="s">
        <v>7870</v>
      </c>
      <c r="D1671" s="42" t="s">
        <v>44</v>
      </c>
      <c r="E1671" s="42" t="s">
        <v>44</v>
      </c>
      <c r="F1671" s="53" t="s">
        <v>7860</v>
      </c>
      <c r="G1671" s="53" t="s">
        <v>47</v>
      </c>
      <c r="H1671" s="53" t="s">
        <v>48</v>
      </c>
      <c r="I1671" s="53" t="s">
        <v>401</v>
      </c>
      <c r="J1671" s="53" t="s">
        <v>7861</v>
      </c>
      <c r="K1671" s="53" t="s">
        <v>51</v>
      </c>
      <c r="L1671" s="53" t="s">
        <v>52</v>
      </c>
      <c r="M1671" s="53" t="s">
        <v>52</v>
      </c>
      <c r="N1671" s="62" t="s">
        <v>7862</v>
      </c>
      <c r="O1671" s="62" t="s">
        <v>44</v>
      </c>
      <c r="P1671" s="62" t="s">
        <v>5448</v>
      </c>
      <c r="Q1671" s="62" t="s">
        <v>7775</v>
      </c>
      <c r="R1671" s="53"/>
      <c r="S1671" s="53"/>
      <c r="T1671" s="82"/>
      <c r="U1671" s="42"/>
      <c r="V1671" s="62"/>
      <c r="W1671" s="64"/>
      <c r="X1671" s="223"/>
      <c r="Y1671" s="223"/>
      <c r="Z1671" s="223"/>
      <c r="AA1671" s="223"/>
    </row>
    <row r="1672">
      <c r="A1672" s="42">
        <f t="shared" si="3"/>
        <v>1671</v>
      </c>
      <c r="B1672" s="51" t="s">
        <v>41</v>
      </c>
      <c r="C1672" s="53" t="s">
        <v>7871</v>
      </c>
      <c r="D1672" s="42" t="s">
        <v>44</v>
      </c>
      <c r="E1672" s="42" t="s">
        <v>44</v>
      </c>
      <c r="F1672" s="53" t="s">
        <v>7860</v>
      </c>
      <c r="G1672" s="53" t="s">
        <v>47</v>
      </c>
      <c r="H1672" s="53" t="s">
        <v>48</v>
      </c>
      <c r="I1672" s="53" t="s">
        <v>401</v>
      </c>
      <c r="J1672" s="53" t="s">
        <v>7861</v>
      </c>
      <c r="K1672" s="53" t="s">
        <v>51</v>
      </c>
      <c r="L1672" s="53" t="s">
        <v>52</v>
      </c>
      <c r="M1672" s="53" t="s">
        <v>52</v>
      </c>
      <c r="N1672" s="62" t="s">
        <v>7862</v>
      </c>
      <c r="O1672" s="62" t="s">
        <v>44</v>
      </c>
      <c r="P1672" s="62" t="s">
        <v>1002</v>
      </c>
      <c r="Q1672" s="62" t="s">
        <v>6246</v>
      </c>
      <c r="R1672" s="53"/>
      <c r="S1672" s="53"/>
      <c r="T1672" s="82"/>
      <c r="U1672" s="42"/>
      <c r="V1672" s="62"/>
      <c r="W1672" s="64"/>
      <c r="X1672" s="223"/>
      <c r="Y1672" s="223"/>
      <c r="Z1672" s="223"/>
      <c r="AA1672" s="223"/>
    </row>
    <row r="1673">
      <c r="A1673" s="42">
        <f t="shared" si="3"/>
        <v>1672</v>
      </c>
      <c r="B1673" s="51" t="s">
        <v>41</v>
      </c>
      <c r="C1673" s="53" t="s">
        <v>7872</v>
      </c>
      <c r="D1673" s="42" t="s">
        <v>44</v>
      </c>
      <c r="E1673" s="42" t="s">
        <v>44</v>
      </c>
      <c r="F1673" s="53" t="s">
        <v>7860</v>
      </c>
      <c r="G1673" s="53" t="s">
        <v>47</v>
      </c>
      <c r="H1673" s="53" t="s">
        <v>48</v>
      </c>
      <c r="I1673" s="53" t="s">
        <v>401</v>
      </c>
      <c r="J1673" s="53" t="s">
        <v>7861</v>
      </c>
      <c r="K1673" s="53" t="s">
        <v>51</v>
      </c>
      <c r="L1673" s="53" t="s">
        <v>52</v>
      </c>
      <c r="M1673" s="53" t="s">
        <v>52</v>
      </c>
      <c r="N1673" s="62" t="s">
        <v>7862</v>
      </c>
      <c r="O1673" s="62" t="s">
        <v>44</v>
      </c>
      <c r="P1673" s="62" t="s">
        <v>1009</v>
      </c>
      <c r="Q1673" s="62" t="s">
        <v>7778</v>
      </c>
      <c r="R1673" s="53"/>
      <c r="S1673" s="53"/>
      <c r="T1673" s="82"/>
      <c r="U1673" s="42"/>
      <c r="V1673" s="62"/>
      <c r="W1673" s="64"/>
      <c r="X1673" s="223"/>
      <c r="Y1673" s="223"/>
      <c r="Z1673" s="223"/>
      <c r="AA1673" s="223"/>
    </row>
    <row r="1674">
      <c r="A1674" s="42">
        <f t="shared" si="3"/>
        <v>1673</v>
      </c>
      <c r="B1674" s="51" t="s">
        <v>41</v>
      </c>
      <c r="C1674" s="53" t="s">
        <v>7873</v>
      </c>
      <c r="D1674" s="42" t="s">
        <v>44</v>
      </c>
      <c r="E1674" s="42" t="s">
        <v>44</v>
      </c>
      <c r="F1674" s="53" t="s">
        <v>7860</v>
      </c>
      <c r="G1674" s="53" t="s">
        <v>47</v>
      </c>
      <c r="H1674" s="53" t="s">
        <v>48</v>
      </c>
      <c r="I1674" s="53" t="s">
        <v>401</v>
      </c>
      <c r="J1674" s="53" t="s">
        <v>7861</v>
      </c>
      <c r="K1674" s="53" t="s">
        <v>51</v>
      </c>
      <c r="L1674" s="53" t="s">
        <v>52</v>
      </c>
      <c r="M1674" s="53" t="s">
        <v>52</v>
      </c>
      <c r="N1674" s="62" t="s">
        <v>7862</v>
      </c>
      <c r="O1674" s="62" t="s">
        <v>44</v>
      </c>
      <c r="P1674" s="62" t="s">
        <v>7324</v>
      </c>
      <c r="Q1674" s="62" t="s">
        <v>7618</v>
      </c>
      <c r="R1674" s="53"/>
      <c r="S1674" s="53"/>
      <c r="T1674" s="82"/>
      <c r="U1674" s="42"/>
      <c r="V1674" s="62"/>
      <c r="W1674" s="64"/>
      <c r="X1674" s="223"/>
      <c r="Y1674" s="223"/>
      <c r="Z1674" s="223"/>
      <c r="AA1674" s="223"/>
    </row>
    <row r="1675">
      <c r="A1675" s="42">
        <f t="shared" si="3"/>
        <v>1674</v>
      </c>
      <c r="B1675" s="51" t="s">
        <v>41</v>
      </c>
      <c r="C1675" s="53" t="s">
        <v>7874</v>
      </c>
      <c r="D1675" s="42" t="s">
        <v>44</v>
      </c>
      <c r="E1675" s="42" t="s">
        <v>44</v>
      </c>
      <c r="F1675" s="53" t="s">
        <v>7860</v>
      </c>
      <c r="G1675" s="53" t="s">
        <v>47</v>
      </c>
      <c r="H1675" s="53" t="s">
        <v>48</v>
      </c>
      <c r="I1675" s="53" t="s">
        <v>401</v>
      </c>
      <c r="J1675" s="53" t="s">
        <v>7861</v>
      </c>
      <c r="K1675" s="53" t="s">
        <v>51</v>
      </c>
      <c r="L1675" s="53" t="s">
        <v>52</v>
      </c>
      <c r="M1675" s="53" t="s">
        <v>52</v>
      </c>
      <c r="N1675" s="62" t="s">
        <v>7862</v>
      </c>
      <c r="O1675" s="62" t="s">
        <v>44</v>
      </c>
      <c r="P1675" s="62" t="s">
        <v>7781</v>
      </c>
      <c r="Q1675" s="62" t="s">
        <v>7634</v>
      </c>
      <c r="R1675" s="53"/>
      <c r="S1675" s="53"/>
      <c r="T1675" s="82"/>
      <c r="U1675" s="42"/>
      <c r="V1675" s="62"/>
      <c r="W1675" s="64"/>
      <c r="X1675" s="223"/>
      <c r="Y1675" s="223"/>
      <c r="Z1675" s="223"/>
      <c r="AA1675" s="223"/>
    </row>
    <row r="1676">
      <c r="A1676" s="42">
        <f t="shared" si="3"/>
        <v>1675</v>
      </c>
      <c r="B1676" s="51" t="s">
        <v>41</v>
      </c>
      <c r="C1676" s="53" t="s">
        <v>7875</v>
      </c>
      <c r="D1676" s="42" t="s">
        <v>44</v>
      </c>
      <c r="E1676" s="42" t="s">
        <v>44</v>
      </c>
      <c r="F1676" s="53" t="s">
        <v>7860</v>
      </c>
      <c r="G1676" s="53" t="s">
        <v>47</v>
      </c>
      <c r="H1676" s="53" t="s">
        <v>48</v>
      </c>
      <c r="I1676" s="53" t="s">
        <v>401</v>
      </c>
      <c r="J1676" s="53" t="s">
        <v>7861</v>
      </c>
      <c r="K1676" s="53" t="s">
        <v>51</v>
      </c>
      <c r="L1676" s="53" t="s">
        <v>52</v>
      </c>
      <c r="M1676" s="53" t="s">
        <v>52</v>
      </c>
      <c r="N1676" s="62" t="s">
        <v>7862</v>
      </c>
      <c r="O1676" s="62" t="s">
        <v>44</v>
      </c>
      <c r="P1676" s="62" t="s">
        <v>7783</v>
      </c>
      <c r="Q1676" s="62" t="s">
        <v>7784</v>
      </c>
      <c r="R1676" s="53"/>
      <c r="S1676" s="53"/>
      <c r="T1676" s="82"/>
      <c r="U1676" s="42"/>
      <c r="V1676" s="62"/>
      <c r="W1676" s="64"/>
      <c r="X1676" s="223"/>
      <c r="Y1676" s="223"/>
      <c r="Z1676" s="223"/>
      <c r="AA1676" s="223"/>
    </row>
    <row r="1677">
      <c r="A1677" s="42">
        <f t="shared" si="3"/>
        <v>1676</v>
      </c>
      <c r="B1677" s="51" t="s">
        <v>41</v>
      </c>
      <c r="C1677" s="53" t="s">
        <v>7876</v>
      </c>
      <c r="D1677" s="42" t="s">
        <v>44</v>
      </c>
      <c r="E1677" s="42" t="s">
        <v>44</v>
      </c>
      <c r="F1677" s="53" t="s">
        <v>7860</v>
      </c>
      <c r="G1677" s="53" t="s">
        <v>47</v>
      </c>
      <c r="H1677" s="53" t="s">
        <v>48</v>
      </c>
      <c r="I1677" s="53" t="s">
        <v>401</v>
      </c>
      <c r="J1677" s="53" t="s">
        <v>7861</v>
      </c>
      <c r="K1677" s="53" t="s">
        <v>51</v>
      </c>
      <c r="L1677" s="53" t="s">
        <v>52</v>
      </c>
      <c r="M1677" s="53" t="s">
        <v>52</v>
      </c>
      <c r="N1677" s="62" t="s">
        <v>7693</v>
      </c>
      <c r="O1677" s="62" t="s">
        <v>44</v>
      </c>
      <c r="P1677" s="62" t="s">
        <v>7677</v>
      </c>
      <c r="Q1677" s="62" t="s">
        <v>7877</v>
      </c>
      <c r="R1677" s="53"/>
      <c r="S1677" s="53"/>
      <c r="T1677" s="82"/>
      <c r="U1677" s="42"/>
      <c r="V1677" s="62"/>
      <c r="W1677" s="64"/>
      <c r="X1677" s="223"/>
      <c r="Y1677" s="223"/>
      <c r="Z1677" s="223"/>
      <c r="AA1677" s="223"/>
    </row>
    <row r="1678">
      <c r="A1678" s="42">
        <f t="shared" si="3"/>
        <v>1677</v>
      </c>
      <c r="B1678" s="51" t="s">
        <v>41</v>
      </c>
      <c r="C1678" s="53" t="s">
        <v>7878</v>
      </c>
      <c r="D1678" s="42" t="s">
        <v>44</v>
      </c>
      <c r="E1678" s="42" t="s">
        <v>44</v>
      </c>
      <c r="F1678" s="53" t="s">
        <v>7860</v>
      </c>
      <c r="G1678" s="53" t="s">
        <v>47</v>
      </c>
      <c r="H1678" s="53" t="s">
        <v>48</v>
      </c>
      <c r="I1678" s="53" t="s">
        <v>401</v>
      </c>
      <c r="J1678" s="53" t="s">
        <v>7861</v>
      </c>
      <c r="K1678" s="53" t="s">
        <v>51</v>
      </c>
      <c r="L1678" s="53" t="s">
        <v>52</v>
      </c>
      <c r="M1678" s="53" t="s">
        <v>52</v>
      </c>
      <c r="N1678" s="62" t="s">
        <v>7879</v>
      </c>
      <c r="O1678" s="62" t="s">
        <v>44</v>
      </c>
      <c r="P1678" s="62" t="s">
        <v>7789</v>
      </c>
      <c r="Q1678" s="62" t="s">
        <v>7790</v>
      </c>
      <c r="R1678" s="53"/>
      <c r="S1678" s="53"/>
      <c r="T1678" s="82"/>
      <c r="U1678" s="42"/>
      <c r="V1678" s="62"/>
      <c r="W1678" s="64"/>
      <c r="X1678" s="223"/>
      <c r="Y1678" s="223"/>
      <c r="Z1678" s="223"/>
      <c r="AA1678" s="223"/>
    </row>
    <row r="1679">
      <c r="A1679" s="42">
        <f t="shared" si="3"/>
        <v>1678</v>
      </c>
      <c r="B1679" s="51" t="s">
        <v>41</v>
      </c>
      <c r="C1679" s="53" t="s">
        <v>7880</v>
      </c>
      <c r="D1679" s="42" t="s">
        <v>44</v>
      </c>
      <c r="E1679" s="42" t="s">
        <v>44</v>
      </c>
      <c r="F1679" s="53" t="s">
        <v>7860</v>
      </c>
      <c r="G1679" s="53" t="s">
        <v>47</v>
      </c>
      <c r="H1679" s="53" t="s">
        <v>48</v>
      </c>
      <c r="I1679" s="53" t="s">
        <v>401</v>
      </c>
      <c r="J1679" s="53" t="s">
        <v>7861</v>
      </c>
      <c r="K1679" s="53" t="s">
        <v>51</v>
      </c>
      <c r="L1679" s="53" t="s">
        <v>52</v>
      </c>
      <c r="M1679" s="53" t="s">
        <v>52</v>
      </c>
      <c r="N1679" s="62" t="s">
        <v>7862</v>
      </c>
      <c r="O1679" s="62" t="s">
        <v>44</v>
      </c>
      <c r="P1679" s="62" t="s">
        <v>7881</v>
      </c>
      <c r="Q1679" s="62" t="s">
        <v>7882</v>
      </c>
      <c r="R1679" s="53"/>
      <c r="S1679" s="53"/>
      <c r="T1679" s="82"/>
      <c r="U1679" s="42"/>
      <c r="V1679" s="62"/>
      <c r="W1679" s="64"/>
      <c r="X1679" s="223"/>
      <c r="Y1679" s="223"/>
      <c r="Z1679" s="223"/>
      <c r="AA1679" s="223"/>
    </row>
    <row r="1680">
      <c r="A1680" s="42">
        <f t="shared" si="3"/>
        <v>1679</v>
      </c>
      <c r="B1680" s="51" t="s">
        <v>41</v>
      </c>
      <c r="C1680" s="53" t="s">
        <v>7883</v>
      </c>
      <c r="D1680" s="42" t="s">
        <v>44</v>
      </c>
      <c r="E1680" s="42" t="s">
        <v>44</v>
      </c>
      <c r="F1680" s="53" t="s">
        <v>7860</v>
      </c>
      <c r="G1680" s="53" t="s">
        <v>47</v>
      </c>
      <c r="H1680" s="53" t="s">
        <v>48</v>
      </c>
      <c r="I1680" s="53" t="s">
        <v>401</v>
      </c>
      <c r="J1680" s="53" t="s">
        <v>7861</v>
      </c>
      <c r="K1680" s="53" t="s">
        <v>51</v>
      </c>
      <c r="L1680" s="53" t="s">
        <v>52</v>
      </c>
      <c r="M1680" s="53" t="s">
        <v>52</v>
      </c>
      <c r="N1680" s="62" t="s">
        <v>7884</v>
      </c>
      <c r="O1680" s="62" t="s">
        <v>44</v>
      </c>
      <c r="P1680" s="62" t="s">
        <v>7885</v>
      </c>
      <c r="Q1680" s="62" t="s">
        <v>7886</v>
      </c>
      <c r="R1680" s="53"/>
      <c r="S1680" s="53"/>
      <c r="T1680" s="82"/>
      <c r="U1680" s="42"/>
      <c r="V1680" s="62"/>
      <c r="W1680" s="64"/>
      <c r="X1680" s="223"/>
      <c r="Y1680" s="223"/>
      <c r="Z1680" s="223"/>
      <c r="AA1680" s="223"/>
    </row>
    <row r="1681">
      <c r="A1681" s="42">
        <f t="shared" si="3"/>
        <v>1680</v>
      </c>
      <c r="B1681" s="51" t="s">
        <v>41</v>
      </c>
      <c r="C1681" s="53" t="s">
        <v>7887</v>
      </c>
      <c r="D1681" s="42" t="s">
        <v>44</v>
      </c>
      <c r="E1681" s="42" t="s">
        <v>44</v>
      </c>
      <c r="F1681" s="53" t="s">
        <v>7860</v>
      </c>
      <c r="G1681" s="53" t="s">
        <v>47</v>
      </c>
      <c r="H1681" s="53" t="s">
        <v>48</v>
      </c>
      <c r="I1681" s="53" t="s">
        <v>401</v>
      </c>
      <c r="J1681" s="53" t="s">
        <v>7861</v>
      </c>
      <c r="K1681" s="53" t="s">
        <v>51</v>
      </c>
      <c r="L1681" s="53" t="s">
        <v>52</v>
      </c>
      <c r="M1681" s="53" t="s">
        <v>52</v>
      </c>
      <c r="N1681" s="62" t="s">
        <v>7884</v>
      </c>
      <c r="O1681" s="62" t="s">
        <v>44</v>
      </c>
      <c r="P1681" s="62" t="s">
        <v>7888</v>
      </c>
      <c r="Q1681" s="62" t="s">
        <v>7889</v>
      </c>
      <c r="R1681" s="53"/>
      <c r="S1681" s="53"/>
      <c r="T1681" s="82"/>
      <c r="U1681" s="42"/>
      <c r="V1681" s="62"/>
      <c r="W1681" s="64"/>
      <c r="X1681" s="223"/>
      <c r="Y1681" s="223"/>
      <c r="Z1681" s="223"/>
      <c r="AA1681" s="223"/>
    </row>
    <row r="1682">
      <c r="A1682" s="42">
        <f t="shared" si="3"/>
        <v>1681</v>
      </c>
      <c r="B1682" s="51" t="s">
        <v>41</v>
      </c>
      <c r="C1682" s="53" t="s">
        <v>7890</v>
      </c>
      <c r="D1682" s="42" t="s">
        <v>44</v>
      </c>
      <c r="E1682" s="42" t="s">
        <v>44</v>
      </c>
      <c r="F1682" s="53" t="s">
        <v>7860</v>
      </c>
      <c r="G1682" s="53" t="s">
        <v>47</v>
      </c>
      <c r="H1682" s="53" t="s">
        <v>48</v>
      </c>
      <c r="I1682" s="53" t="s">
        <v>401</v>
      </c>
      <c r="J1682" s="53" t="s">
        <v>7861</v>
      </c>
      <c r="K1682" s="53" t="s">
        <v>51</v>
      </c>
      <c r="L1682" s="53" t="s">
        <v>52</v>
      </c>
      <c r="M1682" s="53" t="s">
        <v>52</v>
      </c>
      <c r="N1682" s="62" t="s">
        <v>7884</v>
      </c>
      <c r="O1682" s="62" t="s">
        <v>44</v>
      </c>
      <c r="P1682" s="62" t="s">
        <v>7891</v>
      </c>
      <c r="Q1682" s="62" t="s">
        <v>7892</v>
      </c>
      <c r="R1682" s="53"/>
      <c r="S1682" s="53"/>
      <c r="T1682" s="82"/>
      <c r="U1682" s="42"/>
      <c r="V1682" s="62"/>
      <c r="W1682" s="64"/>
      <c r="X1682" s="223"/>
      <c r="Y1682" s="223"/>
      <c r="Z1682" s="223"/>
      <c r="AA1682" s="223"/>
    </row>
    <row r="1683">
      <c r="A1683" s="42">
        <f t="shared" si="3"/>
        <v>1682</v>
      </c>
      <c r="B1683" s="51" t="s">
        <v>41</v>
      </c>
      <c r="C1683" s="53" t="s">
        <v>7893</v>
      </c>
      <c r="D1683" s="42" t="s">
        <v>44</v>
      </c>
      <c r="E1683" s="42" t="s">
        <v>44</v>
      </c>
      <c r="F1683" s="53" t="s">
        <v>7860</v>
      </c>
      <c r="G1683" s="53" t="s">
        <v>47</v>
      </c>
      <c r="H1683" s="53" t="s">
        <v>48</v>
      </c>
      <c r="I1683" s="53" t="s">
        <v>401</v>
      </c>
      <c r="J1683" s="53" t="s">
        <v>7861</v>
      </c>
      <c r="K1683" s="53" t="s">
        <v>51</v>
      </c>
      <c r="L1683" s="53" t="s">
        <v>52</v>
      </c>
      <c r="M1683" s="53" t="s">
        <v>52</v>
      </c>
      <c r="N1683" s="62" t="s">
        <v>7884</v>
      </c>
      <c r="O1683" s="62" t="s">
        <v>44</v>
      </c>
      <c r="P1683" s="62" t="s">
        <v>7894</v>
      </c>
      <c r="Q1683" s="62" t="s">
        <v>7895</v>
      </c>
      <c r="R1683" s="53"/>
      <c r="S1683" s="53"/>
      <c r="T1683" s="82"/>
      <c r="U1683" s="42"/>
      <c r="V1683" s="62"/>
      <c r="W1683" s="64"/>
      <c r="X1683" s="223"/>
      <c r="Y1683" s="223"/>
      <c r="Z1683" s="223"/>
      <c r="AA1683" s="223"/>
    </row>
    <row r="1684">
      <c r="A1684" s="42">
        <f t="shared" si="3"/>
        <v>1683</v>
      </c>
      <c r="B1684" s="51" t="s">
        <v>41</v>
      </c>
      <c r="C1684" s="53" t="s">
        <v>7896</v>
      </c>
      <c r="D1684" s="42" t="s">
        <v>44</v>
      </c>
      <c r="E1684" s="42" t="s">
        <v>44</v>
      </c>
      <c r="F1684" s="53" t="s">
        <v>7897</v>
      </c>
      <c r="G1684" s="53" t="s">
        <v>111</v>
      </c>
      <c r="H1684" s="53" t="s">
        <v>112</v>
      </c>
      <c r="I1684" s="53" t="s">
        <v>401</v>
      </c>
      <c r="J1684" s="53" t="s">
        <v>7898</v>
      </c>
      <c r="K1684" s="53" t="s">
        <v>927</v>
      </c>
      <c r="L1684" s="53" t="s">
        <v>52</v>
      </c>
      <c r="M1684" s="53" t="s">
        <v>52</v>
      </c>
      <c r="N1684" s="62" t="s">
        <v>7899</v>
      </c>
      <c r="O1684" s="62" t="s">
        <v>44</v>
      </c>
      <c r="P1684" s="62" t="s">
        <v>6399</v>
      </c>
      <c r="Q1684" s="62" t="s">
        <v>7900</v>
      </c>
      <c r="R1684" s="53"/>
      <c r="S1684" s="53"/>
      <c r="T1684" s="82"/>
      <c r="U1684" s="42"/>
      <c r="V1684" s="62"/>
      <c r="W1684" s="64"/>
      <c r="X1684" s="223"/>
      <c r="Y1684" s="223"/>
      <c r="Z1684" s="223"/>
      <c r="AA1684" s="223"/>
    </row>
    <row r="1685">
      <c r="A1685" s="42">
        <f t="shared" si="3"/>
        <v>1684</v>
      </c>
      <c r="B1685" s="51" t="s">
        <v>41</v>
      </c>
      <c r="C1685" s="53" t="s">
        <v>7901</v>
      </c>
      <c r="D1685" s="42" t="s">
        <v>44</v>
      </c>
      <c r="E1685" s="42" t="s">
        <v>44</v>
      </c>
      <c r="F1685" s="53" t="s">
        <v>7897</v>
      </c>
      <c r="G1685" s="53" t="s">
        <v>47</v>
      </c>
      <c r="H1685" s="53" t="s">
        <v>48</v>
      </c>
      <c r="I1685" s="53" t="s">
        <v>401</v>
      </c>
      <c r="J1685" s="53" t="s">
        <v>7898</v>
      </c>
      <c r="K1685" s="53" t="s">
        <v>927</v>
      </c>
      <c r="L1685" s="53" t="s">
        <v>52</v>
      </c>
      <c r="M1685" s="53" t="s">
        <v>52</v>
      </c>
      <c r="N1685" s="62" t="s">
        <v>7899</v>
      </c>
      <c r="O1685" s="62" t="s">
        <v>44</v>
      </c>
      <c r="P1685" s="62" t="s">
        <v>5384</v>
      </c>
      <c r="Q1685" s="62" t="s">
        <v>7902</v>
      </c>
      <c r="R1685" s="53"/>
      <c r="S1685" s="53"/>
      <c r="T1685" s="82"/>
      <c r="U1685" s="42"/>
      <c r="V1685" s="62"/>
      <c r="W1685" s="64"/>
      <c r="X1685" s="223"/>
      <c r="Y1685" s="223"/>
      <c r="Z1685" s="223"/>
      <c r="AA1685" s="223"/>
    </row>
    <row r="1686">
      <c r="A1686" s="42">
        <f t="shared" si="3"/>
        <v>1685</v>
      </c>
      <c r="B1686" s="51" t="s">
        <v>41</v>
      </c>
      <c r="C1686" s="53" t="s">
        <v>7903</v>
      </c>
      <c r="D1686" s="42" t="s">
        <v>44</v>
      </c>
      <c r="E1686" s="42" t="s">
        <v>44</v>
      </c>
      <c r="F1686" s="53" t="s">
        <v>7897</v>
      </c>
      <c r="G1686" s="53" t="s">
        <v>47</v>
      </c>
      <c r="H1686" s="53" t="s">
        <v>48</v>
      </c>
      <c r="I1686" s="53" t="s">
        <v>401</v>
      </c>
      <c r="J1686" s="53" t="s">
        <v>7898</v>
      </c>
      <c r="K1686" s="53" t="s">
        <v>927</v>
      </c>
      <c r="L1686" s="53" t="s">
        <v>52</v>
      </c>
      <c r="M1686" s="53" t="s">
        <v>52</v>
      </c>
      <c r="N1686" s="62" t="s">
        <v>7899</v>
      </c>
      <c r="O1686" s="62" t="s">
        <v>44</v>
      </c>
      <c r="P1686" s="62" t="s">
        <v>5389</v>
      </c>
      <c r="Q1686" s="62" t="s">
        <v>6404</v>
      </c>
      <c r="R1686" s="53"/>
      <c r="S1686" s="53"/>
      <c r="T1686" s="82"/>
      <c r="U1686" s="42"/>
      <c r="V1686" s="62"/>
      <c r="W1686" s="64"/>
      <c r="X1686" s="223"/>
      <c r="Y1686" s="223"/>
      <c r="Z1686" s="223"/>
      <c r="AA1686" s="223"/>
    </row>
    <row r="1687">
      <c r="A1687" s="42">
        <f t="shared" si="3"/>
        <v>1686</v>
      </c>
      <c r="B1687" s="51" t="s">
        <v>41</v>
      </c>
      <c r="C1687" s="53" t="s">
        <v>7904</v>
      </c>
      <c r="D1687" s="42" t="s">
        <v>44</v>
      </c>
      <c r="E1687" s="42" t="s">
        <v>44</v>
      </c>
      <c r="F1687" s="53" t="s">
        <v>7897</v>
      </c>
      <c r="G1687" s="53" t="s">
        <v>47</v>
      </c>
      <c r="H1687" s="53" t="s">
        <v>48</v>
      </c>
      <c r="I1687" s="53" t="s">
        <v>401</v>
      </c>
      <c r="J1687" s="53" t="s">
        <v>7898</v>
      </c>
      <c r="K1687" s="53" t="s">
        <v>927</v>
      </c>
      <c r="L1687" s="53" t="s">
        <v>52</v>
      </c>
      <c r="M1687" s="53" t="s">
        <v>52</v>
      </c>
      <c r="N1687" s="62" t="s">
        <v>7905</v>
      </c>
      <c r="O1687" s="62" t="s">
        <v>44</v>
      </c>
      <c r="P1687" s="62" t="s">
        <v>7769</v>
      </c>
      <c r="Q1687" s="62" t="s">
        <v>7770</v>
      </c>
      <c r="R1687" s="53"/>
      <c r="S1687" s="53"/>
      <c r="T1687" s="82"/>
      <c r="U1687" s="42"/>
      <c r="V1687" s="62"/>
      <c r="W1687" s="64"/>
      <c r="X1687" s="223"/>
      <c r="Y1687" s="223"/>
      <c r="Z1687" s="223"/>
      <c r="AA1687" s="223"/>
    </row>
    <row r="1688">
      <c r="A1688" s="42">
        <f t="shared" si="3"/>
        <v>1687</v>
      </c>
      <c r="B1688" s="51" t="s">
        <v>41</v>
      </c>
      <c r="C1688" s="53" t="s">
        <v>7906</v>
      </c>
      <c r="D1688" s="42" t="s">
        <v>44</v>
      </c>
      <c r="E1688" s="42" t="s">
        <v>44</v>
      </c>
      <c r="F1688" s="53" t="s">
        <v>7897</v>
      </c>
      <c r="G1688" s="53" t="s">
        <v>47</v>
      </c>
      <c r="H1688" s="53" t="s">
        <v>48</v>
      </c>
      <c r="I1688" s="53" t="s">
        <v>401</v>
      </c>
      <c r="J1688" s="53" t="s">
        <v>7898</v>
      </c>
      <c r="K1688" s="53" t="s">
        <v>927</v>
      </c>
      <c r="L1688" s="53" t="s">
        <v>52</v>
      </c>
      <c r="M1688" s="53" t="s">
        <v>52</v>
      </c>
      <c r="N1688" s="62" t="s">
        <v>7907</v>
      </c>
      <c r="O1688" s="62" t="s">
        <v>44</v>
      </c>
      <c r="P1688" s="62" t="s">
        <v>6429</v>
      </c>
      <c r="Q1688" s="62" t="s">
        <v>7773</v>
      </c>
      <c r="R1688" s="53"/>
      <c r="S1688" s="53"/>
      <c r="T1688" s="82"/>
      <c r="U1688" s="42"/>
      <c r="V1688" s="62"/>
      <c r="W1688" s="64"/>
      <c r="X1688" s="223"/>
      <c r="Y1688" s="223"/>
      <c r="Z1688" s="223"/>
      <c r="AA1688" s="223"/>
    </row>
    <row r="1689">
      <c r="A1689" s="42">
        <f t="shared" si="3"/>
        <v>1688</v>
      </c>
      <c r="B1689" s="51" t="s">
        <v>41</v>
      </c>
      <c r="C1689" s="53" t="s">
        <v>7908</v>
      </c>
      <c r="D1689" s="42" t="s">
        <v>44</v>
      </c>
      <c r="E1689" s="42" t="s">
        <v>44</v>
      </c>
      <c r="F1689" s="53" t="s">
        <v>7897</v>
      </c>
      <c r="G1689" s="53" t="s">
        <v>47</v>
      </c>
      <c r="H1689" s="53" t="s">
        <v>48</v>
      </c>
      <c r="I1689" s="53" t="s">
        <v>401</v>
      </c>
      <c r="J1689" s="53" t="s">
        <v>7898</v>
      </c>
      <c r="K1689" s="53" t="s">
        <v>927</v>
      </c>
      <c r="L1689" s="53" t="s">
        <v>52</v>
      </c>
      <c r="M1689" s="53" t="s">
        <v>52</v>
      </c>
      <c r="N1689" s="62" t="s">
        <v>7899</v>
      </c>
      <c r="O1689" s="62" t="s">
        <v>44</v>
      </c>
      <c r="P1689" s="62" t="s">
        <v>5448</v>
      </c>
      <c r="Q1689" s="62" t="s">
        <v>7775</v>
      </c>
      <c r="R1689" s="53"/>
      <c r="S1689" s="53"/>
      <c r="T1689" s="82"/>
      <c r="U1689" s="42"/>
      <c r="V1689" s="62"/>
      <c r="W1689" s="64"/>
      <c r="X1689" s="223"/>
      <c r="Y1689" s="223"/>
      <c r="Z1689" s="223"/>
      <c r="AA1689" s="223"/>
    </row>
    <row r="1690">
      <c r="A1690" s="42">
        <f t="shared" si="3"/>
        <v>1689</v>
      </c>
      <c r="B1690" s="51" t="s">
        <v>41</v>
      </c>
      <c r="C1690" s="53" t="s">
        <v>7909</v>
      </c>
      <c r="D1690" s="42" t="s">
        <v>44</v>
      </c>
      <c r="E1690" s="42" t="s">
        <v>44</v>
      </c>
      <c r="F1690" s="53" t="s">
        <v>7897</v>
      </c>
      <c r="G1690" s="53" t="s">
        <v>47</v>
      </c>
      <c r="H1690" s="53" t="s">
        <v>48</v>
      </c>
      <c r="I1690" s="53" t="s">
        <v>401</v>
      </c>
      <c r="J1690" s="53" t="s">
        <v>7898</v>
      </c>
      <c r="K1690" s="53" t="s">
        <v>927</v>
      </c>
      <c r="L1690" s="53" t="s">
        <v>52</v>
      </c>
      <c r="M1690" s="53" t="s">
        <v>52</v>
      </c>
      <c r="N1690" s="62" t="s">
        <v>7899</v>
      </c>
      <c r="O1690" s="62" t="s">
        <v>44</v>
      </c>
      <c r="P1690" s="62" t="s">
        <v>1002</v>
      </c>
      <c r="Q1690" s="62" t="s">
        <v>6246</v>
      </c>
      <c r="R1690" s="53"/>
      <c r="S1690" s="53"/>
      <c r="T1690" s="82"/>
      <c r="U1690" s="42"/>
      <c r="V1690" s="62"/>
      <c r="W1690" s="64"/>
      <c r="X1690" s="223"/>
      <c r="Y1690" s="223"/>
      <c r="Z1690" s="223"/>
      <c r="AA1690" s="223"/>
    </row>
    <row r="1691">
      <c r="A1691" s="42">
        <f t="shared" si="3"/>
        <v>1690</v>
      </c>
      <c r="B1691" s="51" t="s">
        <v>41</v>
      </c>
      <c r="C1691" s="53" t="s">
        <v>7910</v>
      </c>
      <c r="D1691" s="42" t="s">
        <v>44</v>
      </c>
      <c r="E1691" s="42" t="s">
        <v>44</v>
      </c>
      <c r="F1691" s="53" t="s">
        <v>7897</v>
      </c>
      <c r="G1691" s="53" t="s">
        <v>47</v>
      </c>
      <c r="H1691" s="53" t="s">
        <v>48</v>
      </c>
      <c r="I1691" s="53" t="s">
        <v>401</v>
      </c>
      <c r="J1691" s="53" t="s">
        <v>7898</v>
      </c>
      <c r="K1691" s="53" t="s">
        <v>927</v>
      </c>
      <c r="L1691" s="53" t="s">
        <v>52</v>
      </c>
      <c r="M1691" s="53" t="s">
        <v>52</v>
      </c>
      <c r="N1691" s="62" t="s">
        <v>7899</v>
      </c>
      <c r="O1691" s="62" t="s">
        <v>44</v>
      </c>
      <c r="P1691" s="62" t="s">
        <v>1009</v>
      </c>
      <c r="Q1691" s="62" t="s">
        <v>7778</v>
      </c>
      <c r="R1691" s="53"/>
      <c r="S1691" s="53"/>
      <c r="T1691" s="82"/>
      <c r="U1691" s="42"/>
      <c r="V1691" s="62"/>
      <c r="W1691" s="64"/>
      <c r="X1691" s="223"/>
      <c r="Y1691" s="223"/>
      <c r="Z1691" s="223"/>
      <c r="AA1691" s="223"/>
    </row>
    <row r="1692">
      <c r="A1692" s="42">
        <f t="shared" si="3"/>
        <v>1691</v>
      </c>
      <c r="B1692" s="51" t="s">
        <v>41</v>
      </c>
      <c r="C1692" s="53" t="s">
        <v>7911</v>
      </c>
      <c r="D1692" s="42" t="s">
        <v>44</v>
      </c>
      <c r="E1692" s="42" t="s">
        <v>44</v>
      </c>
      <c r="F1692" s="53" t="s">
        <v>7897</v>
      </c>
      <c r="G1692" s="53" t="s">
        <v>47</v>
      </c>
      <c r="H1692" s="53" t="s">
        <v>48</v>
      </c>
      <c r="I1692" s="53" t="s">
        <v>401</v>
      </c>
      <c r="J1692" s="53" t="s">
        <v>7898</v>
      </c>
      <c r="K1692" s="53" t="s">
        <v>927</v>
      </c>
      <c r="L1692" s="53" t="s">
        <v>52</v>
      </c>
      <c r="M1692" s="53" t="s">
        <v>52</v>
      </c>
      <c r="N1692" s="62" t="s">
        <v>7899</v>
      </c>
      <c r="O1692" s="62" t="s">
        <v>44</v>
      </c>
      <c r="P1692" s="62" t="s">
        <v>6406</v>
      </c>
      <c r="Q1692" s="62" t="s">
        <v>7912</v>
      </c>
      <c r="R1692" s="53"/>
      <c r="S1692" s="53"/>
      <c r="T1692" s="82"/>
      <c r="U1692" s="42"/>
      <c r="V1692" s="62"/>
      <c r="W1692" s="64"/>
      <c r="X1692" s="223"/>
      <c r="Y1692" s="223"/>
      <c r="Z1692" s="223"/>
      <c r="AA1692" s="223"/>
    </row>
    <row r="1693">
      <c r="A1693" s="42">
        <f t="shared" si="3"/>
        <v>1692</v>
      </c>
      <c r="B1693" s="51" t="s">
        <v>41</v>
      </c>
      <c r="C1693" s="53" t="s">
        <v>7913</v>
      </c>
      <c r="D1693" s="42" t="s">
        <v>44</v>
      </c>
      <c r="E1693" s="42" t="s">
        <v>44</v>
      </c>
      <c r="F1693" s="53" t="s">
        <v>7897</v>
      </c>
      <c r="G1693" s="53" t="s">
        <v>47</v>
      </c>
      <c r="H1693" s="53" t="s">
        <v>48</v>
      </c>
      <c r="I1693" s="53" t="s">
        <v>401</v>
      </c>
      <c r="J1693" s="53" t="s">
        <v>7898</v>
      </c>
      <c r="K1693" s="53" t="s">
        <v>927</v>
      </c>
      <c r="L1693" s="53" t="s">
        <v>52</v>
      </c>
      <c r="M1693" s="53" t="s">
        <v>52</v>
      </c>
      <c r="N1693" s="62" t="s">
        <v>7899</v>
      </c>
      <c r="O1693" s="62" t="s">
        <v>44</v>
      </c>
      <c r="P1693" s="62" t="s">
        <v>7914</v>
      </c>
      <c r="Q1693" s="62" t="s">
        <v>7915</v>
      </c>
      <c r="R1693" s="53"/>
      <c r="S1693" s="53"/>
      <c r="T1693" s="82"/>
      <c r="U1693" s="42"/>
      <c r="V1693" s="62"/>
      <c r="W1693" s="64"/>
      <c r="X1693" s="223"/>
      <c r="Y1693" s="223"/>
      <c r="Z1693" s="223"/>
      <c r="AA1693" s="223"/>
    </row>
    <row r="1694">
      <c r="A1694" s="42">
        <f t="shared" si="3"/>
        <v>1693</v>
      </c>
      <c r="B1694" s="51" t="s">
        <v>41</v>
      </c>
      <c r="C1694" s="53" t="s">
        <v>7916</v>
      </c>
      <c r="D1694" s="42" t="s">
        <v>44</v>
      </c>
      <c r="E1694" s="42" t="s">
        <v>44</v>
      </c>
      <c r="F1694" s="53" t="s">
        <v>7897</v>
      </c>
      <c r="G1694" s="53" t="s">
        <v>47</v>
      </c>
      <c r="H1694" s="53" t="s">
        <v>48</v>
      </c>
      <c r="I1694" s="53" t="s">
        <v>401</v>
      </c>
      <c r="J1694" s="53" t="s">
        <v>7898</v>
      </c>
      <c r="K1694" s="53" t="s">
        <v>927</v>
      </c>
      <c r="L1694" s="53" t="s">
        <v>52</v>
      </c>
      <c r="M1694" s="53" t="s">
        <v>52</v>
      </c>
      <c r="N1694" s="62" t="s">
        <v>7917</v>
      </c>
      <c r="O1694" s="62" t="s">
        <v>44</v>
      </c>
      <c r="P1694" s="62" t="s">
        <v>7677</v>
      </c>
      <c r="Q1694" s="62" t="s">
        <v>7918</v>
      </c>
      <c r="R1694" s="53"/>
      <c r="S1694" s="53"/>
      <c r="T1694" s="82"/>
      <c r="U1694" s="42"/>
      <c r="V1694" s="62"/>
      <c r="W1694" s="64"/>
      <c r="X1694" s="223"/>
      <c r="Y1694" s="223"/>
      <c r="Z1694" s="223"/>
      <c r="AA1694" s="223"/>
    </row>
    <row r="1695">
      <c r="A1695" s="42">
        <f t="shared" si="3"/>
        <v>1694</v>
      </c>
      <c r="B1695" s="51" t="s">
        <v>41</v>
      </c>
      <c r="C1695" s="53" t="s">
        <v>7919</v>
      </c>
      <c r="D1695" s="42" t="s">
        <v>44</v>
      </c>
      <c r="E1695" s="42" t="s">
        <v>44</v>
      </c>
      <c r="F1695" s="53" t="s">
        <v>7897</v>
      </c>
      <c r="G1695" s="53" t="s">
        <v>47</v>
      </c>
      <c r="H1695" s="53" t="s">
        <v>48</v>
      </c>
      <c r="I1695" s="53" t="s">
        <v>401</v>
      </c>
      <c r="J1695" s="53" t="s">
        <v>7898</v>
      </c>
      <c r="K1695" s="53" t="s">
        <v>927</v>
      </c>
      <c r="L1695" s="53" t="s">
        <v>52</v>
      </c>
      <c r="M1695" s="53" t="s">
        <v>52</v>
      </c>
      <c r="N1695" s="62" t="s">
        <v>7920</v>
      </c>
      <c r="O1695" s="62" t="s">
        <v>44</v>
      </c>
      <c r="P1695" s="62" t="s">
        <v>7921</v>
      </c>
      <c r="Q1695" s="62" t="s">
        <v>7922</v>
      </c>
      <c r="R1695" s="53"/>
      <c r="S1695" s="53"/>
      <c r="T1695" s="82"/>
      <c r="U1695" s="42"/>
      <c r="V1695" s="62"/>
      <c r="W1695" s="64"/>
      <c r="X1695" s="223"/>
      <c r="Y1695" s="223"/>
      <c r="Z1695" s="223"/>
      <c r="AA1695" s="223"/>
    </row>
    <row r="1696">
      <c r="A1696" s="42">
        <f t="shared" si="3"/>
        <v>1695</v>
      </c>
      <c r="B1696" s="51" t="s">
        <v>41</v>
      </c>
      <c r="C1696" s="53" t="s">
        <v>7923</v>
      </c>
      <c r="D1696" s="42" t="s">
        <v>44</v>
      </c>
      <c r="E1696" s="42" t="s">
        <v>44</v>
      </c>
      <c r="F1696" s="53" t="s">
        <v>7897</v>
      </c>
      <c r="G1696" s="53" t="s">
        <v>47</v>
      </c>
      <c r="H1696" s="53" t="s">
        <v>48</v>
      </c>
      <c r="I1696" s="53" t="s">
        <v>401</v>
      </c>
      <c r="J1696" s="53" t="s">
        <v>7898</v>
      </c>
      <c r="K1696" s="53" t="s">
        <v>927</v>
      </c>
      <c r="L1696" s="53" t="s">
        <v>52</v>
      </c>
      <c r="M1696" s="53" t="s">
        <v>52</v>
      </c>
      <c r="N1696" s="62" t="s">
        <v>7899</v>
      </c>
      <c r="O1696" s="62" t="s">
        <v>44</v>
      </c>
      <c r="P1696" s="62" t="s">
        <v>7924</v>
      </c>
      <c r="Q1696" s="62" t="s">
        <v>7820</v>
      </c>
      <c r="R1696" s="53"/>
      <c r="S1696" s="53"/>
      <c r="T1696" s="82"/>
      <c r="U1696" s="42"/>
      <c r="V1696" s="62"/>
      <c r="W1696" s="64"/>
      <c r="X1696" s="223"/>
      <c r="Y1696" s="223"/>
      <c r="Z1696" s="223"/>
      <c r="AA1696" s="223"/>
    </row>
    <row r="1697">
      <c r="A1697" s="42">
        <f t="shared" si="3"/>
        <v>1696</v>
      </c>
      <c r="B1697" s="51" t="s">
        <v>41</v>
      </c>
      <c r="C1697" s="53" t="s">
        <v>7925</v>
      </c>
      <c r="D1697" s="42" t="s">
        <v>44</v>
      </c>
      <c r="E1697" s="42" t="s">
        <v>44</v>
      </c>
      <c r="F1697" s="53" t="s">
        <v>7897</v>
      </c>
      <c r="G1697" s="53" t="s">
        <v>47</v>
      </c>
      <c r="H1697" s="53" t="s">
        <v>48</v>
      </c>
      <c r="I1697" s="53" t="s">
        <v>401</v>
      </c>
      <c r="J1697" s="53" t="s">
        <v>7898</v>
      </c>
      <c r="K1697" s="53" t="s">
        <v>927</v>
      </c>
      <c r="L1697" s="53" t="s">
        <v>52</v>
      </c>
      <c r="M1697" s="53" t="s">
        <v>52</v>
      </c>
      <c r="N1697" s="62" t="s">
        <v>7899</v>
      </c>
      <c r="O1697" s="62" t="s">
        <v>44</v>
      </c>
      <c r="P1697" s="62" t="s">
        <v>7926</v>
      </c>
      <c r="Q1697" s="62" t="s">
        <v>7927</v>
      </c>
      <c r="R1697" s="53"/>
      <c r="S1697" s="53"/>
      <c r="T1697" s="82"/>
      <c r="U1697" s="42"/>
      <c r="V1697" s="62"/>
      <c r="W1697" s="64"/>
      <c r="X1697" s="223"/>
      <c r="Y1697" s="223"/>
      <c r="Z1697" s="223"/>
      <c r="AA1697" s="223"/>
    </row>
    <row r="1698">
      <c r="A1698" s="42">
        <f t="shared" si="3"/>
        <v>1697</v>
      </c>
      <c r="B1698" s="51" t="s">
        <v>41</v>
      </c>
      <c r="C1698" s="53" t="s">
        <v>7928</v>
      </c>
      <c r="D1698" s="42" t="s">
        <v>44</v>
      </c>
      <c r="E1698" s="42" t="s">
        <v>44</v>
      </c>
      <c r="F1698" s="53" t="s">
        <v>7897</v>
      </c>
      <c r="G1698" s="53" t="s">
        <v>47</v>
      </c>
      <c r="H1698" s="53" t="s">
        <v>48</v>
      </c>
      <c r="I1698" s="53" t="s">
        <v>401</v>
      </c>
      <c r="J1698" s="53" t="s">
        <v>7898</v>
      </c>
      <c r="K1698" s="53" t="s">
        <v>927</v>
      </c>
      <c r="L1698" s="53" t="s">
        <v>52</v>
      </c>
      <c r="M1698" s="53" t="s">
        <v>52</v>
      </c>
      <c r="N1698" s="62" t="s">
        <v>7899</v>
      </c>
      <c r="O1698" s="62" t="s">
        <v>44</v>
      </c>
      <c r="P1698" s="62" t="s">
        <v>7929</v>
      </c>
      <c r="Q1698" s="62" t="s">
        <v>7930</v>
      </c>
      <c r="R1698" s="53"/>
      <c r="S1698" s="53"/>
      <c r="T1698" s="82"/>
      <c r="U1698" s="42"/>
      <c r="V1698" s="62"/>
      <c r="W1698" s="64"/>
      <c r="X1698" s="223"/>
      <c r="Y1698" s="223"/>
      <c r="Z1698" s="223"/>
      <c r="AA1698" s="223"/>
    </row>
    <row r="1699">
      <c r="A1699" s="42">
        <f t="shared" si="3"/>
        <v>1698</v>
      </c>
      <c r="B1699" s="51" t="s">
        <v>41</v>
      </c>
      <c r="C1699" s="53" t="s">
        <v>7931</v>
      </c>
      <c r="D1699" s="42" t="s">
        <v>44</v>
      </c>
      <c r="E1699" s="42" t="s">
        <v>44</v>
      </c>
      <c r="F1699" s="53" t="s">
        <v>7897</v>
      </c>
      <c r="G1699" s="53" t="s">
        <v>47</v>
      </c>
      <c r="H1699" s="53" t="s">
        <v>48</v>
      </c>
      <c r="I1699" s="53" t="s">
        <v>401</v>
      </c>
      <c r="J1699" s="53" t="s">
        <v>7898</v>
      </c>
      <c r="K1699" s="53" t="s">
        <v>927</v>
      </c>
      <c r="L1699" s="53" t="s">
        <v>52</v>
      </c>
      <c r="M1699" s="53" t="s">
        <v>52</v>
      </c>
      <c r="N1699" s="62" t="s">
        <v>7899</v>
      </c>
      <c r="O1699" s="62" t="s">
        <v>44</v>
      </c>
      <c r="P1699" s="62" t="s">
        <v>7932</v>
      </c>
      <c r="Q1699" s="62" t="s">
        <v>7933</v>
      </c>
      <c r="R1699" s="53"/>
      <c r="S1699" s="53"/>
      <c r="T1699" s="82"/>
      <c r="U1699" s="42"/>
      <c r="V1699" s="62"/>
      <c r="W1699" s="64"/>
      <c r="X1699" s="223"/>
      <c r="Y1699" s="223"/>
      <c r="Z1699" s="223"/>
      <c r="AA1699" s="223"/>
    </row>
    <row r="1700">
      <c r="A1700" s="42">
        <f t="shared" si="3"/>
        <v>1699</v>
      </c>
      <c r="B1700" s="51" t="s">
        <v>41</v>
      </c>
      <c r="C1700" s="53" t="s">
        <v>7934</v>
      </c>
      <c r="D1700" s="42" t="s">
        <v>44</v>
      </c>
      <c r="E1700" s="42" t="s">
        <v>44</v>
      </c>
      <c r="F1700" s="53" t="s">
        <v>7897</v>
      </c>
      <c r="G1700" s="53" t="s">
        <v>47</v>
      </c>
      <c r="H1700" s="53" t="s">
        <v>48</v>
      </c>
      <c r="I1700" s="53" t="s">
        <v>401</v>
      </c>
      <c r="J1700" s="53" t="s">
        <v>7898</v>
      </c>
      <c r="K1700" s="53" t="s">
        <v>927</v>
      </c>
      <c r="L1700" s="53" t="s">
        <v>52</v>
      </c>
      <c r="M1700" s="53" t="s">
        <v>52</v>
      </c>
      <c r="N1700" s="62" t="s">
        <v>7899</v>
      </c>
      <c r="O1700" s="62" t="s">
        <v>44</v>
      </c>
      <c r="P1700" s="62" t="s">
        <v>7935</v>
      </c>
      <c r="Q1700" s="62" t="s">
        <v>7936</v>
      </c>
      <c r="R1700" s="53"/>
      <c r="S1700" s="53"/>
      <c r="T1700" s="82"/>
      <c r="U1700" s="42"/>
      <c r="V1700" s="62"/>
      <c r="W1700" s="64"/>
      <c r="X1700" s="223"/>
      <c r="Y1700" s="223"/>
      <c r="Z1700" s="223"/>
      <c r="AA1700" s="223"/>
    </row>
    <row r="1701">
      <c r="A1701" s="42">
        <f t="shared" si="3"/>
        <v>1700</v>
      </c>
      <c r="B1701" s="51" t="s">
        <v>41</v>
      </c>
      <c r="C1701" s="53" t="s">
        <v>7937</v>
      </c>
      <c r="D1701" s="42" t="s">
        <v>44</v>
      </c>
      <c r="E1701" s="42" t="s">
        <v>44</v>
      </c>
      <c r="F1701" s="53" t="s">
        <v>7897</v>
      </c>
      <c r="G1701" s="53" t="s">
        <v>111</v>
      </c>
      <c r="H1701" s="53" t="s">
        <v>91</v>
      </c>
      <c r="I1701" s="53" t="s">
        <v>401</v>
      </c>
      <c r="J1701" s="53" t="s">
        <v>7898</v>
      </c>
      <c r="K1701" s="53" t="s">
        <v>927</v>
      </c>
      <c r="L1701" s="53" t="s">
        <v>52</v>
      </c>
      <c r="M1701" s="53" t="s">
        <v>52</v>
      </c>
      <c r="N1701" s="62" t="s">
        <v>7899</v>
      </c>
      <c r="O1701" s="62" t="s">
        <v>44</v>
      </c>
      <c r="P1701" s="62" t="s">
        <v>7938</v>
      </c>
      <c r="Q1701" s="62" t="s">
        <v>7939</v>
      </c>
      <c r="R1701" s="53"/>
      <c r="S1701" s="53"/>
      <c r="T1701" s="82"/>
      <c r="U1701" s="42"/>
      <c r="V1701" s="62"/>
      <c r="W1701" s="64"/>
      <c r="X1701" s="223"/>
      <c r="Y1701" s="223"/>
      <c r="Z1701" s="223"/>
      <c r="AA1701" s="223"/>
    </row>
    <row r="1702">
      <c r="A1702" s="42">
        <f t="shared" si="3"/>
        <v>1701</v>
      </c>
      <c r="B1702" s="51" t="s">
        <v>41</v>
      </c>
      <c r="C1702" s="53" t="s">
        <v>7940</v>
      </c>
      <c r="D1702" s="42" t="s">
        <v>44</v>
      </c>
      <c r="E1702" s="42" t="s">
        <v>44</v>
      </c>
      <c r="F1702" s="53" t="s">
        <v>7897</v>
      </c>
      <c r="G1702" s="53" t="s">
        <v>47</v>
      </c>
      <c r="H1702" s="53" t="s">
        <v>48</v>
      </c>
      <c r="I1702" s="53" t="s">
        <v>401</v>
      </c>
      <c r="J1702" s="53" t="s">
        <v>7898</v>
      </c>
      <c r="K1702" s="53" t="s">
        <v>927</v>
      </c>
      <c r="L1702" s="53" t="s">
        <v>52</v>
      </c>
      <c r="M1702" s="53" t="s">
        <v>52</v>
      </c>
      <c r="N1702" s="62" t="s">
        <v>7899</v>
      </c>
      <c r="O1702" s="62" t="s">
        <v>44</v>
      </c>
      <c r="P1702" s="62" t="s">
        <v>7941</v>
      </c>
      <c r="Q1702" s="62" t="s">
        <v>7942</v>
      </c>
      <c r="R1702" s="53"/>
      <c r="S1702" s="53"/>
      <c r="T1702" s="82"/>
      <c r="U1702" s="42"/>
      <c r="V1702" s="62"/>
      <c r="W1702" s="64"/>
      <c r="X1702" s="223"/>
      <c r="Y1702" s="223"/>
      <c r="Z1702" s="223"/>
      <c r="AA1702" s="223"/>
    </row>
    <row r="1703">
      <c r="A1703" s="42">
        <f t="shared" si="3"/>
        <v>1702</v>
      </c>
      <c r="B1703" s="51" t="s">
        <v>41</v>
      </c>
      <c r="C1703" s="53" t="s">
        <v>7943</v>
      </c>
      <c r="D1703" s="42" t="s">
        <v>44</v>
      </c>
      <c r="E1703" s="42" t="s">
        <v>44</v>
      </c>
      <c r="F1703" s="53" t="s">
        <v>7897</v>
      </c>
      <c r="G1703" s="53" t="s">
        <v>47</v>
      </c>
      <c r="H1703" s="53" t="s">
        <v>48</v>
      </c>
      <c r="I1703" s="53" t="s">
        <v>401</v>
      </c>
      <c r="J1703" s="53" t="s">
        <v>7898</v>
      </c>
      <c r="K1703" s="53" t="s">
        <v>927</v>
      </c>
      <c r="L1703" s="53" t="s">
        <v>52</v>
      </c>
      <c r="M1703" s="53" t="s">
        <v>52</v>
      </c>
      <c r="N1703" s="62" t="s">
        <v>7944</v>
      </c>
      <c r="O1703" s="62" t="s">
        <v>44</v>
      </c>
      <c r="P1703" s="62" t="s">
        <v>7945</v>
      </c>
      <c r="Q1703" s="62" t="s">
        <v>7946</v>
      </c>
      <c r="R1703" s="53"/>
      <c r="S1703" s="53"/>
      <c r="T1703" s="82"/>
      <c r="U1703" s="42"/>
      <c r="V1703" s="62"/>
      <c r="W1703" s="64"/>
      <c r="X1703" s="223"/>
      <c r="Y1703" s="223"/>
      <c r="Z1703" s="223"/>
      <c r="AA1703" s="223"/>
    </row>
    <row r="1704">
      <c r="A1704" s="42">
        <f t="shared" si="3"/>
        <v>1703</v>
      </c>
      <c r="B1704" s="51" t="s">
        <v>41</v>
      </c>
      <c r="C1704" s="53" t="s">
        <v>7947</v>
      </c>
      <c r="D1704" s="42" t="s">
        <v>44</v>
      </c>
      <c r="E1704" s="42" t="s">
        <v>44</v>
      </c>
      <c r="F1704" s="53" t="s">
        <v>7897</v>
      </c>
      <c r="G1704" s="53" t="s">
        <v>47</v>
      </c>
      <c r="H1704" s="53" t="s">
        <v>95</v>
      </c>
      <c r="I1704" s="53" t="s">
        <v>401</v>
      </c>
      <c r="J1704" s="53" t="s">
        <v>7898</v>
      </c>
      <c r="K1704" s="53" t="s">
        <v>927</v>
      </c>
      <c r="L1704" s="53" t="s">
        <v>52</v>
      </c>
      <c r="M1704" s="53" t="s">
        <v>52</v>
      </c>
      <c r="N1704" s="62" t="s">
        <v>7948</v>
      </c>
      <c r="O1704" s="62" t="s">
        <v>44</v>
      </c>
      <c r="P1704" s="62" t="s">
        <v>7949</v>
      </c>
      <c r="Q1704" s="62" t="s">
        <v>6467</v>
      </c>
      <c r="R1704" s="53"/>
      <c r="S1704" s="53"/>
      <c r="T1704" s="82"/>
      <c r="U1704" s="42"/>
      <c r="V1704" s="62"/>
      <c r="W1704" s="64"/>
      <c r="X1704" s="223"/>
      <c r="Y1704" s="223"/>
      <c r="Z1704" s="223"/>
      <c r="AA1704" s="223"/>
    </row>
    <row r="1705">
      <c r="A1705" s="42">
        <f t="shared" si="3"/>
        <v>1704</v>
      </c>
      <c r="B1705" s="51" t="s">
        <v>41</v>
      </c>
      <c r="C1705" s="53" t="s">
        <v>7950</v>
      </c>
      <c r="D1705" s="42" t="s">
        <v>44</v>
      </c>
      <c r="E1705" s="42" t="s">
        <v>44</v>
      </c>
      <c r="F1705" s="53" t="s">
        <v>7897</v>
      </c>
      <c r="G1705" s="53" t="s">
        <v>47</v>
      </c>
      <c r="H1705" s="53" t="s">
        <v>95</v>
      </c>
      <c r="I1705" s="53" t="s">
        <v>401</v>
      </c>
      <c r="J1705" s="53" t="s">
        <v>7898</v>
      </c>
      <c r="K1705" s="53" t="s">
        <v>927</v>
      </c>
      <c r="L1705" s="53" t="s">
        <v>52</v>
      </c>
      <c r="M1705" s="53" t="s">
        <v>52</v>
      </c>
      <c r="N1705" s="62" t="s">
        <v>7951</v>
      </c>
      <c r="O1705" s="62" t="s">
        <v>44</v>
      </c>
      <c r="P1705" s="62" t="s">
        <v>7952</v>
      </c>
      <c r="Q1705" s="62" t="s">
        <v>6471</v>
      </c>
      <c r="R1705" s="53"/>
      <c r="S1705" s="53"/>
      <c r="T1705" s="82"/>
      <c r="U1705" s="42"/>
      <c r="V1705" s="62"/>
      <c r="W1705" s="64"/>
      <c r="X1705" s="223"/>
      <c r="Y1705" s="223"/>
      <c r="Z1705" s="223"/>
      <c r="AA1705" s="223"/>
    </row>
    <row r="1706">
      <c r="A1706" s="42">
        <f t="shared" si="3"/>
        <v>1705</v>
      </c>
      <c r="B1706" s="51" t="s">
        <v>41</v>
      </c>
      <c r="C1706" s="53" t="s">
        <v>7953</v>
      </c>
      <c r="D1706" s="42" t="s">
        <v>44</v>
      </c>
      <c r="E1706" s="42" t="s">
        <v>44</v>
      </c>
      <c r="F1706" s="53" t="s">
        <v>7897</v>
      </c>
      <c r="G1706" s="53" t="s">
        <v>47</v>
      </c>
      <c r="H1706" s="53" t="s">
        <v>48</v>
      </c>
      <c r="I1706" s="53" t="s">
        <v>401</v>
      </c>
      <c r="J1706" s="53" t="s">
        <v>7898</v>
      </c>
      <c r="K1706" s="53" t="s">
        <v>927</v>
      </c>
      <c r="L1706" s="53" t="s">
        <v>52</v>
      </c>
      <c r="M1706" s="53" t="s">
        <v>52</v>
      </c>
      <c r="N1706" s="62" t="s">
        <v>7944</v>
      </c>
      <c r="O1706" s="62" t="s">
        <v>44</v>
      </c>
      <c r="P1706" s="62" t="s">
        <v>7954</v>
      </c>
      <c r="Q1706" s="62" t="s">
        <v>7955</v>
      </c>
      <c r="R1706" s="53"/>
      <c r="S1706" s="53"/>
      <c r="T1706" s="82"/>
      <c r="U1706" s="42"/>
      <c r="V1706" s="62"/>
      <c r="W1706" s="64"/>
      <c r="X1706" s="223"/>
      <c r="Y1706" s="223"/>
      <c r="Z1706" s="223"/>
      <c r="AA1706" s="223"/>
    </row>
    <row r="1707">
      <c r="A1707" s="42">
        <f t="shared" si="3"/>
        <v>1706</v>
      </c>
      <c r="B1707" s="51" t="s">
        <v>41</v>
      </c>
      <c r="C1707" s="53" t="s">
        <v>7956</v>
      </c>
      <c r="D1707" s="42" t="s">
        <v>44</v>
      </c>
      <c r="E1707" s="42" t="s">
        <v>44</v>
      </c>
      <c r="F1707" s="53" t="s">
        <v>7897</v>
      </c>
      <c r="G1707" s="53" t="s">
        <v>47</v>
      </c>
      <c r="H1707" s="53" t="s">
        <v>95</v>
      </c>
      <c r="I1707" s="53" t="s">
        <v>401</v>
      </c>
      <c r="J1707" s="53" t="s">
        <v>7898</v>
      </c>
      <c r="K1707" s="53" t="s">
        <v>927</v>
      </c>
      <c r="L1707" s="53" t="s">
        <v>52</v>
      </c>
      <c r="M1707" s="53" t="s">
        <v>52</v>
      </c>
      <c r="N1707" s="62" t="s">
        <v>7957</v>
      </c>
      <c r="O1707" s="62" t="s">
        <v>44</v>
      </c>
      <c r="P1707" s="62" t="s">
        <v>7958</v>
      </c>
      <c r="Q1707" s="62" t="s">
        <v>7959</v>
      </c>
      <c r="R1707" s="53"/>
      <c r="S1707" s="53"/>
      <c r="T1707" s="82"/>
      <c r="U1707" s="42"/>
      <c r="V1707" s="62"/>
      <c r="W1707" s="64"/>
      <c r="X1707" s="223"/>
      <c r="Y1707" s="223"/>
      <c r="Z1707" s="223"/>
      <c r="AA1707" s="223"/>
    </row>
    <row r="1708">
      <c r="A1708" s="42">
        <f t="shared" si="3"/>
        <v>1707</v>
      </c>
      <c r="B1708" s="51" t="s">
        <v>41</v>
      </c>
      <c r="C1708" s="53" t="s">
        <v>7960</v>
      </c>
      <c r="D1708" s="42" t="s">
        <v>44</v>
      </c>
      <c r="E1708" s="42" t="s">
        <v>44</v>
      </c>
      <c r="F1708" s="53" t="s">
        <v>7897</v>
      </c>
      <c r="G1708" s="53" t="s">
        <v>47</v>
      </c>
      <c r="H1708" s="53" t="s">
        <v>48</v>
      </c>
      <c r="I1708" s="53" t="s">
        <v>401</v>
      </c>
      <c r="J1708" s="53" t="s">
        <v>7898</v>
      </c>
      <c r="K1708" s="53" t="s">
        <v>927</v>
      </c>
      <c r="L1708" s="53" t="s">
        <v>52</v>
      </c>
      <c r="M1708" s="53" t="s">
        <v>52</v>
      </c>
      <c r="N1708" s="62" t="s">
        <v>7944</v>
      </c>
      <c r="O1708" s="62" t="s">
        <v>44</v>
      </c>
      <c r="P1708" s="62" t="s">
        <v>7961</v>
      </c>
      <c r="Q1708" s="62" t="s">
        <v>7962</v>
      </c>
      <c r="R1708" s="53"/>
      <c r="S1708" s="53"/>
      <c r="T1708" s="82"/>
      <c r="U1708" s="42"/>
      <c r="V1708" s="62"/>
      <c r="W1708" s="64"/>
      <c r="X1708" s="223"/>
      <c r="Y1708" s="223"/>
      <c r="Z1708" s="223"/>
      <c r="AA1708" s="223"/>
    </row>
    <row r="1709">
      <c r="A1709" s="42">
        <f t="shared" si="3"/>
        <v>1708</v>
      </c>
      <c r="B1709" s="51" t="s">
        <v>41</v>
      </c>
      <c r="C1709" s="53" t="s">
        <v>7963</v>
      </c>
      <c r="D1709" s="42" t="s">
        <v>44</v>
      </c>
      <c r="E1709" s="42" t="s">
        <v>44</v>
      </c>
      <c r="F1709" s="53" t="s">
        <v>7897</v>
      </c>
      <c r="G1709" s="53" t="s">
        <v>111</v>
      </c>
      <c r="H1709" s="53" t="s">
        <v>91</v>
      </c>
      <c r="I1709" s="53" t="s">
        <v>401</v>
      </c>
      <c r="J1709" s="53" t="s">
        <v>7898</v>
      </c>
      <c r="K1709" s="53" t="s">
        <v>927</v>
      </c>
      <c r="L1709" s="53" t="s">
        <v>52</v>
      </c>
      <c r="M1709" s="53" t="s">
        <v>52</v>
      </c>
      <c r="N1709" s="62" t="s">
        <v>7944</v>
      </c>
      <c r="O1709" s="62" t="s">
        <v>44</v>
      </c>
      <c r="P1709" s="62" t="s">
        <v>7964</v>
      </c>
      <c r="Q1709" s="62" t="s">
        <v>7965</v>
      </c>
      <c r="R1709" s="53"/>
      <c r="S1709" s="53"/>
      <c r="T1709" s="82"/>
      <c r="U1709" s="42"/>
      <c r="V1709" s="62"/>
      <c r="W1709" s="64"/>
      <c r="X1709" s="223"/>
      <c r="Y1709" s="223"/>
      <c r="Z1709" s="223"/>
      <c r="AA1709" s="223"/>
    </row>
    <row r="1710">
      <c r="A1710" s="42">
        <f t="shared" si="3"/>
        <v>1709</v>
      </c>
      <c r="B1710" s="51" t="s">
        <v>41</v>
      </c>
      <c r="C1710" s="53" t="s">
        <v>7966</v>
      </c>
      <c r="D1710" s="42" t="s">
        <v>44</v>
      </c>
      <c r="E1710" s="42" t="s">
        <v>44</v>
      </c>
      <c r="F1710" s="53" t="s">
        <v>7897</v>
      </c>
      <c r="G1710" s="53" t="s">
        <v>47</v>
      </c>
      <c r="H1710" s="53" t="s">
        <v>48</v>
      </c>
      <c r="I1710" s="53" t="s">
        <v>401</v>
      </c>
      <c r="J1710" s="53" t="s">
        <v>7898</v>
      </c>
      <c r="K1710" s="53" t="s">
        <v>927</v>
      </c>
      <c r="L1710" s="53" t="s">
        <v>52</v>
      </c>
      <c r="M1710" s="53" t="s">
        <v>52</v>
      </c>
      <c r="N1710" s="62" t="s">
        <v>7944</v>
      </c>
      <c r="O1710" s="62" t="s">
        <v>44</v>
      </c>
      <c r="P1710" s="62" t="s">
        <v>7967</v>
      </c>
      <c r="Q1710" s="62" t="s">
        <v>7968</v>
      </c>
      <c r="R1710" s="53"/>
      <c r="S1710" s="53"/>
      <c r="T1710" s="82"/>
      <c r="U1710" s="42"/>
      <c r="V1710" s="62"/>
      <c r="W1710" s="64"/>
      <c r="X1710" s="223"/>
      <c r="Y1710" s="223"/>
      <c r="Z1710" s="223"/>
      <c r="AA1710" s="223"/>
    </row>
    <row r="1711">
      <c r="A1711" s="42">
        <f t="shared" si="3"/>
        <v>1710</v>
      </c>
      <c r="B1711" s="51" t="s">
        <v>41</v>
      </c>
      <c r="C1711" s="53" t="s">
        <v>7969</v>
      </c>
      <c r="D1711" s="42" t="s">
        <v>44</v>
      </c>
      <c r="E1711" s="42" t="s">
        <v>44</v>
      </c>
      <c r="F1711" s="53" t="s">
        <v>7897</v>
      </c>
      <c r="G1711" s="53" t="s">
        <v>47</v>
      </c>
      <c r="H1711" s="53" t="s">
        <v>48</v>
      </c>
      <c r="I1711" s="53" t="s">
        <v>401</v>
      </c>
      <c r="J1711" s="53" t="s">
        <v>7898</v>
      </c>
      <c r="K1711" s="53" t="s">
        <v>927</v>
      </c>
      <c r="L1711" s="53" t="s">
        <v>52</v>
      </c>
      <c r="M1711" s="53" t="s">
        <v>52</v>
      </c>
      <c r="N1711" s="62" t="s">
        <v>7944</v>
      </c>
      <c r="O1711" s="62" t="s">
        <v>44</v>
      </c>
      <c r="P1711" s="62" t="s">
        <v>7970</v>
      </c>
      <c r="Q1711" s="62" t="s">
        <v>7971</v>
      </c>
      <c r="R1711" s="53"/>
      <c r="S1711" s="53"/>
      <c r="T1711" s="82"/>
      <c r="U1711" s="42"/>
      <c r="V1711" s="62"/>
      <c r="W1711" s="64"/>
      <c r="X1711" s="223"/>
      <c r="Y1711" s="223"/>
      <c r="Z1711" s="223"/>
      <c r="AA1711" s="223"/>
    </row>
    <row r="1712">
      <c r="A1712" s="42">
        <f t="shared" si="3"/>
        <v>1711</v>
      </c>
      <c r="B1712" s="51" t="s">
        <v>41</v>
      </c>
      <c r="C1712" s="53" t="s">
        <v>7972</v>
      </c>
      <c r="D1712" s="42" t="s">
        <v>44</v>
      </c>
      <c r="E1712" s="42" t="s">
        <v>44</v>
      </c>
      <c r="F1712" s="53" t="s">
        <v>7897</v>
      </c>
      <c r="G1712" s="53" t="s">
        <v>47</v>
      </c>
      <c r="H1712" s="53" t="s">
        <v>91</v>
      </c>
      <c r="I1712" s="53" t="s">
        <v>401</v>
      </c>
      <c r="J1712" s="53" t="s">
        <v>7898</v>
      </c>
      <c r="K1712" s="53" t="s">
        <v>927</v>
      </c>
      <c r="L1712" s="53" t="s">
        <v>52</v>
      </c>
      <c r="M1712" s="53" t="s">
        <v>52</v>
      </c>
      <c r="N1712" s="62" t="s">
        <v>7973</v>
      </c>
      <c r="O1712" s="62" t="s">
        <v>44</v>
      </c>
      <c r="P1712" s="62" t="s">
        <v>7974</v>
      </c>
      <c r="Q1712" s="62" t="s">
        <v>7975</v>
      </c>
      <c r="R1712" s="53"/>
      <c r="S1712" s="53"/>
      <c r="T1712" s="82"/>
      <c r="U1712" s="42"/>
      <c r="V1712" s="62"/>
      <c r="W1712" s="64"/>
      <c r="X1712" s="223"/>
      <c r="Y1712" s="223"/>
      <c r="Z1712" s="223"/>
      <c r="AA1712" s="223"/>
    </row>
    <row r="1713">
      <c r="A1713" s="42">
        <f t="shared" si="3"/>
        <v>1712</v>
      </c>
      <c r="B1713" s="51" t="s">
        <v>41</v>
      </c>
      <c r="C1713" s="53" t="s">
        <v>7976</v>
      </c>
      <c r="D1713" s="42" t="s">
        <v>44</v>
      </c>
      <c r="E1713" s="42" t="s">
        <v>44</v>
      </c>
      <c r="F1713" s="53" t="s">
        <v>7897</v>
      </c>
      <c r="G1713" s="53" t="s">
        <v>47</v>
      </c>
      <c r="H1713" s="53" t="s">
        <v>48</v>
      </c>
      <c r="I1713" s="53" t="s">
        <v>401</v>
      </c>
      <c r="J1713" s="53" t="s">
        <v>7898</v>
      </c>
      <c r="K1713" s="53" t="s">
        <v>927</v>
      </c>
      <c r="L1713" s="53" t="s">
        <v>52</v>
      </c>
      <c r="M1713" s="53" t="s">
        <v>52</v>
      </c>
      <c r="N1713" s="62" t="s">
        <v>7944</v>
      </c>
      <c r="O1713" s="62" t="s">
        <v>44</v>
      </c>
      <c r="P1713" s="62" t="s">
        <v>7977</v>
      </c>
      <c r="Q1713" s="62" t="s">
        <v>7978</v>
      </c>
      <c r="R1713" s="53"/>
      <c r="S1713" s="53"/>
      <c r="T1713" s="82"/>
      <c r="U1713" s="42"/>
      <c r="V1713" s="62"/>
      <c r="W1713" s="64"/>
      <c r="X1713" s="223"/>
      <c r="Y1713" s="223"/>
      <c r="Z1713" s="223"/>
      <c r="AA1713" s="223"/>
    </row>
    <row r="1714">
      <c r="A1714" s="42">
        <f t="shared" si="3"/>
        <v>1713</v>
      </c>
      <c r="B1714" s="51" t="s">
        <v>41</v>
      </c>
      <c r="C1714" s="53" t="s">
        <v>7979</v>
      </c>
      <c r="D1714" s="42" t="s">
        <v>44</v>
      </c>
      <c r="E1714" s="42" t="s">
        <v>44</v>
      </c>
      <c r="F1714" s="53" t="s">
        <v>7897</v>
      </c>
      <c r="G1714" s="53" t="s">
        <v>47</v>
      </c>
      <c r="H1714" s="53" t="s">
        <v>48</v>
      </c>
      <c r="I1714" s="53" t="s">
        <v>401</v>
      </c>
      <c r="J1714" s="53" t="s">
        <v>7898</v>
      </c>
      <c r="K1714" s="53" t="s">
        <v>927</v>
      </c>
      <c r="L1714" s="53" t="s">
        <v>52</v>
      </c>
      <c r="M1714" s="53" t="s">
        <v>52</v>
      </c>
      <c r="N1714" s="62" t="s">
        <v>7944</v>
      </c>
      <c r="O1714" s="62" t="s">
        <v>44</v>
      </c>
      <c r="P1714" s="62" t="s">
        <v>7980</v>
      </c>
      <c r="Q1714" s="62" t="s">
        <v>7981</v>
      </c>
      <c r="R1714" s="53"/>
      <c r="S1714" s="53"/>
      <c r="T1714" s="82"/>
      <c r="U1714" s="42"/>
      <c r="V1714" s="62"/>
      <c r="W1714" s="64"/>
      <c r="X1714" s="223"/>
      <c r="Y1714" s="223"/>
      <c r="Z1714" s="223"/>
      <c r="AA1714" s="223"/>
    </row>
    <row r="1715">
      <c r="A1715" s="42">
        <f t="shared" si="3"/>
        <v>1714</v>
      </c>
      <c r="B1715" s="51" t="s">
        <v>41</v>
      </c>
      <c r="C1715" s="53" t="s">
        <v>7982</v>
      </c>
      <c r="D1715" s="42" t="s">
        <v>44</v>
      </c>
      <c r="E1715" s="42" t="s">
        <v>44</v>
      </c>
      <c r="F1715" s="53" t="s">
        <v>7897</v>
      </c>
      <c r="G1715" s="53" t="s">
        <v>47</v>
      </c>
      <c r="H1715" s="53" t="s">
        <v>48</v>
      </c>
      <c r="I1715" s="53" t="s">
        <v>401</v>
      </c>
      <c r="J1715" s="53" t="s">
        <v>7898</v>
      </c>
      <c r="K1715" s="53" t="s">
        <v>927</v>
      </c>
      <c r="L1715" s="53" t="s">
        <v>52</v>
      </c>
      <c r="M1715" s="53" t="s">
        <v>52</v>
      </c>
      <c r="N1715" s="62" t="s">
        <v>7944</v>
      </c>
      <c r="O1715" s="62" t="s">
        <v>44</v>
      </c>
      <c r="P1715" s="62" t="s">
        <v>7983</v>
      </c>
      <c r="Q1715" s="62" t="s">
        <v>7984</v>
      </c>
      <c r="R1715" s="53"/>
      <c r="S1715" s="53"/>
      <c r="T1715" s="82"/>
      <c r="U1715" s="42"/>
      <c r="V1715" s="62"/>
      <c r="W1715" s="64"/>
      <c r="X1715" s="223"/>
      <c r="Y1715" s="223"/>
      <c r="Z1715" s="223"/>
      <c r="AA1715" s="223"/>
    </row>
    <row r="1716">
      <c r="A1716" s="42">
        <f t="shared" si="3"/>
        <v>1715</v>
      </c>
      <c r="B1716" s="51" t="s">
        <v>41</v>
      </c>
      <c r="C1716" s="53" t="s">
        <v>7985</v>
      </c>
      <c r="D1716" s="42" t="s">
        <v>44</v>
      </c>
      <c r="E1716" s="42" t="s">
        <v>44</v>
      </c>
      <c r="F1716" s="53" t="s">
        <v>7897</v>
      </c>
      <c r="G1716" s="53" t="s">
        <v>47</v>
      </c>
      <c r="H1716" s="53" t="s">
        <v>48</v>
      </c>
      <c r="I1716" s="53" t="s">
        <v>401</v>
      </c>
      <c r="J1716" s="53" t="s">
        <v>7898</v>
      </c>
      <c r="K1716" s="53" t="s">
        <v>927</v>
      </c>
      <c r="L1716" s="53" t="s">
        <v>52</v>
      </c>
      <c r="M1716" s="53" t="s">
        <v>52</v>
      </c>
      <c r="N1716" s="62" t="s">
        <v>7944</v>
      </c>
      <c r="O1716" s="62" t="s">
        <v>44</v>
      </c>
      <c r="P1716" s="62" t="s">
        <v>7986</v>
      </c>
      <c r="Q1716" s="62" t="s">
        <v>7987</v>
      </c>
      <c r="R1716" s="53"/>
      <c r="S1716" s="53"/>
      <c r="T1716" s="82"/>
      <c r="U1716" s="42"/>
      <c r="V1716" s="62"/>
      <c r="W1716" s="64"/>
      <c r="X1716" s="223"/>
      <c r="Y1716" s="223"/>
      <c r="Z1716" s="223"/>
      <c r="AA1716" s="223"/>
    </row>
    <row r="1717">
      <c r="A1717" s="42">
        <f t="shared" si="3"/>
        <v>1716</v>
      </c>
      <c r="B1717" s="51" t="s">
        <v>41</v>
      </c>
      <c r="C1717" s="53" t="s">
        <v>7988</v>
      </c>
      <c r="D1717" s="42" t="s">
        <v>44</v>
      </c>
      <c r="E1717" s="42" t="s">
        <v>44</v>
      </c>
      <c r="F1717" s="53" t="s">
        <v>7897</v>
      </c>
      <c r="G1717" s="53" t="s">
        <v>47</v>
      </c>
      <c r="H1717" s="53" t="s">
        <v>48</v>
      </c>
      <c r="I1717" s="53" t="s">
        <v>401</v>
      </c>
      <c r="J1717" s="53" t="s">
        <v>7898</v>
      </c>
      <c r="K1717" s="53" t="s">
        <v>927</v>
      </c>
      <c r="L1717" s="53" t="s">
        <v>52</v>
      </c>
      <c r="M1717" s="53" t="s">
        <v>52</v>
      </c>
      <c r="N1717" s="62" t="s">
        <v>7944</v>
      </c>
      <c r="O1717" s="62" t="s">
        <v>44</v>
      </c>
      <c r="P1717" s="62" t="s">
        <v>7989</v>
      </c>
      <c r="Q1717" s="62" t="s">
        <v>7990</v>
      </c>
      <c r="R1717" s="53"/>
      <c r="S1717" s="53"/>
      <c r="T1717" s="82"/>
      <c r="U1717" s="42"/>
      <c r="V1717" s="62"/>
      <c r="W1717" s="64"/>
      <c r="X1717" s="223"/>
      <c r="Y1717" s="223"/>
      <c r="Z1717" s="223"/>
      <c r="AA1717" s="223"/>
    </row>
    <row r="1718">
      <c r="A1718" s="42">
        <f t="shared" si="3"/>
        <v>1717</v>
      </c>
      <c r="B1718" s="51" t="s">
        <v>41</v>
      </c>
      <c r="C1718" s="53" t="s">
        <v>7991</v>
      </c>
      <c r="D1718" s="42" t="s">
        <v>44</v>
      </c>
      <c r="E1718" s="42" t="s">
        <v>44</v>
      </c>
      <c r="F1718" s="53" t="s">
        <v>7897</v>
      </c>
      <c r="G1718" s="53" t="s">
        <v>47</v>
      </c>
      <c r="H1718" s="53" t="s">
        <v>48</v>
      </c>
      <c r="I1718" s="53" t="s">
        <v>401</v>
      </c>
      <c r="J1718" s="53" t="s">
        <v>7898</v>
      </c>
      <c r="K1718" s="53" t="s">
        <v>927</v>
      </c>
      <c r="L1718" s="53" t="s">
        <v>52</v>
      </c>
      <c r="M1718" s="53" t="s">
        <v>52</v>
      </c>
      <c r="N1718" s="62" t="s">
        <v>7944</v>
      </c>
      <c r="O1718" s="62" t="s">
        <v>44</v>
      </c>
      <c r="P1718" s="62" t="s">
        <v>7992</v>
      </c>
      <c r="Q1718" s="62" t="s">
        <v>7993</v>
      </c>
      <c r="R1718" s="53"/>
      <c r="S1718" s="53"/>
      <c r="T1718" s="82"/>
      <c r="U1718" s="42"/>
      <c r="V1718" s="62"/>
      <c r="W1718" s="64"/>
      <c r="X1718" s="223"/>
      <c r="Y1718" s="223"/>
      <c r="Z1718" s="223"/>
      <c r="AA1718" s="223"/>
    </row>
    <row r="1719">
      <c r="A1719" s="42">
        <f t="shared" si="3"/>
        <v>1718</v>
      </c>
      <c r="B1719" s="51" t="s">
        <v>41</v>
      </c>
      <c r="C1719" s="53" t="s">
        <v>7994</v>
      </c>
      <c r="D1719" s="42" t="s">
        <v>44</v>
      </c>
      <c r="E1719" s="42" t="s">
        <v>44</v>
      </c>
      <c r="F1719" s="53" t="s">
        <v>7897</v>
      </c>
      <c r="G1719" s="53" t="s">
        <v>47</v>
      </c>
      <c r="H1719" s="53" t="s">
        <v>48</v>
      </c>
      <c r="I1719" s="53" t="s">
        <v>401</v>
      </c>
      <c r="J1719" s="53" t="s">
        <v>7898</v>
      </c>
      <c r="K1719" s="53" t="s">
        <v>927</v>
      </c>
      <c r="L1719" s="53" t="s">
        <v>52</v>
      </c>
      <c r="M1719" s="53" t="s">
        <v>52</v>
      </c>
      <c r="N1719" s="62" t="s">
        <v>7995</v>
      </c>
      <c r="O1719" s="62" t="s">
        <v>44</v>
      </c>
      <c r="P1719" s="62" t="s">
        <v>7996</v>
      </c>
      <c r="Q1719" s="62" t="s">
        <v>7997</v>
      </c>
      <c r="R1719" s="53"/>
      <c r="S1719" s="53"/>
      <c r="T1719" s="82"/>
      <c r="U1719" s="42"/>
      <c r="V1719" s="62"/>
      <c r="W1719" s="64"/>
      <c r="X1719" s="223"/>
      <c r="Y1719" s="223"/>
      <c r="Z1719" s="223"/>
      <c r="AA1719" s="223"/>
    </row>
    <row r="1720">
      <c r="A1720" s="42">
        <f t="shared" si="3"/>
        <v>1719</v>
      </c>
      <c r="B1720" s="51" t="s">
        <v>41</v>
      </c>
      <c r="C1720" s="53" t="s">
        <v>7998</v>
      </c>
      <c r="D1720" s="42" t="s">
        <v>44</v>
      </c>
      <c r="E1720" s="42" t="s">
        <v>44</v>
      </c>
      <c r="F1720" s="53" t="s">
        <v>7897</v>
      </c>
      <c r="G1720" s="53" t="s">
        <v>111</v>
      </c>
      <c r="H1720" s="53" t="s">
        <v>91</v>
      </c>
      <c r="I1720" s="53" t="s">
        <v>401</v>
      </c>
      <c r="J1720" s="53" t="s">
        <v>7898</v>
      </c>
      <c r="K1720" s="53" t="s">
        <v>927</v>
      </c>
      <c r="L1720" s="53" t="s">
        <v>52</v>
      </c>
      <c r="M1720" s="53" t="s">
        <v>52</v>
      </c>
      <c r="N1720" s="62" t="s">
        <v>7995</v>
      </c>
      <c r="O1720" s="62" t="s">
        <v>44</v>
      </c>
      <c r="P1720" s="62" t="s">
        <v>7999</v>
      </c>
      <c r="Q1720" s="62" t="s">
        <v>8000</v>
      </c>
      <c r="R1720" s="53"/>
      <c r="S1720" s="53"/>
      <c r="T1720" s="82"/>
      <c r="U1720" s="42"/>
      <c r="V1720" s="62"/>
      <c r="W1720" s="64"/>
      <c r="X1720" s="223"/>
      <c r="Y1720" s="223"/>
      <c r="Z1720" s="223"/>
      <c r="AA1720" s="223"/>
    </row>
    <row r="1721">
      <c r="A1721" s="42">
        <f t="shared" si="3"/>
        <v>1720</v>
      </c>
      <c r="B1721" s="51" t="s">
        <v>41</v>
      </c>
      <c r="C1721" s="53" t="s">
        <v>8001</v>
      </c>
      <c r="D1721" s="42" t="s">
        <v>44</v>
      </c>
      <c r="E1721" s="42" t="s">
        <v>44</v>
      </c>
      <c r="F1721" s="53" t="s">
        <v>7897</v>
      </c>
      <c r="G1721" s="53" t="s">
        <v>47</v>
      </c>
      <c r="H1721" s="53" t="s">
        <v>48</v>
      </c>
      <c r="I1721" s="53" t="s">
        <v>401</v>
      </c>
      <c r="J1721" s="53" t="s">
        <v>7898</v>
      </c>
      <c r="K1721" s="53" t="s">
        <v>927</v>
      </c>
      <c r="L1721" s="53" t="s">
        <v>52</v>
      </c>
      <c r="M1721" s="53" t="s">
        <v>52</v>
      </c>
      <c r="N1721" s="62" t="s">
        <v>7995</v>
      </c>
      <c r="O1721" s="62" t="s">
        <v>44</v>
      </c>
      <c r="P1721" s="62" t="s">
        <v>8002</v>
      </c>
      <c r="Q1721" s="62" t="s">
        <v>8003</v>
      </c>
      <c r="R1721" s="53"/>
      <c r="S1721" s="53"/>
      <c r="T1721" s="82"/>
      <c r="U1721" s="42"/>
      <c r="V1721" s="62"/>
      <c r="W1721" s="64"/>
      <c r="X1721" s="223"/>
      <c r="Y1721" s="223"/>
      <c r="Z1721" s="223"/>
      <c r="AA1721" s="223"/>
    </row>
    <row r="1722">
      <c r="A1722" s="42">
        <f t="shared" si="3"/>
        <v>1721</v>
      </c>
      <c r="B1722" s="51" t="s">
        <v>41</v>
      </c>
      <c r="C1722" s="53" t="s">
        <v>8004</v>
      </c>
      <c r="D1722" s="42" t="s">
        <v>44</v>
      </c>
      <c r="E1722" s="42" t="s">
        <v>44</v>
      </c>
      <c r="F1722" s="53" t="s">
        <v>7897</v>
      </c>
      <c r="G1722" s="53" t="s">
        <v>111</v>
      </c>
      <c r="H1722" s="53" t="s">
        <v>91</v>
      </c>
      <c r="I1722" s="53" t="s">
        <v>401</v>
      </c>
      <c r="J1722" s="53" t="s">
        <v>7898</v>
      </c>
      <c r="K1722" s="53" t="s">
        <v>927</v>
      </c>
      <c r="L1722" s="53" t="s">
        <v>52</v>
      </c>
      <c r="M1722" s="53" t="s">
        <v>52</v>
      </c>
      <c r="N1722" s="62" t="s">
        <v>8005</v>
      </c>
      <c r="O1722" s="62" t="s">
        <v>44</v>
      </c>
      <c r="P1722" s="62" t="s">
        <v>8006</v>
      </c>
      <c r="Q1722" s="62" t="s">
        <v>8007</v>
      </c>
      <c r="R1722" s="53"/>
      <c r="S1722" s="53"/>
      <c r="T1722" s="82"/>
      <c r="U1722" s="42"/>
      <c r="V1722" s="62"/>
      <c r="W1722" s="64"/>
      <c r="X1722" s="223"/>
      <c r="Y1722" s="223"/>
      <c r="Z1722" s="223"/>
      <c r="AA1722" s="223"/>
    </row>
    <row r="1723">
      <c r="A1723" s="42">
        <f t="shared" si="3"/>
        <v>1722</v>
      </c>
      <c r="B1723" s="51" t="s">
        <v>41</v>
      </c>
      <c r="C1723" s="53" t="s">
        <v>8008</v>
      </c>
      <c r="D1723" s="42" t="s">
        <v>44</v>
      </c>
      <c r="E1723" s="42" t="s">
        <v>44</v>
      </c>
      <c r="F1723" s="53" t="s">
        <v>7897</v>
      </c>
      <c r="G1723" s="53" t="s">
        <v>47</v>
      </c>
      <c r="H1723" s="53" t="s">
        <v>95</v>
      </c>
      <c r="I1723" s="53" t="s">
        <v>401</v>
      </c>
      <c r="J1723" s="53" t="s">
        <v>7898</v>
      </c>
      <c r="K1723" s="53" t="s">
        <v>927</v>
      </c>
      <c r="L1723" s="53" t="s">
        <v>52</v>
      </c>
      <c r="M1723" s="53" t="s">
        <v>52</v>
      </c>
      <c r="N1723" s="62" t="s">
        <v>8009</v>
      </c>
      <c r="O1723" s="62" t="s">
        <v>44</v>
      </c>
      <c r="P1723" s="62" t="s">
        <v>8006</v>
      </c>
      <c r="Q1723" s="62" t="s">
        <v>8010</v>
      </c>
      <c r="R1723" s="53"/>
      <c r="S1723" s="53"/>
      <c r="T1723" s="82"/>
      <c r="U1723" s="42"/>
      <c r="V1723" s="62"/>
      <c r="W1723" s="64"/>
      <c r="X1723" s="223"/>
      <c r="Y1723" s="223"/>
      <c r="Z1723" s="223"/>
      <c r="AA1723" s="223"/>
    </row>
    <row r="1724">
      <c r="A1724" s="42">
        <f t="shared" si="3"/>
        <v>1723</v>
      </c>
      <c r="B1724" s="51" t="s">
        <v>41</v>
      </c>
      <c r="C1724" s="53" t="s">
        <v>8011</v>
      </c>
      <c r="D1724" s="42" t="s">
        <v>44</v>
      </c>
      <c r="E1724" s="42" t="s">
        <v>44</v>
      </c>
      <c r="F1724" s="53" t="s">
        <v>7897</v>
      </c>
      <c r="G1724" s="53" t="s">
        <v>47</v>
      </c>
      <c r="H1724" s="53" t="s">
        <v>48</v>
      </c>
      <c r="I1724" s="53" t="s">
        <v>401</v>
      </c>
      <c r="J1724" s="53" t="s">
        <v>8012</v>
      </c>
      <c r="K1724" s="53" t="s">
        <v>51</v>
      </c>
      <c r="L1724" s="53" t="s">
        <v>52</v>
      </c>
      <c r="M1724" s="53" t="s">
        <v>52</v>
      </c>
      <c r="N1724" s="62" t="s">
        <v>8013</v>
      </c>
      <c r="O1724" s="62" t="s">
        <v>44</v>
      </c>
      <c r="P1724" s="62" t="s">
        <v>2503</v>
      </c>
      <c r="Q1724" s="62" t="s">
        <v>8014</v>
      </c>
      <c r="R1724" s="53"/>
      <c r="S1724" s="53"/>
      <c r="T1724" s="82"/>
      <c r="U1724" s="42"/>
      <c r="V1724" s="62"/>
      <c r="W1724" s="64"/>
      <c r="X1724" s="223"/>
      <c r="Y1724" s="223"/>
      <c r="Z1724" s="223"/>
      <c r="AA1724" s="223"/>
    </row>
    <row r="1725">
      <c r="A1725" s="42">
        <f t="shared" si="3"/>
        <v>1724</v>
      </c>
      <c r="B1725" s="51" t="s">
        <v>41</v>
      </c>
      <c r="C1725" s="53" t="s">
        <v>8015</v>
      </c>
      <c r="D1725" s="42" t="s">
        <v>44</v>
      </c>
      <c r="E1725" s="42" t="s">
        <v>44</v>
      </c>
      <c r="F1725" s="53" t="s">
        <v>7897</v>
      </c>
      <c r="G1725" s="53" t="s">
        <v>47</v>
      </c>
      <c r="H1725" s="53" t="s">
        <v>48</v>
      </c>
      <c r="I1725" s="53" t="s">
        <v>401</v>
      </c>
      <c r="J1725" s="53" t="s">
        <v>8012</v>
      </c>
      <c r="K1725" s="53" t="s">
        <v>51</v>
      </c>
      <c r="L1725" s="53" t="s">
        <v>52</v>
      </c>
      <c r="M1725" s="53" t="s">
        <v>52</v>
      </c>
      <c r="N1725" s="62" t="s">
        <v>8013</v>
      </c>
      <c r="O1725" s="62" t="s">
        <v>44</v>
      </c>
      <c r="P1725" s="62" t="s">
        <v>8016</v>
      </c>
      <c r="Q1725" s="62" t="s">
        <v>8017</v>
      </c>
      <c r="R1725" s="53"/>
      <c r="S1725" s="53"/>
      <c r="T1725" s="82"/>
      <c r="U1725" s="42"/>
      <c r="V1725" s="62"/>
      <c r="W1725" s="64"/>
      <c r="X1725" s="223"/>
      <c r="Y1725" s="223"/>
      <c r="Z1725" s="223"/>
      <c r="AA1725" s="223"/>
    </row>
    <row r="1726">
      <c r="A1726" s="42">
        <f t="shared" si="3"/>
        <v>1725</v>
      </c>
      <c r="B1726" s="51" t="s">
        <v>41</v>
      </c>
      <c r="C1726" s="53" t="s">
        <v>8018</v>
      </c>
      <c r="D1726" s="42" t="s">
        <v>44</v>
      </c>
      <c r="E1726" s="42" t="s">
        <v>44</v>
      </c>
      <c r="F1726" s="53" t="s">
        <v>7897</v>
      </c>
      <c r="G1726" s="53" t="s">
        <v>47</v>
      </c>
      <c r="H1726" s="53" t="s">
        <v>48</v>
      </c>
      <c r="I1726" s="53" t="s">
        <v>401</v>
      </c>
      <c r="J1726" s="53" t="s">
        <v>8012</v>
      </c>
      <c r="K1726" s="53" t="s">
        <v>51</v>
      </c>
      <c r="L1726" s="53" t="s">
        <v>52</v>
      </c>
      <c r="M1726" s="53" t="s">
        <v>52</v>
      </c>
      <c r="N1726" s="62" t="s">
        <v>8013</v>
      </c>
      <c r="O1726" s="62" t="s">
        <v>44</v>
      </c>
      <c r="P1726" s="62" t="s">
        <v>8019</v>
      </c>
      <c r="Q1726" s="62" t="s">
        <v>8020</v>
      </c>
      <c r="R1726" s="53"/>
      <c r="S1726" s="53"/>
      <c r="T1726" s="82"/>
      <c r="U1726" s="42"/>
      <c r="V1726" s="62"/>
      <c r="W1726" s="64"/>
      <c r="X1726" s="223"/>
      <c r="Y1726" s="223"/>
      <c r="Z1726" s="223"/>
      <c r="AA1726" s="223"/>
    </row>
    <row r="1727">
      <c r="A1727" s="42">
        <f t="shared" si="3"/>
        <v>1726</v>
      </c>
      <c r="B1727" s="51" t="s">
        <v>41</v>
      </c>
      <c r="C1727" s="53" t="s">
        <v>8021</v>
      </c>
      <c r="D1727" s="42" t="s">
        <v>44</v>
      </c>
      <c r="E1727" s="42" t="s">
        <v>44</v>
      </c>
      <c r="F1727" s="53" t="s">
        <v>7897</v>
      </c>
      <c r="G1727" s="53" t="s">
        <v>47</v>
      </c>
      <c r="H1727" s="53" t="s">
        <v>48</v>
      </c>
      <c r="I1727" s="53" t="s">
        <v>401</v>
      </c>
      <c r="J1727" s="53" t="s">
        <v>7898</v>
      </c>
      <c r="K1727" s="53" t="s">
        <v>927</v>
      </c>
      <c r="L1727" s="53" t="s">
        <v>52</v>
      </c>
      <c r="M1727" s="53" t="s">
        <v>52</v>
      </c>
      <c r="N1727" s="62" t="s">
        <v>7944</v>
      </c>
      <c r="O1727" s="62" t="s">
        <v>44</v>
      </c>
      <c r="P1727" s="62" t="s">
        <v>8022</v>
      </c>
      <c r="Q1727" s="62" t="s">
        <v>8023</v>
      </c>
      <c r="R1727" s="53"/>
      <c r="S1727" s="53"/>
      <c r="T1727" s="82"/>
      <c r="U1727" s="42"/>
      <c r="V1727" s="62"/>
      <c r="W1727" s="64"/>
      <c r="X1727" s="223"/>
      <c r="Y1727" s="223"/>
      <c r="Z1727" s="223"/>
      <c r="AA1727" s="223"/>
    </row>
    <row r="1728">
      <c r="A1728" s="42">
        <f t="shared" si="3"/>
        <v>1727</v>
      </c>
      <c r="B1728" s="51" t="s">
        <v>41</v>
      </c>
      <c r="C1728" s="53" t="s">
        <v>8024</v>
      </c>
      <c r="D1728" s="42" t="s">
        <v>44</v>
      </c>
      <c r="E1728" s="42" t="s">
        <v>44</v>
      </c>
      <c r="F1728" s="53" t="s">
        <v>7897</v>
      </c>
      <c r="G1728" s="53" t="s">
        <v>47</v>
      </c>
      <c r="H1728" s="53" t="s">
        <v>48</v>
      </c>
      <c r="I1728" s="53" t="s">
        <v>401</v>
      </c>
      <c r="J1728" s="53" t="s">
        <v>7898</v>
      </c>
      <c r="K1728" s="53" t="s">
        <v>927</v>
      </c>
      <c r="L1728" s="53" t="s">
        <v>52</v>
      </c>
      <c r="M1728" s="53" t="s">
        <v>52</v>
      </c>
      <c r="N1728" s="62" t="s">
        <v>7944</v>
      </c>
      <c r="O1728" s="62" t="s">
        <v>44</v>
      </c>
      <c r="P1728" s="62" t="s">
        <v>8025</v>
      </c>
      <c r="Q1728" s="62" t="s">
        <v>8026</v>
      </c>
      <c r="R1728" s="53"/>
      <c r="S1728" s="53"/>
      <c r="T1728" s="82"/>
      <c r="U1728" s="42"/>
      <c r="V1728" s="62"/>
      <c r="W1728" s="64"/>
      <c r="X1728" s="223"/>
      <c r="Y1728" s="223"/>
      <c r="Z1728" s="223"/>
      <c r="AA1728" s="223"/>
    </row>
    <row r="1729">
      <c r="A1729" s="42">
        <f t="shared" si="3"/>
        <v>1728</v>
      </c>
      <c r="B1729" s="51" t="s">
        <v>41</v>
      </c>
      <c r="C1729" s="53" t="s">
        <v>8027</v>
      </c>
      <c r="D1729" s="42" t="s">
        <v>44</v>
      </c>
      <c r="E1729" s="42" t="s">
        <v>44</v>
      </c>
      <c r="F1729" s="53" t="s">
        <v>7897</v>
      </c>
      <c r="G1729" s="53" t="s">
        <v>47</v>
      </c>
      <c r="H1729" s="53" t="s">
        <v>48</v>
      </c>
      <c r="I1729" s="53" t="s">
        <v>401</v>
      </c>
      <c r="J1729" s="53" t="s">
        <v>7898</v>
      </c>
      <c r="K1729" s="53" t="s">
        <v>927</v>
      </c>
      <c r="L1729" s="53" t="s">
        <v>52</v>
      </c>
      <c r="M1729" s="53" t="s">
        <v>52</v>
      </c>
      <c r="N1729" s="62" t="s">
        <v>7944</v>
      </c>
      <c r="O1729" s="62" t="s">
        <v>44</v>
      </c>
      <c r="P1729" s="62" t="s">
        <v>8028</v>
      </c>
      <c r="Q1729" s="62" t="s">
        <v>8029</v>
      </c>
      <c r="R1729" s="53"/>
      <c r="S1729" s="53"/>
      <c r="T1729" s="82"/>
      <c r="U1729" s="42"/>
      <c r="V1729" s="62"/>
      <c r="W1729" s="64"/>
      <c r="X1729" s="223"/>
      <c r="Y1729" s="223"/>
      <c r="Z1729" s="223"/>
      <c r="AA1729" s="223"/>
    </row>
    <row r="1730">
      <c r="A1730" s="42">
        <f t="shared" si="3"/>
        <v>1729</v>
      </c>
      <c r="B1730" s="51" t="s">
        <v>41</v>
      </c>
      <c r="C1730" s="53" t="s">
        <v>8030</v>
      </c>
      <c r="D1730" s="42" t="s">
        <v>44</v>
      </c>
      <c r="E1730" s="42" t="s">
        <v>44</v>
      </c>
      <c r="F1730" s="53" t="s">
        <v>7897</v>
      </c>
      <c r="G1730" s="53" t="s">
        <v>47</v>
      </c>
      <c r="H1730" s="53" t="s">
        <v>48</v>
      </c>
      <c r="I1730" s="53" t="s">
        <v>401</v>
      </c>
      <c r="J1730" s="53" t="s">
        <v>7898</v>
      </c>
      <c r="K1730" s="53" t="s">
        <v>927</v>
      </c>
      <c r="L1730" s="53" t="s">
        <v>52</v>
      </c>
      <c r="M1730" s="53" t="s">
        <v>52</v>
      </c>
      <c r="N1730" s="62" t="s">
        <v>7944</v>
      </c>
      <c r="O1730" s="62" t="s">
        <v>44</v>
      </c>
      <c r="P1730" s="62" t="s">
        <v>8031</v>
      </c>
      <c r="Q1730" s="62" t="s">
        <v>8032</v>
      </c>
      <c r="R1730" s="53"/>
      <c r="S1730" s="53"/>
      <c r="T1730" s="82"/>
      <c r="U1730" s="42"/>
      <c r="V1730" s="62"/>
      <c r="W1730" s="64"/>
      <c r="X1730" s="223"/>
      <c r="Y1730" s="223"/>
      <c r="Z1730" s="223"/>
      <c r="AA1730" s="223"/>
    </row>
    <row r="1731">
      <c r="A1731" s="42">
        <f t="shared" si="3"/>
        <v>1730</v>
      </c>
      <c r="B1731" s="51" t="s">
        <v>41</v>
      </c>
      <c r="C1731" s="53" t="s">
        <v>8033</v>
      </c>
      <c r="D1731" s="42" t="s">
        <v>44</v>
      </c>
      <c r="E1731" s="42" t="s">
        <v>44</v>
      </c>
      <c r="F1731" s="53" t="s">
        <v>7897</v>
      </c>
      <c r="G1731" s="53" t="s">
        <v>47</v>
      </c>
      <c r="H1731" s="53" t="s">
        <v>48</v>
      </c>
      <c r="I1731" s="53" t="s">
        <v>401</v>
      </c>
      <c r="J1731" s="53" t="s">
        <v>7898</v>
      </c>
      <c r="K1731" s="53" t="s">
        <v>927</v>
      </c>
      <c r="L1731" s="53" t="s">
        <v>52</v>
      </c>
      <c r="M1731" s="53" t="s">
        <v>52</v>
      </c>
      <c r="N1731" s="62" t="s">
        <v>7944</v>
      </c>
      <c r="O1731" s="62" t="s">
        <v>44</v>
      </c>
      <c r="P1731" s="62" t="s">
        <v>8034</v>
      </c>
      <c r="Q1731" s="62" t="s">
        <v>7852</v>
      </c>
      <c r="R1731" s="53"/>
      <c r="S1731" s="53"/>
      <c r="T1731" s="82"/>
      <c r="U1731" s="42"/>
      <c r="V1731" s="62"/>
      <c r="W1731" s="64"/>
      <c r="X1731" s="223"/>
      <c r="Y1731" s="223"/>
      <c r="Z1731" s="223"/>
      <c r="AA1731" s="223"/>
    </row>
    <row r="1732">
      <c r="A1732" s="42">
        <f t="shared" si="3"/>
        <v>1731</v>
      </c>
      <c r="B1732" s="51" t="s">
        <v>41</v>
      </c>
      <c r="C1732" s="53" t="s">
        <v>8035</v>
      </c>
      <c r="D1732" s="42" t="s">
        <v>44</v>
      </c>
      <c r="E1732" s="42" t="s">
        <v>44</v>
      </c>
      <c r="F1732" s="53" t="s">
        <v>7897</v>
      </c>
      <c r="G1732" s="53" t="s">
        <v>47</v>
      </c>
      <c r="H1732" s="53" t="s">
        <v>48</v>
      </c>
      <c r="I1732" s="53" t="s">
        <v>401</v>
      </c>
      <c r="J1732" s="53" t="s">
        <v>7898</v>
      </c>
      <c r="K1732" s="53" t="s">
        <v>927</v>
      </c>
      <c r="L1732" s="53" t="s">
        <v>52</v>
      </c>
      <c r="M1732" s="53" t="s">
        <v>52</v>
      </c>
      <c r="N1732" s="62" t="s">
        <v>7944</v>
      </c>
      <c r="O1732" s="62" t="s">
        <v>44</v>
      </c>
      <c r="P1732" s="62" t="s">
        <v>8036</v>
      </c>
      <c r="Q1732" s="62" t="s">
        <v>7855</v>
      </c>
      <c r="R1732" s="53"/>
      <c r="S1732" s="53"/>
      <c r="T1732" s="82"/>
      <c r="U1732" s="42"/>
      <c r="V1732" s="62"/>
      <c r="W1732" s="64"/>
      <c r="X1732" s="223"/>
      <c r="Y1732" s="223"/>
      <c r="Z1732" s="223"/>
      <c r="AA1732" s="223"/>
    </row>
    <row r="1733">
      <c r="A1733" s="42">
        <f t="shared" si="3"/>
        <v>1732</v>
      </c>
      <c r="B1733" s="51" t="s">
        <v>41</v>
      </c>
      <c r="C1733" s="53" t="s">
        <v>8037</v>
      </c>
      <c r="D1733" s="42" t="s">
        <v>44</v>
      </c>
      <c r="E1733" s="42" t="s">
        <v>44</v>
      </c>
      <c r="F1733" s="53" t="s">
        <v>7897</v>
      </c>
      <c r="G1733" s="53" t="s">
        <v>47</v>
      </c>
      <c r="H1733" s="53" t="s">
        <v>48</v>
      </c>
      <c r="I1733" s="53" t="s">
        <v>401</v>
      </c>
      <c r="J1733" s="53" t="s">
        <v>7898</v>
      </c>
      <c r="K1733" s="53" t="s">
        <v>927</v>
      </c>
      <c r="L1733" s="53" t="s">
        <v>52</v>
      </c>
      <c r="M1733" s="53" t="s">
        <v>52</v>
      </c>
      <c r="N1733" s="62" t="s">
        <v>7944</v>
      </c>
      <c r="O1733" s="62" t="s">
        <v>44</v>
      </c>
      <c r="P1733" s="62" t="s">
        <v>8038</v>
      </c>
      <c r="Q1733" s="62" t="s">
        <v>8039</v>
      </c>
      <c r="R1733" s="53"/>
      <c r="S1733" s="53"/>
      <c r="T1733" s="82"/>
      <c r="U1733" s="42"/>
      <c r="V1733" s="62"/>
      <c r="W1733" s="64"/>
      <c r="X1733" s="223"/>
      <c r="Y1733" s="223"/>
      <c r="Z1733" s="223"/>
      <c r="AA1733" s="223"/>
    </row>
    <row r="1734">
      <c r="A1734" s="42">
        <f t="shared" si="3"/>
        <v>1733</v>
      </c>
      <c r="B1734" s="51" t="s">
        <v>41</v>
      </c>
      <c r="C1734" s="53" t="s">
        <v>8040</v>
      </c>
      <c r="D1734" s="42" t="s">
        <v>44</v>
      </c>
      <c r="E1734" s="42" t="s">
        <v>44</v>
      </c>
      <c r="F1734" s="53" t="s">
        <v>8041</v>
      </c>
      <c r="G1734" s="53" t="s">
        <v>111</v>
      </c>
      <c r="H1734" s="53" t="s">
        <v>112</v>
      </c>
      <c r="I1734" s="53" t="s">
        <v>401</v>
      </c>
      <c r="J1734" s="53" t="s">
        <v>8042</v>
      </c>
      <c r="K1734" s="53" t="s">
        <v>1615</v>
      </c>
      <c r="L1734" s="53" t="s">
        <v>52</v>
      </c>
      <c r="M1734" s="53" t="s">
        <v>52</v>
      </c>
      <c r="N1734" s="62" t="s">
        <v>8043</v>
      </c>
      <c r="O1734" s="62" t="s">
        <v>44</v>
      </c>
      <c r="P1734" s="62" t="s">
        <v>6399</v>
      </c>
      <c r="Q1734" s="62" t="s">
        <v>8044</v>
      </c>
      <c r="R1734" s="53"/>
      <c r="S1734" s="53"/>
      <c r="T1734" s="82"/>
      <c r="U1734" s="42"/>
      <c r="V1734" s="62"/>
      <c r="W1734" s="64"/>
      <c r="X1734" s="223"/>
      <c r="Y1734" s="223"/>
      <c r="Z1734" s="223"/>
      <c r="AA1734" s="223"/>
    </row>
    <row r="1735">
      <c r="A1735" s="42">
        <f t="shared" si="3"/>
        <v>1734</v>
      </c>
      <c r="B1735" s="51" t="s">
        <v>41</v>
      </c>
      <c r="C1735" s="53" t="s">
        <v>8045</v>
      </c>
      <c r="D1735" s="42" t="s">
        <v>44</v>
      </c>
      <c r="E1735" s="42" t="s">
        <v>44</v>
      </c>
      <c r="F1735" s="53" t="s">
        <v>8041</v>
      </c>
      <c r="G1735" s="53" t="s">
        <v>47</v>
      </c>
      <c r="H1735" s="53" t="s">
        <v>48</v>
      </c>
      <c r="I1735" s="53" t="s">
        <v>401</v>
      </c>
      <c r="J1735" s="53" t="s">
        <v>8042</v>
      </c>
      <c r="K1735" s="53" t="s">
        <v>1615</v>
      </c>
      <c r="L1735" s="53" t="s">
        <v>52</v>
      </c>
      <c r="M1735" s="53" t="s">
        <v>52</v>
      </c>
      <c r="N1735" s="62" t="s">
        <v>8043</v>
      </c>
      <c r="O1735" s="62" t="s">
        <v>44</v>
      </c>
      <c r="P1735" s="62" t="s">
        <v>5384</v>
      </c>
      <c r="Q1735" s="62" t="s">
        <v>8046</v>
      </c>
      <c r="R1735" s="53"/>
      <c r="S1735" s="53"/>
      <c r="T1735" s="82"/>
      <c r="U1735" s="42"/>
      <c r="V1735" s="62"/>
      <c r="W1735" s="64"/>
      <c r="X1735" s="223"/>
      <c r="Y1735" s="223"/>
      <c r="Z1735" s="223"/>
      <c r="AA1735" s="223"/>
    </row>
    <row r="1736">
      <c r="A1736" s="42">
        <f t="shared" si="3"/>
        <v>1735</v>
      </c>
      <c r="B1736" s="51" t="s">
        <v>41</v>
      </c>
      <c r="C1736" s="53" t="s">
        <v>8047</v>
      </c>
      <c r="D1736" s="42" t="s">
        <v>44</v>
      </c>
      <c r="E1736" s="42" t="s">
        <v>44</v>
      </c>
      <c r="F1736" s="53" t="s">
        <v>8041</v>
      </c>
      <c r="G1736" s="53" t="s">
        <v>47</v>
      </c>
      <c r="H1736" s="53" t="s">
        <v>48</v>
      </c>
      <c r="I1736" s="53" t="s">
        <v>401</v>
      </c>
      <c r="J1736" s="53" t="s">
        <v>8042</v>
      </c>
      <c r="K1736" s="53" t="s">
        <v>1615</v>
      </c>
      <c r="L1736" s="53" t="s">
        <v>52</v>
      </c>
      <c r="M1736" s="53" t="s">
        <v>52</v>
      </c>
      <c r="N1736" s="62" t="s">
        <v>8043</v>
      </c>
      <c r="O1736" s="62" t="s">
        <v>44</v>
      </c>
      <c r="P1736" s="62" t="s">
        <v>5389</v>
      </c>
      <c r="Q1736" s="62" t="s">
        <v>8048</v>
      </c>
      <c r="R1736" s="53"/>
      <c r="S1736" s="53"/>
      <c r="T1736" s="82"/>
      <c r="U1736" s="42"/>
      <c r="V1736" s="62"/>
      <c r="W1736" s="64"/>
      <c r="X1736" s="223"/>
      <c r="Y1736" s="223"/>
      <c r="Z1736" s="223"/>
      <c r="AA1736" s="223"/>
    </row>
    <row r="1737">
      <c r="A1737" s="42">
        <f t="shared" si="3"/>
        <v>1736</v>
      </c>
      <c r="B1737" s="51" t="s">
        <v>41</v>
      </c>
      <c r="C1737" s="53" t="s">
        <v>8049</v>
      </c>
      <c r="D1737" s="42" t="s">
        <v>44</v>
      </c>
      <c r="E1737" s="42" t="s">
        <v>44</v>
      </c>
      <c r="F1737" s="53" t="s">
        <v>8041</v>
      </c>
      <c r="G1737" s="53" t="s">
        <v>47</v>
      </c>
      <c r="H1737" s="53" t="s">
        <v>48</v>
      </c>
      <c r="I1737" s="53" t="s">
        <v>401</v>
      </c>
      <c r="J1737" s="53" t="s">
        <v>8042</v>
      </c>
      <c r="K1737" s="53" t="s">
        <v>1615</v>
      </c>
      <c r="L1737" s="53" t="s">
        <v>52</v>
      </c>
      <c r="M1737" s="53" t="s">
        <v>52</v>
      </c>
      <c r="N1737" s="62" t="s">
        <v>8050</v>
      </c>
      <c r="O1737" s="62" t="s">
        <v>44</v>
      </c>
      <c r="P1737" s="62" t="s">
        <v>7769</v>
      </c>
      <c r="Q1737" s="62" t="s">
        <v>7770</v>
      </c>
      <c r="R1737" s="53"/>
      <c r="S1737" s="53"/>
      <c r="T1737" s="82"/>
      <c r="U1737" s="42"/>
      <c r="V1737" s="62"/>
      <c r="W1737" s="64"/>
      <c r="X1737" s="223"/>
      <c r="Y1737" s="223"/>
      <c r="Z1737" s="223"/>
      <c r="AA1737" s="223"/>
    </row>
    <row r="1738">
      <c r="A1738" s="42">
        <f t="shared" si="3"/>
        <v>1737</v>
      </c>
      <c r="B1738" s="51" t="s">
        <v>41</v>
      </c>
      <c r="C1738" s="53" t="s">
        <v>8051</v>
      </c>
      <c r="D1738" s="42" t="s">
        <v>44</v>
      </c>
      <c r="E1738" s="42" t="s">
        <v>44</v>
      </c>
      <c r="F1738" s="53" t="s">
        <v>8041</v>
      </c>
      <c r="G1738" s="53" t="s">
        <v>47</v>
      </c>
      <c r="H1738" s="53" t="s">
        <v>48</v>
      </c>
      <c r="I1738" s="53" t="s">
        <v>401</v>
      </c>
      <c r="J1738" s="53" t="s">
        <v>8042</v>
      </c>
      <c r="K1738" s="53" t="s">
        <v>1615</v>
      </c>
      <c r="L1738" s="53" t="s">
        <v>52</v>
      </c>
      <c r="M1738" s="53" t="s">
        <v>52</v>
      </c>
      <c r="N1738" s="62" t="s">
        <v>8052</v>
      </c>
      <c r="O1738" s="62" t="s">
        <v>44</v>
      </c>
      <c r="P1738" s="62" t="s">
        <v>6429</v>
      </c>
      <c r="Q1738" s="62" t="s">
        <v>7773</v>
      </c>
      <c r="R1738" s="53"/>
      <c r="S1738" s="53"/>
      <c r="T1738" s="82"/>
      <c r="U1738" s="42"/>
      <c r="V1738" s="62"/>
      <c r="W1738" s="64"/>
      <c r="X1738" s="223"/>
      <c r="Y1738" s="223"/>
      <c r="Z1738" s="223"/>
      <c r="AA1738" s="223"/>
    </row>
    <row r="1739">
      <c r="A1739" s="42">
        <f t="shared" si="3"/>
        <v>1738</v>
      </c>
      <c r="B1739" s="51" t="s">
        <v>41</v>
      </c>
      <c r="C1739" s="53" t="s">
        <v>8053</v>
      </c>
      <c r="D1739" s="42" t="s">
        <v>44</v>
      </c>
      <c r="E1739" s="42" t="s">
        <v>44</v>
      </c>
      <c r="F1739" s="53" t="s">
        <v>8041</v>
      </c>
      <c r="G1739" s="53" t="s">
        <v>47</v>
      </c>
      <c r="H1739" s="53" t="s">
        <v>48</v>
      </c>
      <c r="I1739" s="53" t="s">
        <v>401</v>
      </c>
      <c r="J1739" s="53" t="s">
        <v>8042</v>
      </c>
      <c r="K1739" s="53" t="s">
        <v>1615</v>
      </c>
      <c r="L1739" s="53" t="s">
        <v>52</v>
      </c>
      <c r="M1739" s="53" t="s">
        <v>52</v>
      </c>
      <c r="N1739" s="62" t="s">
        <v>8043</v>
      </c>
      <c r="O1739" s="62" t="s">
        <v>44</v>
      </c>
      <c r="P1739" s="62" t="s">
        <v>5448</v>
      </c>
      <c r="Q1739" s="62" t="s">
        <v>7775</v>
      </c>
      <c r="R1739" s="53"/>
      <c r="S1739" s="53"/>
      <c r="T1739" s="82"/>
      <c r="U1739" s="42"/>
      <c r="V1739" s="62"/>
      <c r="W1739" s="64"/>
      <c r="X1739" s="223"/>
      <c r="Y1739" s="223"/>
      <c r="Z1739" s="223"/>
      <c r="AA1739" s="223"/>
    </row>
    <row r="1740">
      <c r="A1740" s="42">
        <f t="shared" si="3"/>
        <v>1739</v>
      </c>
      <c r="B1740" s="51" t="s">
        <v>41</v>
      </c>
      <c r="C1740" s="53" t="s">
        <v>8054</v>
      </c>
      <c r="D1740" s="42" t="s">
        <v>44</v>
      </c>
      <c r="E1740" s="42" t="s">
        <v>44</v>
      </c>
      <c r="F1740" s="53" t="s">
        <v>8041</v>
      </c>
      <c r="G1740" s="53" t="s">
        <v>47</v>
      </c>
      <c r="H1740" s="53" t="s">
        <v>48</v>
      </c>
      <c r="I1740" s="53" t="s">
        <v>401</v>
      </c>
      <c r="J1740" s="53" t="s">
        <v>8042</v>
      </c>
      <c r="K1740" s="53" t="s">
        <v>1615</v>
      </c>
      <c r="L1740" s="53" t="s">
        <v>52</v>
      </c>
      <c r="M1740" s="53" t="s">
        <v>52</v>
      </c>
      <c r="N1740" s="62" t="s">
        <v>8043</v>
      </c>
      <c r="O1740" s="62" t="s">
        <v>44</v>
      </c>
      <c r="P1740" s="62" t="s">
        <v>1002</v>
      </c>
      <c r="Q1740" s="62" t="s">
        <v>6246</v>
      </c>
      <c r="R1740" s="53"/>
      <c r="S1740" s="53"/>
      <c r="T1740" s="82"/>
      <c r="U1740" s="42"/>
      <c r="V1740" s="62"/>
      <c r="W1740" s="64"/>
      <c r="X1740" s="223"/>
      <c r="Y1740" s="223"/>
      <c r="Z1740" s="223"/>
      <c r="AA1740" s="223"/>
    </row>
    <row r="1741">
      <c r="A1741" s="42">
        <f t="shared" si="3"/>
        <v>1740</v>
      </c>
      <c r="B1741" s="51" t="s">
        <v>41</v>
      </c>
      <c r="C1741" s="53" t="s">
        <v>8055</v>
      </c>
      <c r="D1741" s="42" t="s">
        <v>44</v>
      </c>
      <c r="E1741" s="42" t="s">
        <v>44</v>
      </c>
      <c r="F1741" s="53" t="s">
        <v>8041</v>
      </c>
      <c r="G1741" s="53" t="s">
        <v>47</v>
      </c>
      <c r="H1741" s="53" t="s">
        <v>48</v>
      </c>
      <c r="I1741" s="53" t="s">
        <v>401</v>
      </c>
      <c r="J1741" s="53" t="s">
        <v>8042</v>
      </c>
      <c r="K1741" s="53" t="s">
        <v>1615</v>
      </c>
      <c r="L1741" s="53" t="s">
        <v>52</v>
      </c>
      <c r="M1741" s="53" t="s">
        <v>52</v>
      </c>
      <c r="N1741" s="62" t="s">
        <v>8043</v>
      </c>
      <c r="O1741" s="62" t="s">
        <v>44</v>
      </c>
      <c r="P1741" s="62" t="s">
        <v>1009</v>
      </c>
      <c r="Q1741" s="62" t="s">
        <v>7778</v>
      </c>
      <c r="R1741" s="53"/>
      <c r="S1741" s="53"/>
      <c r="T1741" s="82"/>
      <c r="U1741" s="42"/>
      <c r="V1741" s="62"/>
      <c r="W1741" s="64"/>
      <c r="X1741" s="223"/>
      <c r="Y1741" s="223"/>
      <c r="Z1741" s="223"/>
      <c r="AA1741" s="223"/>
    </row>
    <row r="1742">
      <c r="A1742" s="42">
        <f t="shared" si="3"/>
        <v>1741</v>
      </c>
      <c r="B1742" s="51" t="s">
        <v>41</v>
      </c>
      <c r="C1742" s="53" t="s">
        <v>8056</v>
      </c>
      <c r="D1742" s="42" t="s">
        <v>44</v>
      </c>
      <c r="E1742" s="42" t="s">
        <v>44</v>
      </c>
      <c r="F1742" s="53" t="s">
        <v>8041</v>
      </c>
      <c r="G1742" s="53" t="s">
        <v>47</v>
      </c>
      <c r="H1742" s="53" t="s">
        <v>48</v>
      </c>
      <c r="I1742" s="53" t="s">
        <v>401</v>
      </c>
      <c r="J1742" s="53" t="s">
        <v>8042</v>
      </c>
      <c r="K1742" s="53" t="s">
        <v>1615</v>
      </c>
      <c r="L1742" s="53" t="s">
        <v>52</v>
      </c>
      <c r="M1742" s="53" t="s">
        <v>52</v>
      </c>
      <c r="N1742" s="62" t="s">
        <v>8043</v>
      </c>
      <c r="O1742" s="62" t="s">
        <v>44</v>
      </c>
      <c r="P1742" s="62" t="s">
        <v>7324</v>
      </c>
      <c r="Q1742" s="62" t="s">
        <v>8057</v>
      </c>
      <c r="R1742" s="53"/>
      <c r="S1742" s="53"/>
      <c r="T1742" s="82"/>
      <c r="U1742" s="42"/>
      <c r="V1742" s="62"/>
      <c r="W1742" s="64"/>
      <c r="X1742" s="223"/>
      <c r="Y1742" s="223"/>
      <c r="Z1742" s="223"/>
      <c r="AA1742" s="223"/>
    </row>
    <row r="1743">
      <c r="A1743" s="42">
        <f t="shared" si="3"/>
        <v>1742</v>
      </c>
      <c r="B1743" s="51" t="s">
        <v>41</v>
      </c>
      <c r="C1743" s="53" t="s">
        <v>8058</v>
      </c>
      <c r="D1743" s="42" t="s">
        <v>44</v>
      </c>
      <c r="E1743" s="42" t="s">
        <v>44</v>
      </c>
      <c r="F1743" s="53" t="s">
        <v>8041</v>
      </c>
      <c r="G1743" s="53" t="s">
        <v>47</v>
      </c>
      <c r="H1743" s="53" t="s">
        <v>48</v>
      </c>
      <c r="I1743" s="53" t="s">
        <v>401</v>
      </c>
      <c r="J1743" s="53" t="s">
        <v>8042</v>
      </c>
      <c r="K1743" s="53" t="s">
        <v>1615</v>
      </c>
      <c r="L1743" s="53" t="s">
        <v>52</v>
      </c>
      <c r="M1743" s="53" t="s">
        <v>52</v>
      </c>
      <c r="N1743" s="62" t="s">
        <v>8043</v>
      </c>
      <c r="O1743" s="62" t="s">
        <v>44</v>
      </c>
      <c r="P1743" s="62" t="s">
        <v>8059</v>
      </c>
      <c r="Q1743" s="62" t="s">
        <v>8060</v>
      </c>
      <c r="R1743" s="53"/>
      <c r="S1743" s="53"/>
      <c r="T1743" s="82"/>
      <c r="U1743" s="42"/>
      <c r="V1743" s="62"/>
      <c r="W1743" s="64"/>
      <c r="X1743" s="223"/>
      <c r="Y1743" s="223"/>
      <c r="Z1743" s="223"/>
      <c r="AA1743" s="223"/>
    </row>
    <row r="1744">
      <c r="A1744" s="42">
        <f t="shared" si="3"/>
        <v>1743</v>
      </c>
      <c r="B1744" s="51" t="s">
        <v>41</v>
      </c>
      <c r="C1744" s="53" t="s">
        <v>8061</v>
      </c>
      <c r="D1744" s="42" t="s">
        <v>44</v>
      </c>
      <c r="E1744" s="42" t="s">
        <v>44</v>
      </c>
      <c r="F1744" s="53" t="s">
        <v>8041</v>
      </c>
      <c r="G1744" s="53" t="s">
        <v>47</v>
      </c>
      <c r="H1744" s="53" t="s">
        <v>48</v>
      </c>
      <c r="I1744" s="53" t="s">
        <v>401</v>
      </c>
      <c r="J1744" s="53" t="s">
        <v>8042</v>
      </c>
      <c r="K1744" s="53" t="s">
        <v>1615</v>
      </c>
      <c r="L1744" s="53" t="s">
        <v>52</v>
      </c>
      <c r="M1744" s="53" t="s">
        <v>52</v>
      </c>
      <c r="N1744" s="62" t="s">
        <v>8043</v>
      </c>
      <c r="O1744" s="62" t="s">
        <v>44</v>
      </c>
      <c r="P1744" s="62" t="s">
        <v>8062</v>
      </c>
      <c r="Q1744" s="62" t="s">
        <v>8063</v>
      </c>
      <c r="R1744" s="53"/>
      <c r="S1744" s="53"/>
      <c r="T1744" s="82"/>
      <c r="U1744" s="42"/>
      <c r="V1744" s="62"/>
      <c r="W1744" s="64"/>
      <c r="X1744" s="223"/>
      <c r="Y1744" s="223"/>
      <c r="Z1744" s="223"/>
      <c r="AA1744" s="223"/>
    </row>
    <row r="1745">
      <c r="A1745" s="42">
        <f t="shared" si="3"/>
        <v>1744</v>
      </c>
      <c r="B1745" s="51" t="s">
        <v>41</v>
      </c>
      <c r="C1745" s="53" t="s">
        <v>8064</v>
      </c>
      <c r="D1745" s="42" t="s">
        <v>44</v>
      </c>
      <c r="E1745" s="42" t="s">
        <v>44</v>
      </c>
      <c r="F1745" s="53" t="s">
        <v>8041</v>
      </c>
      <c r="G1745" s="53" t="s">
        <v>47</v>
      </c>
      <c r="H1745" s="53" t="s">
        <v>48</v>
      </c>
      <c r="I1745" s="53" t="s">
        <v>401</v>
      </c>
      <c r="J1745" s="53" t="s">
        <v>8042</v>
      </c>
      <c r="K1745" s="53" t="s">
        <v>1615</v>
      </c>
      <c r="L1745" s="53" t="s">
        <v>52</v>
      </c>
      <c r="M1745" s="53" t="s">
        <v>52</v>
      </c>
      <c r="N1745" s="62" t="s">
        <v>8043</v>
      </c>
      <c r="O1745" s="62" t="s">
        <v>44</v>
      </c>
      <c r="P1745" s="62" t="s">
        <v>8065</v>
      </c>
      <c r="Q1745" s="62" t="s">
        <v>8066</v>
      </c>
      <c r="R1745" s="53"/>
      <c r="S1745" s="53"/>
      <c r="T1745" s="82"/>
      <c r="U1745" s="42"/>
      <c r="V1745" s="62"/>
      <c r="W1745" s="64"/>
      <c r="X1745" s="223"/>
      <c r="Y1745" s="223"/>
      <c r="Z1745" s="223"/>
      <c r="AA1745" s="223"/>
    </row>
    <row r="1746">
      <c r="A1746" s="42">
        <f t="shared" si="3"/>
        <v>1745</v>
      </c>
      <c r="B1746" s="51" t="s">
        <v>41</v>
      </c>
      <c r="C1746" s="53" t="s">
        <v>8067</v>
      </c>
      <c r="D1746" s="42" t="s">
        <v>44</v>
      </c>
      <c r="E1746" s="42" t="s">
        <v>44</v>
      </c>
      <c r="F1746" s="53" t="s">
        <v>8041</v>
      </c>
      <c r="G1746" s="53" t="s">
        <v>47</v>
      </c>
      <c r="H1746" s="53" t="s">
        <v>48</v>
      </c>
      <c r="I1746" s="53" t="s">
        <v>401</v>
      </c>
      <c r="J1746" s="53" t="s">
        <v>8042</v>
      </c>
      <c r="K1746" s="53" t="s">
        <v>1615</v>
      </c>
      <c r="L1746" s="53" t="s">
        <v>52</v>
      </c>
      <c r="M1746" s="53" t="s">
        <v>52</v>
      </c>
      <c r="N1746" s="62" t="s">
        <v>8068</v>
      </c>
      <c r="O1746" s="62" t="s">
        <v>44</v>
      </c>
      <c r="P1746" s="62" t="s">
        <v>8069</v>
      </c>
      <c r="Q1746" s="62" t="s">
        <v>8070</v>
      </c>
      <c r="R1746" s="53"/>
      <c r="S1746" s="53"/>
      <c r="T1746" s="82"/>
      <c r="U1746" s="42"/>
      <c r="V1746" s="62"/>
      <c r="W1746" s="64"/>
      <c r="X1746" s="223"/>
      <c r="Y1746" s="223"/>
      <c r="Z1746" s="223"/>
      <c r="AA1746" s="223"/>
    </row>
    <row r="1747">
      <c r="A1747" s="42">
        <f t="shared" si="3"/>
        <v>1746</v>
      </c>
      <c r="B1747" s="51" t="s">
        <v>41</v>
      </c>
      <c r="C1747" s="53" t="s">
        <v>8071</v>
      </c>
      <c r="D1747" s="42" t="s">
        <v>44</v>
      </c>
      <c r="E1747" s="42" t="s">
        <v>44</v>
      </c>
      <c r="F1747" s="53" t="s">
        <v>8041</v>
      </c>
      <c r="G1747" s="53" t="s">
        <v>111</v>
      </c>
      <c r="H1747" s="53" t="s">
        <v>91</v>
      </c>
      <c r="I1747" s="53" t="s">
        <v>401</v>
      </c>
      <c r="J1747" s="53" t="s">
        <v>8042</v>
      </c>
      <c r="K1747" s="53" t="s">
        <v>1615</v>
      </c>
      <c r="L1747" s="53" t="s">
        <v>52</v>
      </c>
      <c r="M1747" s="53" t="s">
        <v>52</v>
      </c>
      <c r="N1747" s="62" t="s">
        <v>8072</v>
      </c>
      <c r="O1747" s="62" t="s">
        <v>44</v>
      </c>
      <c r="P1747" s="62" t="s">
        <v>8073</v>
      </c>
      <c r="Q1747" s="62" t="s">
        <v>8074</v>
      </c>
      <c r="R1747" s="53"/>
      <c r="S1747" s="53"/>
      <c r="T1747" s="82"/>
      <c r="U1747" s="42"/>
      <c r="V1747" s="62"/>
      <c r="W1747" s="64"/>
      <c r="X1747" s="223"/>
      <c r="Y1747" s="223"/>
      <c r="Z1747" s="223"/>
      <c r="AA1747" s="223"/>
    </row>
    <row r="1748">
      <c r="A1748" s="42">
        <f t="shared" si="3"/>
        <v>1747</v>
      </c>
      <c r="B1748" s="51" t="s">
        <v>41</v>
      </c>
      <c r="C1748" s="53" t="s">
        <v>8075</v>
      </c>
      <c r="D1748" s="42" t="s">
        <v>44</v>
      </c>
      <c r="E1748" s="42" t="s">
        <v>44</v>
      </c>
      <c r="F1748" s="53" t="s">
        <v>8041</v>
      </c>
      <c r="G1748" s="53" t="s">
        <v>47</v>
      </c>
      <c r="H1748" s="53" t="s">
        <v>48</v>
      </c>
      <c r="I1748" s="53" t="s">
        <v>401</v>
      </c>
      <c r="J1748" s="53" t="s">
        <v>8042</v>
      </c>
      <c r="K1748" s="53" t="s">
        <v>1615</v>
      </c>
      <c r="L1748" s="53" t="s">
        <v>52</v>
      </c>
      <c r="M1748" s="53" t="s">
        <v>52</v>
      </c>
      <c r="N1748" s="62" t="s">
        <v>8043</v>
      </c>
      <c r="O1748" s="62" t="s">
        <v>44</v>
      </c>
      <c r="P1748" s="62" t="s">
        <v>1685</v>
      </c>
      <c r="Q1748" s="62" t="s">
        <v>8076</v>
      </c>
      <c r="R1748" s="53"/>
      <c r="S1748" s="53"/>
      <c r="T1748" s="82"/>
      <c r="U1748" s="42"/>
      <c r="V1748" s="62"/>
      <c r="W1748" s="64"/>
      <c r="X1748" s="223"/>
      <c r="Y1748" s="223"/>
      <c r="Z1748" s="223"/>
      <c r="AA1748" s="223"/>
    </row>
    <row r="1749">
      <c r="A1749" s="42">
        <f t="shared" si="3"/>
        <v>1748</v>
      </c>
      <c r="B1749" s="51" t="s">
        <v>41</v>
      </c>
      <c r="C1749" s="53" t="s">
        <v>8077</v>
      </c>
      <c r="D1749" s="42" t="s">
        <v>44</v>
      </c>
      <c r="E1749" s="42" t="s">
        <v>44</v>
      </c>
      <c r="F1749" s="53" t="s">
        <v>8041</v>
      </c>
      <c r="G1749" s="53" t="s">
        <v>47</v>
      </c>
      <c r="H1749" s="53" t="s">
        <v>48</v>
      </c>
      <c r="I1749" s="53" t="s">
        <v>401</v>
      </c>
      <c r="J1749" s="53" t="s">
        <v>8042</v>
      </c>
      <c r="K1749" s="53" t="s">
        <v>1615</v>
      </c>
      <c r="L1749" s="53" t="s">
        <v>52</v>
      </c>
      <c r="M1749" s="53" t="s">
        <v>52</v>
      </c>
      <c r="N1749" s="62" t="s">
        <v>8043</v>
      </c>
      <c r="O1749" s="62" t="s">
        <v>44</v>
      </c>
      <c r="P1749" s="62" t="s">
        <v>1776</v>
      </c>
      <c r="Q1749" s="62" t="s">
        <v>8078</v>
      </c>
      <c r="R1749" s="53"/>
      <c r="S1749" s="53"/>
      <c r="T1749" s="82"/>
      <c r="U1749" s="42"/>
      <c r="V1749" s="62"/>
      <c r="W1749" s="64"/>
      <c r="X1749" s="223"/>
      <c r="Y1749" s="223"/>
      <c r="Z1749" s="223"/>
      <c r="AA1749" s="223"/>
    </row>
    <row r="1750">
      <c r="A1750" s="42">
        <f t="shared" si="3"/>
        <v>1749</v>
      </c>
      <c r="B1750" s="51" t="s">
        <v>41</v>
      </c>
      <c r="C1750" s="53" t="s">
        <v>8079</v>
      </c>
      <c r="D1750" s="42" t="s">
        <v>44</v>
      </c>
      <c r="E1750" s="42" t="s">
        <v>44</v>
      </c>
      <c r="F1750" s="53" t="s">
        <v>8041</v>
      </c>
      <c r="G1750" s="53" t="s">
        <v>47</v>
      </c>
      <c r="H1750" s="53" t="s">
        <v>48</v>
      </c>
      <c r="I1750" s="53" t="s">
        <v>401</v>
      </c>
      <c r="J1750" s="53" t="s">
        <v>8042</v>
      </c>
      <c r="K1750" s="53" t="s">
        <v>1615</v>
      </c>
      <c r="L1750" s="53" t="s">
        <v>52</v>
      </c>
      <c r="M1750" s="53" t="s">
        <v>52</v>
      </c>
      <c r="N1750" s="62" t="s">
        <v>8080</v>
      </c>
      <c r="O1750" s="62" t="s">
        <v>44</v>
      </c>
      <c r="P1750" s="62" t="s">
        <v>8081</v>
      </c>
      <c r="Q1750" s="62" t="s">
        <v>8082</v>
      </c>
      <c r="R1750" s="53"/>
      <c r="S1750" s="53"/>
      <c r="T1750" s="82"/>
      <c r="U1750" s="42"/>
      <c r="V1750" s="62"/>
      <c r="W1750" s="64"/>
      <c r="X1750" s="223"/>
      <c r="Y1750" s="223"/>
      <c r="Z1750" s="223"/>
      <c r="AA1750" s="223"/>
    </row>
    <row r="1751">
      <c r="A1751" s="42">
        <f t="shared" si="3"/>
        <v>1750</v>
      </c>
      <c r="B1751" s="51" t="s">
        <v>41</v>
      </c>
      <c r="C1751" s="53" t="s">
        <v>8083</v>
      </c>
      <c r="D1751" s="42" t="s">
        <v>44</v>
      </c>
      <c r="E1751" s="42" t="s">
        <v>44</v>
      </c>
      <c r="F1751" s="53" t="s">
        <v>8041</v>
      </c>
      <c r="G1751" s="53" t="s">
        <v>47</v>
      </c>
      <c r="H1751" s="53" t="s">
        <v>48</v>
      </c>
      <c r="I1751" s="53" t="s">
        <v>401</v>
      </c>
      <c r="J1751" s="53" t="s">
        <v>8042</v>
      </c>
      <c r="K1751" s="53" t="s">
        <v>1615</v>
      </c>
      <c r="L1751" s="53" t="s">
        <v>52</v>
      </c>
      <c r="M1751" s="53" t="s">
        <v>52</v>
      </c>
      <c r="N1751" s="62" t="s">
        <v>8043</v>
      </c>
      <c r="O1751" s="62" t="s">
        <v>44</v>
      </c>
      <c r="P1751" s="62" t="s">
        <v>8084</v>
      </c>
      <c r="Q1751" s="62" t="s">
        <v>1786</v>
      </c>
      <c r="R1751" s="53"/>
      <c r="S1751" s="53"/>
      <c r="T1751" s="82"/>
      <c r="U1751" s="42"/>
      <c r="V1751" s="62"/>
      <c r="W1751" s="64"/>
      <c r="X1751" s="223"/>
      <c r="Y1751" s="223"/>
      <c r="Z1751" s="223"/>
      <c r="AA1751" s="223"/>
    </row>
    <row r="1752">
      <c r="A1752" s="42">
        <f t="shared" si="3"/>
        <v>1751</v>
      </c>
      <c r="B1752" s="51" t="s">
        <v>41</v>
      </c>
      <c r="C1752" s="53" t="s">
        <v>8085</v>
      </c>
      <c r="D1752" s="42" t="s">
        <v>44</v>
      </c>
      <c r="E1752" s="42" t="s">
        <v>44</v>
      </c>
      <c r="F1752" s="53" t="s">
        <v>8041</v>
      </c>
      <c r="G1752" s="53" t="s">
        <v>47</v>
      </c>
      <c r="H1752" s="53" t="s">
        <v>48</v>
      </c>
      <c r="I1752" s="53" t="s">
        <v>401</v>
      </c>
      <c r="J1752" s="53" t="s">
        <v>8042</v>
      </c>
      <c r="K1752" s="53" t="s">
        <v>1615</v>
      </c>
      <c r="L1752" s="53" t="s">
        <v>52</v>
      </c>
      <c r="M1752" s="53" t="s">
        <v>52</v>
      </c>
      <c r="N1752" s="62" t="s">
        <v>8080</v>
      </c>
      <c r="O1752" s="62" t="s">
        <v>44</v>
      </c>
      <c r="P1752" s="62" t="s">
        <v>8086</v>
      </c>
      <c r="Q1752" s="62" t="s">
        <v>8087</v>
      </c>
      <c r="R1752" s="53"/>
      <c r="S1752" s="53"/>
      <c r="T1752" s="82"/>
      <c r="U1752" s="42"/>
      <c r="V1752" s="62"/>
      <c r="W1752" s="64"/>
      <c r="X1752" s="223"/>
      <c r="Y1752" s="223"/>
      <c r="Z1752" s="223"/>
      <c r="AA1752" s="223"/>
    </row>
    <row r="1753">
      <c r="A1753" s="42">
        <f t="shared" si="3"/>
        <v>1752</v>
      </c>
      <c r="B1753" s="51" t="s">
        <v>41</v>
      </c>
      <c r="C1753" s="53" t="s">
        <v>8088</v>
      </c>
      <c r="D1753" s="42" t="s">
        <v>44</v>
      </c>
      <c r="E1753" s="42" t="s">
        <v>44</v>
      </c>
      <c r="F1753" s="53" t="s">
        <v>8041</v>
      </c>
      <c r="G1753" s="53" t="s">
        <v>197</v>
      </c>
      <c r="H1753" s="53" t="s">
        <v>198</v>
      </c>
      <c r="I1753" s="53" t="s">
        <v>401</v>
      </c>
      <c r="J1753" s="53" t="s">
        <v>8042</v>
      </c>
      <c r="K1753" s="53" t="s">
        <v>1615</v>
      </c>
      <c r="L1753" s="53" t="s">
        <v>52</v>
      </c>
      <c r="M1753" s="53" t="s">
        <v>52</v>
      </c>
      <c r="N1753" s="62" t="s">
        <v>8089</v>
      </c>
      <c r="O1753" s="62" t="s">
        <v>44</v>
      </c>
      <c r="P1753" s="62" t="s">
        <v>8090</v>
      </c>
      <c r="Q1753" s="62" t="s">
        <v>8091</v>
      </c>
      <c r="R1753" s="53"/>
      <c r="S1753" s="53"/>
      <c r="T1753" s="82"/>
      <c r="U1753" s="42"/>
      <c r="V1753" s="62"/>
      <c r="W1753" s="64"/>
      <c r="X1753" s="223"/>
      <c r="Y1753" s="223"/>
      <c r="Z1753" s="223"/>
      <c r="AA1753" s="223"/>
    </row>
    <row r="1754">
      <c r="A1754" s="42">
        <f t="shared" si="3"/>
        <v>1753</v>
      </c>
      <c r="B1754" s="51" t="s">
        <v>41</v>
      </c>
      <c r="C1754" s="53" t="s">
        <v>8092</v>
      </c>
      <c r="D1754" s="42" t="s">
        <v>44</v>
      </c>
      <c r="E1754" s="42" t="s">
        <v>44</v>
      </c>
      <c r="F1754" s="53" t="s">
        <v>8041</v>
      </c>
      <c r="G1754" s="53" t="s">
        <v>47</v>
      </c>
      <c r="H1754" s="53" t="s">
        <v>48</v>
      </c>
      <c r="I1754" s="53" t="s">
        <v>401</v>
      </c>
      <c r="J1754" s="53" t="s">
        <v>8042</v>
      </c>
      <c r="K1754" s="53" t="s">
        <v>1615</v>
      </c>
      <c r="L1754" s="53" t="s">
        <v>52</v>
      </c>
      <c r="M1754" s="53" t="s">
        <v>52</v>
      </c>
      <c r="N1754" s="62" t="s">
        <v>8043</v>
      </c>
      <c r="O1754" s="62" t="s">
        <v>44</v>
      </c>
      <c r="P1754" s="62" t="s">
        <v>8093</v>
      </c>
      <c r="Q1754" s="62" t="s">
        <v>8094</v>
      </c>
      <c r="R1754" s="53"/>
      <c r="S1754" s="53"/>
      <c r="T1754" s="82"/>
      <c r="U1754" s="42"/>
      <c r="V1754" s="62"/>
      <c r="W1754" s="64"/>
      <c r="X1754" s="223"/>
      <c r="Y1754" s="223"/>
      <c r="Z1754" s="223"/>
      <c r="AA1754" s="223"/>
    </row>
    <row r="1755">
      <c r="A1755" s="42">
        <f t="shared" si="3"/>
        <v>1754</v>
      </c>
      <c r="B1755" s="51" t="s">
        <v>41</v>
      </c>
      <c r="C1755" s="53" t="s">
        <v>8095</v>
      </c>
      <c r="D1755" s="42" t="s">
        <v>44</v>
      </c>
      <c r="E1755" s="42" t="s">
        <v>44</v>
      </c>
      <c r="F1755" s="53" t="s">
        <v>8041</v>
      </c>
      <c r="G1755" s="53" t="s">
        <v>47</v>
      </c>
      <c r="H1755" s="53" t="s">
        <v>48</v>
      </c>
      <c r="I1755" s="53" t="s">
        <v>401</v>
      </c>
      <c r="J1755" s="53" t="s">
        <v>8042</v>
      </c>
      <c r="K1755" s="53" t="s">
        <v>1615</v>
      </c>
      <c r="L1755" s="53" t="s">
        <v>52</v>
      </c>
      <c r="M1755" s="53" t="s">
        <v>52</v>
      </c>
      <c r="N1755" s="62" t="s">
        <v>8043</v>
      </c>
      <c r="O1755" s="62" t="s">
        <v>44</v>
      </c>
      <c r="P1755" s="62" t="s">
        <v>8096</v>
      </c>
      <c r="Q1755" s="62" t="s">
        <v>8097</v>
      </c>
      <c r="R1755" s="53"/>
      <c r="S1755" s="53"/>
      <c r="T1755" s="82"/>
      <c r="U1755" s="42"/>
      <c r="V1755" s="62"/>
      <c r="W1755" s="64"/>
      <c r="X1755" s="223"/>
      <c r="Y1755" s="223"/>
      <c r="Z1755" s="223"/>
      <c r="AA1755" s="223"/>
    </row>
    <row r="1756">
      <c r="A1756" s="42">
        <f t="shared" si="3"/>
        <v>1755</v>
      </c>
      <c r="B1756" s="51" t="s">
        <v>41</v>
      </c>
      <c r="C1756" s="53" t="s">
        <v>8098</v>
      </c>
      <c r="D1756" s="42" t="s">
        <v>44</v>
      </c>
      <c r="E1756" s="42" t="s">
        <v>44</v>
      </c>
      <c r="F1756" s="53" t="s">
        <v>8041</v>
      </c>
      <c r="G1756" s="53" t="s">
        <v>47</v>
      </c>
      <c r="H1756" s="53" t="s">
        <v>48</v>
      </c>
      <c r="I1756" s="53" t="s">
        <v>401</v>
      </c>
      <c r="J1756" s="53" t="s">
        <v>8042</v>
      </c>
      <c r="K1756" s="53" t="s">
        <v>1615</v>
      </c>
      <c r="L1756" s="53" t="s">
        <v>52</v>
      </c>
      <c r="M1756" s="53" t="s">
        <v>52</v>
      </c>
      <c r="N1756" s="62" t="s">
        <v>8043</v>
      </c>
      <c r="O1756" s="62" t="s">
        <v>44</v>
      </c>
      <c r="P1756" s="62" t="s">
        <v>8099</v>
      </c>
      <c r="Q1756" s="62" t="s">
        <v>8100</v>
      </c>
      <c r="R1756" s="53"/>
      <c r="S1756" s="53"/>
      <c r="T1756" s="82"/>
      <c r="U1756" s="42"/>
      <c r="V1756" s="62"/>
      <c r="W1756" s="64"/>
      <c r="X1756" s="223"/>
      <c r="Y1756" s="223"/>
      <c r="Z1756" s="223"/>
      <c r="AA1756" s="223"/>
    </row>
    <row r="1757">
      <c r="A1757" s="42">
        <f t="shared" si="3"/>
        <v>1756</v>
      </c>
      <c r="B1757" s="51" t="s">
        <v>41</v>
      </c>
      <c r="C1757" s="53" t="s">
        <v>8101</v>
      </c>
      <c r="D1757" s="42" t="s">
        <v>44</v>
      </c>
      <c r="E1757" s="42" t="s">
        <v>44</v>
      </c>
      <c r="F1757" s="53" t="s">
        <v>8041</v>
      </c>
      <c r="G1757" s="53" t="s">
        <v>47</v>
      </c>
      <c r="H1757" s="53" t="s">
        <v>95</v>
      </c>
      <c r="I1757" s="53" t="s">
        <v>401</v>
      </c>
      <c r="J1757" s="53" t="s">
        <v>8042</v>
      </c>
      <c r="K1757" s="53" t="s">
        <v>1615</v>
      </c>
      <c r="L1757" s="53" t="s">
        <v>52</v>
      </c>
      <c r="M1757" s="53" t="s">
        <v>52</v>
      </c>
      <c r="N1757" s="62" t="s">
        <v>8102</v>
      </c>
      <c r="O1757" s="62" t="s">
        <v>44</v>
      </c>
      <c r="P1757" s="62" t="s">
        <v>8103</v>
      </c>
      <c r="Q1757" s="62" t="s">
        <v>8104</v>
      </c>
      <c r="R1757" s="53"/>
      <c r="S1757" s="53"/>
      <c r="T1757" s="82"/>
      <c r="U1757" s="42"/>
      <c r="V1757" s="62"/>
      <c r="W1757" s="64"/>
      <c r="X1757" s="223"/>
      <c r="Y1757" s="223"/>
      <c r="Z1757" s="223"/>
      <c r="AA1757" s="223"/>
    </row>
    <row r="1758">
      <c r="A1758" s="42">
        <f t="shared" si="3"/>
        <v>1757</v>
      </c>
      <c r="B1758" s="51" t="s">
        <v>41</v>
      </c>
      <c r="C1758" s="53" t="s">
        <v>8105</v>
      </c>
      <c r="D1758" s="42" t="s">
        <v>44</v>
      </c>
      <c r="E1758" s="42" t="s">
        <v>44</v>
      </c>
      <c r="F1758" s="53" t="s">
        <v>8041</v>
      </c>
      <c r="G1758" s="53" t="s">
        <v>47</v>
      </c>
      <c r="H1758" s="53" t="s">
        <v>95</v>
      </c>
      <c r="I1758" s="53" t="s">
        <v>401</v>
      </c>
      <c r="J1758" s="53" t="s">
        <v>8042</v>
      </c>
      <c r="K1758" s="53" t="s">
        <v>1615</v>
      </c>
      <c r="L1758" s="53" t="s">
        <v>52</v>
      </c>
      <c r="M1758" s="53" t="s">
        <v>52</v>
      </c>
      <c r="N1758" s="62" t="s">
        <v>8106</v>
      </c>
      <c r="O1758" s="62" t="s">
        <v>44</v>
      </c>
      <c r="P1758" s="62" t="s">
        <v>8107</v>
      </c>
      <c r="Q1758" s="62" t="s">
        <v>8108</v>
      </c>
      <c r="R1758" s="53"/>
      <c r="S1758" s="53"/>
      <c r="T1758" s="82"/>
      <c r="U1758" s="42"/>
      <c r="V1758" s="62"/>
      <c r="W1758" s="64"/>
      <c r="X1758" s="223"/>
      <c r="Y1758" s="223"/>
      <c r="Z1758" s="223"/>
      <c r="AA1758" s="223"/>
    </row>
    <row r="1759">
      <c r="A1759" s="42">
        <f t="shared" si="3"/>
        <v>1758</v>
      </c>
      <c r="B1759" s="51" t="s">
        <v>41</v>
      </c>
      <c r="C1759" s="53" t="s">
        <v>8109</v>
      </c>
      <c r="D1759" s="42" t="s">
        <v>44</v>
      </c>
      <c r="E1759" s="42" t="s">
        <v>44</v>
      </c>
      <c r="F1759" s="53" t="s">
        <v>8041</v>
      </c>
      <c r="G1759" s="53" t="s">
        <v>197</v>
      </c>
      <c r="H1759" s="53" t="s">
        <v>198</v>
      </c>
      <c r="I1759" s="53" t="s">
        <v>401</v>
      </c>
      <c r="J1759" s="53" t="s">
        <v>8042</v>
      </c>
      <c r="K1759" s="53" t="s">
        <v>1615</v>
      </c>
      <c r="L1759" s="53" t="s">
        <v>52</v>
      </c>
      <c r="M1759" s="53" t="s">
        <v>52</v>
      </c>
      <c r="N1759" s="62" t="s">
        <v>8106</v>
      </c>
      <c r="O1759" s="62" t="s">
        <v>44</v>
      </c>
      <c r="P1759" s="62" t="s">
        <v>8110</v>
      </c>
      <c r="Q1759" s="62" t="s">
        <v>8111</v>
      </c>
      <c r="R1759" s="53"/>
      <c r="S1759" s="53"/>
      <c r="T1759" s="82"/>
      <c r="U1759" s="42"/>
      <c r="V1759" s="62"/>
      <c r="W1759" s="64"/>
      <c r="X1759" s="223"/>
      <c r="Y1759" s="223"/>
      <c r="Z1759" s="223"/>
      <c r="AA1759" s="223"/>
    </row>
    <row r="1760">
      <c r="A1760" s="42">
        <f t="shared" si="3"/>
        <v>1759</v>
      </c>
      <c r="B1760" s="51" t="s">
        <v>41</v>
      </c>
      <c r="C1760" s="53" t="s">
        <v>8112</v>
      </c>
      <c r="D1760" s="42" t="s">
        <v>44</v>
      </c>
      <c r="E1760" s="42" t="s">
        <v>44</v>
      </c>
      <c r="F1760" s="53" t="s">
        <v>8041</v>
      </c>
      <c r="G1760" s="53" t="s">
        <v>47</v>
      </c>
      <c r="H1760" s="53" t="s">
        <v>95</v>
      </c>
      <c r="I1760" s="53" t="s">
        <v>401</v>
      </c>
      <c r="J1760" s="53" t="s">
        <v>8042</v>
      </c>
      <c r="K1760" s="53" t="s">
        <v>1615</v>
      </c>
      <c r="L1760" s="53" t="s">
        <v>52</v>
      </c>
      <c r="M1760" s="53" t="s">
        <v>52</v>
      </c>
      <c r="N1760" s="62" t="s">
        <v>8106</v>
      </c>
      <c r="O1760" s="62" t="s">
        <v>44</v>
      </c>
      <c r="P1760" s="62" t="s">
        <v>8113</v>
      </c>
      <c r="Q1760" s="62" t="s">
        <v>8114</v>
      </c>
      <c r="R1760" s="53"/>
      <c r="S1760" s="53"/>
      <c r="T1760" s="82"/>
      <c r="U1760" s="42"/>
      <c r="V1760" s="62"/>
      <c r="W1760" s="64"/>
      <c r="X1760" s="223"/>
      <c r="Y1760" s="223"/>
      <c r="Z1760" s="223"/>
      <c r="AA1760" s="223"/>
    </row>
    <row r="1761">
      <c r="A1761" s="42">
        <f t="shared" si="3"/>
        <v>1760</v>
      </c>
      <c r="B1761" s="51" t="s">
        <v>41</v>
      </c>
      <c r="C1761" s="53" t="s">
        <v>8115</v>
      </c>
      <c r="D1761" s="42" t="s">
        <v>44</v>
      </c>
      <c r="E1761" s="42" t="s">
        <v>44</v>
      </c>
      <c r="F1761" s="53" t="s">
        <v>8041</v>
      </c>
      <c r="G1761" s="53" t="s">
        <v>47</v>
      </c>
      <c r="H1761" s="53" t="s">
        <v>95</v>
      </c>
      <c r="I1761" s="53" t="s">
        <v>401</v>
      </c>
      <c r="J1761" s="53" t="s">
        <v>8042</v>
      </c>
      <c r="K1761" s="53" t="s">
        <v>1615</v>
      </c>
      <c r="L1761" s="53" t="s">
        <v>52</v>
      </c>
      <c r="M1761" s="53" t="s">
        <v>52</v>
      </c>
      <c r="N1761" s="62" t="s">
        <v>8106</v>
      </c>
      <c r="O1761" s="62" t="s">
        <v>44</v>
      </c>
      <c r="P1761" s="62" t="s">
        <v>8116</v>
      </c>
      <c r="Q1761" s="62" t="s">
        <v>8117</v>
      </c>
      <c r="R1761" s="53"/>
      <c r="S1761" s="53"/>
      <c r="T1761" s="82"/>
      <c r="U1761" s="42"/>
      <c r="V1761" s="62"/>
      <c r="W1761" s="64"/>
      <c r="X1761" s="223"/>
      <c r="Y1761" s="223"/>
      <c r="Z1761" s="223"/>
      <c r="AA1761" s="223"/>
    </row>
    <row r="1762">
      <c r="A1762" s="42">
        <f t="shared" si="3"/>
        <v>1761</v>
      </c>
      <c r="B1762" s="51" t="s">
        <v>41</v>
      </c>
      <c r="C1762" s="53" t="s">
        <v>8118</v>
      </c>
      <c r="D1762" s="42" t="s">
        <v>44</v>
      </c>
      <c r="E1762" s="42" t="s">
        <v>44</v>
      </c>
      <c r="F1762" s="53" t="s">
        <v>8041</v>
      </c>
      <c r="G1762" s="53" t="s">
        <v>47</v>
      </c>
      <c r="H1762" s="53" t="s">
        <v>95</v>
      </c>
      <c r="I1762" s="53" t="s">
        <v>401</v>
      </c>
      <c r="J1762" s="53" t="s">
        <v>8042</v>
      </c>
      <c r="K1762" s="53" t="s">
        <v>1615</v>
      </c>
      <c r="L1762" s="53" t="s">
        <v>52</v>
      </c>
      <c r="M1762" s="53" t="s">
        <v>52</v>
      </c>
      <c r="N1762" s="62" t="s">
        <v>8106</v>
      </c>
      <c r="O1762" s="62" t="s">
        <v>44</v>
      </c>
      <c r="P1762" s="62" t="s">
        <v>8119</v>
      </c>
      <c r="Q1762" s="62" t="s">
        <v>8120</v>
      </c>
      <c r="R1762" s="53"/>
      <c r="S1762" s="53"/>
      <c r="T1762" s="82"/>
      <c r="U1762" s="42"/>
      <c r="V1762" s="62"/>
      <c r="W1762" s="64"/>
      <c r="X1762" s="223"/>
      <c r="Y1762" s="223"/>
      <c r="Z1762" s="223"/>
      <c r="AA1762" s="223"/>
    </row>
    <row r="1763">
      <c r="A1763" s="42">
        <f t="shared" si="3"/>
        <v>1762</v>
      </c>
      <c r="B1763" s="51" t="s">
        <v>41</v>
      </c>
      <c r="C1763" s="53" t="s">
        <v>8121</v>
      </c>
      <c r="D1763" s="42" t="s">
        <v>44</v>
      </c>
      <c r="E1763" s="42" t="s">
        <v>44</v>
      </c>
      <c r="F1763" s="53" t="s">
        <v>8041</v>
      </c>
      <c r="G1763" s="53" t="s">
        <v>47</v>
      </c>
      <c r="H1763" s="53" t="s">
        <v>95</v>
      </c>
      <c r="I1763" s="53" t="s">
        <v>401</v>
      </c>
      <c r="J1763" s="53" t="s">
        <v>8042</v>
      </c>
      <c r="K1763" s="53" t="s">
        <v>1615</v>
      </c>
      <c r="L1763" s="53" t="s">
        <v>52</v>
      </c>
      <c r="M1763" s="53" t="s">
        <v>52</v>
      </c>
      <c r="N1763" s="62" t="s">
        <v>8106</v>
      </c>
      <c r="O1763" s="62" t="s">
        <v>44</v>
      </c>
      <c r="P1763" s="62" t="s">
        <v>8122</v>
      </c>
      <c r="Q1763" s="62" t="s">
        <v>8123</v>
      </c>
      <c r="R1763" s="53"/>
      <c r="S1763" s="53"/>
      <c r="T1763" s="82"/>
      <c r="U1763" s="42"/>
      <c r="V1763" s="62"/>
      <c r="W1763" s="64"/>
      <c r="X1763" s="223"/>
      <c r="Y1763" s="223"/>
      <c r="Z1763" s="223"/>
      <c r="AA1763" s="223"/>
    </row>
    <row r="1764">
      <c r="A1764" s="42">
        <f t="shared" si="3"/>
        <v>1763</v>
      </c>
      <c r="B1764" s="51" t="s">
        <v>41</v>
      </c>
      <c r="C1764" s="53" t="s">
        <v>8124</v>
      </c>
      <c r="D1764" s="42" t="s">
        <v>44</v>
      </c>
      <c r="E1764" s="42" t="s">
        <v>44</v>
      </c>
      <c r="F1764" s="53" t="s">
        <v>8041</v>
      </c>
      <c r="G1764" s="53" t="s">
        <v>47</v>
      </c>
      <c r="H1764" s="53" t="s">
        <v>95</v>
      </c>
      <c r="I1764" s="53" t="s">
        <v>401</v>
      </c>
      <c r="J1764" s="53" t="s">
        <v>8042</v>
      </c>
      <c r="K1764" s="53" t="s">
        <v>1615</v>
      </c>
      <c r="L1764" s="53" t="s">
        <v>52</v>
      </c>
      <c r="M1764" s="53" t="s">
        <v>52</v>
      </c>
      <c r="N1764" s="62" t="s">
        <v>8106</v>
      </c>
      <c r="O1764" s="62" t="s">
        <v>44</v>
      </c>
      <c r="P1764" s="62" t="s">
        <v>8125</v>
      </c>
      <c r="Q1764" s="62" t="s">
        <v>8126</v>
      </c>
      <c r="R1764" s="53"/>
      <c r="S1764" s="53"/>
      <c r="T1764" s="82"/>
      <c r="U1764" s="42"/>
      <c r="V1764" s="62"/>
      <c r="W1764" s="64"/>
      <c r="X1764" s="223"/>
      <c r="Y1764" s="223"/>
      <c r="Z1764" s="223"/>
      <c r="AA1764" s="223"/>
    </row>
    <row r="1765">
      <c r="A1765" s="42">
        <f t="shared" si="3"/>
        <v>1764</v>
      </c>
      <c r="B1765" s="51" t="s">
        <v>41</v>
      </c>
      <c r="C1765" s="53" t="s">
        <v>8127</v>
      </c>
      <c r="D1765" s="42" t="s">
        <v>44</v>
      </c>
      <c r="E1765" s="42" t="s">
        <v>44</v>
      </c>
      <c r="F1765" s="53" t="s">
        <v>8041</v>
      </c>
      <c r="G1765" s="53" t="s">
        <v>47</v>
      </c>
      <c r="H1765" s="53" t="s">
        <v>95</v>
      </c>
      <c r="I1765" s="53" t="s">
        <v>401</v>
      </c>
      <c r="J1765" s="53" t="s">
        <v>8042</v>
      </c>
      <c r="K1765" s="53" t="s">
        <v>1615</v>
      </c>
      <c r="L1765" s="53" t="s">
        <v>52</v>
      </c>
      <c r="M1765" s="53" t="s">
        <v>52</v>
      </c>
      <c r="N1765" s="62" t="s">
        <v>8106</v>
      </c>
      <c r="O1765" s="62" t="s">
        <v>44</v>
      </c>
      <c r="P1765" s="62" t="s">
        <v>8128</v>
      </c>
      <c r="Q1765" s="62" t="s">
        <v>8129</v>
      </c>
      <c r="R1765" s="53"/>
      <c r="S1765" s="53"/>
      <c r="T1765" s="82"/>
      <c r="U1765" s="42"/>
      <c r="V1765" s="62"/>
      <c r="W1765" s="64"/>
      <c r="X1765" s="223"/>
      <c r="Y1765" s="223"/>
      <c r="Z1765" s="223"/>
      <c r="AA1765" s="223"/>
    </row>
    <row r="1766">
      <c r="A1766" s="42">
        <f t="shared" si="3"/>
        <v>1765</v>
      </c>
      <c r="B1766" s="51" t="s">
        <v>41</v>
      </c>
      <c r="C1766" s="53" t="s">
        <v>8130</v>
      </c>
      <c r="D1766" s="42" t="s">
        <v>44</v>
      </c>
      <c r="E1766" s="42" t="s">
        <v>44</v>
      </c>
      <c r="F1766" s="53" t="s">
        <v>8041</v>
      </c>
      <c r="G1766" s="53" t="s">
        <v>197</v>
      </c>
      <c r="H1766" s="53" t="s">
        <v>198</v>
      </c>
      <c r="I1766" s="53" t="s">
        <v>401</v>
      </c>
      <c r="J1766" s="53" t="s">
        <v>8042</v>
      </c>
      <c r="K1766" s="53" t="s">
        <v>1615</v>
      </c>
      <c r="L1766" s="53" t="s">
        <v>52</v>
      </c>
      <c r="M1766" s="53" t="s">
        <v>52</v>
      </c>
      <c r="N1766" s="62" t="s">
        <v>8106</v>
      </c>
      <c r="O1766" s="62" t="s">
        <v>44</v>
      </c>
      <c r="P1766" s="62" t="s">
        <v>8131</v>
      </c>
      <c r="Q1766" s="62" t="s">
        <v>8111</v>
      </c>
      <c r="R1766" s="53"/>
      <c r="S1766" s="53"/>
      <c r="T1766" s="82"/>
      <c r="U1766" s="42"/>
      <c r="V1766" s="62"/>
      <c r="W1766" s="64"/>
      <c r="X1766" s="223"/>
      <c r="Y1766" s="223"/>
      <c r="Z1766" s="223"/>
      <c r="AA1766" s="223"/>
    </row>
    <row r="1767">
      <c r="A1767" s="42">
        <f t="shared" si="3"/>
        <v>1766</v>
      </c>
      <c r="B1767" s="51" t="s">
        <v>41</v>
      </c>
      <c r="C1767" s="53" t="s">
        <v>8132</v>
      </c>
      <c r="D1767" s="42" t="s">
        <v>44</v>
      </c>
      <c r="E1767" s="42" t="s">
        <v>44</v>
      </c>
      <c r="F1767" s="53" t="s">
        <v>8041</v>
      </c>
      <c r="G1767" s="53" t="s">
        <v>47</v>
      </c>
      <c r="H1767" s="53" t="s">
        <v>95</v>
      </c>
      <c r="I1767" s="53" t="s">
        <v>401</v>
      </c>
      <c r="J1767" s="53" t="s">
        <v>8042</v>
      </c>
      <c r="K1767" s="53" t="s">
        <v>1615</v>
      </c>
      <c r="L1767" s="53" t="s">
        <v>52</v>
      </c>
      <c r="M1767" s="53" t="s">
        <v>52</v>
      </c>
      <c r="N1767" s="62" t="s">
        <v>8106</v>
      </c>
      <c r="O1767" s="62" t="s">
        <v>44</v>
      </c>
      <c r="P1767" s="62" t="s">
        <v>8133</v>
      </c>
      <c r="Q1767" s="62" t="s">
        <v>8134</v>
      </c>
      <c r="R1767" s="53"/>
      <c r="S1767" s="53"/>
      <c r="T1767" s="82"/>
      <c r="U1767" s="42"/>
      <c r="V1767" s="62"/>
      <c r="W1767" s="64"/>
      <c r="X1767" s="223"/>
      <c r="Y1767" s="223"/>
      <c r="Z1767" s="223"/>
      <c r="AA1767" s="223"/>
    </row>
    <row r="1768">
      <c r="A1768" s="42">
        <f t="shared" si="3"/>
        <v>1767</v>
      </c>
      <c r="B1768" s="51" t="s">
        <v>41</v>
      </c>
      <c r="C1768" s="53" t="s">
        <v>8135</v>
      </c>
      <c r="D1768" s="42" t="s">
        <v>44</v>
      </c>
      <c r="E1768" s="42" t="s">
        <v>44</v>
      </c>
      <c r="F1768" s="53" t="s">
        <v>8041</v>
      </c>
      <c r="G1768" s="53" t="s">
        <v>47</v>
      </c>
      <c r="H1768" s="53" t="s">
        <v>95</v>
      </c>
      <c r="I1768" s="53" t="s">
        <v>401</v>
      </c>
      <c r="J1768" s="53" t="s">
        <v>8042</v>
      </c>
      <c r="K1768" s="53" t="s">
        <v>1615</v>
      </c>
      <c r="L1768" s="53" t="s">
        <v>52</v>
      </c>
      <c r="M1768" s="53" t="s">
        <v>52</v>
      </c>
      <c r="N1768" s="62" t="s">
        <v>8106</v>
      </c>
      <c r="O1768" s="62" t="s">
        <v>44</v>
      </c>
      <c r="P1768" s="62" t="s">
        <v>8136</v>
      </c>
      <c r="Q1768" s="62" t="s">
        <v>8137</v>
      </c>
      <c r="R1768" s="53"/>
      <c r="S1768" s="53"/>
      <c r="T1768" s="82"/>
      <c r="U1768" s="42"/>
      <c r="V1768" s="62"/>
      <c r="W1768" s="64"/>
      <c r="X1768" s="223"/>
      <c r="Y1768" s="223"/>
      <c r="Z1768" s="223"/>
      <c r="AA1768" s="223"/>
    </row>
    <row r="1769">
      <c r="A1769" s="42">
        <f t="shared" si="3"/>
        <v>1768</v>
      </c>
      <c r="B1769" s="51" t="s">
        <v>41</v>
      </c>
      <c r="C1769" s="53" t="s">
        <v>8138</v>
      </c>
      <c r="D1769" s="42" t="s">
        <v>44</v>
      </c>
      <c r="E1769" s="42" t="s">
        <v>44</v>
      </c>
      <c r="F1769" s="53" t="s">
        <v>8041</v>
      </c>
      <c r="G1769" s="53" t="s">
        <v>47</v>
      </c>
      <c r="H1769" s="53" t="s">
        <v>95</v>
      </c>
      <c r="I1769" s="53" t="s">
        <v>401</v>
      </c>
      <c r="J1769" s="53" t="s">
        <v>8042</v>
      </c>
      <c r="K1769" s="53" t="s">
        <v>1615</v>
      </c>
      <c r="L1769" s="53" t="s">
        <v>52</v>
      </c>
      <c r="M1769" s="53" t="s">
        <v>52</v>
      </c>
      <c r="N1769" s="62" t="s">
        <v>8106</v>
      </c>
      <c r="O1769" s="62" t="s">
        <v>44</v>
      </c>
      <c r="P1769" s="62" t="s">
        <v>8139</v>
      </c>
      <c r="Q1769" s="62" t="s">
        <v>8140</v>
      </c>
      <c r="R1769" s="53"/>
      <c r="S1769" s="53"/>
      <c r="T1769" s="82"/>
      <c r="U1769" s="42"/>
      <c r="V1769" s="62"/>
      <c r="W1769" s="64"/>
      <c r="X1769" s="223"/>
      <c r="Y1769" s="223"/>
      <c r="Z1769" s="223"/>
      <c r="AA1769" s="223"/>
    </row>
    <row r="1770">
      <c r="A1770" s="42">
        <f t="shared" si="3"/>
        <v>1769</v>
      </c>
      <c r="B1770" s="51" t="s">
        <v>41</v>
      </c>
      <c r="C1770" s="53" t="s">
        <v>8141</v>
      </c>
      <c r="D1770" s="42" t="s">
        <v>44</v>
      </c>
      <c r="E1770" s="42" t="s">
        <v>44</v>
      </c>
      <c r="F1770" s="53" t="s">
        <v>8041</v>
      </c>
      <c r="G1770" s="53" t="s">
        <v>197</v>
      </c>
      <c r="H1770" s="53" t="s">
        <v>198</v>
      </c>
      <c r="I1770" s="53" t="s">
        <v>401</v>
      </c>
      <c r="J1770" s="53" t="s">
        <v>8042</v>
      </c>
      <c r="K1770" s="53" t="s">
        <v>1615</v>
      </c>
      <c r="L1770" s="53" t="s">
        <v>52</v>
      </c>
      <c r="M1770" s="53" t="s">
        <v>52</v>
      </c>
      <c r="N1770" s="62" t="s">
        <v>8106</v>
      </c>
      <c r="O1770" s="62" t="s">
        <v>44</v>
      </c>
      <c r="P1770" s="62" t="s">
        <v>8142</v>
      </c>
      <c r="Q1770" s="62" t="s">
        <v>8143</v>
      </c>
      <c r="R1770" s="53"/>
      <c r="S1770" s="53"/>
      <c r="T1770" s="82"/>
      <c r="U1770" s="42"/>
      <c r="V1770" s="62"/>
      <c r="W1770" s="64"/>
      <c r="X1770" s="223"/>
      <c r="Y1770" s="223"/>
      <c r="Z1770" s="223"/>
      <c r="AA1770" s="223"/>
    </row>
    <row r="1771">
      <c r="A1771" s="42">
        <f t="shared" si="3"/>
        <v>1770</v>
      </c>
      <c r="B1771" s="51" t="s">
        <v>41</v>
      </c>
      <c r="C1771" s="53" t="s">
        <v>8144</v>
      </c>
      <c r="D1771" s="42" t="s">
        <v>44</v>
      </c>
      <c r="E1771" s="42" t="s">
        <v>44</v>
      </c>
      <c r="F1771" s="53" t="s">
        <v>8041</v>
      </c>
      <c r="G1771" s="53" t="s">
        <v>47</v>
      </c>
      <c r="H1771" s="53" t="s">
        <v>95</v>
      </c>
      <c r="I1771" s="53" t="s">
        <v>401</v>
      </c>
      <c r="J1771" s="53" t="s">
        <v>8042</v>
      </c>
      <c r="K1771" s="53" t="s">
        <v>1615</v>
      </c>
      <c r="L1771" s="53" t="s">
        <v>52</v>
      </c>
      <c r="M1771" s="53" t="s">
        <v>52</v>
      </c>
      <c r="N1771" s="62" t="s">
        <v>8145</v>
      </c>
      <c r="O1771" s="62" t="s">
        <v>44</v>
      </c>
      <c r="P1771" s="62" t="s">
        <v>8146</v>
      </c>
      <c r="Q1771" s="62" t="s">
        <v>8147</v>
      </c>
      <c r="R1771" s="53"/>
      <c r="S1771" s="53"/>
      <c r="T1771" s="82"/>
      <c r="U1771" s="42"/>
      <c r="V1771" s="62"/>
      <c r="W1771" s="64"/>
      <c r="X1771" s="223"/>
      <c r="Y1771" s="223"/>
      <c r="Z1771" s="223"/>
      <c r="AA1771" s="223"/>
    </row>
    <row r="1772">
      <c r="A1772" s="42">
        <f t="shared" si="3"/>
        <v>1771</v>
      </c>
      <c r="B1772" s="51" t="s">
        <v>41</v>
      </c>
      <c r="C1772" s="53" t="s">
        <v>8148</v>
      </c>
      <c r="D1772" s="42" t="s">
        <v>44</v>
      </c>
      <c r="E1772" s="42" t="s">
        <v>44</v>
      </c>
      <c r="F1772" s="53" t="s">
        <v>8041</v>
      </c>
      <c r="G1772" s="53" t="s">
        <v>47</v>
      </c>
      <c r="H1772" s="53" t="s">
        <v>48</v>
      </c>
      <c r="I1772" s="53" t="s">
        <v>401</v>
      </c>
      <c r="J1772" s="53" t="s">
        <v>8042</v>
      </c>
      <c r="K1772" s="53" t="s">
        <v>1615</v>
      </c>
      <c r="L1772" s="53" t="s">
        <v>52</v>
      </c>
      <c r="M1772" s="53" t="s">
        <v>52</v>
      </c>
      <c r="N1772" s="62" t="s">
        <v>8149</v>
      </c>
      <c r="O1772" s="62" t="s">
        <v>44</v>
      </c>
      <c r="P1772" s="62" t="s">
        <v>8150</v>
      </c>
      <c r="Q1772" s="62" t="s">
        <v>8151</v>
      </c>
      <c r="R1772" s="53"/>
      <c r="S1772" s="53"/>
      <c r="T1772" s="82"/>
      <c r="U1772" s="42"/>
      <c r="V1772" s="62"/>
      <c r="W1772" s="64"/>
      <c r="X1772" s="223"/>
      <c r="Y1772" s="223"/>
      <c r="Z1772" s="223"/>
      <c r="AA1772" s="223"/>
    </row>
    <row r="1773">
      <c r="A1773" s="42">
        <f t="shared" si="3"/>
        <v>1772</v>
      </c>
      <c r="B1773" s="51" t="s">
        <v>41</v>
      </c>
      <c r="C1773" s="53" t="s">
        <v>8152</v>
      </c>
      <c r="D1773" s="42" t="s">
        <v>44</v>
      </c>
      <c r="E1773" s="42" t="s">
        <v>44</v>
      </c>
      <c r="F1773" s="53" t="s">
        <v>8041</v>
      </c>
      <c r="G1773" s="53" t="s">
        <v>85</v>
      </c>
      <c r="H1773" s="53" t="s">
        <v>86</v>
      </c>
      <c r="I1773" s="53" t="s">
        <v>401</v>
      </c>
      <c r="J1773" s="53" t="s">
        <v>8042</v>
      </c>
      <c r="K1773" s="53" t="s">
        <v>1615</v>
      </c>
      <c r="L1773" s="53" t="s">
        <v>52</v>
      </c>
      <c r="M1773" s="53" t="s">
        <v>52</v>
      </c>
      <c r="N1773" s="62" t="s">
        <v>8043</v>
      </c>
      <c r="O1773" s="62" t="s">
        <v>44</v>
      </c>
      <c r="P1773" s="62" t="s">
        <v>8153</v>
      </c>
      <c r="Q1773" s="62" t="s">
        <v>8154</v>
      </c>
      <c r="R1773" s="53"/>
      <c r="S1773" s="53"/>
      <c r="T1773" s="82"/>
      <c r="U1773" s="42"/>
      <c r="V1773" s="62"/>
      <c r="W1773" s="64"/>
      <c r="X1773" s="223"/>
      <c r="Y1773" s="223"/>
      <c r="Z1773" s="223"/>
      <c r="AA1773" s="223"/>
    </row>
    <row r="1774">
      <c r="A1774" s="42">
        <f t="shared" si="3"/>
        <v>1773</v>
      </c>
      <c r="B1774" s="51" t="s">
        <v>41</v>
      </c>
      <c r="C1774" s="53" t="s">
        <v>8155</v>
      </c>
      <c r="D1774" s="42" t="s">
        <v>44</v>
      </c>
      <c r="E1774" s="42" t="s">
        <v>44</v>
      </c>
      <c r="F1774" s="53" t="s">
        <v>8041</v>
      </c>
      <c r="G1774" s="53" t="s">
        <v>47</v>
      </c>
      <c r="H1774" s="53" t="s">
        <v>48</v>
      </c>
      <c r="I1774" s="53" t="s">
        <v>401</v>
      </c>
      <c r="J1774" s="53" t="s">
        <v>8042</v>
      </c>
      <c r="K1774" s="53" t="s">
        <v>1615</v>
      </c>
      <c r="L1774" s="53" t="s">
        <v>52</v>
      </c>
      <c r="M1774" s="53" t="s">
        <v>52</v>
      </c>
      <c r="N1774" s="62" t="s">
        <v>8043</v>
      </c>
      <c r="O1774" s="62" t="s">
        <v>44</v>
      </c>
      <c r="P1774" s="62" t="s">
        <v>8156</v>
      </c>
      <c r="Q1774" s="62" t="s">
        <v>8157</v>
      </c>
      <c r="R1774" s="53"/>
      <c r="S1774" s="53"/>
      <c r="T1774" s="82"/>
      <c r="U1774" s="42"/>
      <c r="V1774" s="62"/>
      <c r="W1774" s="64"/>
      <c r="X1774" s="223"/>
      <c r="Y1774" s="223"/>
      <c r="Z1774" s="223"/>
      <c r="AA1774" s="223"/>
    </row>
    <row r="1775">
      <c r="A1775" s="42">
        <f t="shared" si="3"/>
        <v>1774</v>
      </c>
      <c r="B1775" s="51" t="s">
        <v>41</v>
      </c>
      <c r="C1775" s="53" t="s">
        <v>8158</v>
      </c>
      <c r="D1775" s="42" t="s">
        <v>44</v>
      </c>
      <c r="E1775" s="42" t="s">
        <v>44</v>
      </c>
      <c r="F1775" s="53" t="s">
        <v>8041</v>
      </c>
      <c r="G1775" s="53" t="s">
        <v>47</v>
      </c>
      <c r="H1775" s="53" t="s">
        <v>48</v>
      </c>
      <c r="I1775" s="53" t="s">
        <v>401</v>
      </c>
      <c r="J1775" s="53" t="s">
        <v>8042</v>
      </c>
      <c r="K1775" s="53" t="s">
        <v>1615</v>
      </c>
      <c r="L1775" s="53" t="s">
        <v>52</v>
      </c>
      <c r="M1775" s="53" t="s">
        <v>52</v>
      </c>
      <c r="N1775" s="62" t="s">
        <v>8043</v>
      </c>
      <c r="O1775" s="62" t="s">
        <v>44</v>
      </c>
      <c r="P1775" s="62" t="s">
        <v>8159</v>
      </c>
      <c r="Q1775" s="62" t="s">
        <v>8160</v>
      </c>
      <c r="R1775" s="53"/>
      <c r="S1775" s="53"/>
      <c r="T1775" s="82"/>
      <c r="U1775" s="42"/>
      <c r="V1775" s="62"/>
      <c r="W1775" s="64"/>
      <c r="X1775" s="223"/>
      <c r="Y1775" s="223"/>
      <c r="Z1775" s="223"/>
      <c r="AA1775" s="223"/>
    </row>
    <row r="1776">
      <c r="A1776" s="42">
        <f t="shared" si="3"/>
        <v>1775</v>
      </c>
      <c r="B1776" s="51" t="s">
        <v>41</v>
      </c>
      <c r="C1776" s="53" t="s">
        <v>8161</v>
      </c>
      <c r="D1776" s="42" t="s">
        <v>44</v>
      </c>
      <c r="E1776" s="42" t="s">
        <v>44</v>
      </c>
      <c r="F1776" s="53" t="s">
        <v>8041</v>
      </c>
      <c r="G1776" s="53" t="s">
        <v>47</v>
      </c>
      <c r="H1776" s="53" t="s">
        <v>48</v>
      </c>
      <c r="I1776" s="53" t="s">
        <v>401</v>
      </c>
      <c r="J1776" s="53" t="s">
        <v>8042</v>
      </c>
      <c r="K1776" s="53" t="s">
        <v>1615</v>
      </c>
      <c r="L1776" s="53" t="s">
        <v>52</v>
      </c>
      <c r="M1776" s="53" t="s">
        <v>52</v>
      </c>
      <c r="N1776" s="62" t="s">
        <v>8162</v>
      </c>
      <c r="O1776" s="62" t="s">
        <v>44</v>
      </c>
      <c r="P1776" s="62" t="s">
        <v>6785</v>
      </c>
      <c r="Q1776" s="62" t="s">
        <v>8163</v>
      </c>
      <c r="R1776" s="53"/>
      <c r="S1776" s="53"/>
      <c r="T1776" s="82"/>
      <c r="U1776" s="42"/>
      <c r="V1776" s="62"/>
      <c r="W1776" s="64"/>
      <c r="X1776" s="223"/>
      <c r="Y1776" s="223"/>
      <c r="Z1776" s="223"/>
      <c r="AA1776" s="223"/>
    </row>
    <row r="1777">
      <c r="A1777" s="42">
        <f t="shared" si="3"/>
        <v>1776</v>
      </c>
      <c r="B1777" s="51" t="s">
        <v>41</v>
      </c>
      <c r="C1777" s="53" t="s">
        <v>8164</v>
      </c>
      <c r="D1777" s="42" t="s">
        <v>44</v>
      </c>
      <c r="E1777" s="42" t="s">
        <v>44</v>
      </c>
      <c r="F1777" s="53" t="s">
        <v>8041</v>
      </c>
      <c r="G1777" s="53" t="s">
        <v>47</v>
      </c>
      <c r="H1777" s="53" t="s">
        <v>48</v>
      </c>
      <c r="I1777" s="53" t="s">
        <v>401</v>
      </c>
      <c r="J1777" s="53" t="s">
        <v>8042</v>
      </c>
      <c r="K1777" s="53" t="s">
        <v>1615</v>
      </c>
      <c r="L1777" s="53" t="s">
        <v>52</v>
      </c>
      <c r="M1777" s="53" t="s">
        <v>52</v>
      </c>
      <c r="N1777" s="62" t="s">
        <v>8162</v>
      </c>
      <c r="O1777" s="62" t="s">
        <v>44</v>
      </c>
      <c r="P1777" s="62" t="s">
        <v>8165</v>
      </c>
      <c r="Q1777" s="62" t="s">
        <v>8166</v>
      </c>
      <c r="R1777" s="53"/>
      <c r="S1777" s="53"/>
      <c r="T1777" s="82"/>
      <c r="U1777" s="42"/>
      <c r="V1777" s="62"/>
      <c r="W1777" s="64"/>
      <c r="X1777" s="223"/>
      <c r="Y1777" s="223"/>
      <c r="Z1777" s="223"/>
      <c r="AA1777" s="223"/>
    </row>
    <row r="1778">
      <c r="A1778" s="42">
        <f t="shared" si="3"/>
        <v>1777</v>
      </c>
      <c r="B1778" s="51" t="s">
        <v>41</v>
      </c>
      <c r="C1778" s="53" t="s">
        <v>8167</v>
      </c>
      <c r="D1778" s="42" t="s">
        <v>44</v>
      </c>
      <c r="E1778" s="42" t="s">
        <v>44</v>
      </c>
      <c r="F1778" s="53" t="s">
        <v>8168</v>
      </c>
      <c r="G1778" s="53" t="s">
        <v>111</v>
      </c>
      <c r="H1778" s="53" t="s">
        <v>112</v>
      </c>
      <c r="I1778" s="53" t="s">
        <v>401</v>
      </c>
      <c r="J1778" s="53" t="s">
        <v>8169</v>
      </c>
      <c r="K1778" s="53" t="s">
        <v>1615</v>
      </c>
      <c r="L1778" s="53" t="s">
        <v>52</v>
      </c>
      <c r="M1778" s="53" t="s">
        <v>52</v>
      </c>
      <c r="N1778" s="62" t="s">
        <v>8170</v>
      </c>
      <c r="O1778" s="62" t="s">
        <v>44</v>
      </c>
      <c r="P1778" s="62" t="s">
        <v>6399</v>
      </c>
      <c r="Q1778" s="62" t="s">
        <v>8171</v>
      </c>
      <c r="R1778" s="53"/>
      <c r="S1778" s="53"/>
      <c r="T1778" s="82"/>
      <c r="U1778" s="42"/>
      <c r="V1778" s="62"/>
      <c r="W1778" s="64"/>
      <c r="X1778" s="223"/>
      <c r="Y1778" s="223"/>
      <c r="Z1778" s="223"/>
      <c r="AA1778" s="223"/>
    </row>
    <row r="1779">
      <c r="A1779" s="42">
        <f t="shared" si="3"/>
        <v>1778</v>
      </c>
      <c r="B1779" s="51" t="s">
        <v>41</v>
      </c>
      <c r="C1779" s="53" t="s">
        <v>8172</v>
      </c>
      <c r="D1779" s="42" t="s">
        <v>44</v>
      </c>
      <c r="E1779" s="42" t="s">
        <v>44</v>
      </c>
      <c r="F1779" s="53" t="s">
        <v>8168</v>
      </c>
      <c r="G1779" s="53" t="s">
        <v>47</v>
      </c>
      <c r="H1779" s="53" t="s">
        <v>48</v>
      </c>
      <c r="I1779" s="53" t="s">
        <v>401</v>
      </c>
      <c r="J1779" s="53" t="s">
        <v>8169</v>
      </c>
      <c r="K1779" s="53" t="s">
        <v>1615</v>
      </c>
      <c r="L1779" s="53" t="s">
        <v>52</v>
      </c>
      <c r="M1779" s="53" t="s">
        <v>52</v>
      </c>
      <c r="N1779" s="62" t="s">
        <v>8170</v>
      </c>
      <c r="O1779" s="62" t="s">
        <v>44</v>
      </c>
      <c r="P1779" s="62" t="s">
        <v>5384</v>
      </c>
      <c r="Q1779" s="62" t="s">
        <v>8046</v>
      </c>
      <c r="R1779" s="53"/>
      <c r="S1779" s="53"/>
      <c r="T1779" s="82"/>
      <c r="U1779" s="42"/>
      <c r="V1779" s="62"/>
      <c r="W1779" s="64"/>
      <c r="X1779" s="223"/>
      <c r="Y1779" s="223"/>
      <c r="Z1779" s="223"/>
      <c r="AA1779" s="223"/>
    </row>
    <row r="1780">
      <c r="A1780" s="42">
        <f t="shared" si="3"/>
        <v>1779</v>
      </c>
      <c r="B1780" s="51" t="s">
        <v>41</v>
      </c>
      <c r="C1780" s="53" t="s">
        <v>8173</v>
      </c>
      <c r="D1780" s="42" t="s">
        <v>44</v>
      </c>
      <c r="E1780" s="42" t="s">
        <v>44</v>
      </c>
      <c r="F1780" s="53" t="s">
        <v>8168</v>
      </c>
      <c r="G1780" s="53" t="s">
        <v>47</v>
      </c>
      <c r="H1780" s="53" t="s">
        <v>48</v>
      </c>
      <c r="I1780" s="53" t="s">
        <v>401</v>
      </c>
      <c r="J1780" s="53" t="s">
        <v>8169</v>
      </c>
      <c r="K1780" s="53" t="s">
        <v>1615</v>
      </c>
      <c r="L1780" s="53" t="s">
        <v>52</v>
      </c>
      <c r="M1780" s="53" t="s">
        <v>52</v>
      </c>
      <c r="N1780" s="62" t="s">
        <v>8170</v>
      </c>
      <c r="O1780" s="62" t="s">
        <v>44</v>
      </c>
      <c r="P1780" s="62" t="s">
        <v>5389</v>
      </c>
      <c r="Q1780" s="62" t="s">
        <v>8048</v>
      </c>
      <c r="R1780" s="53"/>
      <c r="S1780" s="53"/>
      <c r="T1780" s="82"/>
      <c r="U1780" s="42"/>
      <c r="V1780" s="62"/>
      <c r="W1780" s="64"/>
      <c r="X1780" s="223"/>
      <c r="Y1780" s="223"/>
      <c r="Z1780" s="223"/>
      <c r="AA1780" s="223"/>
    </row>
    <row r="1781">
      <c r="A1781" s="42">
        <f t="shared" si="3"/>
        <v>1780</v>
      </c>
      <c r="B1781" s="51" t="s">
        <v>41</v>
      </c>
      <c r="C1781" s="53" t="s">
        <v>8174</v>
      </c>
      <c r="D1781" s="42" t="s">
        <v>44</v>
      </c>
      <c r="E1781" s="42" t="s">
        <v>44</v>
      </c>
      <c r="F1781" s="53" t="s">
        <v>8168</v>
      </c>
      <c r="G1781" s="53" t="s">
        <v>47</v>
      </c>
      <c r="H1781" s="53" t="s">
        <v>48</v>
      </c>
      <c r="I1781" s="53" t="s">
        <v>401</v>
      </c>
      <c r="J1781" s="53" t="s">
        <v>8169</v>
      </c>
      <c r="K1781" s="53" t="s">
        <v>1615</v>
      </c>
      <c r="L1781" s="53" t="s">
        <v>52</v>
      </c>
      <c r="M1781" s="53" t="s">
        <v>52</v>
      </c>
      <c r="N1781" s="62" t="s">
        <v>8170</v>
      </c>
      <c r="O1781" s="62" t="s">
        <v>44</v>
      </c>
      <c r="P1781" s="62" t="s">
        <v>7324</v>
      </c>
      <c r="Q1781" s="62" t="s">
        <v>8057</v>
      </c>
      <c r="R1781" s="53"/>
      <c r="S1781" s="53"/>
      <c r="T1781" s="82"/>
      <c r="U1781" s="42"/>
      <c r="V1781" s="62"/>
      <c r="W1781" s="64"/>
      <c r="X1781" s="223"/>
      <c r="Y1781" s="223"/>
      <c r="Z1781" s="223"/>
      <c r="AA1781" s="223"/>
    </row>
    <row r="1782">
      <c r="A1782" s="42">
        <f t="shared" si="3"/>
        <v>1781</v>
      </c>
      <c r="B1782" s="51" t="s">
        <v>41</v>
      </c>
      <c r="C1782" s="53" t="s">
        <v>8175</v>
      </c>
      <c r="D1782" s="42" t="s">
        <v>44</v>
      </c>
      <c r="E1782" s="42" t="s">
        <v>44</v>
      </c>
      <c r="F1782" s="53" t="s">
        <v>8168</v>
      </c>
      <c r="G1782" s="53" t="s">
        <v>47</v>
      </c>
      <c r="H1782" s="53" t="s">
        <v>48</v>
      </c>
      <c r="I1782" s="53" t="s">
        <v>401</v>
      </c>
      <c r="J1782" s="53" t="s">
        <v>8169</v>
      </c>
      <c r="K1782" s="53" t="s">
        <v>1615</v>
      </c>
      <c r="L1782" s="53" t="s">
        <v>52</v>
      </c>
      <c r="M1782" s="53" t="s">
        <v>52</v>
      </c>
      <c r="N1782" s="62" t="s">
        <v>8170</v>
      </c>
      <c r="O1782" s="62" t="s">
        <v>44</v>
      </c>
      <c r="P1782" s="62" t="s">
        <v>6082</v>
      </c>
      <c r="Q1782" s="62" t="s">
        <v>7770</v>
      </c>
      <c r="R1782" s="53"/>
      <c r="S1782" s="53"/>
      <c r="T1782" s="82"/>
      <c r="U1782" s="42"/>
      <c r="V1782" s="62"/>
      <c r="W1782" s="64"/>
      <c r="X1782" s="223"/>
      <c r="Y1782" s="223"/>
      <c r="Z1782" s="223"/>
      <c r="AA1782" s="223"/>
    </row>
    <row r="1783">
      <c r="A1783" s="42">
        <f t="shared" si="3"/>
        <v>1782</v>
      </c>
      <c r="B1783" s="51" t="s">
        <v>41</v>
      </c>
      <c r="C1783" s="53" t="s">
        <v>8176</v>
      </c>
      <c r="D1783" s="42" t="s">
        <v>44</v>
      </c>
      <c r="E1783" s="42" t="s">
        <v>44</v>
      </c>
      <c r="F1783" s="53" t="s">
        <v>8168</v>
      </c>
      <c r="G1783" s="53" t="s">
        <v>47</v>
      </c>
      <c r="H1783" s="53" t="s">
        <v>48</v>
      </c>
      <c r="I1783" s="53" t="s">
        <v>401</v>
      </c>
      <c r="J1783" s="53" t="s">
        <v>8169</v>
      </c>
      <c r="K1783" s="53" t="s">
        <v>1615</v>
      </c>
      <c r="L1783" s="53" t="s">
        <v>52</v>
      </c>
      <c r="M1783" s="53" t="s">
        <v>52</v>
      </c>
      <c r="N1783" s="62" t="s">
        <v>8170</v>
      </c>
      <c r="O1783" s="62" t="s">
        <v>44</v>
      </c>
      <c r="P1783" s="62" t="s">
        <v>6085</v>
      </c>
      <c r="Q1783" s="62" t="s">
        <v>8177</v>
      </c>
      <c r="R1783" s="53"/>
      <c r="S1783" s="53"/>
      <c r="T1783" s="82"/>
      <c r="U1783" s="42"/>
      <c r="V1783" s="62"/>
      <c r="W1783" s="64"/>
      <c r="X1783" s="223"/>
      <c r="Y1783" s="223"/>
      <c r="Z1783" s="223"/>
      <c r="AA1783" s="223"/>
    </row>
    <row r="1784">
      <c r="A1784" s="42">
        <f t="shared" si="3"/>
        <v>1783</v>
      </c>
      <c r="B1784" s="51" t="s">
        <v>41</v>
      </c>
      <c r="C1784" s="53" t="s">
        <v>8178</v>
      </c>
      <c r="D1784" s="42" t="s">
        <v>44</v>
      </c>
      <c r="E1784" s="42" t="s">
        <v>44</v>
      </c>
      <c r="F1784" s="53" t="s">
        <v>8168</v>
      </c>
      <c r="G1784" s="53" t="s">
        <v>47</v>
      </c>
      <c r="H1784" s="53" t="s">
        <v>48</v>
      </c>
      <c r="I1784" s="53" t="s">
        <v>401</v>
      </c>
      <c r="J1784" s="53" t="s">
        <v>8169</v>
      </c>
      <c r="K1784" s="53" t="s">
        <v>1615</v>
      </c>
      <c r="L1784" s="53" t="s">
        <v>52</v>
      </c>
      <c r="M1784" s="53" t="s">
        <v>52</v>
      </c>
      <c r="N1784" s="62" t="s">
        <v>8179</v>
      </c>
      <c r="O1784" s="62" t="s">
        <v>44</v>
      </c>
      <c r="P1784" s="62" t="s">
        <v>6429</v>
      </c>
      <c r="Q1784" s="62" t="s">
        <v>7773</v>
      </c>
      <c r="R1784" s="53"/>
      <c r="S1784" s="53"/>
      <c r="T1784" s="82"/>
      <c r="U1784" s="42"/>
      <c r="V1784" s="62"/>
      <c r="W1784" s="64"/>
      <c r="X1784" s="223"/>
      <c r="Y1784" s="223"/>
      <c r="Z1784" s="223"/>
      <c r="AA1784" s="223"/>
    </row>
    <row r="1785">
      <c r="A1785" s="42">
        <f t="shared" si="3"/>
        <v>1784</v>
      </c>
      <c r="B1785" s="51" t="s">
        <v>41</v>
      </c>
      <c r="C1785" s="53" t="s">
        <v>8180</v>
      </c>
      <c r="D1785" s="42" t="s">
        <v>44</v>
      </c>
      <c r="E1785" s="42" t="s">
        <v>44</v>
      </c>
      <c r="F1785" s="53" t="s">
        <v>8168</v>
      </c>
      <c r="G1785" s="53" t="s">
        <v>47</v>
      </c>
      <c r="H1785" s="53" t="s">
        <v>48</v>
      </c>
      <c r="I1785" s="53" t="s">
        <v>401</v>
      </c>
      <c r="J1785" s="53" t="s">
        <v>8169</v>
      </c>
      <c r="K1785" s="53" t="s">
        <v>1615</v>
      </c>
      <c r="L1785" s="53" t="s">
        <v>52</v>
      </c>
      <c r="M1785" s="53" t="s">
        <v>52</v>
      </c>
      <c r="N1785" s="62" t="s">
        <v>8170</v>
      </c>
      <c r="O1785" s="62" t="s">
        <v>44</v>
      </c>
      <c r="P1785" s="62" t="s">
        <v>5448</v>
      </c>
      <c r="Q1785" s="62" t="s">
        <v>7775</v>
      </c>
      <c r="R1785" s="53"/>
      <c r="S1785" s="53"/>
      <c r="T1785" s="82"/>
      <c r="U1785" s="42"/>
      <c r="V1785" s="62"/>
      <c r="W1785" s="64"/>
      <c r="X1785" s="223"/>
      <c r="Y1785" s="223"/>
      <c r="Z1785" s="223"/>
      <c r="AA1785" s="223"/>
    </row>
    <row r="1786">
      <c r="A1786" s="42">
        <f t="shared" si="3"/>
        <v>1785</v>
      </c>
      <c r="B1786" s="51" t="s">
        <v>41</v>
      </c>
      <c r="C1786" s="53" t="s">
        <v>8181</v>
      </c>
      <c r="D1786" s="42" t="s">
        <v>44</v>
      </c>
      <c r="E1786" s="42" t="s">
        <v>44</v>
      </c>
      <c r="F1786" s="53" t="s">
        <v>8168</v>
      </c>
      <c r="G1786" s="53" t="s">
        <v>47</v>
      </c>
      <c r="H1786" s="53" t="s">
        <v>48</v>
      </c>
      <c r="I1786" s="53" t="s">
        <v>401</v>
      </c>
      <c r="J1786" s="53" t="s">
        <v>8169</v>
      </c>
      <c r="K1786" s="53" t="s">
        <v>1615</v>
      </c>
      <c r="L1786" s="53" t="s">
        <v>52</v>
      </c>
      <c r="M1786" s="53" t="s">
        <v>52</v>
      </c>
      <c r="N1786" s="62" t="s">
        <v>8170</v>
      </c>
      <c r="O1786" s="62" t="s">
        <v>44</v>
      </c>
      <c r="P1786" s="62" t="s">
        <v>1002</v>
      </c>
      <c r="Q1786" s="62" t="s">
        <v>6246</v>
      </c>
      <c r="R1786" s="53"/>
      <c r="S1786" s="53"/>
      <c r="T1786" s="82"/>
      <c r="U1786" s="42"/>
      <c r="V1786" s="62"/>
      <c r="W1786" s="64"/>
      <c r="X1786" s="223"/>
      <c r="Y1786" s="223"/>
      <c r="Z1786" s="223"/>
      <c r="AA1786" s="223"/>
    </row>
    <row r="1787">
      <c r="A1787" s="42">
        <f t="shared" si="3"/>
        <v>1786</v>
      </c>
      <c r="B1787" s="51" t="s">
        <v>41</v>
      </c>
      <c r="C1787" s="53" t="s">
        <v>8182</v>
      </c>
      <c r="D1787" s="42" t="s">
        <v>44</v>
      </c>
      <c r="E1787" s="42" t="s">
        <v>44</v>
      </c>
      <c r="F1787" s="53" t="s">
        <v>8168</v>
      </c>
      <c r="G1787" s="53" t="s">
        <v>47</v>
      </c>
      <c r="H1787" s="53" t="s">
        <v>48</v>
      </c>
      <c r="I1787" s="53" t="s">
        <v>401</v>
      </c>
      <c r="J1787" s="53" t="s">
        <v>8169</v>
      </c>
      <c r="K1787" s="53" t="s">
        <v>1615</v>
      </c>
      <c r="L1787" s="53" t="s">
        <v>52</v>
      </c>
      <c r="M1787" s="53" t="s">
        <v>52</v>
      </c>
      <c r="N1787" s="62" t="s">
        <v>8170</v>
      </c>
      <c r="O1787" s="62" t="s">
        <v>44</v>
      </c>
      <c r="P1787" s="62" t="s">
        <v>1009</v>
      </c>
      <c r="Q1787" s="62" t="s">
        <v>7778</v>
      </c>
      <c r="R1787" s="53"/>
      <c r="S1787" s="53"/>
      <c r="T1787" s="82"/>
      <c r="U1787" s="42"/>
      <c r="V1787" s="62"/>
      <c r="W1787" s="64"/>
      <c r="X1787" s="223"/>
      <c r="Y1787" s="223"/>
      <c r="Z1787" s="223"/>
      <c r="AA1787" s="223"/>
    </row>
    <row r="1788">
      <c r="A1788" s="42">
        <f t="shared" si="3"/>
        <v>1787</v>
      </c>
      <c r="B1788" s="51" t="s">
        <v>41</v>
      </c>
      <c r="C1788" s="53" t="s">
        <v>8183</v>
      </c>
      <c r="D1788" s="42" t="s">
        <v>44</v>
      </c>
      <c r="E1788" s="42" t="s">
        <v>44</v>
      </c>
      <c r="F1788" s="53" t="s">
        <v>8168</v>
      </c>
      <c r="G1788" s="53" t="s">
        <v>47</v>
      </c>
      <c r="H1788" s="53" t="s">
        <v>48</v>
      </c>
      <c r="I1788" s="53" t="s">
        <v>401</v>
      </c>
      <c r="J1788" s="53" t="s">
        <v>8169</v>
      </c>
      <c r="K1788" s="53" t="s">
        <v>1615</v>
      </c>
      <c r="L1788" s="53" t="s">
        <v>52</v>
      </c>
      <c r="M1788" s="53" t="s">
        <v>52</v>
      </c>
      <c r="N1788" s="62" t="s">
        <v>8170</v>
      </c>
      <c r="O1788" s="62" t="s">
        <v>44</v>
      </c>
      <c r="P1788" s="62" t="s">
        <v>8059</v>
      </c>
      <c r="Q1788" s="62" t="s">
        <v>7524</v>
      </c>
      <c r="R1788" s="53"/>
      <c r="S1788" s="53"/>
      <c r="T1788" s="82"/>
      <c r="U1788" s="42"/>
      <c r="V1788" s="62"/>
      <c r="W1788" s="64"/>
      <c r="X1788" s="223"/>
      <c r="Y1788" s="223"/>
      <c r="Z1788" s="223"/>
      <c r="AA1788" s="223"/>
    </row>
    <row r="1789">
      <c r="A1789" s="42">
        <f t="shared" si="3"/>
        <v>1788</v>
      </c>
      <c r="B1789" s="51" t="s">
        <v>41</v>
      </c>
      <c r="C1789" s="53" t="s">
        <v>8184</v>
      </c>
      <c r="D1789" s="42" t="s">
        <v>44</v>
      </c>
      <c r="E1789" s="42" t="s">
        <v>44</v>
      </c>
      <c r="F1789" s="53" t="s">
        <v>8168</v>
      </c>
      <c r="G1789" s="53" t="s">
        <v>47</v>
      </c>
      <c r="H1789" s="53" t="s">
        <v>48</v>
      </c>
      <c r="I1789" s="53" t="s">
        <v>401</v>
      </c>
      <c r="J1789" s="53" t="s">
        <v>8169</v>
      </c>
      <c r="K1789" s="53" t="s">
        <v>1615</v>
      </c>
      <c r="L1789" s="53" t="s">
        <v>52</v>
      </c>
      <c r="M1789" s="53" t="s">
        <v>52</v>
      </c>
      <c r="N1789" s="62" t="s">
        <v>8185</v>
      </c>
      <c r="O1789" s="62" t="s">
        <v>44</v>
      </c>
      <c r="P1789" s="62" t="s">
        <v>8186</v>
      </c>
      <c r="Q1789" s="62" t="s">
        <v>8187</v>
      </c>
      <c r="R1789" s="53"/>
      <c r="S1789" s="53"/>
      <c r="T1789" s="82"/>
      <c r="U1789" s="42"/>
      <c r="V1789" s="62"/>
      <c r="W1789" s="64"/>
      <c r="X1789" s="223"/>
      <c r="Y1789" s="223"/>
      <c r="Z1789" s="223"/>
      <c r="AA1789" s="223"/>
    </row>
    <row r="1790">
      <c r="A1790" s="42">
        <f t="shared" si="3"/>
        <v>1789</v>
      </c>
      <c r="B1790" s="51" t="s">
        <v>41</v>
      </c>
      <c r="C1790" s="53" t="s">
        <v>8188</v>
      </c>
      <c r="D1790" s="42" t="s">
        <v>44</v>
      </c>
      <c r="E1790" s="42" t="s">
        <v>44</v>
      </c>
      <c r="F1790" s="53" t="s">
        <v>8168</v>
      </c>
      <c r="G1790" s="53" t="s">
        <v>47</v>
      </c>
      <c r="H1790" s="53" t="s">
        <v>48</v>
      </c>
      <c r="I1790" s="53" t="s">
        <v>401</v>
      </c>
      <c r="J1790" s="53" t="s">
        <v>8169</v>
      </c>
      <c r="K1790" s="53" t="s">
        <v>1615</v>
      </c>
      <c r="L1790" s="53" t="s">
        <v>52</v>
      </c>
      <c r="M1790" s="53" t="s">
        <v>52</v>
      </c>
      <c r="N1790" s="62" t="s">
        <v>8170</v>
      </c>
      <c r="O1790" s="62" t="s">
        <v>44</v>
      </c>
      <c r="P1790" s="62" t="s">
        <v>8065</v>
      </c>
      <c r="Q1790" s="62" t="s">
        <v>8189</v>
      </c>
      <c r="R1790" s="53"/>
      <c r="S1790" s="53"/>
      <c r="T1790" s="82"/>
      <c r="U1790" s="42"/>
      <c r="V1790" s="62"/>
      <c r="W1790" s="64"/>
      <c r="X1790" s="223"/>
      <c r="Y1790" s="223"/>
      <c r="Z1790" s="223"/>
      <c r="AA1790" s="223"/>
    </row>
    <row r="1791">
      <c r="A1791" s="42">
        <f t="shared" si="3"/>
        <v>1790</v>
      </c>
      <c r="B1791" s="51" t="s">
        <v>41</v>
      </c>
      <c r="C1791" s="53" t="s">
        <v>8190</v>
      </c>
      <c r="D1791" s="42" t="s">
        <v>44</v>
      </c>
      <c r="E1791" s="42" t="s">
        <v>44</v>
      </c>
      <c r="F1791" s="53" t="s">
        <v>8168</v>
      </c>
      <c r="G1791" s="53" t="s">
        <v>47</v>
      </c>
      <c r="H1791" s="53" t="s">
        <v>48</v>
      </c>
      <c r="I1791" s="53" t="s">
        <v>401</v>
      </c>
      <c r="J1791" s="53" t="s">
        <v>8169</v>
      </c>
      <c r="K1791" s="53" t="s">
        <v>1615</v>
      </c>
      <c r="L1791" s="53" t="s">
        <v>52</v>
      </c>
      <c r="M1791" s="53" t="s">
        <v>52</v>
      </c>
      <c r="N1791" s="62" t="s">
        <v>8170</v>
      </c>
      <c r="O1791" s="62" t="s">
        <v>44</v>
      </c>
      <c r="P1791" s="62" t="s">
        <v>8191</v>
      </c>
      <c r="Q1791" s="62" t="s">
        <v>7340</v>
      </c>
      <c r="R1791" s="53"/>
      <c r="S1791" s="53"/>
      <c r="T1791" s="82"/>
      <c r="U1791" s="42"/>
      <c r="V1791" s="62"/>
      <c r="W1791" s="64"/>
      <c r="X1791" s="223"/>
      <c r="Y1791" s="223"/>
      <c r="Z1791" s="223"/>
      <c r="AA1791" s="223"/>
    </row>
    <row r="1792">
      <c r="A1792" s="42">
        <f t="shared" si="3"/>
        <v>1791</v>
      </c>
      <c r="B1792" s="51" t="s">
        <v>41</v>
      </c>
      <c r="C1792" s="53" t="s">
        <v>8192</v>
      </c>
      <c r="D1792" s="42" t="s">
        <v>44</v>
      </c>
      <c r="E1792" s="42" t="s">
        <v>44</v>
      </c>
      <c r="F1792" s="53" t="s">
        <v>8168</v>
      </c>
      <c r="G1792" s="53" t="s">
        <v>47</v>
      </c>
      <c r="H1792" s="53" t="s">
        <v>48</v>
      </c>
      <c r="I1792" s="53" t="s">
        <v>401</v>
      </c>
      <c r="J1792" s="53" t="s">
        <v>8169</v>
      </c>
      <c r="K1792" s="53" t="s">
        <v>1615</v>
      </c>
      <c r="L1792" s="53" t="s">
        <v>52</v>
      </c>
      <c r="M1792" s="53" t="s">
        <v>52</v>
      </c>
      <c r="N1792" s="62" t="s">
        <v>8170</v>
      </c>
      <c r="O1792" s="62" t="s">
        <v>44</v>
      </c>
      <c r="P1792" s="62" t="s">
        <v>8096</v>
      </c>
      <c r="Q1792" s="62" t="s">
        <v>8193</v>
      </c>
      <c r="R1792" s="53"/>
      <c r="S1792" s="53"/>
      <c r="T1792" s="82"/>
      <c r="U1792" s="42"/>
      <c r="V1792" s="62"/>
      <c r="W1792" s="64"/>
      <c r="X1792" s="223"/>
      <c r="Y1792" s="223"/>
      <c r="Z1792" s="223"/>
      <c r="AA1792" s="223"/>
    </row>
    <row r="1793">
      <c r="A1793" s="42">
        <f t="shared" si="3"/>
        <v>1792</v>
      </c>
      <c r="B1793" s="51" t="s">
        <v>41</v>
      </c>
      <c r="C1793" s="53" t="s">
        <v>8194</v>
      </c>
      <c r="D1793" s="42" t="s">
        <v>44</v>
      </c>
      <c r="E1793" s="42" t="s">
        <v>44</v>
      </c>
      <c r="F1793" s="53" t="s">
        <v>8168</v>
      </c>
      <c r="G1793" s="53" t="s">
        <v>47</v>
      </c>
      <c r="H1793" s="53" t="s">
        <v>48</v>
      </c>
      <c r="I1793" s="53" t="s">
        <v>401</v>
      </c>
      <c r="J1793" s="53" t="s">
        <v>8169</v>
      </c>
      <c r="K1793" s="53" t="s">
        <v>1615</v>
      </c>
      <c r="L1793" s="53" t="s">
        <v>52</v>
      </c>
      <c r="M1793" s="53" t="s">
        <v>52</v>
      </c>
      <c r="N1793" s="62" t="s">
        <v>8185</v>
      </c>
      <c r="O1793" s="62" t="s">
        <v>44</v>
      </c>
      <c r="P1793" s="62" t="s">
        <v>7343</v>
      </c>
      <c r="Q1793" s="62" t="s">
        <v>8195</v>
      </c>
      <c r="R1793" s="53"/>
      <c r="S1793" s="53"/>
      <c r="T1793" s="82"/>
      <c r="U1793" s="42"/>
      <c r="V1793" s="62"/>
      <c r="W1793" s="64"/>
      <c r="X1793" s="223"/>
      <c r="Y1793" s="223"/>
      <c r="Z1793" s="223"/>
      <c r="AA1793" s="223"/>
    </row>
    <row r="1794">
      <c r="A1794" s="42">
        <f t="shared" si="3"/>
        <v>1793</v>
      </c>
      <c r="B1794" s="51" t="s">
        <v>41</v>
      </c>
      <c r="C1794" s="53" t="s">
        <v>8196</v>
      </c>
      <c r="D1794" s="42" t="s">
        <v>44</v>
      </c>
      <c r="E1794" s="42" t="s">
        <v>44</v>
      </c>
      <c r="F1794" s="53" t="s">
        <v>8168</v>
      </c>
      <c r="G1794" s="53" t="s">
        <v>111</v>
      </c>
      <c r="H1794" s="53" t="s">
        <v>91</v>
      </c>
      <c r="I1794" s="53" t="s">
        <v>401</v>
      </c>
      <c r="J1794" s="53" t="s">
        <v>8169</v>
      </c>
      <c r="K1794" s="53" t="s">
        <v>1615</v>
      </c>
      <c r="L1794" s="53" t="s">
        <v>52</v>
      </c>
      <c r="M1794" s="53" t="s">
        <v>52</v>
      </c>
      <c r="N1794" s="62" t="s">
        <v>8185</v>
      </c>
      <c r="O1794" s="62" t="s">
        <v>44</v>
      </c>
      <c r="P1794" s="62" t="s">
        <v>8197</v>
      </c>
      <c r="Q1794" s="62" t="s">
        <v>8198</v>
      </c>
      <c r="R1794" s="53"/>
      <c r="S1794" s="53"/>
      <c r="T1794" s="82"/>
      <c r="U1794" s="42"/>
      <c r="V1794" s="62"/>
      <c r="W1794" s="64"/>
      <c r="X1794" s="223"/>
      <c r="Y1794" s="223"/>
      <c r="Z1794" s="223"/>
      <c r="AA1794" s="223"/>
    </row>
    <row r="1795">
      <c r="A1795" s="42">
        <f t="shared" si="3"/>
        <v>1794</v>
      </c>
      <c r="B1795" s="51" t="s">
        <v>41</v>
      </c>
      <c r="C1795" s="53" t="s">
        <v>8199</v>
      </c>
      <c r="D1795" s="42" t="s">
        <v>44</v>
      </c>
      <c r="E1795" s="42" t="s">
        <v>44</v>
      </c>
      <c r="F1795" s="53" t="s">
        <v>8168</v>
      </c>
      <c r="G1795" s="53" t="s">
        <v>47</v>
      </c>
      <c r="H1795" s="53" t="s">
        <v>48</v>
      </c>
      <c r="I1795" s="53" t="s">
        <v>401</v>
      </c>
      <c r="J1795" s="53" t="s">
        <v>8169</v>
      </c>
      <c r="K1795" s="53" t="s">
        <v>1615</v>
      </c>
      <c r="L1795" s="53" t="s">
        <v>52</v>
      </c>
      <c r="M1795" s="53" t="s">
        <v>52</v>
      </c>
      <c r="N1795" s="62" t="s">
        <v>8185</v>
      </c>
      <c r="O1795" s="62" t="s">
        <v>44</v>
      </c>
      <c r="P1795" s="62" t="s">
        <v>7533</v>
      </c>
      <c r="Q1795" s="62" t="s">
        <v>7534</v>
      </c>
      <c r="R1795" s="53"/>
      <c r="S1795" s="53"/>
      <c r="T1795" s="82"/>
      <c r="U1795" s="42"/>
      <c r="V1795" s="62"/>
      <c r="W1795" s="64"/>
      <c r="X1795" s="223"/>
      <c r="Y1795" s="223"/>
      <c r="Z1795" s="223"/>
      <c r="AA1795" s="223"/>
    </row>
    <row r="1796">
      <c r="A1796" s="42">
        <f t="shared" si="3"/>
        <v>1795</v>
      </c>
      <c r="B1796" s="51" t="s">
        <v>41</v>
      </c>
      <c r="C1796" s="53" t="s">
        <v>8200</v>
      </c>
      <c r="D1796" s="42" t="s">
        <v>44</v>
      </c>
      <c r="E1796" s="42" t="s">
        <v>44</v>
      </c>
      <c r="F1796" s="53" t="s">
        <v>8168</v>
      </c>
      <c r="G1796" s="53" t="s">
        <v>47</v>
      </c>
      <c r="H1796" s="53" t="s">
        <v>95</v>
      </c>
      <c r="I1796" s="53" t="s">
        <v>401</v>
      </c>
      <c r="J1796" s="53" t="s">
        <v>8169</v>
      </c>
      <c r="K1796" s="53" t="s">
        <v>1615</v>
      </c>
      <c r="L1796" s="53" t="s">
        <v>52</v>
      </c>
      <c r="M1796" s="53" t="s">
        <v>52</v>
      </c>
      <c r="N1796" s="62" t="s">
        <v>8185</v>
      </c>
      <c r="O1796" s="62" t="s">
        <v>44</v>
      </c>
      <c r="P1796" s="62" t="s">
        <v>8201</v>
      </c>
      <c r="Q1796" s="62" t="s">
        <v>8202</v>
      </c>
      <c r="R1796" s="53"/>
      <c r="S1796" s="53"/>
      <c r="T1796" s="82"/>
      <c r="U1796" s="42"/>
      <c r="V1796" s="62"/>
      <c r="W1796" s="64"/>
      <c r="X1796" s="223"/>
      <c r="Y1796" s="223"/>
      <c r="Z1796" s="223"/>
      <c r="AA1796" s="223"/>
    </row>
    <row r="1797">
      <c r="A1797" s="42">
        <f t="shared" si="3"/>
        <v>1796</v>
      </c>
      <c r="B1797" s="51" t="s">
        <v>41</v>
      </c>
      <c r="C1797" s="53" t="s">
        <v>8203</v>
      </c>
      <c r="D1797" s="42" t="s">
        <v>44</v>
      </c>
      <c r="E1797" s="42" t="s">
        <v>44</v>
      </c>
      <c r="F1797" s="53" t="s">
        <v>8168</v>
      </c>
      <c r="G1797" s="53" t="s">
        <v>47</v>
      </c>
      <c r="H1797" s="53" t="s">
        <v>95</v>
      </c>
      <c r="I1797" s="53" t="s">
        <v>401</v>
      </c>
      <c r="J1797" s="53" t="s">
        <v>8169</v>
      </c>
      <c r="K1797" s="53" t="s">
        <v>1615</v>
      </c>
      <c r="L1797" s="53" t="s">
        <v>52</v>
      </c>
      <c r="M1797" s="53" t="s">
        <v>52</v>
      </c>
      <c r="N1797" s="62" t="s">
        <v>8185</v>
      </c>
      <c r="O1797" s="62" t="s">
        <v>44</v>
      </c>
      <c r="P1797" s="62" t="s">
        <v>8204</v>
      </c>
      <c r="Q1797" s="62" t="s">
        <v>8205</v>
      </c>
      <c r="R1797" s="53"/>
      <c r="S1797" s="53"/>
      <c r="T1797" s="82"/>
      <c r="U1797" s="42"/>
      <c r="V1797" s="62"/>
      <c r="W1797" s="64"/>
      <c r="X1797" s="223"/>
      <c r="Y1797" s="223"/>
      <c r="Z1797" s="223"/>
      <c r="AA1797" s="223"/>
    </row>
    <row r="1798">
      <c r="A1798" s="42">
        <f t="shared" si="3"/>
        <v>1797</v>
      </c>
      <c r="B1798" s="51" t="s">
        <v>41</v>
      </c>
      <c r="C1798" s="53" t="s">
        <v>8206</v>
      </c>
      <c r="D1798" s="42" t="s">
        <v>44</v>
      </c>
      <c r="E1798" s="42" t="s">
        <v>44</v>
      </c>
      <c r="F1798" s="53" t="s">
        <v>8168</v>
      </c>
      <c r="G1798" s="53" t="s">
        <v>47</v>
      </c>
      <c r="H1798" s="53" t="s">
        <v>95</v>
      </c>
      <c r="I1798" s="53" t="s">
        <v>401</v>
      </c>
      <c r="J1798" s="53" t="s">
        <v>8169</v>
      </c>
      <c r="K1798" s="53" t="s">
        <v>1615</v>
      </c>
      <c r="L1798" s="53" t="s">
        <v>52</v>
      </c>
      <c r="M1798" s="53" t="s">
        <v>52</v>
      </c>
      <c r="N1798" s="62" t="s">
        <v>8185</v>
      </c>
      <c r="O1798" s="62" t="s">
        <v>44</v>
      </c>
      <c r="P1798" s="62" t="s">
        <v>8207</v>
      </c>
      <c r="Q1798" s="62" t="s">
        <v>8208</v>
      </c>
      <c r="R1798" s="53"/>
      <c r="S1798" s="53"/>
      <c r="T1798" s="82"/>
      <c r="U1798" s="42"/>
      <c r="V1798" s="62"/>
      <c r="W1798" s="64"/>
      <c r="X1798" s="223"/>
      <c r="Y1798" s="223"/>
      <c r="Z1798" s="223"/>
      <c r="AA1798" s="223"/>
    </row>
    <row r="1799">
      <c r="A1799" s="42">
        <f t="shared" si="3"/>
        <v>1798</v>
      </c>
      <c r="B1799" s="51" t="s">
        <v>41</v>
      </c>
      <c r="C1799" s="53" t="s">
        <v>8209</v>
      </c>
      <c r="D1799" s="42" t="s">
        <v>44</v>
      </c>
      <c r="E1799" s="42" t="s">
        <v>44</v>
      </c>
      <c r="F1799" s="53" t="s">
        <v>8168</v>
      </c>
      <c r="G1799" s="53" t="s">
        <v>47</v>
      </c>
      <c r="H1799" s="53" t="s">
        <v>95</v>
      </c>
      <c r="I1799" s="53" t="s">
        <v>401</v>
      </c>
      <c r="J1799" s="53" t="s">
        <v>8169</v>
      </c>
      <c r="K1799" s="53" t="s">
        <v>1615</v>
      </c>
      <c r="L1799" s="53" t="s">
        <v>52</v>
      </c>
      <c r="M1799" s="53" t="s">
        <v>52</v>
      </c>
      <c r="N1799" s="62" t="s">
        <v>8185</v>
      </c>
      <c r="O1799" s="62" t="s">
        <v>44</v>
      </c>
      <c r="P1799" s="62" t="s">
        <v>8210</v>
      </c>
      <c r="Q1799" s="62" t="s">
        <v>8211</v>
      </c>
      <c r="R1799" s="53"/>
      <c r="S1799" s="53"/>
      <c r="T1799" s="82"/>
      <c r="U1799" s="42"/>
      <c r="V1799" s="62"/>
      <c r="W1799" s="64"/>
      <c r="X1799" s="223"/>
      <c r="Y1799" s="223"/>
      <c r="Z1799" s="223"/>
      <c r="AA1799" s="223"/>
    </row>
    <row r="1800">
      <c r="A1800" s="42">
        <f t="shared" si="3"/>
        <v>1799</v>
      </c>
      <c r="B1800" s="51" t="s">
        <v>41</v>
      </c>
      <c r="C1800" s="53" t="s">
        <v>8212</v>
      </c>
      <c r="D1800" s="42" t="s">
        <v>44</v>
      </c>
      <c r="E1800" s="42" t="s">
        <v>44</v>
      </c>
      <c r="F1800" s="53" t="s">
        <v>8168</v>
      </c>
      <c r="G1800" s="53" t="s">
        <v>85</v>
      </c>
      <c r="H1800" s="53" t="s">
        <v>86</v>
      </c>
      <c r="I1800" s="53" t="s">
        <v>401</v>
      </c>
      <c r="J1800" s="53" t="s">
        <v>8169</v>
      </c>
      <c r="K1800" s="53" t="s">
        <v>1615</v>
      </c>
      <c r="L1800" s="53" t="s">
        <v>52</v>
      </c>
      <c r="M1800" s="53" t="s">
        <v>52</v>
      </c>
      <c r="N1800" s="62" t="s">
        <v>8185</v>
      </c>
      <c r="O1800" s="62" t="s">
        <v>44</v>
      </c>
      <c r="P1800" s="62" t="s">
        <v>8213</v>
      </c>
      <c r="Q1800" s="62" t="s">
        <v>8154</v>
      </c>
      <c r="R1800" s="53"/>
      <c r="S1800" s="53"/>
      <c r="T1800" s="82"/>
      <c r="U1800" s="42"/>
      <c r="V1800" s="62"/>
      <c r="W1800" s="64"/>
      <c r="X1800" s="223"/>
      <c r="Y1800" s="223"/>
      <c r="Z1800" s="223"/>
      <c r="AA1800" s="223"/>
    </row>
    <row r="1801">
      <c r="A1801" s="42">
        <f t="shared" si="3"/>
        <v>1800</v>
      </c>
      <c r="B1801" s="51" t="s">
        <v>41</v>
      </c>
      <c r="C1801" s="53" t="s">
        <v>8214</v>
      </c>
      <c r="D1801" s="42" t="s">
        <v>44</v>
      </c>
      <c r="E1801" s="42" t="s">
        <v>44</v>
      </c>
      <c r="F1801" s="53" t="s">
        <v>8168</v>
      </c>
      <c r="G1801" s="53" t="s">
        <v>47</v>
      </c>
      <c r="H1801" s="53" t="s">
        <v>48</v>
      </c>
      <c r="I1801" s="53" t="s">
        <v>401</v>
      </c>
      <c r="J1801" s="53" t="s">
        <v>8169</v>
      </c>
      <c r="K1801" s="53" t="s">
        <v>1615</v>
      </c>
      <c r="L1801" s="53" t="s">
        <v>52</v>
      </c>
      <c r="M1801" s="53" t="s">
        <v>52</v>
      </c>
      <c r="N1801" s="62" t="s">
        <v>8185</v>
      </c>
      <c r="O1801" s="62" t="s">
        <v>44</v>
      </c>
      <c r="P1801" s="62" t="s">
        <v>8215</v>
      </c>
      <c r="Q1801" s="62" t="s">
        <v>8216</v>
      </c>
      <c r="R1801" s="53"/>
      <c r="S1801" s="53"/>
      <c r="T1801" s="82"/>
      <c r="U1801" s="42"/>
      <c r="V1801" s="62"/>
      <c r="W1801" s="64"/>
      <c r="X1801" s="223"/>
      <c r="Y1801" s="223"/>
      <c r="Z1801" s="223"/>
      <c r="AA1801" s="223"/>
    </row>
    <row r="1802">
      <c r="A1802" s="42">
        <f t="shared" si="3"/>
        <v>1801</v>
      </c>
      <c r="B1802" s="51" t="s">
        <v>41</v>
      </c>
      <c r="C1802" s="53" t="s">
        <v>8217</v>
      </c>
      <c r="D1802" s="42" t="s">
        <v>44</v>
      </c>
      <c r="E1802" s="42" t="s">
        <v>44</v>
      </c>
      <c r="F1802" s="53" t="s">
        <v>8168</v>
      </c>
      <c r="G1802" s="53" t="s">
        <v>47</v>
      </c>
      <c r="H1802" s="53" t="s">
        <v>48</v>
      </c>
      <c r="I1802" s="53" t="s">
        <v>401</v>
      </c>
      <c r="J1802" s="53" t="s">
        <v>8169</v>
      </c>
      <c r="K1802" s="53" t="s">
        <v>1615</v>
      </c>
      <c r="L1802" s="53" t="s">
        <v>52</v>
      </c>
      <c r="M1802" s="53" t="s">
        <v>52</v>
      </c>
      <c r="N1802" s="62" t="s">
        <v>8218</v>
      </c>
      <c r="O1802" s="62" t="s">
        <v>44</v>
      </c>
      <c r="P1802" s="62" t="s">
        <v>8219</v>
      </c>
      <c r="Q1802" s="62" t="s">
        <v>8220</v>
      </c>
      <c r="R1802" s="53"/>
      <c r="S1802" s="53"/>
      <c r="T1802" s="82"/>
      <c r="U1802" s="42"/>
      <c r="V1802" s="62"/>
      <c r="W1802" s="64"/>
      <c r="X1802" s="223"/>
      <c r="Y1802" s="223"/>
      <c r="Z1802" s="223"/>
      <c r="AA1802" s="223"/>
    </row>
    <row r="1803">
      <c r="A1803" s="42">
        <f t="shared" si="3"/>
        <v>1802</v>
      </c>
      <c r="B1803" s="51" t="s">
        <v>41</v>
      </c>
      <c r="C1803" s="53" t="s">
        <v>8221</v>
      </c>
      <c r="D1803" s="42" t="s">
        <v>44</v>
      </c>
      <c r="E1803" s="42" t="s">
        <v>44</v>
      </c>
      <c r="F1803" s="53" t="s">
        <v>8168</v>
      </c>
      <c r="G1803" s="53" t="s">
        <v>47</v>
      </c>
      <c r="H1803" s="53" t="s">
        <v>95</v>
      </c>
      <c r="I1803" s="53" t="s">
        <v>401</v>
      </c>
      <c r="J1803" s="53" t="s">
        <v>8169</v>
      </c>
      <c r="K1803" s="53" t="s">
        <v>1615</v>
      </c>
      <c r="L1803" s="53" t="s">
        <v>52</v>
      </c>
      <c r="M1803" s="53" t="s">
        <v>52</v>
      </c>
      <c r="N1803" s="62" t="s">
        <v>8222</v>
      </c>
      <c r="O1803" s="62" t="s">
        <v>44</v>
      </c>
      <c r="P1803" s="62" t="s">
        <v>8223</v>
      </c>
      <c r="Q1803" s="62" t="s">
        <v>8224</v>
      </c>
      <c r="R1803" s="53"/>
      <c r="S1803" s="53"/>
      <c r="T1803" s="82"/>
      <c r="U1803" s="42"/>
      <c r="V1803" s="62"/>
      <c r="W1803" s="64"/>
      <c r="X1803" s="223"/>
      <c r="Y1803" s="223"/>
      <c r="Z1803" s="223"/>
      <c r="AA1803" s="223"/>
    </row>
    <row r="1804">
      <c r="A1804" s="42">
        <f t="shared" si="3"/>
        <v>1803</v>
      </c>
      <c r="B1804" s="51" t="s">
        <v>41</v>
      </c>
      <c r="C1804" s="53" t="s">
        <v>8225</v>
      </c>
      <c r="D1804" s="42" t="s">
        <v>44</v>
      </c>
      <c r="E1804" s="42" t="s">
        <v>44</v>
      </c>
      <c r="F1804" s="53" t="s">
        <v>8168</v>
      </c>
      <c r="G1804" s="53" t="s">
        <v>197</v>
      </c>
      <c r="H1804" s="53" t="s">
        <v>112</v>
      </c>
      <c r="I1804" s="53" t="s">
        <v>401</v>
      </c>
      <c r="J1804" s="53" t="s">
        <v>8169</v>
      </c>
      <c r="K1804" s="53" t="s">
        <v>1615</v>
      </c>
      <c r="L1804" s="53" t="s">
        <v>52</v>
      </c>
      <c r="M1804" s="53" t="s">
        <v>52</v>
      </c>
      <c r="N1804" s="62" t="s">
        <v>8222</v>
      </c>
      <c r="O1804" s="62" t="s">
        <v>44</v>
      </c>
      <c r="P1804" s="62" t="s">
        <v>8226</v>
      </c>
      <c r="Q1804" s="62" t="s">
        <v>8227</v>
      </c>
      <c r="R1804" s="53"/>
      <c r="S1804" s="53"/>
      <c r="T1804" s="82"/>
      <c r="U1804" s="42"/>
      <c r="V1804" s="62"/>
      <c r="W1804" s="64"/>
      <c r="X1804" s="223"/>
      <c r="Y1804" s="223"/>
      <c r="Z1804" s="223"/>
      <c r="AA1804" s="223"/>
    </row>
    <row r="1805">
      <c r="A1805" s="42">
        <f t="shared" si="3"/>
        <v>1804</v>
      </c>
      <c r="B1805" s="51" t="s">
        <v>41</v>
      </c>
      <c r="C1805" s="53" t="s">
        <v>8228</v>
      </c>
      <c r="D1805" s="42" t="s">
        <v>44</v>
      </c>
      <c r="E1805" s="42" t="s">
        <v>44</v>
      </c>
      <c r="F1805" s="53" t="s">
        <v>8168</v>
      </c>
      <c r="G1805" s="53" t="s">
        <v>197</v>
      </c>
      <c r="H1805" s="53" t="s">
        <v>198</v>
      </c>
      <c r="I1805" s="53" t="s">
        <v>401</v>
      </c>
      <c r="J1805" s="53" t="s">
        <v>8169</v>
      </c>
      <c r="K1805" s="53" t="s">
        <v>1615</v>
      </c>
      <c r="L1805" s="53" t="s">
        <v>52</v>
      </c>
      <c r="M1805" s="53" t="s">
        <v>52</v>
      </c>
      <c r="N1805" s="62" t="s">
        <v>8222</v>
      </c>
      <c r="O1805" s="62" t="s">
        <v>44</v>
      </c>
      <c r="P1805" s="62" t="s">
        <v>8229</v>
      </c>
      <c r="Q1805" s="62" t="s">
        <v>8230</v>
      </c>
      <c r="R1805" s="53"/>
      <c r="S1805" s="53"/>
      <c r="T1805" s="82"/>
      <c r="U1805" s="42"/>
      <c r="V1805" s="62"/>
      <c r="W1805" s="64"/>
      <c r="X1805" s="223"/>
      <c r="Y1805" s="223"/>
      <c r="Z1805" s="223"/>
      <c r="AA1805" s="223"/>
    </row>
    <row r="1806">
      <c r="A1806" s="42">
        <f t="shared" si="3"/>
        <v>1805</v>
      </c>
      <c r="B1806" s="51" t="s">
        <v>41</v>
      </c>
      <c r="C1806" s="53" t="s">
        <v>8231</v>
      </c>
      <c r="D1806" s="42" t="s">
        <v>44</v>
      </c>
      <c r="E1806" s="42" t="s">
        <v>44</v>
      </c>
      <c r="F1806" s="53" t="s">
        <v>8168</v>
      </c>
      <c r="G1806" s="53" t="s">
        <v>47</v>
      </c>
      <c r="H1806" s="53" t="s">
        <v>48</v>
      </c>
      <c r="I1806" s="53" t="s">
        <v>401</v>
      </c>
      <c r="J1806" s="53" t="s">
        <v>8169</v>
      </c>
      <c r="K1806" s="53" t="s">
        <v>1615</v>
      </c>
      <c r="L1806" s="53" t="s">
        <v>52</v>
      </c>
      <c r="M1806" s="53" t="s">
        <v>52</v>
      </c>
      <c r="N1806" s="62" t="s">
        <v>8232</v>
      </c>
      <c r="O1806" s="62" t="s">
        <v>44</v>
      </c>
      <c r="P1806" s="62" t="s">
        <v>7601</v>
      </c>
      <c r="Q1806" s="62" t="s">
        <v>6848</v>
      </c>
      <c r="R1806" s="53"/>
      <c r="S1806" s="53"/>
      <c r="T1806" s="82"/>
      <c r="U1806" s="42"/>
      <c r="V1806" s="62"/>
      <c r="W1806" s="64"/>
      <c r="X1806" s="223"/>
      <c r="Y1806" s="223"/>
      <c r="Z1806" s="223"/>
      <c r="AA1806" s="223"/>
    </row>
    <row r="1807">
      <c r="A1807" s="42">
        <f t="shared" si="3"/>
        <v>1806</v>
      </c>
      <c r="B1807" s="51" t="s">
        <v>41</v>
      </c>
      <c r="C1807" s="53" t="s">
        <v>8233</v>
      </c>
      <c r="D1807" s="42" t="s">
        <v>44</v>
      </c>
      <c r="E1807" s="42" t="s">
        <v>44</v>
      </c>
      <c r="F1807" s="53" t="s">
        <v>8168</v>
      </c>
      <c r="G1807" s="53" t="s">
        <v>47</v>
      </c>
      <c r="H1807" s="53" t="s">
        <v>48</v>
      </c>
      <c r="I1807" s="53" t="s">
        <v>401</v>
      </c>
      <c r="J1807" s="53" t="s">
        <v>8169</v>
      </c>
      <c r="K1807" s="53" t="s">
        <v>1615</v>
      </c>
      <c r="L1807" s="53" t="s">
        <v>52</v>
      </c>
      <c r="M1807" s="53" t="s">
        <v>52</v>
      </c>
      <c r="N1807" s="62" t="s">
        <v>8232</v>
      </c>
      <c r="O1807" s="62" t="s">
        <v>44</v>
      </c>
      <c r="P1807" s="62" t="s">
        <v>6785</v>
      </c>
      <c r="Q1807" s="62" t="s">
        <v>8234</v>
      </c>
      <c r="R1807" s="53"/>
      <c r="S1807" s="53"/>
      <c r="T1807" s="82"/>
      <c r="U1807" s="42"/>
      <c r="V1807" s="62"/>
      <c r="W1807" s="64"/>
      <c r="X1807" s="223"/>
      <c r="Y1807" s="223"/>
      <c r="Z1807" s="223"/>
      <c r="AA1807" s="223"/>
    </row>
    <row r="1808">
      <c r="A1808" s="42">
        <f t="shared" si="3"/>
        <v>1807</v>
      </c>
      <c r="B1808" s="51" t="s">
        <v>41</v>
      </c>
      <c r="C1808" s="53" t="s">
        <v>8235</v>
      </c>
      <c r="D1808" s="42" t="s">
        <v>44</v>
      </c>
      <c r="E1808" s="42" t="s">
        <v>44</v>
      </c>
      <c r="F1808" s="53" t="s">
        <v>8168</v>
      </c>
      <c r="G1808" s="53" t="s">
        <v>47</v>
      </c>
      <c r="H1808" s="53" t="s">
        <v>48</v>
      </c>
      <c r="I1808" s="53" t="s">
        <v>401</v>
      </c>
      <c r="J1808" s="53" t="s">
        <v>8169</v>
      </c>
      <c r="K1808" s="53" t="s">
        <v>1615</v>
      </c>
      <c r="L1808" s="53" t="s">
        <v>52</v>
      </c>
      <c r="M1808" s="53" t="s">
        <v>52</v>
      </c>
      <c r="N1808" s="62" t="s">
        <v>8236</v>
      </c>
      <c r="O1808" s="62" t="s">
        <v>44</v>
      </c>
      <c r="P1808" s="62" t="s">
        <v>7543</v>
      </c>
      <c r="Q1808" s="62" t="s">
        <v>8237</v>
      </c>
      <c r="R1808" s="53"/>
      <c r="S1808" s="53"/>
      <c r="T1808" s="82"/>
      <c r="U1808" s="42"/>
      <c r="V1808" s="62"/>
      <c r="W1808" s="64"/>
      <c r="X1808" s="223"/>
      <c r="Y1808" s="223"/>
      <c r="Z1808" s="223"/>
      <c r="AA1808" s="223"/>
    </row>
    <row r="1809">
      <c r="A1809" s="42">
        <f t="shared" si="3"/>
        <v>1808</v>
      </c>
      <c r="B1809" s="51" t="s">
        <v>41</v>
      </c>
      <c r="C1809" s="53" t="s">
        <v>8238</v>
      </c>
      <c r="D1809" s="42" t="s">
        <v>44</v>
      </c>
      <c r="E1809" s="42" t="s">
        <v>44</v>
      </c>
      <c r="F1809" s="53" t="s">
        <v>8168</v>
      </c>
      <c r="G1809" s="53" t="s">
        <v>47</v>
      </c>
      <c r="H1809" s="53" t="s">
        <v>48</v>
      </c>
      <c r="I1809" s="53" t="s">
        <v>401</v>
      </c>
      <c r="J1809" s="53" t="s">
        <v>8169</v>
      </c>
      <c r="K1809" s="53" t="s">
        <v>1615</v>
      </c>
      <c r="L1809" s="53" t="s">
        <v>52</v>
      </c>
      <c r="M1809" s="53" t="s">
        <v>52</v>
      </c>
      <c r="N1809" s="62" t="s">
        <v>8236</v>
      </c>
      <c r="O1809" s="62" t="s">
        <v>44</v>
      </c>
      <c r="P1809" s="62" t="s">
        <v>7546</v>
      </c>
      <c r="Q1809" s="62" t="s">
        <v>8239</v>
      </c>
      <c r="R1809" s="53"/>
      <c r="S1809" s="53"/>
      <c r="T1809" s="82"/>
      <c r="U1809" s="42"/>
      <c r="V1809" s="62"/>
      <c r="W1809" s="64"/>
      <c r="X1809" s="223"/>
      <c r="Y1809" s="223"/>
      <c r="Z1809" s="223"/>
      <c r="AA1809" s="223"/>
    </row>
    <row r="1810">
      <c r="A1810" s="42">
        <f t="shared" si="3"/>
        <v>1809</v>
      </c>
      <c r="B1810" s="51" t="s">
        <v>41</v>
      </c>
      <c r="C1810" s="53" t="s">
        <v>8240</v>
      </c>
      <c r="D1810" s="42" t="s">
        <v>44</v>
      </c>
      <c r="E1810" s="42" t="s">
        <v>44</v>
      </c>
      <c r="F1810" s="53" t="s">
        <v>8168</v>
      </c>
      <c r="G1810" s="53" t="s">
        <v>47</v>
      </c>
      <c r="H1810" s="53" t="s">
        <v>48</v>
      </c>
      <c r="I1810" s="53" t="s">
        <v>401</v>
      </c>
      <c r="J1810" s="53" t="s">
        <v>8169</v>
      </c>
      <c r="K1810" s="53" t="s">
        <v>1615</v>
      </c>
      <c r="L1810" s="53" t="s">
        <v>52</v>
      </c>
      <c r="M1810" s="53" t="s">
        <v>52</v>
      </c>
      <c r="N1810" s="62" t="s">
        <v>8236</v>
      </c>
      <c r="O1810" s="62" t="s">
        <v>44</v>
      </c>
      <c r="P1810" s="62" t="s">
        <v>7549</v>
      </c>
      <c r="Q1810" s="62" t="s">
        <v>8241</v>
      </c>
      <c r="R1810" s="53"/>
      <c r="S1810" s="53"/>
      <c r="T1810" s="82"/>
      <c r="U1810" s="42"/>
      <c r="V1810" s="62"/>
      <c r="W1810" s="64"/>
      <c r="X1810" s="223"/>
      <c r="Y1810" s="223"/>
      <c r="Z1810" s="223"/>
      <c r="AA1810" s="223"/>
    </row>
    <row r="1811">
      <c r="A1811" s="42">
        <f t="shared" si="3"/>
        <v>1810</v>
      </c>
      <c r="B1811" s="51" t="s">
        <v>41</v>
      </c>
      <c r="C1811" s="53" t="s">
        <v>8242</v>
      </c>
      <c r="D1811" s="42" t="s">
        <v>44</v>
      </c>
      <c r="E1811" s="42" t="s">
        <v>44</v>
      </c>
      <c r="F1811" s="53" t="s">
        <v>8168</v>
      </c>
      <c r="G1811" s="53" t="s">
        <v>47</v>
      </c>
      <c r="H1811" s="53" t="s">
        <v>48</v>
      </c>
      <c r="I1811" s="53" t="s">
        <v>401</v>
      </c>
      <c r="J1811" s="53" t="s">
        <v>8169</v>
      </c>
      <c r="K1811" s="53" t="s">
        <v>1615</v>
      </c>
      <c r="L1811" s="53" t="s">
        <v>52</v>
      </c>
      <c r="M1811" s="53" t="s">
        <v>52</v>
      </c>
      <c r="N1811" s="62" t="s">
        <v>8236</v>
      </c>
      <c r="O1811" s="62" t="s">
        <v>44</v>
      </c>
      <c r="P1811" s="62" t="s">
        <v>8243</v>
      </c>
      <c r="Q1811" s="62" t="s">
        <v>8244</v>
      </c>
      <c r="R1811" s="53"/>
      <c r="S1811" s="53"/>
      <c r="T1811" s="82"/>
      <c r="U1811" s="42"/>
      <c r="V1811" s="62"/>
      <c r="W1811" s="64"/>
      <c r="X1811" s="223"/>
      <c r="Y1811" s="223"/>
      <c r="Z1811" s="223"/>
      <c r="AA1811" s="223"/>
    </row>
    <row r="1812">
      <c r="A1812" s="42">
        <f t="shared" si="3"/>
        <v>1811</v>
      </c>
      <c r="B1812" s="51" t="s">
        <v>41</v>
      </c>
      <c r="C1812" s="53" t="s">
        <v>8245</v>
      </c>
      <c r="D1812" s="42" t="s">
        <v>44</v>
      </c>
      <c r="E1812" s="42" t="s">
        <v>44</v>
      </c>
      <c r="F1812" s="53" t="s">
        <v>8168</v>
      </c>
      <c r="G1812" s="53" t="s">
        <v>47</v>
      </c>
      <c r="H1812" s="53" t="s">
        <v>48</v>
      </c>
      <c r="I1812" s="53" t="s">
        <v>401</v>
      </c>
      <c r="J1812" s="53" t="s">
        <v>8169</v>
      </c>
      <c r="K1812" s="53" t="s">
        <v>1615</v>
      </c>
      <c r="L1812" s="53" t="s">
        <v>52</v>
      </c>
      <c r="M1812" s="53" t="s">
        <v>52</v>
      </c>
      <c r="N1812" s="62" t="s">
        <v>8236</v>
      </c>
      <c r="O1812" s="62" t="s">
        <v>44</v>
      </c>
      <c r="P1812" s="62" t="s">
        <v>7552</v>
      </c>
      <c r="Q1812" s="62" t="s">
        <v>8246</v>
      </c>
      <c r="R1812" s="53"/>
      <c r="S1812" s="53"/>
      <c r="T1812" s="82"/>
      <c r="U1812" s="42"/>
      <c r="V1812" s="62"/>
      <c r="W1812" s="64"/>
      <c r="X1812" s="223"/>
      <c r="Y1812" s="223"/>
      <c r="Z1812" s="223"/>
      <c r="AA1812" s="223"/>
    </row>
    <row r="1813">
      <c r="A1813" s="42">
        <f t="shared" si="3"/>
        <v>1812</v>
      </c>
      <c r="B1813" s="51" t="s">
        <v>41</v>
      </c>
      <c r="C1813" s="53" t="s">
        <v>8247</v>
      </c>
      <c r="D1813" s="42" t="s">
        <v>44</v>
      </c>
      <c r="E1813" s="42" t="s">
        <v>44</v>
      </c>
      <c r="F1813" s="53" t="s">
        <v>8168</v>
      </c>
      <c r="G1813" s="53" t="s">
        <v>47</v>
      </c>
      <c r="H1813" s="53" t="s">
        <v>95</v>
      </c>
      <c r="I1813" s="53" t="s">
        <v>401</v>
      </c>
      <c r="J1813" s="53" t="s">
        <v>8169</v>
      </c>
      <c r="K1813" s="53" t="s">
        <v>1615</v>
      </c>
      <c r="L1813" s="53" t="s">
        <v>52</v>
      </c>
      <c r="M1813" s="53" t="s">
        <v>52</v>
      </c>
      <c r="N1813" s="62" t="s">
        <v>8236</v>
      </c>
      <c r="O1813" s="62" t="s">
        <v>44</v>
      </c>
      <c r="P1813" s="62" t="s">
        <v>8248</v>
      </c>
      <c r="Q1813" s="62" t="s">
        <v>8249</v>
      </c>
      <c r="R1813" s="53"/>
      <c r="S1813" s="53"/>
      <c r="T1813" s="82"/>
      <c r="U1813" s="42"/>
      <c r="V1813" s="62"/>
      <c r="W1813" s="64"/>
      <c r="X1813" s="223"/>
      <c r="Y1813" s="223"/>
      <c r="Z1813" s="223"/>
      <c r="AA1813" s="223"/>
    </row>
    <row r="1814">
      <c r="A1814" s="42">
        <f t="shared" si="3"/>
        <v>1813</v>
      </c>
      <c r="B1814" s="51" t="s">
        <v>41</v>
      </c>
      <c r="C1814" s="53" t="s">
        <v>8250</v>
      </c>
      <c r="D1814" s="42" t="s">
        <v>44</v>
      </c>
      <c r="E1814" s="42" t="s">
        <v>44</v>
      </c>
      <c r="F1814" s="53" t="s">
        <v>8168</v>
      </c>
      <c r="G1814" s="53" t="s">
        <v>85</v>
      </c>
      <c r="H1814" s="53" t="s">
        <v>86</v>
      </c>
      <c r="I1814" s="53" t="s">
        <v>401</v>
      </c>
      <c r="J1814" s="53" t="s">
        <v>8169</v>
      </c>
      <c r="K1814" s="53" t="s">
        <v>1615</v>
      </c>
      <c r="L1814" s="53" t="s">
        <v>52</v>
      </c>
      <c r="M1814" s="53" t="s">
        <v>52</v>
      </c>
      <c r="N1814" s="62" t="s">
        <v>8232</v>
      </c>
      <c r="O1814" s="62" t="s">
        <v>44</v>
      </c>
      <c r="P1814" s="62" t="s">
        <v>8251</v>
      </c>
      <c r="Q1814" s="62" t="s">
        <v>8252</v>
      </c>
      <c r="R1814" s="53"/>
      <c r="S1814" s="53"/>
      <c r="T1814" s="82"/>
      <c r="U1814" s="42"/>
      <c r="V1814" s="62"/>
      <c r="W1814" s="64"/>
      <c r="X1814" s="223"/>
      <c r="Y1814" s="223"/>
      <c r="Z1814" s="223"/>
      <c r="AA1814" s="223"/>
    </row>
    <row r="1815">
      <c r="A1815" s="42">
        <f t="shared" si="3"/>
        <v>1814</v>
      </c>
      <c r="B1815" s="51" t="s">
        <v>41</v>
      </c>
      <c r="C1815" s="53" t="s">
        <v>8253</v>
      </c>
      <c r="D1815" s="42" t="s">
        <v>44</v>
      </c>
      <c r="E1815" s="42" t="s">
        <v>44</v>
      </c>
      <c r="F1815" s="53" t="s">
        <v>8254</v>
      </c>
      <c r="G1815" s="53" t="s">
        <v>111</v>
      </c>
      <c r="H1815" s="53" t="s">
        <v>112</v>
      </c>
      <c r="I1815" s="53" t="s">
        <v>401</v>
      </c>
      <c r="J1815" s="53" t="s">
        <v>8255</v>
      </c>
      <c r="K1815" s="53" t="s">
        <v>3753</v>
      </c>
      <c r="L1815" s="53" t="s">
        <v>52</v>
      </c>
      <c r="M1815" s="53" t="s">
        <v>52</v>
      </c>
      <c r="N1815" s="62" t="s">
        <v>8256</v>
      </c>
      <c r="O1815" s="62" t="s">
        <v>44</v>
      </c>
      <c r="P1815" s="62" t="s">
        <v>6399</v>
      </c>
      <c r="Q1815" s="62" t="s">
        <v>8257</v>
      </c>
      <c r="R1815" s="53"/>
      <c r="S1815" s="53"/>
      <c r="T1815" s="82"/>
      <c r="U1815" s="42"/>
      <c r="V1815" s="62"/>
      <c r="W1815" s="64"/>
      <c r="X1815" s="223"/>
      <c r="Y1815" s="223"/>
      <c r="Z1815" s="223"/>
      <c r="AA1815" s="223"/>
    </row>
    <row r="1816">
      <c r="A1816" s="42">
        <f t="shared" si="3"/>
        <v>1815</v>
      </c>
      <c r="B1816" s="51" t="s">
        <v>41</v>
      </c>
      <c r="C1816" s="53" t="s">
        <v>8258</v>
      </c>
      <c r="D1816" s="42" t="s">
        <v>44</v>
      </c>
      <c r="E1816" s="42" t="s">
        <v>44</v>
      </c>
      <c r="F1816" s="53" t="s">
        <v>8254</v>
      </c>
      <c r="G1816" s="53" t="s">
        <v>47</v>
      </c>
      <c r="H1816" s="53" t="s">
        <v>48</v>
      </c>
      <c r="I1816" s="53" t="s">
        <v>401</v>
      </c>
      <c r="J1816" s="53" t="s">
        <v>8255</v>
      </c>
      <c r="K1816" s="53" t="s">
        <v>3753</v>
      </c>
      <c r="L1816" s="53" t="s">
        <v>52</v>
      </c>
      <c r="M1816" s="53" t="s">
        <v>52</v>
      </c>
      <c r="N1816" s="62" t="s">
        <v>8256</v>
      </c>
      <c r="O1816" s="62" t="s">
        <v>44</v>
      </c>
      <c r="P1816" s="62" t="s">
        <v>5384</v>
      </c>
      <c r="Q1816" s="62" t="s">
        <v>8259</v>
      </c>
      <c r="R1816" s="53"/>
      <c r="S1816" s="53"/>
      <c r="T1816" s="82"/>
      <c r="U1816" s="42"/>
      <c r="V1816" s="62"/>
      <c r="W1816" s="64"/>
      <c r="X1816" s="223"/>
      <c r="Y1816" s="223"/>
      <c r="Z1816" s="223"/>
      <c r="AA1816" s="223"/>
    </row>
    <row r="1817">
      <c r="A1817" s="42">
        <f t="shared" si="3"/>
        <v>1816</v>
      </c>
      <c r="B1817" s="51" t="s">
        <v>41</v>
      </c>
      <c r="C1817" s="53" t="s">
        <v>8260</v>
      </c>
      <c r="D1817" s="42" t="s">
        <v>44</v>
      </c>
      <c r="E1817" s="42" t="s">
        <v>44</v>
      </c>
      <c r="F1817" s="53" t="s">
        <v>8254</v>
      </c>
      <c r="G1817" s="53" t="s">
        <v>47</v>
      </c>
      <c r="H1817" s="53" t="s">
        <v>48</v>
      </c>
      <c r="I1817" s="53" t="s">
        <v>401</v>
      </c>
      <c r="J1817" s="53" t="s">
        <v>8255</v>
      </c>
      <c r="K1817" s="53" t="s">
        <v>3753</v>
      </c>
      <c r="L1817" s="53" t="s">
        <v>52</v>
      </c>
      <c r="M1817" s="53" t="s">
        <v>52</v>
      </c>
      <c r="N1817" s="62" t="s">
        <v>8256</v>
      </c>
      <c r="O1817" s="62" t="s">
        <v>44</v>
      </c>
      <c r="P1817" s="62" t="s">
        <v>5389</v>
      </c>
      <c r="Q1817" s="62" t="s">
        <v>8261</v>
      </c>
      <c r="R1817" s="53"/>
      <c r="S1817" s="53"/>
      <c r="T1817" s="82"/>
      <c r="U1817" s="42"/>
      <c r="V1817" s="62"/>
      <c r="W1817" s="64"/>
      <c r="X1817" s="223"/>
      <c r="Y1817" s="223"/>
      <c r="Z1817" s="223"/>
      <c r="AA1817" s="223"/>
    </row>
    <row r="1818">
      <c r="A1818" s="42">
        <f t="shared" si="3"/>
        <v>1817</v>
      </c>
      <c r="B1818" s="51" t="s">
        <v>41</v>
      </c>
      <c r="C1818" s="53" t="s">
        <v>8262</v>
      </c>
      <c r="D1818" s="42" t="s">
        <v>44</v>
      </c>
      <c r="E1818" s="42" t="s">
        <v>44</v>
      </c>
      <c r="F1818" s="53" t="s">
        <v>8254</v>
      </c>
      <c r="G1818" s="53" t="s">
        <v>47</v>
      </c>
      <c r="H1818" s="53" t="s">
        <v>48</v>
      </c>
      <c r="I1818" s="53" t="s">
        <v>401</v>
      </c>
      <c r="J1818" s="53" t="s">
        <v>8255</v>
      </c>
      <c r="K1818" s="53" t="s">
        <v>3753</v>
      </c>
      <c r="L1818" s="53" t="s">
        <v>52</v>
      </c>
      <c r="M1818" s="53" t="s">
        <v>52</v>
      </c>
      <c r="N1818" s="62" t="s">
        <v>8256</v>
      </c>
      <c r="O1818" s="62" t="s">
        <v>44</v>
      </c>
      <c r="P1818" s="62" t="s">
        <v>7324</v>
      </c>
      <c r="Q1818" s="62" t="s">
        <v>8263</v>
      </c>
      <c r="R1818" s="53"/>
      <c r="S1818" s="53"/>
      <c r="T1818" s="82"/>
      <c r="U1818" s="42"/>
      <c r="V1818" s="62"/>
      <c r="W1818" s="64"/>
      <c r="X1818" s="223"/>
      <c r="Y1818" s="223"/>
      <c r="Z1818" s="223"/>
      <c r="AA1818" s="223"/>
    </row>
    <row r="1819">
      <c r="A1819" s="42">
        <f t="shared" si="3"/>
        <v>1818</v>
      </c>
      <c r="B1819" s="51" t="s">
        <v>41</v>
      </c>
      <c r="C1819" s="53" t="s">
        <v>8264</v>
      </c>
      <c r="D1819" s="42" t="s">
        <v>44</v>
      </c>
      <c r="E1819" s="42" t="s">
        <v>44</v>
      </c>
      <c r="F1819" s="53" t="s">
        <v>8254</v>
      </c>
      <c r="G1819" s="53" t="s">
        <v>47</v>
      </c>
      <c r="H1819" s="53" t="s">
        <v>48</v>
      </c>
      <c r="I1819" s="53" t="s">
        <v>401</v>
      </c>
      <c r="J1819" s="53" t="s">
        <v>8255</v>
      </c>
      <c r="K1819" s="53" t="s">
        <v>3753</v>
      </c>
      <c r="L1819" s="53" t="s">
        <v>52</v>
      </c>
      <c r="M1819" s="53" t="s">
        <v>52</v>
      </c>
      <c r="N1819" s="62" t="s">
        <v>8256</v>
      </c>
      <c r="O1819" s="62" t="s">
        <v>44</v>
      </c>
      <c r="P1819" s="62" t="s">
        <v>6082</v>
      </c>
      <c r="Q1819" s="62" t="s">
        <v>7770</v>
      </c>
      <c r="R1819" s="53"/>
      <c r="S1819" s="53"/>
      <c r="T1819" s="82"/>
      <c r="U1819" s="42"/>
      <c r="V1819" s="62"/>
      <c r="W1819" s="64"/>
      <c r="X1819" s="223"/>
      <c r="Y1819" s="223"/>
      <c r="Z1819" s="223"/>
      <c r="AA1819" s="223"/>
    </row>
    <row r="1820">
      <c r="A1820" s="42">
        <f t="shared" si="3"/>
        <v>1819</v>
      </c>
      <c r="B1820" s="51" t="s">
        <v>41</v>
      </c>
      <c r="C1820" s="53" t="s">
        <v>8265</v>
      </c>
      <c r="D1820" s="42" t="s">
        <v>44</v>
      </c>
      <c r="E1820" s="42" t="s">
        <v>44</v>
      </c>
      <c r="F1820" s="53" t="s">
        <v>8254</v>
      </c>
      <c r="G1820" s="53" t="s">
        <v>47</v>
      </c>
      <c r="H1820" s="53" t="s">
        <v>48</v>
      </c>
      <c r="I1820" s="53" t="s">
        <v>401</v>
      </c>
      <c r="J1820" s="53" t="s">
        <v>8255</v>
      </c>
      <c r="K1820" s="53" t="s">
        <v>3753</v>
      </c>
      <c r="L1820" s="53" t="s">
        <v>52</v>
      </c>
      <c r="M1820" s="53" t="s">
        <v>52</v>
      </c>
      <c r="N1820" s="62" t="s">
        <v>8256</v>
      </c>
      <c r="O1820" s="62" t="s">
        <v>44</v>
      </c>
      <c r="P1820" s="62" t="s">
        <v>6085</v>
      </c>
      <c r="Q1820" s="62" t="s">
        <v>8177</v>
      </c>
      <c r="R1820" s="53"/>
      <c r="S1820" s="53"/>
      <c r="T1820" s="82"/>
      <c r="U1820" s="42"/>
      <c r="V1820" s="62"/>
      <c r="W1820" s="64"/>
      <c r="X1820" s="223"/>
      <c r="Y1820" s="223"/>
      <c r="Z1820" s="223"/>
      <c r="AA1820" s="223"/>
    </row>
    <row r="1821">
      <c r="A1821" s="42">
        <f t="shared" si="3"/>
        <v>1820</v>
      </c>
      <c r="B1821" s="51" t="s">
        <v>41</v>
      </c>
      <c r="C1821" s="53" t="s">
        <v>8266</v>
      </c>
      <c r="D1821" s="42" t="s">
        <v>44</v>
      </c>
      <c r="E1821" s="42" t="s">
        <v>44</v>
      </c>
      <c r="F1821" s="53" t="s">
        <v>8254</v>
      </c>
      <c r="G1821" s="53" t="s">
        <v>47</v>
      </c>
      <c r="H1821" s="53" t="s">
        <v>48</v>
      </c>
      <c r="I1821" s="53" t="s">
        <v>401</v>
      </c>
      <c r="J1821" s="53" t="s">
        <v>8255</v>
      </c>
      <c r="K1821" s="53" t="s">
        <v>3753</v>
      </c>
      <c r="L1821" s="53" t="s">
        <v>52</v>
      </c>
      <c r="M1821" s="53" t="s">
        <v>52</v>
      </c>
      <c r="N1821" s="62" t="s">
        <v>8267</v>
      </c>
      <c r="O1821" s="62" t="s">
        <v>44</v>
      </c>
      <c r="P1821" s="62" t="s">
        <v>6429</v>
      </c>
      <c r="Q1821" s="62" t="s">
        <v>7773</v>
      </c>
      <c r="R1821" s="53"/>
      <c r="S1821" s="53"/>
      <c r="T1821" s="82"/>
      <c r="U1821" s="42"/>
      <c r="V1821" s="62"/>
      <c r="W1821" s="64"/>
      <c r="X1821" s="223"/>
      <c r="Y1821" s="223"/>
      <c r="Z1821" s="223"/>
      <c r="AA1821" s="223"/>
    </row>
    <row r="1822">
      <c r="A1822" s="42">
        <f t="shared" si="3"/>
        <v>1821</v>
      </c>
      <c r="B1822" s="51" t="s">
        <v>41</v>
      </c>
      <c r="C1822" s="53" t="s">
        <v>8268</v>
      </c>
      <c r="D1822" s="42" t="s">
        <v>44</v>
      </c>
      <c r="E1822" s="42" t="s">
        <v>44</v>
      </c>
      <c r="F1822" s="53" t="s">
        <v>8254</v>
      </c>
      <c r="G1822" s="53" t="s">
        <v>47</v>
      </c>
      <c r="H1822" s="53" t="s">
        <v>48</v>
      </c>
      <c r="I1822" s="53" t="s">
        <v>401</v>
      </c>
      <c r="J1822" s="53" t="s">
        <v>8255</v>
      </c>
      <c r="K1822" s="53" t="s">
        <v>3753</v>
      </c>
      <c r="L1822" s="53" t="s">
        <v>52</v>
      </c>
      <c r="M1822" s="53" t="s">
        <v>52</v>
      </c>
      <c r="N1822" s="62" t="s">
        <v>8256</v>
      </c>
      <c r="O1822" s="62" t="s">
        <v>44</v>
      </c>
      <c r="P1822" s="62" t="s">
        <v>5448</v>
      </c>
      <c r="Q1822" s="62" t="s">
        <v>7775</v>
      </c>
      <c r="R1822" s="53"/>
      <c r="S1822" s="53"/>
      <c r="T1822" s="82"/>
      <c r="U1822" s="42"/>
      <c r="V1822" s="62"/>
      <c r="W1822" s="64"/>
      <c r="X1822" s="223"/>
      <c r="Y1822" s="223"/>
      <c r="Z1822" s="223"/>
      <c r="AA1822" s="223"/>
    </row>
    <row r="1823">
      <c r="A1823" s="42">
        <f t="shared" si="3"/>
        <v>1822</v>
      </c>
      <c r="B1823" s="51" t="s">
        <v>41</v>
      </c>
      <c r="C1823" s="53" t="s">
        <v>8269</v>
      </c>
      <c r="D1823" s="42" t="s">
        <v>44</v>
      </c>
      <c r="E1823" s="42" t="s">
        <v>44</v>
      </c>
      <c r="F1823" s="53" t="s">
        <v>8254</v>
      </c>
      <c r="G1823" s="53" t="s">
        <v>47</v>
      </c>
      <c r="H1823" s="53" t="s">
        <v>48</v>
      </c>
      <c r="I1823" s="53" t="s">
        <v>401</v>
      </c>
      <c r="J1823" s="53" t="s">
        <v>8255</v>
      </c>
      <c r="K1823" s="53" t="s">
        <v>3753</v>
      </c>
      <c r="L1823" s="53" t="s">
        <v>52</v>
      </c>
      <c r="M1823" s="53" t="s">
        <v>52</v>
      </c>
      <c r="N1823" s="62" t="s">
        <v>8256</v>
      </c>
      <c r="O1823" s="62" t="s">
        <v>44</v>
      </c>
      <c r="P1823" s="62" t="s">
        <v>1002</v>
      </c>
      <c r="Q1823" s="62" t="s">
        <v>6246</v>
      </c>
      <c r="R1823" s="53"/>
      <c r="S1823" s="53"/>
      <c r="T1823" s="82"/>
      <c r="U1823" s="42"/>
      <c r="V1823" s="62"/>
      <c r="W1823" s="64"/>
      <c r="X1823" s="223"/>
      <c r="Y1823" s="223"/>
      <c r="Z1823" s="223"/>
      <c r="AA1823" s="223"/>
    </row>
    <row r="1824">
      <c r="A1824" s="42">
        <f t="shared" si="3"/>
        <v>1823</v>
      </c>
      <c r="B1824" s="51" t="s">
        <v>41</v>
      </c>
      <c r="C1824" s="53" t="s">
        <v>8270</v>
      </c>
      <c r="D1824" s="42" t="s">
        <v>44</v>
      </c>
      <c r="E1824" s="42" t="s">
        <v>44</v>
      </c>
      <c r="F1824" s="53" t="s">
        <v>8254</v>
      </c>
      <c r="G1824" s="53" t="s">
        <v>47</v>
      </c>
      <c r="H1824" s="53" t="s">
        <v>48</v>
      </c>
      <c r="I1824" s="53" t="s">
        <v>401</v>
      </c>
      <c r="J1824" s="53" t="s">
        <v>8255</v>
      </c>
      <c r="K1824" s="53" t="s">
        <v>3753</v>
      </c>
      <c r="L1824" s="53" t="s">
        <v>52</v>
      </c>
      <c r="M1824" s="53" t="s">
        <v>52</v>
      </c>
      <c r="N1824" s="62" t="s">
        <v>8256</v>
      </c>
      <c r="O1824" s="62" t="s">
        <v>44</v>
      </c>
      <c r="P1824" s="62" t="s">
        <v>1009</v>
      </c>
      <c r="Q1824" s="62" t="s">
        <v>7778</v>
      </c>
      <c r="R1824" s="53"/>
      <c r="S1824" s="53"/>
      <c r="T1824" s="82"/>
      <c r="U1824" s="42"/>
      <c r="V1824" s="62"/>
      <c r="W1824" s="64"/>
      <c r="X1824" s="223"/>
      <c r="Y1824" s="223"/>
      <c r="Z1824" s="223"/>
      <c r="AA1824" s="223"/>
    </row>
    <row r="1825">
      <c r="A1825" s="42">
        <f t="shared" si="3"/>
        <v>1824</v>
      </c>
      <c r="B1825" s="51" t="s">
        <v>41</v>
      </c>
      <c r="C1825" s="53" t="s">
        <v>8271</v>
      </c>
      <c r="D1825" s="42" t="s">
        <v>44</v>
      </c>
      <c r="E1825" s="42" t="s">
        <v>44</v>
      </c>
      <c r="F1825" s="53" t="s">
        <v>8254</v>
      </c>
      <c r="G1825" s="53" t="s">
        <v>47</v>
      </c>
      <c r="H1825" s="53" t="s">
        <v>48</v>
      </c>
      <c r="I1825" s="53" t="s">
        <v>401</v>
      </c>
      <c r="J1825" s="53" t="s">
        <v>8255</v>
      </c>
      <c r="K1825" s="53" t="s">
        <v>3753</v>
      </c>
      <c r="L1825" s="53" t="s">
        <v>52</v>
      </c>
      <c r="M1825" s="53" t="s">
        <v>52</v>
      </c>
      <c r="N1825" s="62" t="s">
        <v>8256</v>
      </c>
      <c r="O1825" s="62" t="s">
        <v>44</v>
      </c>
      <c r="P1825" s="62" t="s">
        <v>8272</v>
      </c>
      <c r="Q1825" s="62" t="s">
        <v>8273</v>
      </c>
      <c r="R1825" s="53"/>
      <c r="S1825" s="53"/>
      <c r="T1825" s="82"/>
      <c r="U1825" s="42"/>
      <c r="V1825" s="62"/>
      <c r="W1825" s="64"/>
      <c r="X1825" s="223"/>
      <c r="Y1825" s="223"/>
      <c r="Z1825" s="223"/>
      <c r="AA1825" s="223"/>
    </row>
    <row r="1826">
      <c r="A1826" s="42">
        <f t="shared" si="3"/>
        <v>1825</v>
      </c>
      <c r="B1826" s="51" t="s">
        <v>41</v>
      </c>
      <c r="C1826" s="53" t="s">
        <v>8274</v>
      </c>
      <c r="D1826" s="42" t="s">
        <v>44</v>
      </c>
      <c r="E1826" s="42" t="s">
        <v>44</v>
      </c>
      <c r="F1826" s="53" t="s">
        <v>8254</v>
      </c>
      <c r="G1826" s="53" t="s">
        <v>47</v>
      </c>
      <c r="H1826" s="53" t="s">
        <v>48</v>
      </c>
      <c r="I1826" s="53" t="s">
        <v>401</v>
      </c>
      <c r="J1826" s="53" t="s">
        <v>8255</v>
      </c>
      <c r="K1826" s="53" t="s">
        <v>3753</v>
      </c>
      <c r="L1826" s="53" t="s">
        <v>52</v>
      </c>
      <c r="M1826" s="53" t="s">
        <v>52</v>
      </c>
      <c r="N1826" s="62" t="s">
        <v>8256</v>
      </c>
      <c r="O1826" s="62" t="s">
        <v>44</v>
      </c>
      <c r="P1826" s="62" t="s">
        <v>8275</v>
      </c>
      <c r="Q1826" s="62" t="s">
        <v>8276</v>
      </c>
      <c r="R1826" s="53"/>
      <c r="S1826" s="53"/>
      <c r="T1826" s="82"/>
      <c r="U1826" s="42"/>
      <c r="V1826" s="62"/>
      <c r="W1826" s="64"/>
      <c r="X1826" s="223"/>
      <c r="Y1826" s="223"/>
      <c r="Z1826" s="223"/>
      <c r="AA1826" s="223"/>
    </row>
    <row r="1827">
      <c r="A1827" s="42">
        <f t="shared" si="3"/>
        <v>1826</v>
      </c>
      <c r="B1827" s="51" t="s">
        <v>41</v>
      </c>
      <c r="C1827" s="53" t="s">
        <v>8277</v>
      </c>
      <c r="D1827" s="42" t="s">
        <v>44</v>
      </c>
      <c r="E1827" s="42" t="s">
        <v>44</v>
      </c>
      <c r="F1827" s="53" t="s">
        <v>8254</v>
      </c>
      <c r="G1827" s="53" t="s">
        <v>47</v>
      </c>
      <c r="H1827" s="53" t="s">
        <v>48</v>
      </c>
      <c r="I1827" s="53" t="s">
        <v>401</v>
      </c>
      <c r="J1827" s="53" t="s">
        <v>8255</v>
      </c>
      <c r="K1827" s="53" t="s">
        <v>3753</v>
      </c>
      <c r="L1827" s="53" t="s">
        <v>52</v>
      </c>
      <c r="M1827" s="53" t="s">
        <v>52</v>
      </c>
      <c r="N1827" s="62" t="s">
        <v>8256</v>
      </c>
      <c r="O1827" s="62" t="s">
        <v>44</v>
      </c>
      <c r="P1827" s="62" t="s">
        <v>8278</v>
      </c>
      <c r="Q1827" s="62" t="s">
        <v>8279</v>
      </c>
      <c r="R1827" s="53"/>
      <c r="S1827" s="53"/>
      <c r="T1827" s="82"/>
      <c r="U1827" s="42"/>
      <c r="V1827" s="62"/>
      <c r="W1827" s="64"/>
      <c r="X1827" s="223"/>
      <c r="Y1827" s="223"/>
      <c r="Z1827" s="223"/>
      <c r="AA1827" s="223"/>
    </row>
    <row r="1828">
      <c r="A1828" s="42">
        <f t="shared" si="3"/>
        <v>1827</v>
      </c>
      <c r="B1828" s="51" t="s">
        <v>41</v>
      </c>
      <c r="C1828" s="53" t="s">
        <v>8280</v>
      </c>
      <c r="D1828" s="42" t="s">
        <v>44</v>
      </c>
      <c r="E1828" s="42" t="s">
        <v>44</v>
      </c>
      <c r="F1828" s="53" t="s">
        <v>8254</v>
      </c>
      <c r="G1828" s="53" t="s">
        <v>85</v>
      </c>
      <c r="H1828" s="53" t="s">
        <v>86</v>
      </c>
      <c r="I1828" s="53" t="s">
        <v>401</v>
      </c>
      <c r="J1828" s="53" t="s">
        <v>8255</v>
      </c>
      <c r="K1828" s="53" t="s">
        <v>3753</v>
      </c>
      <c r="L1828" s="53" t="s">
        <v>52</v>
      </c>
      <c r="M1828" s="53" t="s">
        <v>52</v>
      </c>
      <c r="N1828" s="62" t="s">
        <v>8256</v>
      </c>
      <c r="O1828" s="62" t="s">
        <v>44</v>
      </c>
      <c r="P1828" s="62" t="s">
        <v>8153</v>
      </c>
      <c r="Q1828" s="62" t="s">
        <v>8154</v>
      </c>
      <c r="R1828" s="53"/>
      <c r="S1828" s="53"/>
      <c r="T1828" s="82"/>
      <c r="U1828" s="42"/>
      <c r="V1828" s="62"/>
      <c r="W1828" s="64"/>
      <c r="X1828" s="223"/>
      <c r="Y1828" s="223"/>
      <c r="Z1828" s="223"/>
      <c r="AA1828" s="223"/>
    </row>
    <row r="1829">
      <c r="A1829" s="42">
        <f t="shared" si="3"/>
        <v>1828</v>
      </c>
      <c r="B1829" s="51" t="s">
        <v>41</v>
      </c>
      <c r="C1829" s="53" t="s">
        <v>8281</v>
      </c>
      <c r="D1829" s="42" t="s">
        <v>44</v>
      </c>
      <c r="E1829" s="42" t="s">
        <v>44</v>
      </c>
      <c r="F1829" s="53" t="s">
        <v>8254</v>
      </c>
      <c r="G1829" s="53" t="s">
        <v>47</v>
      </c>
      <c r="H1829" s="53" t="s">
        <v>48</v>
      </c>
      <c r="I1829" s="53" t="s">
        <v>401</v>
      </c>
      <c r="J1829" s="53" t="s">
        <v>8255</v>
      </c>
      <c r="K1829" s="53" t="s">
        <v>3753</v>
      </c>
      <c r="L1829" s="53" t="s">
        <v>52</v>
      </c>
      <c r="M1829" s="53" t="s">
        <v>52</v>
      </c>
      <c r="N1829" s="62" t="s">
        <v>8256</v>
      </c>
      <c r="O1829" s="62" t="s">
        <v>44</v>
      </c>
      <c r="P1829" s="62" t="s">
        <v>8282</v>
      </c>
      <c r="Q1829" s="62" t="s">
        <v>8283</v>
      </c>
      <c r="R1829" s="53"/>
      <c r="S1829" s="53"/>
      <c r="T1829" s="82"/>
      <c r="U1829" s="42"/>
      <c r="V1829" s="62"/>
      <c r="W1829" s="64"/>
      <c r="X1829" s="223"/>
      <c r="Y1829" s="223"/>
      <c r="Z1829" s="223"/>
      <c r="AA1829" s="223"/>
    </row>
    <row r="1830">
      <c r="A1830" s="42">
        <f t="shared" si="3"/>
        <v>1829</v>
      </c>
      <c r="B1830" s="51" t="s">
        <v>41</v>
      </c>
      <c r="C1830" s="53" t="s">
        <v>8284</v>
      </c>
      <c r="D1830" s="42" t="s">
        <v>44</v>
      </c>
      <c r="E1830" s="42" t="s">
        <v>44</v>
      </c>
      <c r="F1830" s="53" t="s">
        <v>8254</v>
      </c>
      <c r="G1830" s="53" t="s">
        <v>47</v>
      </c>
      <c r="H1830" s="53" t="s">
        <v>48</v>
      </c>
      <c r="I1830" s="53" t="s">
        <v>401</v>
      </c>
      <c r="J1830" s="53" t="s">
        <v>8255</v>
      </c>
      <c r="K1830" s="53" t="s">
        <v>3753</v>
      </c>
      <c r="L1830" s="53" t="s">
        <v>52</v>
      </c>
      <c r="M1830" s="53" t="s">
        <v>52</v>
      </c>
      <c r="N1830" s="62" t="s">
        <v>8285</v>
      </c>
      <c r="O1830" s="62" t="s">
        <v>44</v>
      </c>
      <c r="P1830" s="62" t="s">
        <v>8286</v>
      </c>
      <c r="Q1830" s="62" t="s">
        <v>6848</v>
      </c>
      <c r="R1830" s="53"/>
      <c r="S1830" s="53"/>
      <c r="T1830" s="82"/>
      <c r="U1830" s="42"/>
      <c r="V1830" s="62"/>
      <c r="W1830" s="64"/>
      <c r="X1830" s="223"/>
      <c r="Y1830" s="223"/>
      <c r="Z1830" s="223"/>
      <c r="AA1830" s="223"/>
    </row>
    <row r="1831">
      <c r="A1831" s="42">
        <f t="shared" si="3"/>
        <v>1830</v>
      </c>
      <c r="B1831" s="51" t="s">
        <v>41</v>
      </c>
      <c r="C1831" s="53" t="s">
        <v>8287</v>
      </c>
      <c r="D1831" s="42" t="s">
        <v>44</v>
      </c>
      <c r="E1831" s="42" t="s">
        <v>44</v>
      </c>
      <c r="F1831" s="53" t="s">
        <v>8254</v>
      </c>
      <c r="G1831" s="53" t="s">
        <v>47</v>
      </c>
      <c r="H1831" s="53" t="s">
        <v>95</v>
      </c>
      <c r="I1831" s="53" t="s">
        <v>401</v>
      </c>
      <c r="J1831" s="53" t="s">
        <v>8255</v>
      </c>
      <c r="K1831" s="53" t="s">
        <v>3753</v>
      </c>
      <c r="L1831" s="53" t="s">
        <v>52</v>
      </c>
      <c r="M1831" s="53" t="s">
        <v>52</v>
      </c>
      <c r="N1831" s="62" t="s">
        <v>8285</v>
      </c>
      <c r="O1831" s="62" t="s">
        <v>44</v>
      </c>
      <c r="P1831" s="62" t="s">
        <v>8288</v>
      </c>
      <c r="Q1831" s="62" t="s">
        <v>7604</v>
      </c>
      <c r="R1831" s="53"/>
      <c r="S1831" s="53"/>
      <c r="T1831" s="82"/>
      <c r="U1831" s="42"/>
      <c r="V1831" s="62"/>
      <c r="W1831" s="64"/>
      <c r="X1831" s="223"/>
      <c r="Y1831" s="223"/>
      <c r="Z1831" s="223"/>
      <c r="AA1831" s="223"/>
    </row>
    <row r="1832">
      <c r="A1832" s="42">
        <f t="shared" si="3"/>
        <v>1831</v>
      </c>
      <c r="B1832" s="51" t="s">
        <v>41</v>
      </c>
      <c r="C1832" s="53" t="s">
        <v>8289</v>
      </c>
      <c r="D1832" s="42" t="s">
        <v>44</v>
      </c>
      <c r="E1832" s="42" t="s">
        <v>44</v>
      </c>
      <c r="F1832" s="53" t="s">
        <v>8254</v>
      </c>
      <c r="G1832" s="53" t="s">
        <v>85</v>
      </c>
      <c r="H1832" s="53" t="s">
        <v>86</v>
      </c>
      <c r="I1832" s="53" t="s">
        <v>401</v>
      </c>
      <c r="J1832" s="53" t="s">
        <v>8255</v>
      </c>
      <c r="K1832" s="53" t="s">
        <v>3753</v>
      </c>
      <c r="L1832" s="53" t="s">
        <v>52</v>
      </c>
      <c r="M1832" s="53" t="s">
        <v>52</v>
      </c>
      <c r="N1832" s="62" t="s">
        <v>8285</v>
      </c>
      <c r="O1832" s="62" t="s">
        <v>44</v>
      </c>
      <c r="P1832" s="62" t="s">
        <v>8251</v>
      </c>
      <c r="Q1832" s="62" t="s">
        <v>8290</v>
      </c>
      <c r="R1832" s="53"/>
      <c r="S1832" s="53"/>
      <c r="T1832" s="82"/>
      <c r="U1832" s="42"/>
      <c r="V1832" s="62"/>
      <c r="W1832" s="64"/>
      <c r="X1832" s="223"/>
      <c r="Y1832" s="223"/>
      <c r="Z1832" s="223"/>
      <c r="AA1832" s="223"/>
    </row>
    <row r="1833">
      <c r="A1833" s="42">
        <f t="shared" si="3"/>
        <v>1832</v>
      </c>
      <c r="B1833" s="51" t="s">
        <v>41</v>
      </c>
      <c r="C1833" s="53" t="s">
        <v>8291</v>
      </c>
      <c r="D1833" s="42" t="s">
        <v>44</v>
      </c>
      <c r="E1833" s="42" t="s">
        <v>44</v>
      </c>
      <c r="F1833" s="53" t="s">
        <v>8292</v>
      </c>
      <c r="G1833" s="53" t="s">
        <v>111</v>
      </c>
      <c r="H1833" s="53" t="s">
        <v>112</v>
      </c>
      <c r="I1833" s="53" t="s">
        <v>401</v>
      </c>
      <c r="J1833" s="53" t="s">
        <v>8293</v>
      </c>
      <c r="K1833" s="53" t="s">
        <v>51</v>
      </c>
      <c r="L1833" s="53" t="s">
        <v>52</v>
      </c>
      <c r="M1833" s="53" t="s">
        <v>52</v>
      </c>
      <c r="N1833" s="62" t="s">
        <v>8294</v>
      </c>
      <c r="O1833" s="62" t="s">
        <v>44</v>
      </c>
      <c r="P1833" s="62" t="s">
        <v>6399</v>
      </c>
      <c r="Q1833" s="62" t="s">
        <v>8295</v>
      </c>
      <c r="R1833" s="53"/>
      <c r="S1833" s="53"/>
      <c r="T1833" s="82"/>
      <c r="U1833" s="42"/>
      <c r="V1833" s="62"/>
      <c r="W1833" s="64"/>
      <c r="X1833" s="223"/>
      <c r="Y1833" s="223"/>
      <c r="Z1833" s="223"/>
      <c r="AA1833" s="223"/>
    </row>
    <row r="1834">
      <c r="A1834" s="42">
        <f t="shared" si="3"/>
        <v>1833</v>
      </c>
      <c r="B1834" s="51" t="s">
        <v>41</v>
      </c>
      <c r="C1834" s="53" t="s">
        <v>8296</v>
      </c>
      <c r="D1834" s="42" t="s">
        <v>44</v>
      </c>
      <c r="E1834" s="42" t="s">
        <v>44</v>
      </c>
      <c r="F1834" s="53" t="s">
        <v>8292</v>
      </c>
      <c r="G1834" s="53" t="s">
        <v>47</v>
      </c>
      <c r="H1834" s="53" t="s">
        <v>48</v>
      </c>
      <c r="I1834" s="53" t="s">
        <v>401</v>
      </c>
      <c r="J1834" s="53" t="s">
        <v>8293</v>
      </c>
      <c r="K1834" s="53" t="s">
        <v>51</v>
      </c>
      <c r="L1834" s="53" t="s">
        <v>52</v>
      </c>
      <c r="M1834" s="53" t="s">
        <v>52</v>
      </c>
      <c r="N1834" s="62" t="s">
        <v>8294</v>
      </c>
      <c r="O1834" s="62" t="s">
        <v>44</v>
      </c>
      <c r="P1834" s="62" t="s">
        <v>5384</v>
      </c>
      <c r="Q1834" s="62" t="s">
        <v>8297</v>
      </c>
      <c r="R1834" s="53"/>
      <c r="S1834" s="53"/>
      <c r="T1834" s="82"/>
      <c r="U1834" s="42"/>
      <c r="V1834" s="62"/>
      <c r="W1834" s="64"/>
      <c r="X1834" s="223"/>
      <c r="Y1834" s="223"/>
      <c r="Z1834" s="223"/>
      <c r="AA1834" s="223"/>
    </row>
    <row r="1835">
      <c r="A1835" s="42">
        <f t="shared" si="3"/>
        <v>1834</v>
      </c>
      <c r="B1835" s="51" t="s">
        <v>41</v>
      </c>
      <c r="C1835" s="53" t="s">
        <v>8298</v>
      </c>
      <c r="D1835" s="42" t="s">
        <v>44</v>
      </c>
      <c r="E1835" s="42" t="s">
        <v>44</v>
      </c>
      <c r="F1835" s="53" t="s">
        <v>8292</v>
      </c>
      <c r="G1835" s="53" t="s">
        <v>47</v>
      </c>
      <c r="H1835" s="53" t="s">
        <v>48</v>
      </c>
      <c r="I1835" s="53" t="s">
        <v>401</v>
      </c>
      <c r="J1835" s="53" t="s">
        <v>8293</v>
      </c>
      <c r="K1835" s="53" t="s">
        <v>51</v>
      </c>
      <c r="L1835" s="53" t="s">
        <v>52</v>
      </c>
      <c r="M1835" s="53" t="s">
        <v>52</v>
      </c>
      <c r="N1835" s="62" t="s">
        <v>8294</v>
      </c>
      <c r="O1835" s="62" t="s">
        <v>44</v>
      </c>
      <c r="P1835" s="62" t="s">
        <v>5389</v>
      </c>
      <c r="Q1835" s="62" t="s">
        <v>8299</v>
      </c>
      <c r="R1835" s="53"/>
      <c r="S1835" s="53"/>
      <c r="T1835" s="82"/>
      <c r="U1835" s="42"/>
      <c r="V1835" s="62"/>
      <c r="W1835" s="64"/>
      <c r="X1835" s="223"/>
      <c r="Y1835" s="223"/>
      <c r="Z1835" s="223"/>
      <c r="AA1835" s="223"/>
    </row>
    <row r="1836">
      <c r="A1836" s="42">
        <f t="shared" si="3"/>
        <v>1835</v>
      </c>
      <c r="B1836" s="51" t="s">
        <v>41</v>
      </c>
      <c r="C1836" s="53" t="s">
        <v>8300</v>
      </c>
      <c r="D1836" s="42" t="s">
        <v>44</v>
      </c>
      <c r="E1836" s="42" t="s">
        <v>44</v>
      </c>
      <c r="F1836" s="53" t="s">
        <v>8292</v>
      </c>
      <c r="G1836" s="53" t="s">
        <v>47</v>
      </c>
      <c r="H1836" s="53" t="s">
        <v>48</v>
      </c>
      <c r="I1836" s="53" t="s">
        <v>401</v>
      </c>
      <c r="J1836" s="53" t="s">
        <v>8293</v>
      </c>
      <c r="K1836" s="53" t="s">
        <v>51</v>
      </c>
      <c r="L1836" s="53" t="s">
        <v>52</v>
      </c>
      <c r="M1836" s="53" t="s">
        <v>52</v>
      </c>
      <c r="N1836" s="62" t="s">
        <v>8294</v>
      </c>
      <c r="O1836" s="62" t="s">
        <v>44</v>
      </c>
      <c r="P1836" s="62" t="s">
        <v>7324</v>
      </c>
      <c r="Q1836" s="62" t="s">
        <v>8301</v>
      </c>
      <c r="R1836" s="53"/>
      <c r="S1836" s="53"/>
      <c r="T1836" s="82"/>
      <c r="U1836" s="42"/>
      <c r="V1836" s="62"/>
      <c r="W1836" s="64"/>
      <c r="X1836" s="223"/>
      <c r="Y1836" s="223"/>
      <c r="Z1836" s="223"/>
      <c r="AA1836" s="223"/>
    </row>
    <row r="1837">
      <c r="A1837" s="42">
        <f t="shared" si="3"/>
        <v>1836</v>
      </c>
      <c r="B1837" s="51" t="s">
        <v>41</v>
      </c>
      <c r="C1837" s="53" t="s">
        <v>8302</v>
      </c>
      <c r="D1837" s="42" t="s">
        <v>44</v>
      </c>
      <c r="E1837" s="42" t="s">
        <v>44</v>
      </c>
      <c r="F1837" s="53" t="s">
        <v>8292</v>
      </c>
      <c r="G1837" s="53" t="s">
        <v>47</v>
      </c>
      <c r="H1837" s="53" t="s">
        <v>48</v>
      </c>
      <c r="I1837" s="53" t="s">
        <v>401</v>
      </c>
      <c r="J1837" s="53" t="s">
        <v>8293</v>
      </c>
      <c r="K1837" s="53" t="s">
        <v>51</v>
      </c>
      <c r="L1837" s="53" t="s">
        <v>52</v>
      </c>
      <c r="M1837" s="53" t="s">
        <v>52</v>
      </c>
      <c r="N1837" s="62" t="s">
        <v>8294</v>
      </c>
      <c r="O1837" s="62" t="s">
        <v>44</v>
      </c>
      <c r="P1837" s="62" t="s">
        <v>6082</v>
      </c>
      <c r="Q1837" s="62" t="s">
        <v>7770</v>
      </c>
      <c r="R1837" s="53"/>
      <c r="S1837" s="53"/>
      <c r="T1837" s="82"/>
      <c r="U1837" s="42"/>
      <c r="V1837" s="62"/>
      <c r="W1837" s="64"/>
      <c r="X1837" s="223"/>
      <c r="Y1837" s="223"/>
      <c r="Z1837" s="223"/>
      <c r="AA1837" s="223"/>
    </row>
    <row r="1838">
      <c r="A1838" s="42">
        <f t="shared" si="3"/>
        <v>1837</v>
      </c>
      <c r="B1838" s="51" t="s">
        <v>41</v>
      </c>
      <c r="C1838" s="53" t="s">
        <v>8303</v>
      </c>
      <c r="D1838" s="42" t="s">
        <v>44</v>
      </c>
      <c r="E1838" s="42" t="s">
        <v>44</v>
      </c>
      <c r="F1838" s="53" t="s">
        <v>8292</v>
      </c>
      <c r="G1838" s="53" t="s">
        <v>47</v>
      </c>
      <c r="H1838" s="53" t="s">
        <v>48</v>
      </c>
      <c r="I1838" s="53" t="s">
        <v>401</v>
      </c>
      <c r="J1838" s="53" t="s">
        <v>8293</v>
      </c>
      <c r="K1838" s="53" t="s">
        <v>51</v>
      </c>
      <c r="L1838" s="53" t="s">
        <v>52</v>
      </c>
      <c r="M1838" s="53" t="s">
        <v>52</v>
      </c>
      <c r="N1838" s="62" t="s">
        <v>8294</v>
      </c>
      <c r="O1838" s="62" t="s">
        <v>44</v>
      </c>
      <c r="P1838" s="62" t="s">
        <v>6085</v>
      </c>
      <c r="Q1838" s="62" t="s">
        <v>8177</v>
      </c>
      <c r="R1838" s="53"/>
      <c r="S1838" s="53"/>
      <c r="T1838" s="82"/>
      <c r="U1838" s="42"/>
      <c r="V1838" s="62"/>
      <c r="W1838" s="64"/>
      <c r="X1838" s="223"/>
      <c r="Y1838" s="223"/>
      <c r="Z1838" s="223"/>
      <c r="AA1838" s="223"/>
    </row>
    <row r="1839">
      <c r="A1839" s="42">
        <f t="shared" si="3"/>
        <v>1838</v>
      </c>
      <c r="B1839" s="51" t="s">
        <v>41</v>
      </c>
      <c r="C1839" s="53" t="s">
        <v>8304</v>
      </c>
      <c r="D1839" s="42" t="s">
        <v>44</v>
      </c>
      <c r="E1839" s="42" t="s">
        <v>44</v>
      </c>
      <c r="F1839" s="53" t="s">
        <v>8292</v>
      </c>
      <c r="G1839" s="53" t="s">
        <v>47</v>
      </c>
      <c r="H1839" s="53" t="s">
        <v>48</v>
      </c>
      <c r="I1839" s="53" t="s">
        <v>401</v>
      </c>
      <c r="J1839" s="53" t="s">
        <v>8293</v>
      </c>
      <c r="K1839" s="53" t="s">
        <v>51</v>
      </c>
      <c r="L1839" s="53" t="s">
        <v>52</v>
      </c>
      <c r="M1839" s="53" t="s">
        <v>52</v>
      </c>
      <c r="N1839" s="62" t="s">
        <v>8305</v>
      </c>
      <c r="O1839" s="62" t="s">
        <v>44</v>
      </c>
      <c r="P1839" s="62" t="s">
        <v>6429</v>
      </c>
      <c r="Q1839" s="62" t="s">
        <v>7773</v>
      </c>
      <c r="R1839" s="53"/>
      <c r="S1839" s="53"/>
      <c r="T1839" s="82"/>
      <c r="U1839" s="42"/>
      <c r="V1839" s="62"/>
      <c r="W1839" s="64"/>
      <c r="X1839" s="223"/>
      <c r="Y1839" s="223"/>
      <c r="Z1839" s="223"/>
      <c r="AA1839" s="223"/>
    </row>
    <row r="1840">
      <c r="A1840" s="42">
        <f t="shared" si="3"/>
        <v>1839</v>
      </c>
      <c r="B1840" s="51" t="s">
        <v>41</v>
      </c>
      <c r="C1840" s="53" t="s">
        <v>8306</v>
      </c>
      <c r="D1840" s="42" t="s">
        <v>44</v>
      </c>
      <c r="E1840" s="42" t="s">
        <v>44</v>
      </c>
      <c r="F1840" s="53" t="s">
        <v>8292</v>
      </c>
      <c r="G1840" s="53" t="s">
        <v>47</v>
      </c>
      <c r="H1840" s="53" t="s">
        <v>48</v>
      </c>
      <c r="I1840" s="53" t="s">
        <v>401</v>
      </c>
      <c r="J1840" s="53" t="s">
        <v>8293</v>
      </c>
      <c r="K1840" s="53" t="s">
        <v>51</v>
      </c>
      <c r="L1840" s="53" t="s">
        <v>52</v>
      </c>
      <c r="M1840" s="53" t="s">
        <v>52</v>
      </c>
      <c r="N1840" s="62" t="s">
        <v>8294</v>
      </c>
      <c r="O1840" s="62" t="s">
        <v>44</v>
      </c>
      <c r="P1840" s="62" t="s">
        <v>5448</v>
      </c>
      <c r="Q1840" s="62" t="s">
        <v>7775</v>
      </c>
      <c r="R1840" s="53"/>
      <c r="S1840" s="53"/>
      <c r="T1840" s="82"/>
      <c r="U1840" s="42"/>
      <c r="V1840" s="62"/>
      <c r="W1840" s="64"/>
      <c r="X1840" s="223"/>
      <c r="Y1840" s="223"/>
      <c r="Z1840" s="223"/>
      <c r="AA1840" s="223"/>
    </row>
    <row r="1841">
      <c r="A1841" s="42">
        <f t="shared" si="3"/>
        <v>1840</v>
      </c>
      <c r="B1841" s="51" t="s">
        <v>41</v>
      </c>
      <c r="C1841" s="53" t="s">
        <v>8307</v>
      </c>
      <c r="D1841" s="42" t="s">
        <v>44</v>
      </c>
      <c r="E1841" s="42" t="s">
        <v>44</v>
      </c>
      <c r="F1841" s="53" t="s">
        <v>8292</v>
      </c>
      <c r="G1841" s="53" t="s">
        <v>47</v>
      </c>
      <c r="H1841" s="53" t="s">
        <v>48</v>
      </c>
      <c r="I1841" s="53" t="s">
        <v>401</v>
      </c>
      <c r="J1841" s="53" t="s">
        <v>8293</v>
      </c>
      <c r="K1841" s="53" t="s">
        <v>51</v>
      </c>
      <c r="L1841" s="53" t="s">
        <v>52</v>
      </c>
      <c r="M1841" s="53" t="s">
        <v>52</v>
      </c>
      <c r="N1841" s="62" t="s">
        <v>8294</v>
      </c>
      <c r="O1841" s="62" t="s">
        <v>44</v>
      </c>
      <c r="P1841" s="62" t="s">
        <v>1002</v>
      </c>
      <c r="Q1841" s="62" t="s">
        <v>6246</v>
      </c>
      <c r="R1841" s="53"/>
      <c r="S1841" s="53"/>
      <c r="T1841" s="82"/>
      <c r="U1841" s="42"/>
      <c r="V1841" s="62"/>
      <c r="W1841" s="64"/>
      <c r="X1841" s="223"/>
      <c r="Y1841" s="223"/>
      <c r="Z1841" s="223"/>
      <c r="AA1841" s="223"/>
    </row>
    <row r="1842">
      <c r="A1842" s="42">
        <f t="shared" si="3"/>
        <v>1841</v>
      </c>
      <c r="B1842" s="51" t="s">
        <v>41</v>
      </c>
      <c r="C1842" s="53" t="s">
        <v>8308</v>
      </c>
      <c r="D1842" s="42" t="s">
        <v>44</v>
      </c>
      <c r="E1842" s="42" t="s">
        <v>44</v>
      </c>
      <c r="F1842" s="53" t="s">
        <v>8292</v>
      </c>
      <c r="G1842" s="53" t="s">
        <v>47</v>
      </c>
      <c r="H1842" s="53" t="s">
        <v>48</v>
      </c>
      <c r="I1842" s="53" t="s">
        <v>401</v>
      </c>
      <c r="J1842" s="53" t="s">
        <v>8293</v>
      </c>
      <c r="K1842" s="53" t="s">
        <v>51</v>
      </c>
      <c r="L1842" s="53" t="s">
        <v>52</v>
      </c>
      <c r="M1842" s="53" t="s">
        <v>52</v>
      </c>
      <c r="N1842" s="62" t="s">
        <v>8294</v>
      </c>
      <c r="O1842" s="62" t="s">
        <v>44</v>
      </c>
      <c r="P1842" s="62" t="s">
        <v>1009</v>
      </c>
      <c r="Q1842" s="62" t="s">
        <v>7778</v>
      </c>
      <c r="R1842" s="53"/>
      <c r="S1842" s="53"/>
      <c r="T1842" s="82"/>
      <c r="U1842" s="42"/>
      <c r="V1842" s="62"/>
      <c r="W1842" s="64"/>
      <c r="X1842" s="223"/>
      <c r="Y1842" s="223"/>
      <c r="Z1842" s="223"/>
      <c r="AA1842" s="223"/>
    </row>
    <row r="1843">
      <c r="A1843" s="42">
        <f t="shared" si="3"/>
        <v>1842</v>
      </c>
      <c r="B1843" s="51" t="s">
        <v>41</v>
      </c>
      <c r="C1843" s="53" t="s">
        <v>8309</v>
      </c>
      <c r="D1843" s="42" t="s">
        <v>44</v>
      </c>
      <c r="E1843" s="42" t="s">
        <v>44</v>
      </c>
      <c r="F1843" s="53" t="s">
        <v>8292</v>
      </c>
      <c r="G1843" s="53" t="s">
        <v>47</v>
      </c>
      <c r="H1843" s="53" t="s">
        <v>48</v>
      </c>
      <c r="I1843" s="53" t="s">
        <v>401</v>
      </c>
      <c r="J1843" s="53" t="s">
        <v>8293</v>
      </c>
      <c r="K1843" s="53" t="s">
        <v>51</v>
      </c>
      <c r="L1843" s="53" t="s">
        <v>52</v>
      </c>
      <c r="M1843" s="53" t="s">
        <v>52</v>
      </c>
      <c r="N1843" s="62" t="s">
        <v>8294</v>
      </c>
      <c r="O1843" s="62" t="s">
        <v>44</v>
      </c>
      <c r="P1843" s="62" t="s">
        <v>8310</v>
      </c>
      <c r="Q1843" s="62" t="s">
        <v>8311</v>
      </c>
      <c r="R1843" s="53"/>
      <c r="S1843" s="53"/>
      <c r="T1843" s="82"/>
      <c r="U1843" s="42"/>
      <c r="V1843" s="62"/>
      <c r="W1843" s="64"/>
      <c r="X1843" s="223"/>
      <c r="Y1843" s="223"/>
      <c r="Z1843" s="223"/>
      <c r="AA1843" s="223"/>
    </row>
    <row r="1844">
      <c r="A1844" s="42">
        <f t="shared" si="3"/>
        <v>1843</v>
      </c>
      <c r="B1844" s="51" t="s">
        <v>41</v>
      </c>
      <c r="C1844" s="53" t="s">
        <v>8312</v>
      </c>
      <c r="D1844" s="42" t="s">
        <v>44</v>
      </c>
      <c r="E1844" s="42" t="s">
        <v>44</v>
      </c>
      <c r="F1844" s="53" t="s">
        <v>8292</v>
      </c>
      <c r="G1844" s="53" t="s">
        <v>47</v>
      </c>
      <c r="H1844" s="53" t="s">
        <v>48</v>
      </c>
      <c r="I1844" s="53" t="s">
        <v>401</v>
      </c>
      <c r="J1844" s="53" t="s">
        <v>8293</v>
      </c>
      <c r="K1844" s="53" t="s">
        <v>51</v>
      </c>
      <c r="L1844" s="53" t="s">
        <v>52</v>
      </c>
      <c r="M1844" s="53" t="s">
        <v>52</v>
      </c>
      <c r="N1844" s="62" t="s">
        <v>8294</v>
      </c>
      <c r="O1844" s="62" t="s">
        <v>44</v>
      </c>
      <c r="P1844" s="62" t="s">
        <v>7627</v>
      </c>
      <c r="Q1844" s="62" t="s">
        <v>8313</v>
      </c>
      <c r="R1844" s="53"/>
      <c r="S1844" s="53"/>
      <c r="T1844" s="82"/>
      <c r="U1844" s="42"/>
      <c r="V1844" s="62"/>
      <c r="W1844" s="64"/>
      <c r="X1844" s="223"/>
      <c r="Y1844" s="223"/>
      <c r="Z1844" s="223"/>
      <c r="AA1844" s="223"/>
    </row>
    <row r="1845">
      <c r="A1845" s="42">
        <f t="shared" si="3"/>
        <v>1844</v>
      </c>
      <c r="B1845" s="51" t="s">
        <v>41</v>
      </c>
      <c r="C1845" s="53" t="s">
        <v>8314</v>
      </c>
      <c r="D1845" s="42" t="s">
        <v>44</v>
      </c>
      <c r="E1845" s="42" t="s">
        <v>44</v>
      </c>
      <c r="F1845" s="53" t="s">
        <v>8292</v>
      </c>
      <c r="G1845" s="53" t="s">
        <v>47</v>
      </c>
      <c r="H1845" s="53" t="s">
        <v>48</v>
      </c>
      <c r="I1845" s="53" t="s">
        <v>401</v>
      </c>
      <c r="J1845" s="53" t="s">
        <v>8293</v>
      </c>
      <c r="K1845" s="53" t="s">
        <v>51</v>
      </c>
      <c r="L1845" s="53" t="s">
        <v>52</v>
      </c>
      <c r="M1845" s="53" t="s">
        <v>52</v>
      </c>
      <c r="N1845" s="62" t="s">
        <v>8294</v>
      </c>
      <c r="O1845" s="62" t="s">
        <v>44</v>
      </c>
      <c r="P1845" s="62" t="s">
        <v>8315</v>
      </c>
      <c r="Q1845" s="62" t="s">
        <v>8316</v>
      </c>
      <c r="R1845" s="53"/>
      <c r="S1845" s="53"/>
      <c r="T1845" s="82"/>
      <c r="U1845" s="42"/>
      <c r="V1845" s="62"/>
      <c r="W1845" s="64"/>
      <c r="X1845" s="223"/>
      <c r="Y1845" s="223"/>
      <c r="Z1845" s="223"/>
      <c r="AA1845" s="223"/>
    </row>
    <row r="1846">
      <c r="A1846" s="42">
        <f t="shared" si="3"/>
        <v>1845</v>
      </c>
      <c r="B1846" s="51" t="s">
        <v>41</v>
      </c>
      <c r="C1846" s="53" t="s">
        <v>8317</v>
      </c>
      <c r="D1846" s="42" t="s">
        <v>44</v>
      </c>
      <c r="E1846" s="42" t="s">
        <v>44</v>
      </c>
      <c r="F1846" s="53" t="s">
        <v>8292</v>
      </c>
      <c r="G1846" s="53" t="s">
        <v>47</v>
      </c>
      <c r="H1846" s="53" t="s">
        <v>48</v>
      </c>
      <c r="I1846" s="53" t="s">
        <v>401</v>
      </c>
      <c r="J1846" s="53" t="s">
        <v>8293</v>
      </c>
      <c r="K1846" s="53" t="s">
        <v>51</v>
      </c>
      <c r="L1846" s="53" t="s">
        <v>52</v>
      </c>
      <c r="M1846" s="53" t="s">
        <v>52</v>
      </c>
      <c r="N1846" s="62" t="s">
        <v>8294</v>
      </c>
      <c r="O1846" s="62" t="s">
        <v>44</v>
      </c>
      <c r="P1846" s="62" t="s">
        <v>8318</v>
      </c>
      <c r="Q1846" s="62" t="s">
        <v>8319</v>
      </c>
      <c r="R1846" s="53"/>
      <c r="S1846" s="53"/>
      <c r="T1846" s="82"/>
      <c r="U1846" s="42"/>
      <c r="V1846" s="62"/>
      <c r="W1846" s="64"/>
      <c r="X1846" s="223"/>
      <c r="Y1846" s="223"/>
      <c r="Z1846" s="223"/>
      <c r="AA1846" s="223"/>
    </row>
    <row r="1847">
      <c r="A1847" s="42">
        <f t="shared" si="3"/>
        <v>1846</v>
      </c>
      <c r="B1847" s="51" t="s">
        <v>41</v>
      </c>
      <c r="C1847" s="53" t="s">
        <v>8320</v>
      </c>
      <c r="D1847" s="42" t="s">
        <v>44</v>
      </c>
      <c r="E1847" s="42" t="s">
        <v>44</v>
      </c>
      <c r="F1847" s="53" t="s">
        <v>8292</v>
      </c>
      <c r="G1847" s="53" t="s">
        <v>111</v>
      </c>
      <c r="H1847" s="53" t="s">
        <v>91</v>
      </c>
      <c r="I1847" s="53" t="s">
        <v>401</v>
      </c>
      <c r="J1847" s="53" t="s">
        <v>8293</v>
      </c>
      <c r="K1847" s="53" t="s">
        <v>51</v>
      </c>
      <c r="L1847" s="53" t="s">
        <v>52</v>
      </c>
      <c r="M1847" s="53" t="s">
        <v>52</v>
      </c>
      <c r="N1847" s="62" t="s">
        <v>8294</v>
      </c>
      <c r="O1847" s="62" t="s">
        <v>44</v>
      </c>
      <c r="P1847" s="62" t="s">
        <v>8321</v>
      </c>
      <c r="Q1847" s="62" t="s">
        <v>8322</v>
      </c>
      <c r="R1847" s="53"/>
      <c r="S1847" s="53"/>
      <c r="T1847" s="82"/>
      <c r="U1847" s="42"/>
      <c r="V1847" s="62"/>
      <c r="W1847" s="64"/>
      <c r="X1847" s="223"/>
      <c r="Y1847" s="223"/>
      <c r="Z1847" s="223"/>
      <c r="AA1847" s="223"/>
    </row>
    <row r="1848">
      <c r="A1848" s="42">
        <f t="shared" si="3"/>
        <v>1847</v>
      </c>
      <c r="B1848" s="51" t="s">
        <v>41</v>
      </c>
      <c r="C1848" s="53" t="s">
        <v>8323</v>
      </c>
      <c r="D1848" s="42" t="s">
        <v>44</v>
      </c>
      <c r="E1848" s="42" t="s">
        <v>44</v>
      </c>
      <c r="F1848" s="53" t="s">
        <v>8292</v>
      </c>
      <c r="G1848" s="53" t="s">
        <v>47</v>
      </c>
      <c r="H1848" s="53" t="s">
        <v>48</v>
      </c>
      <c r="I1848" s="53" t="s">
        <v>401</v>
      </c>
      <c r="J1848" s="53" t="s">
        <v>8293</v>
      </c>
      <c r="K1848" s="53" t="s">
        <v>51</v>
      </c>
      <c r="L1848" s="53" t="s">
        <v>52</v>
      </c>
      <c r="M1848" s="53" t="s">
        <v>52</v>
      </c>
      <c r="N1848" s="62" t="s">
        <v>8294</v>
      </c>
      <c r="O1848" s="62" t="s">
        <v>44</v>
      </c>
      <c r="P1848" s="62" t="s">
        <v>8324</v>
      </c>
      <c r="Q1848" s="62" t="s">
        <v>8325</v>
      </c>
      <c r="R1848" s="53"/>
      <c r="S1848" s="53"/>
      <c r="T1848" s="82"/>
      <c r="U1848" s="42"/>
      <c r="V1848" s="62"/>
      <c r="W1848" s="64"/>
      <c r="X1848" s="223"/>
      <c r="Y1848" s="223"/>
      <c r="Z1848" s="223"/>
      <c r="AA1848" s="223"/>
    </row>
    <row r="1849">
      <c r="A1849" s="42">
        <f t="shared" si="3"/>
        <v>1848</v>
      </c>
      <c r="B1849" s="51" t="s">
        <v>41</v>
      </c>
      <c r="C1849" s="53" t="s">
        <v>8326</v>
      </c>
      <c r="D1849" s="42" t="s">
        <v>44</v>
      </c>
      <c r="E1849" s="42" t="s">
        <v>44</v>
      </c>
      <c r="F1849" s="53" t="s">
        <v>8292</v>
      </c>
      <c r="G1849" s="53" t="s">
        <v>111</v>
      </c>
      <c r="H1849" s="53" t="s">
        <v>91</v>
      </c>
      <c r="I1849" s="53" t="s">
        <v>401</v>
      </c>
      <c r="J1849" s="53" t="s">
        <v>8293</v>
      </c>
      <c r="K1849" s="53" t="s">
        <v>51</v>
      </c>
      <c r="L1849" s="53" t="s">
        <v>52</v>
      </c>
      <c r="M1849" s="53" t="s">
        <v>52</v>
      </c>
      <c r="N1849" s="62" t="s">
        <v>8327</v>
      </c>
      <c r="O1849" s="62" t="s">
        <v>44</v>
      </c>
      <c r="P1849" s="62" t="s">
        <v>8328</v>
      </c>
      <c r="Q1849" s="62" t="s">
        <v>8329</v>
      </c>
      <c r="R1849" s="53"/>
      <c r="S1849" s="53"/>
      <c r="T1849" s="82"/>
      <c r="U1849" s="42"/>
      <c r="V1849" s="62"/>
      <c r="W1849" s="64"/>
      <c r="X1849" s="223"/>
      <c r="Y1849" s="223"/>
      <c r="Z1849" s="223"/>
      <c r="AA1849" s="223"/>
    </row>
    <row r="1850">
      <c r="A1850" s="42">
        <f t="shared" si="3"/>
        <v>1849</v>
      </c>
      <c r="B1850" s="51" t="s">
        <v>41</v>
      </c>
      <c r="C1850" s="53" t="s">
        <v>8330</v>
      </c>
      <c r="D1850" s="42" t="s">
        <v>44</v>
      </c>
      <c r="E1850" s="42" t="s">
        <v>44</v>
      </c>
      <c r="F1850" s="53" t="s">
        <v>8292</v>
      </c>
      <c r="G1850" s="53" t="s">
        <v>197</v>
      </c>
      <c r="H1850" s="53" t="s">
        <v>95</v>
      </c>
      <c r="I1850" s="53" t="s">
        <v>401</v>
      </c>
      <c r="J1850" s="53" t="s">
        <v>8293</v>
      </c>
      <c r="K1850" s="53" t="s">
        <v>51</v>
      </c>
      <c r="L1850" s="53" t="s">
        <v>52</v>
      </c>
      <c r="M1850" s="53" t="s">
        <v>52</v>
      </c>
      <c r="N1850" s="62" t="s">
        <v>8331</v>
      </c>
      <c r="O1850" s="62" t="s">
        <v>44</v>
      </c>
      <c r="P1850" s="62" t="s">
        <v>8328</v>
      </c>
      <c r="Q1850" s="62" t="s">
        <v>8332</v>
      </c>
      <c r="R1850" s="53"/>
      <c r="S1850" s="53"/>
      <c r="T1850" s="82"/>
      <c r="U1850" s="42"/>
      <c r="V1850" s="62"/>
      <c r="W1850" s="64"/>
      <c r="X1850" s="223"/>
      <c r="Y1850" s="223"/>
      <c r="Z1850" s="223"/>
      <c r="AA1850" s="223"/>
    </row>
    <row r="1851">
      <c r="A1851" s="42">
        <f t="shared" si="3"/>
        <v>1850</v>
      </c>
      <c r="B1851" s="51" t="s">
        <v>41</v>
      </c>
      <c r="C1851" s="53" t="s">
        <v>8333</v>
      </c>
      <c r="D1851" s="42" t="s">
        <v>44</v>
      </c>
      <c r="E1851" s="42" t="s">
        <v>44</v>
      </c>
      <c r="F1851" s="53" t="s">
        <v>8292</v>
      </c>
      <c r="G1851" s="53" t="s">
        <v>47</v>
      </c>
      <c r="H1851" s="53" t="s">
        <v>48</v>
      </c>
      <c r="I1851" s="53" t="s">
        <v>401</v>
      </c>
      <c r="J1851" s="53" t="s">
        <v>8293</v>
      </c>
      <c r="K1851" s="53" t="s">
        <v>51</v>
      </c>
      <c r="L1851" s="53" t="s">
        <v>52</v>
      </c>
      <c r="M1851" s="53" t="s">
        <v>52</v>
      </c>
      <c r="N1851" s="62" t="s">
        <v>8334</v>
      </c>
      <c r="O1851" s="62" t="s">
        <v>44</v>
      </c>
      <c r="P1851" s="62" t="s">
        <v>8335</v>
      </c>
      <c r="Q1851" s="62" t="s">
        <v>8336</v>
      </c>
      <c r="R1851" s="53"/>
      <c r="S1851" s="53"/>
      <c r="T1851" s="82"/>
      <c r="U1851" s="42"/>
      <c r="V1851" s="62"/>
      <c r="W1851" s="64"/>
      <c r="X1851" s="223"/>
      <c r="Y1851" s="223"/>
      <c r="Z1851" s="223"/>
      <c r="AA1851" s="223"/>
    </row>
    <row r="1852">
      <c r="A1852" s="42">
        <f t="shared" si="3"/>
        <v>1851</v>
      </c>
      <c r="B1852" s="51" t="s">
        <v>41</v>
      </c>
      <c r="C1852" s="53" t="s">
        <v>8337</v>
      </c>
      <c r="D1852" s="42" t="s">
        <v>44</v>
      </c>
      <c r="E1852" s="42" t="s">
        <v>44</v>
      </c>
      <c r="F1852" s="53" t="s">
        <v>8292</v>
      </c>
      <c r="G1852" s="53" t="s">
        <v>47</v>
      </c>
      <c r="H1852" s="53" t="s">
        <v>48</v>
      </c>
      <c r="I1852" s="53" t="s">
        <v>401</v>
      </c>
      <c r="J1852" s="53" t="s">
        <v>8293</v>
      </c>
      <c r="K1852" s="53" t="s">
        <v>51</v>
      </c>
      <c r="L1852" s="53" t="s">
        <v>52</v>
      </c>
      <c r="M1852" s="53" t="s">
        <v>52</v>
      </c>
      <c r="N1852" s="62" t="s">
        <v>8334</v>
      </c>
      <c r="O1852" s="62" t="s">
        <v>44</v>
      </c>
      <c r="P1852" s="62" t="s">
        <v>8338</v>
      </c>
      <c r="Q1852" s="62" t="s">
        <v>8339</v>
      </c>
      <c r="R1852" s="53"/>
      <c r="S1852" s="53"/>
      <c r="T1852" s="82"/>
      <c r="U1852" s="42"/>
      <c r="V1852" s="62"/>
      <c r="W1852" s="64"/>
      <c r="X1852" s="223"/>
      <c r="Y1852" s="223"/>
      <c r="Z1852" s="223"/>
      <c r="AA1852" s="223"/>
    </row>
    <row r="1853">
      <c r="A1853" s="42">
        <f t="shared" si="3"/>
        <v>1852</v>
      </c>
      <c r="B1853" s="51" t="s">
        <v>41</v>
      </c>
      <c r="C1853" s="53" t="s">
        <v>8340</v>
      </c>
      <c r="D1853" s="42" t="s">
        <v>44</v>
      </c>
      <c r="E1853" s="42" t="s">
        <v>44</v>
      </c>
      <c r="F1853" s="53" t="s">
        <v>8292</v>
      </c>
      <c r="G1853" s="53" t="s">
        <v>47</v>
      </c>
      <c r="H1853" s="53" t="s">
        <v>48</v>
      </c>
      <c r="I1853" s="53" t="s">
        <v>401</v>
      </c>
      <c r="J1853" s="53" t="s">
        <v>8293</v>
      </c>
      <c r="K1853" s="53" t="s">
        <v>51</v>
      </c>
      <c r="L1853" s="53" t="s">
        <v>52</v>
      </c>
      <c r="M1853" s="53" t="s">
        <v>52</v>
      </c>
      <c r="N1853" s="62" t="s">
        <v>8334</v>
      </c>
      <c r="O1853" s="62" t="s">
        <v>44</v>
      </c>
      <c r="P1853" s="62" t="s">
        <v>8341</v>
      </c>
      <c r="Q1853" s="62" t="s">
        <v>8342</v>
      </c>
      <c r="R1853" s="53"/>
      <c r="S1853" s="53"/>
      <c r="T1853" s="82"/>
      <c r="U1853" s="42"/>
      <c r="V1853" s="62"/>
      <c r="W1853" s="64"/>
      <c r="X1853" s="223"/>
      <c r="Y1853" s="223"/>
      <c r="Z1853" s="223"/>
      <c r="AA1853" s="223"/>
    </row>
    <row r="1854">
      <c r="A1854" s="42">
        <f t="shared" si="3"/>
        <v>1853</v>
      </c>
      <c r="B1854" s="51" t="s">
        <v>41</v>
      </c>
      <c r="C1854" s="53" t="s">
        <v>8343</v>
      </c>
      <c r="D1854" s="42" t="s">
        <v>44</v>
      </c>
      <c r="E1854" s="42" t="s">
        <v>44</v>
      </c>
      <c r="F1854" s="53" t="s">
        <v>8292</v>
      </c>
      <c r="G1854" s="53" t="s">
        <v>47</v>
      </c>
      <c r="H1854" s="53" t="s">
        <v>48</v>
      </c>
      <c r="I1854" s="53" t="s">
        <v>401</v>
      </c>
      <c r="J1854" s="53" t="s">
        <v>8293</v>
      </c>
      <c r="K1854" s="53" t="s">
        <v>51</v>
      </c>
      <c r="L1854" s="53" t="s">
        <v>52</v>
      </c>
      <c r="M1854" s="53" t="s">
        <v>52</v>
      </c>
      <c r="N1854" s="62" t="s">
        <v>8334</v>
      </c>
      <c r="O1854" s="62" t="s">
        <v>44</v>
      </c>
      <c r="P1854" s="62" t="s">
        <v>8344</v>
      </c>
      <c r="Q1854" s="62" t="s">
        <v>8345</v>
      </c>
      <c r="R1854" s="53"/>
      <c r="S1854" s="53"/>
      <c r="T1854" s="82"/>
      <c r="U1854" s="42"/>
      <c r="V1854" s="62"/>
      <c r="W1854" s="64"/>
      <c r="X1854" s="223"/>
      <c r="Y1854" s="223"/>
      <c r="Z1854" s="223"/>
      <c r="AA1854" s="223"/>
    </row>
    <row r="1855">
      <c r="A1855" s="42">
        <f t="shared" si="3"/>
        <v>1854</v>
      </c>
      <c r="B1855" s="51" t="s">
        <v>41</v>
      </c>
      <c r="C1855" s="53" t="s">
        <v>8346</v>
      </c>
      <c r="D1855" s="42" t="s">
        <v>44</v>
      </c>
      <c r="E1855" s="42" t="s">
        <v>44</v>
      </c>
      <c r="F1855" s="53" t="s">
        <v>8292</v>
      </c>
      <c r="G1855" s="53" t="s">
        <v>47</v>
      </c>
      <c r="H1855" s="53" t="s">
        <v>48</v>
      </c>
      <c r="I1855" s="53" t="s">
        <v>401</v>
      </c>
      <c r="J1855" s="53" t="s">
        <v>8293</v>
      </c>
      <c r="K1855" s="53" t="s">
        <v>51</v>
      </c>
      <c r="L1855" s="53" t="s">
        <v>52</v>
      </c>
      <c r="M1855" s="53" t="s">
        <v>52</v>
      </c>
      <c r="N1855" s="62" t="s">
        <v>8334</v>
      </c>
      <c r="O1855" s="62" t="s">
        <v>44</v>
      </c>
      <c r="P1855" s="62" t="s">
        <v>8347</v>
      </c>
      <c r="Q1855" s="62" t="s">
        <v>8348</v>
      </c>
      <c r="R1855" s="53"/>
      <c r="S1855" s="53"/>
      <c r="T1855" s="82"/>
      <c r="U1855" s="42"/>
      <c r="V1855" s="62"/>
      <c r="W1855" s="64"/>
      <c r="X1855" s="223"/>
      <c r="Y1855" s="223"/>
      <c r="Z1855" s="223"/>
      <c r="AA1855" s="223"/>
    </row>
    <row r="1856">
      <c r="A1856" s="42">
        <f t="shared" si="3"/>
        <v>1855</v>
      </c>
      <c r="B1856" s="51" t="s">
        <v>41</v>
      </c>
      <c r="C1856" s="53" t="s">
        <v>8349</v>
      </c>
      <c r="D1856" s="42" t="s">
        <v>44</v>
      </c>
      <c r="E1856" s="42" t="s">
        <v>44</v>
      </c>
      <c r="F1856" s="53" t="s">
        <v>8292</v>
      </c>
      <c r="G1856" s="53" t="s">
        <v>47</v>
      </c>
      <c r="H1856" s="53" t="s">
        <v>48</v>
      </c>
      <c r="I1856" s="53" t="s">
        <v>401</v>
      </c>
      <c r="J1856" s="53" t="s">
        <v>8293</v>
      </c>
      <c r="K1856" s="53" t="s">
        <v>51</v>
      </c>
      <c r="L1856" s="53" t="s">
        <v>52</v>
      </c>
      <c r="M1856" s="53" t="s">
        <v>52</v>
      </c>
      <c r="N1856" s="62" t="s">
        <v>8334</v>
      </c>
      <c r="O1856" s="62" t="s">
        <v>44</v>
      </c>
      <c r="P1856" s="62" t="s">
        <v>8350</v>
      </c>
      <c r="Q1856" s="62" t="s">
        <v>8351</v>
      </c>
      <c r="R1856" s="53"/>
      <c r="S1856" s="53"/>
      <c r="T1856" s="82"/>
      <c r="U1856" s="42"/>
      <c r="V1856" s="62"/>
      <c r="W1856" s="64"/>
      <c r="X1856" s="223"/>
      <c r="Y1856" s="223"/>
      <c r="Z1856" s="223"/>
      <c r="AA1856" s="223"/>
    </row>
    <row r="1857">
      <c r="A1857" s="42">
        <f t="shared" si="3"/>
        <v>1856</v>
      </c>
      <c r="B1857" s="51" t="s">
        <v>41</v>
      </c>
      <c r="C1857" s="53" t="s">
        <v>8352</v>
      </c>
      <c r="D1857" s="42" t="s">
        <v>44</v>
      </c>
      <c r="E1857" s="42" t="s">
        <v>44</v>
      </c>
      <c r="F1857" s="53" t="s">
        <v>8292</v>
      </c>
      <c r="G1857" s="53" t="s">
        <v>47</v>
      </c>
      <c r="H1857" s="53" t="s">
        <v>48</v>
      </c>
      <c r="I1857" s="53" t="s">
        <v>401</v>
      </c>
      <c r="J1857" s="53" t="s">
        <v>8293</v>
      </c>
      <c r="K1857" s="53" t="s">
        <v>51</v>
      </c>
      <c r="L1857" s="53" t="s">
        <v>52</v>
      </c>
      <c r="M1857" s="53" t="s">
        <v>52</v>
      </c>
      <c r="N1857" s="62" t="s">
        <v>8334</v>
      </c>
      <c r="O1857" s="62" t="s">
        <v>44</v>
      </c>
      <c r="P1857" s="62" t="s">
        <v>8353</v>
      </c>
      <c r="Q1857" s="62" t="s">
        <v>8354</v>
      </c>
      <c r="R1857" s="53"/>
      <c r="S1857" s="53"/>
      <c r="T1857" s="82"/>
      <c r="U1857" s="42"/>
      <c r="V1857" s="62"/>
      <c r="W1857" s="64"/>
      <c r="X1857" s="223"/>
      <c r="Y1857" s="223"/>
      <c r="Z1857" s="223"/>
      <c r="AA1857" s="223"/>
    </row>
    <row r="1858">
      <c r="A1858" s="42">
        <f t="shared" si="3"/>
        <v>1857</v>
      </c>
      <c r="B1858" s="51" t="s">
        <v>41</v>
      </c>
      <c r="C1858" s="53" t="s">
        <v>8355</v>
      </c>
      <c r="D1858" s="42" t="s">
        <v>44</v>
      </c>
      <c r="E1858" s="42" t="s">
        <v>44</v>
      </c>
      <c r="F1858" s="53" t="s">
        <v>8292</v>
      </c>
      <c r="G1858" s="53" t="s">
        <v>47</v>
      </c>
      <c r="H1858" s="53" t="s">
        <v>48</v>
      </c>
      <c r="I1858" s="53" t="s">
        <v>401</v>
      </c>
      <c r="J1858" s="53" t="s">
        <v>8293</v>
      </c>
      <c r="K1858" s="53" t="s">
        <v>51</v>
      </c>
      <c r="L1858" s="53" t="s">
        <v>52</v>
      </c>
      <c r="M1858" s="53" t="s">
        <v>52</v>
      </c>
      <c r="N1858" s="62" t="s">
        <v>8334</v>
      </c>
      <c r="O1858" s="62" t="s">
        <v>44</v>
      </c>
      <c r="P1858" s="62" t="s">
        <v>8356</v>
      </c>
      <c r="Q1858" s="62" t="s">
        <v>8357</v>
      </c>
      <c r="R1858" s="53"/>
      <c r="S1858" s="53"/>
      <c r="T1858" s="82"/>
      <c r="U1858" s="42"/>
      <c r="V1858" s="62"/>
      <c r="W1858" s="64"/>
      <c r="X1858" s="223"/>
      <c r="Y1858" s="223"/>
      <c r="Z1858" s="223"/>
      <c r="AA1858" s="223"/>
    </row>
    <row r="1859">
      <c r="A1859" s="42">
        <f t="shared" si="3"/>
        <v>1858</v>
      </c>
      <c r="B1859" s="51" t="s">
        <v>41</v>
      </c>
      <c r="C1859" s="53" t="s">
        <v>8358</v>
      </c>
      <c r="D1859" s="42" t="s">
        <v>44</v>
      </c>
      <c r="E1859" s="42" t="s">
        <v>44</v>
      </c>
      <c r="F1859" s="53" t="s">
        <v>8292</v>
      </c>
      <c r="G1859" s="53" t="s">
        <v>47</v>
      </c>
      <c r="H1859" s="53" t="s">
        <v>48</v>
      </c>
      <c r="I1859" s="53" t="s">
        <v>401</v>
      </c>
      <c r="J1859" s="53" t="s">
        <v>8293</v>
      </c>
      <c r="K1859" s="53" t="s">
        <v>51</v>
      </c>
      <c r="L1859" s="53" t="s">
        <v>52</v>
      </c>
      <c r="M1859" s="53" t="s">
        <v>52</v>
      </c>
      <c r="N1859" s="62" t="s">
        <v>8294</v>
      </c>
      <c r="O1859" s="62" t="s">
        <v>44</v>
      </c>
      <c r="P1859" s="62" t="s">
        <v>8359</v>
      </c>
      <c r="Q1859" s="62" t="s">
        <v>8360</v>
      </c>
      <c r="R1859" s="53"/>
      <c r="S1859" s="53"/>
      <c r="T1859" s="82"/>
      <c r="U1859" s="42"/>
      <c r="V1859" s="62"/>
      <c r="W1859" s="64"/>
      <c r="X1859" s="223"/>
      <c r="Y1859" s="223"/>
      <c r="Z1859" s="223"/>
      <c r="AA1859" s="223"/>
    </row>
    <row r="1860">
      <c r="A1860" s="42">
        <f t="shared" si="3"/>
        <v>1859</v>
      </c>
      <c r="B1860" s="51" t="s">
        <v>41</v>
      </c>
      <c r="C1860" s="53" t="s">
        <v>8361</v>
      </c>
      <c r="D1860" s="42" t="s">
        <v>44</v>
      </c>
      <c r="E1860" s="42" t="s">
        <v>44</v>
      </c>
      <c r="F1860" s="53" t="s">
        <v>8292</v>
      </c>
      <c r="G1860" s="53" t="s">
        <v>47</v>
      </c>
      <c r="H1860" s="53" t="s">
        <v>48</v>
      </c>
      <c r="I1860" s="53" t="s">
        <v>401</v>
      </c>
      <c r="J1860" s="53" t="s">
        <v>8293</v>
      </c>
      <c r="K1860" s="53" t="s">
        <v>51</v>
      </c>
      <c r="L1860" s="53" t="s">
        <v>52</v>
      </c>
      <c r="M1860" s="53" t="s">
        <v>52</v>
      </c>
      <c r="N1860" s="62" t="s">
        <v>8294</v>
      </c>
      <c r="O1860" s="62" t="s">
        <v>44</v>
      </c>
      <c r="P1860" s="62" t="s">
        <v>8362</v>
      </c>
      <c r="Q1860" s="62" t="s">
        <v>8363</v>
      </c>
      <c r="R1860" s="53"/>
      <c r="S1860" s="53"/>
      <c r="T1860" s="82"/>
      <c r="U1860" s="42"/>
      <c r="V1860" s="62"/>
      <c r="W1860" s="64"/>
      <c r="X1860" s="223"/>
      <c r="Y1860" s="223"/>
      <c r="Z1860" s="223"/>
      <c r="AA1860" s="223"/>
    </row>
    <row r="1861">
      <c r="A1861" s="42">
        <f t="shared" si="3"/>
        <v>1860</v>
      </c>
      <c r="B1861" s="51" t="s">
        <v>41</v>
      </c>
      <c r="C1861" s="53" t="s">
        <v>8364</v>
      </c>
      <c r="D1861" s="42" t="s">
        <v>44</v>
      </c>
      <c r="E1861" s="42" t="s">
        <v>44</v>
      </c>
      <c r="F1861" s="53" t="s">
        <v>8292</v>
      </c>
      <c r="G1861" s="53" t="s">
        <v>47</v>
      </c>
      <c r="H1861" s="53" t="s">
        <v>48</v>
      </c>
      <c r="I1861" s="53" t="s">
        <v>401</v>
      </c>
      <c r="J1861" s="53" t="s">
        <v>8293</v>
      </c>
      <c r="K1861" s="53" t="s">
        <v>51</v>
      </c>
      <c r="L1861" s="53" t="s">
        <v>52</v>
      </c>
      <c r="M1861" s="53" t="s">
        <v>52</v>
      </c>
      <c r="N1861" s="62" t="s">
        <v>8294</v>
      </c>
      <c r="O1861" s="62" t="s">
        <v>44</v>
      </c>
      <c r="P1861" s="62" t="s">
        <v>8365</v>
      </c>
      <c r="Q1861" s="62" t="s">
        <v>8366</v>
      </c>
      <c r="R1861" s="53"/>
      <c r="S1861" s="53"/>
      <c r="T1861" s="82"/>
      <c r="U1861" s="42"/>
      <c r="V1861" s="62"/>
      <c r="W1861" s="64"/>
      <c r="X1861" s="223"/>
      <c r="Y1861" s="223"/>
      <c r="Z1861" s="223"/>
      <c r="AA1861" s="223"/>
    </row>
    <row r="1862">
      <c r="A1862" s="42">
        <f t="shared" si="3"/>
        <v>1861</v>
      </c>
      <c r="B1862" s="51" t="s">
        <v>41</v>
      </c>
      <c r="C1862" s="53" t="s">
        <v>8367</v>
      </c>
      <c r="D1862" s="42" t="s">
        <v>44</v>
      </c>
      <c r="E1862" s="42" t="s">
        <v>44</v>
      </c>
      <c r="F1862" s="53" t="s">
        <v>8292</v>
      </c>
      <c r="G1862" s="53" t="s">
        <v>47</v>
      </c>
      <c r="H1862" s="53" t="s">
        <v>48</v>
      </c>
      <c r="I1862" s="53" t="s">
        <v>401</v>
      </c>
      <c r="J1862" s="53" t="s">
        <v>8293</v>
      </c>
      <c r="K1862" s="53" t="s">
        <v>51</v>
      </c>
      <c r="L1862" s="53" t="s">
        <v>52</v>
      </c>
      <c r="M1862" s="53" t="s">
        <v>52</v>
      </c>
      <c r="N1862" s="62" t="s">
        <v>8368</v>
      </c>
      <c r="O1862" s="62" t="s">
        <v>44</v>
      </c>
      <c r="P1862" s="62" t="s">
        <v>8369</v>
      </c>
      <c r="Q1862" s="62" t="s">
        <v>8370</v>
      </c>
      <c r="R1862" s="53"/>
      <c r="S1862" s="53"/>
      <c r="T1862" s="82"/>
      <c r="U1862" s="42"/>
      <c r="V1862" s="62"/>
      <c r="W1862" s="64"/>
      <c r="X1862" s="223"/>
      <c r="Y1862" s="223"/>
      <c r="Z1862" s="223"/>
      <c r="AA1862" s="223"/>
    </row>
    <row r="1863">
      <c r="A1863" s="42">
        <f t="shared" si="3"/>
        <v>1862</v>
      </c>
      <c r="B1863" s="51" t="s">
        <v>41</v>
      </c>
      <c r="C1863" s="53" t="s">
        <v>8371</v>
      </c>
      <c r="D1863" s="42" t="s">
        <v>44</v>
      </c>
      <c r="E1863" s="42" t="s">
        <v>44</v>
      </c>
      <c r="F1863" s="53" t="s">
        <v>8292</v>
      </c>
      <c r="G1863" s="53" t="s">
        <v>111</v>
      </c>
      <c r="H1863" s="53" t="s">
        <v>91</v>
      </c>
      <c r="I1863" s="53" t="s">
        <v>401</v>
      </c>
      <c r="J1863" s="53" t="s">
        <v>8293</v>
      </c>
      <c r="K1863" s="53" t="s">
        <v>51</v>
      </c>
      <c r="L1863" s="53" t="s">
        <v>52</v>
      </c>
      <c r="M1863" s="53" t="s">
        <v>52</v>
      </c>
      <c r="N1863" s="62" t="s">
        <v>8368</v>
      </c>
      <c r="O1863" s="62" t="s">
        <v>44</v>
      </c>
      <c r="P1863" s="62" t="s">
        <v>8372</v>
      </c>
      <c r="Q1863" s="62" t="s">
        <v>8373</v>
      </c>
      <c r="R1863" s="53"/>
      <c r="S1863" s="53"/>
      <c r="T1863" s="82"/>
      <c r="U1863" s="42"/>
      <c r="V1863" s="62"/>
      <c r="W1863" s="64"/>
      <c r="X1863" s="223"/>
      <c r="Y1863" s="223"/>
      <c r="Z1863" s="223"/>
      <c r="AA1863" s="223"/>
    </row>
    <row r="1864">
      <c r="A1864" s="42">
        <f t="shared" si="3"/>
        <v>1863</v>
      </c>
      <c r="B1864" s="51" t="s">
        <v>41</v>
      </c>
      <c r="C1864" s="53" t="s">
        <v>8374</v>
      </c>
      <c r="D1864" s="42" t="s">
        <v>44</v>
      </c>
      <c r="E1864" s="42" t="s">
        <v>44</v>
      </c>
      <c r="F1864" s="53" t="s">
        <v>8292</v>
      </c>
      <c r="G1864" s="53" t="s">
        <v>47</v>
      </c>
      <c r="H1864" s="53" t="s">
        <v>48</v>
      </c>
      <c r="I1864" s="53" t="s">
        <v>401</v>
      </c>
      <c r="J1864" s="53" t="s">
        <v>8293</v>
      </c>
      <c r="K1864" s="53" t="s">
        <v>51</v>
      </c>
      <c r="L1864" s="53" t="s">
        <v>52</v>
      </c>
      <c r="M1864" s="53" t="s">
        <v>52</v>
      </c>
      <c r="N1864" s="62" t="s">
        <v>8368</v>
      </c>
      <c r="O1864" s="62" t="s">
        <v>44</v>
      </c>
      <c r="P1864" s="62" t="s">
        <v>8375</v>
      </c>
      <c r="Q1864" s="62" t="s">
        <v>8376</v>
      </c>
      <c r="R1864" s="53"/>
      <c r="S1864" s="53"/>
      <c r="T1864" s="82"/>
      <c r="U1864" s="42"/>
      <c r="V1864" s="62"/>
      <c r="W1864" s="64"/>
      <c r="X1864" s="223"/>
      <c r="Y1864" s="223"/>
      <c r="Z1864" s="223"/>
      <c r="AA1864" s="223"/>
    </row>
    <row r="1865">
      <c r="A1865" s="42">
        <f t="shared" si="3"/>
        <v>1864</v>
      </c>
      <c r="B1865" s="51" t="s">
        <v>41</v>
      </c>
      <c r="C1865" s="53" t="s">
        <v>8377</v>
      </c>
      <c r="D1865" s="42" t="s">
        <v>44</v>
      </c>
      <c r="E1865" s="42" t="s">
        <v>44</v>
      </c>
      <c r="F1865" s="53" t="s">
        <v>8292</v>
      </c>
      <c r="G1865" s="53" t="s">
        <v>47</v>
      </c>
      <c r="H1865" s="53" t="s">
        <v>48</v>
      </c>
      <c r="I1865" s="53" t="s">
        <v>401</v>
      </c>
      <c r="J1865" s="53" t="s">
        <v>8293</v>
      </c>
      <c r="K1865" s="53" t="s">
        <v>51</v>
      </c>
      <c r="L1865" s="53" t="s">
        <v>52</v>
      </c>
      <c r="M1865" s="53" t="s">
        <v>52</v>
      </c>
      <c r="N1865" s="62" t="s">
        <v>8294</v>
      </c>
      <c r="O1865" s="62" t="s">
        <v>44</v>
      </c>
      <c r="P1865" s="62" t="s">
        <v>8378</v>
      </c>
      <c r="Q1865" s="62" t="s">
        <v>8379</v>
      </c>
      <c r="R1865" s="53"/>
      <c r="S1865" s="53"/>
      <c r="T1865" s="82"/>
      <c r="U1865" s="42"/>
      <c r="V1865" s="62"/>
      <c r="W1865" s="64"/>
      <c r="X1865" s="223"/>
      <c r="Y1865" s="223"/>
      <c r="Z1865" s="223"/>
      <c r="AA1865" s="223"/>
    </row>
    <row r="1866">
      <c r="A1866" s="42">
        <f t="shared" si="3"/>
        <v>1865</v>
      </c>
      <c r="B1866" s="51" t="s">
        <v>41</v>
      </c>
      <c r="C1866" s="53" t="s">
        <v>8380</v>
      </c>
      <c r="D1866" s="42" t="s">
        <v>44</v>
      </c>
      <c r="E1866" s="42" t="s">
        <v>44</v>
      </c>
      <c r="F1866" s="53" t="s">
        <v>8292</v>
      </c>
      <c r="G1866" s="53" t="s">
        <v>47</v>
      </c>
      <c r="H1866" s="53" t="s">
        <v>48</v>
      </c>
      <c r="I1866" s="53" t="s">
        <v>401</v>
      </c>
      <c r="J1866" s="53" t="s">
        <v>8293</v>
      </c>
      <c r="K1866" s="53" t="s">
        <v>51</v>
      </c>
      <c r="L1866" s="53" t="s">
        <v>52</v>
      </c>
      <c r="M1866" s="53" t="s">
        <v>52</v>
      </c>
      <c r="N1866" s="62" t="s">
        <v>8368</v>
      </c>
      <c r="O1866" s="62" t="s">
        <v>44</v>
      </c>
      <c r="P1866" s="62" t="s">
        <v>8381</v>
      </c>
      <c r="Q1866" s="62" t="s">
        <v>8382</v>
      </c>
      <c r="R1866" s="53"/>
      <c r="S1866" s="53"/>
      <c r="T1866" s="82"/>
      <c r="U1866" s="42"/>
      <c r="V1866" s="62"/>
      <c r="W1866" s="64"/>
      <c r="X1866" s="223"/>
      <c r="Y1866" s="223"/>
      <c r="Z1866" s="223"/>
      <c r="AA1866" s="223"/>
    </row>
    <row r="1867">
      <c r="A1867" s="42">
        <f t="shared" si="3"/>
        <v>1866</v>
      </c>
      <c r="B1867" s="51" t="s">
        <v>41</v>
      </c>
      <c r="C1867" s="53" t="s">
        <v>8383</v>
      </c>
      <c r="D1867" s="42" t="s">
        <v>44</v>
      </c>
      <c r="E1867" s="42" t="s">
        <v>44</v>
      </c>
      <c r="F1867" s="53" t="s">
        <v>8292</v>
      </c>
      <c r="G1867" s="53" t="s">
        <v>47</v>
      </c>
      <c r="H1867" s="53" t="s">
        <v>48</v>
      </c>
      <c r="I1867" s="53" t="s">
        <v>401</v>
      </c>
      <c r="J1867" s="53" t="s">
        <v>8293</v>
      </c>
      <c r="K1867" s="53" t="s">
        <v>51</v>
      </c>
      <c r="L1867" s="53" t="s">
        <v>52</v>
      </c>
      <c r="M1867" s="53" t="s">
        <v>52</v>
      </c>
      <c r="N1867" s="62" t="s">
        <v>8384</v>
      </c>
      <c r="O1867" s="62" t="s">
        <v>44</v>
      </c>
      <c r="P1867" s="62" t="s">
        <v>8385</v>
      </c>
      <c r="Q1867" s="62" t="s">
        <v>8386</v>
      </c>
      <c r="R1867" s="53"/>
      <c r="S1867" s="53"/>
      <c r="T1867" s="82"/>
      <c r="U1867" s="42"/>
      <c r="V1867" s="62"/>
      <c r="W1867" s="64"/>
      <c r="X1867" s="223"/>
      <c r="Y1867" s="223"/>
      <c r="Z1867" s="223"/>
      <c r="AA1867" s="223"/>
    </row>
    <row r="1868">
      <c r="A1868" s="42">
        <f t="shared" si="3"/>
        <v>1867</v>
      </c>
      <c r="B1868" s="51" t="s">
        <v>41</v>
      </c>
      <c r="C1868" s="53" t="s">
        <v>8387</v>
      </c>
      <c r="D1868" s="42" t="s">
        <v>44</v>
      </c>
      <c r="E1868" s="42" t="s">
        <v>44</v>
      </c>
      <c r="F1868" s="53" t="s">
        <v>8292</v>
      </c>
      <c r="G1868" s="53" t="s">
        <v>47</v>
      </c>
      <c r="H1868" s="53" t="s">
        <v>48</v>
      </c>
      <c r="I1868" s="53" t="s">
        <v>401</v>
      </c>
      <c r="J1868" s="53" t="s">
        <v>8293</v>
      </c>
      <c r="K1868" s="53" t="s">
        <v>51</v>
      </c>
      <c r="L1868" s="53" t="s">
        <v>52</v>
      </c>
      <c r="M1868" s="53" t="s">
        <v>52</v>
      </c>
      <c r="N1868" s="62" t="s">
        <v>8384</v>
      </c>
      <c r="O1868" s="62" t="s">
        <v>44</v>
      </c>
      <c r="P1868" s="62" t="s">
        <v>8388</v>
      </c>
      <c r="Q1868" s="62" t="s">
        <v>8389</v>
      </c>
      <c r="R1868" s="53"/>
      <c r="S1868" s="53"/>
      <c r="T1868" s="82"/>
      <c r="U1868" s="42"/>
      <c r="V1868" s="62"/>
      <c r="W1868" s="64"/>
      <c r="X1868" s="223"/>
      <c r="Y1868" s="223"/>
      <c r="Z1868" s="223"/>
      <c r="AA1868" s="223"/>
    </row>
    <row r="1869">
      <c r="A1869" s="42">
        <f t="shared" si="3"/>
        <v>1868</v>
      </c>
      <c r="B1869" s="51" t="s">
        <v>41</v>
      </c>
      <c r="C1869" s="53" t="s">
        <v>8390</v>
      </c>
      <c r="D1869" s="42" t="s">
        <v>44</v>
      </c>
      <c r="E1869" s="42" t="s">
        <v>44</v>
      </c>
      <c r="F1869" s="53" t="s">
        <v>8292</v>
      </c>
      <c r="G1869" s="53" t="s">
        <v>47</v>
      </c>
      <c r="H1869" s="53" t="s">
        <v>48</v>
      </c>
      <c r="I1869" s="53" t="s">
        <v>401</v>
      </c>
      <c r="J1869" s="53" t="s">
        <v>8293</v>
      </c>
      <c r="K1869" s="53" t="s">
        <v>51</v>
      </c>
      <c r="L1869" s="53" t="s">
        <v>52</v>
      </c>
      <c r="M1869" s="53" t="s">
        <v>52</v>
      </c>
      <c r="N1869" s="62" t="s">
        <v>8384</v>
      </c>
      <c r="O1869" s="62" t="s">
        <v>44</v>
      </c>
      <c r="P1869" s="62" t="s">
        <v>8391</v>
      </c>
      <c r="Q1869" s="62" t="s">
        <v>8392</v>
      </c>
      <c r="R1869" s="53"/>
      <c r="S1869" s="53"/>
      <c r="T1869" s="82"/>
      <c r="U1869" s="42"/>
      <c r="V1869" s="62"/>
      <c r="W1869" s="64"/>
      <c r="X1869" s="223"/>
      <c r="Y1869" s="223"/>
      <c r="Z1869" s="223"/>
      <c r="AA1869" s="223"/>
    </row>
    <row r="1870">
      <c r="A1870" s="42">
        <f t="shared" si="3"/>
        <v>1869</v>
      </c>
      <c r="B1870" s="51" t="s">
        <v>41</v>
      </c>
      <c r="C1870" s="53" t="s">
        <v>8393</v>
      </c>
      <c r="D1870" s="42" t="s">
        <v>44</v>
      </c>
      <c r="E1870" s="42" t="s">
        <v>44</v>
      </c>
      <c r="F1870" s="53" t="s">
        <v>8292</v>
      </c>
      <c r="G1870" s="53" t="s">
        <v>47</v>
      </c>
      <c r="H1870" s="53" t="s">
        <v>48</v>
      </c>
      <c r="I1870" s="53" t="s">
        <v>401</v>
      </c>
      <c r="J1870" s="53" t="s">
        <v>8293</v>
      </c>
      <c r="K1870" s="53" t="s">
        <v>51</v>
      </c>
      <c r="L1870" s="53" t="s">
        <v>52</v>
      </c>
      <c r="M1870" s="53" t="s">
        <v>52</v>
      </c>
      <c r="N1870" s="62" t="s">
        <v>8384</v>
      </c>
      <c r="O1870" s="62" t="s">
        <v>44</v>
      </c>
      <c r="P1870" s="62" t="s">
        <v>8394</v>
      </c>
      <c r="Q1870" s="62" t="s">
        <v>8395</v>
      </c>
      <c r="R1870" s="53"/>
      <c r="S1870" s="53"/>
      <c r="T1870" s="82"/>
      <c r="U1870" s="42"/>
      <c r="V1870" s="62"/>
      <c r="W1870" s="64"/>
      <c r="X1870" s="223"/>
      <c r="Y1870" s="223"/>
      <c r="Z1870" s="223"/>
      <c r="AA1870" s="223"/>
    </row>
    <row r="1871">
      <c r="A1871" s="42">
        <f t="shared" si="3"/>
        <v>1870</v>
      </c>
      <c r="B1871" s="51" t="s">
        <v>41</v>
      </c>
      <c r="C1871" s="53" t="s">
        <v>8396</v>
      </c>
      <c r="D1871" s="42" t="s">
        <v>44</v>
      </c>
      <c r="E1871" s="42" t="s">
        <v>44</v>
      </c>
      <c r="F1871" s="53" t="s">
        <v>8292</v>
      </c>
      <c r="G1871" s="53" t="s">
        <v>47</v>
      </c>
      <c r="H1871" s="53" t="s">
        <v>48</v>
      </c>
      <c r="I1871" s="53" t="s">
        <v>401</v>
      </c>
      <c r="J1871" s="53" t="s">
        <v>8293</v>
      </c>
      <c r="K1871" s="53" t="s">
        <v>51</v>
      </c>
      <c r="L1871" s="53" t="s">
        <v>52</v>
      </c>
      <c r="M1871" s="53" t="s">
        <v>52</v>
      </c>
      <c r="N1871" s="62" t="s">
        <v>8384</v>
      </c>
      <c r="O1871" s="62" t="s">
        <v>44</v>
      </c>
      <c r="P1871" s="62" t="s">
        <v>8397</v>
      </c>
      <c r="Q1871" s="62" t="s">
        <v>8398</v>
      </c>
      <c r="R1871" s="53"/>
      <c r="S1871" s="53"/>
      <c r="T1871" s="82"/>
      <c r="U1871" s="42"/>
      <c r="V1871" s="62"/>
      <c r="W1871" s="64"/>
      <c r="X1871" s="223"/>
      <c r="Y1871" s="223"/>
      <c r="Z1871" s="223"/>
      <c r="AA1871" s="223"/>
    </row>
    <row r="1872">
      <c r="A1872" s="42">
        <f t="shared" si="3"/>
        <v>1871</v>
      </c>
      <c r="B1872" s="51" t="s">
        <v>41</v>
      </c>
      <c r="C1872" s="53" t="s">
        <v>8399</v>
      </c>
      <c r="D1872" s="42" t="s">
        <v>44</v>
      </c>
      <c r="E1872" s="42" t="s">
        <v>44</v>
      </c>
      <c r="F1872" s="53" t="s">
        <v>8292</v>
      </c>
      <c r="G1872" s="53" t="s">
        <v>47</v>
      </c>
      <c r="H1872" s="53" t="s">
        <v>95</v>
      </c>
      <c r="I1872" s="53" t="s">
        <v>401</v>
      </c>
      <c r="J1872" s="53" t="s">
        <v>8293</v>
      </c>
      <c r="K1872" s="53" t="s">
        <v>51</v>
      </c>
      <c r="L1872" s="53" t="s">
        <v>52</v>
      </c>
      <c r="M1872" s="53" t="s">
        <v>52</v>
      </c>
      <c r="N1872" s="62" t="s">
        <v>8384</v>
      </c>
      <c r="O1872" s="62" t="s">
        <v>44</v>
      </c>
      <c r="P1872" s="62" t="s">
        <v>8400</v>
      </c>
      <c r="Q1872" s="62" t="s">
        <v>8401</v>
      </c>
      <c r="R1872" s="53"/>
      <c r="S1872" s="53"/>
      <c r="T1872" s="82"/>
      <c r="U1872" s="42"/>
      <c r="V1872" s="62"/>
      <c r="W1872" s="64"/>
      <c r="X1872" s="223"/>
      <c r="Y1872" s="223"/>
      <c r="Z1872" s="223"/>
      <c r="AA1872" s="223"/>
    </row>
    <row r="1873">
      <c r="A1873" s="42">
        <f t="shared" si="3"/>
        <v>1872</v>
      </c>
      <c r="B1873" s="51" t="s">
        <v>41</v>
      </c>
      <c r="C1873" s="53" t="s">
        <v>8402</v>
      </c>
      <c r="D1873" s="42" t="s">
        <v>44</v>
      </c>
      <c r="E1873" s="42" t="s">
        <v>44</v>
      </c>
      <c r="F1873" s="53" t="s">
        <v>8292</v>
      </c>
      <c r="G1873" s="53" t="s">
        <v>47</v>
      </c>
      <c r="H1873" s="53" t="s">
        <v>48</v>
      </c>
      <c r="I1873" s="53" t="s">
        <v>401</v>
      </c>
      <c r="J1873" s="53" t="s">
        <v>8293</v>
      </c>
      <c r="K1873" s="53" t="s">
        <v>51</v>
      </c>
      <c r="L1873" s="53" t="s">
        <v>52</v>
      </c>
      <c r="M1873" s="53" t="s">
        <v>52</v>
      </c>
      <c r="N1873" s="62" t="s">
        <v>8384</v>
      </c>
      <c r="O1873" s="62" t="s">
        <v>44</v>
      </c>
      <c r="P1873" s="62" t="s">
        <v>8403</v>
      </c>
      <c r="Q1873" s="62" t="s">
        <v>8404</v>
      </c>
      <c r="R1873" s="53"/>
      <c r="S1873" s="53"/>
      <c r="T1873" s="82"/>
      <c r="U1873" s="42"/>
      <c r="V1873" s="62"/>
      <c r="W1873" s="64"/>
      <c r="X1873" s="223"/>
      <c r="Y1873" s="223"/>
      <c r="Z1873" s="223"/>
      <c r="AA1873" s="223"/>
    </row>
    <row r="1874">
      <c r="A1874" s="42">
        <f t="shared" si="3"/>
        <v>1873</v>
      </c>
      <c r="B1874" s="51" t="s">
        <v>41</v>
      </c>
      <c r="C1874" s="53" t="s">
        <v>8405</v>
      </c>
      <c r="D1874" s="42" t="s">
        <v>44</v>
      </c>
      <c r="E1874" s="42" t="s">
        <v>44</v>
      </c>
      <c r="F1874" s="53" t="s">
        <v>8292</v>
      </c>
      <c r="G1874" s="53" t="s">
        <v>47</v>
      </c>
      <c r="H1874" s="53" t="s">
        <v>48</v>
      </c>
      <c r="I1874" s="53" t="s">
        <v>401</v>
      </c>
      <c r="J1874" s="53" t="s">
        <v>8293</v>
      </c>
      <c r="K1874" s="53" t="s">
        <v>51</v>
      </c>
      <c r="L1874" s="53" t="s">
        <v>52</v>
      </c>
      <c r="M1874" s="53" t="s">
        <v>52</v>
      </c>
      <c r="N1874" s="62" t="s">
        <v>8368</v>
      </c>
      <c r="O1874" s="62" t="s">
        <v>44</v>
      </c>
      <c r="P1874" s="62" t="s">
        <v>8406</v>
      </c>
      <c r="Q1874" s="62" t="s">
        <v>7735</v>
      </c>
      <c r="R1874" s="53"/>
      <c r="S1874" s="53"/>
      <c r="T1874" s="82"/>
      <c r="U1874" s="42"/>
      <c r="V1874" s="62"/>
      <c r="W1874" s="64"/>
      <c r="X1874" s="223"/>
      <c r="Y1874" s="223"/>
      <c r="Z1874" s="223"/>
      <c r="AA1874" s="223"/>
    </row>
    <row r="1875">
      <c r="A1875" s="42">
        <f t="shared" si="3"/>
        <v>1874</v>
      </c>
      <c r="B1875" s="51" t="s">
        <v>41</v>
      </c>
      <c r="C1875" s="53" t="s">
        <v>8407</v>
      </c>
      <c r="D1875" s="42" t="s">
        <v>44</v>
      </c>
      <c r="E1875" s="42" t="s">
        <v>44</v>
      </c>
      <c r="F1875" s="53" t="s">
        <v>8292</v>
      </c>
      <c r="G1875" s="53" t="s">
        <v>47</v>
      </c>
      <c r="H1875" s="53" t="s">
        <v>48</v>
      </c>
      <c r="I1875" s="53" t="s">
        <v>401</v>
      </c>
      <c r="J1875" s="53" t="s">
        <v>8293</v>
      </c>
      <c r="K1875" s="53" t="s">
        <v>51</v>
      </c>
      <c r="L1875" s="53" t="s">
        <v>52</v>
      </c>
      <c r="M1875" s="53" t="s">
        <v>52</v>
      </c>
      <c r="N1875" s="62" t="s">
        <v>8408</v>
      </c>
      <c r="O1875" s="62" t="s">
        <v>44</v>
      </c>
      <c r="P1875" s="62" t="s">
        <v>8409</v>
      </c>
      <c r="Q1875" s="62" t="s">
        <v>8410</v>
      </c>
      <c r="R1875" s="53"/>
      <c r="S1875" s="53"/>
      <c r="T1875" s="82"/>
      <c r="U1875" s="42"/>
      <c r="V1875" s="62"/>
      <c r="W1875" s="64"/>
      <c r="X1875" s="223"/>
      <c r="Y1875" s="223"/>
      <c r="Z1875" s="223"/>
      <c r="AA1875" s="223"/>
    </row>
    <row r="1876">
      <c r="A1876" s="42">
        <f t="shared" si="3"/>
        <v>1875</v>
      </c>
      <c r="B1876" s="51" t="s">
        <v>41</v>
      </c>
      <c r="C1876" s="53" t="s">
        <v>8411</v>
      </c>
      <c r="D1876" s="42" t="s">
        <v>44</v>
      </c>
      <c r="E1876" s="42" t="s">
        <v>44</v>
      </c>
      <c r="F1876" s="53" t="s">
        <v>8292</v>
      </c>
      <c r="G1876" s="53" t="s">
        <v>47</v>
      </c>
      <c r="H1876" s="53" t="s">
        <v>95</v>
      </c>
      <c r="I1876" s="53" t="s">
        <v>401</v>
      </c>
      <c r="J1876" s="53" t="s">
        <v>8293</v>
      </c>
      <c r="K1876" s="53" t="s">
        <v>51</v>
      </c>
      <c r="L1876" s="53" t="s">
        <v>52</v>
      </c>
      <c r="M1876" s="53" t="s">
        <v>52</v>
      </c>
      <c r="N1876" s="62" t="s">
        <v>8408</v>
      </c>
      <c r="O1876" s="62" t="s">
        <v>44</v>
      </c>
      <c r="P1876" s="62" t="s">
        <v>8412</v>
      </c>
      <c r="Q1876" s="62" t="s">
        <v>8413</v>
      </c>
      <c r="R1876" s="53"/>
      <c r="S1876" s="53"/>
      <c r="T1876" s="82"/>
      <c r="U1876" s="42"/>
      <c r="V1876" s="62"/>
      <c r="W1876" s="64"/>
      <c r="X1876" s="223"/>
      <c r="Y1876" s="223"/>
      <c r="Z1876" s="223"/>
      <c r="AA1876" s="223"/>
    </row>
    <row r="1877">
      <c r="A1877" s="42">
        <f t="shared" si="3"/>
        <v>1876</v>
      </c>
      <c r="B1877" s="51" t="s">
        <v>41</v>
      </c>
      <c r="C1877" s="53" t="s">
        <v>8414</v>
      </c>
      <c r="D1877" s="42" t="s">
        <v>44</v>
      </c>
      <c r="E1877" s="42" t="s">
        <v>44</v>
      </c>
      <c r="F1877" s="53" t="s">
        <v>8292</v>
      </c>
      <c r="G1877" s="53" t="s">
        <v>47</v>
      </c>
      <c r="H1877" s="53" t="s">
        <v>48</v>
      </c>
      <c r="I1877" s="53" t="s">
        <v>401</v>
      </c>
      <c r="J1877" s="53" t="s">
        <v>8293</v>
      </c>
      <c r="K1877" s="53" t="s">
        <v>51</v>
      </c>
      <c r="L1877" s="53" t="s">
        <v>52</v>
      </c>
      <c r="M1877" s="53" t="s">
        <v>52</v>
      </c>
      <c r="N1877" s="62" t="s">
        <v>8408</v>
      </c>
      <c r="O1877" s="62" t="s">
        <v>44</v>
      </c>
      <c r="P1877" s="62" t="s">
        <v>8415</v>
      </c>
      <c r="Q1877" s="62" t="s">
        <v>8416</v>
      </c>
      <c r="R1877" s="53"/>
      <c r="S1877" s="53"/>
      <c r="T1877" s="82"/>
      <c r="U1877" s="42"/>
      <c r="V1877" s="62"/>
      <c r="W1877" s="64"/>
      <c r="X1877" s="223"/>
      <c r="Y1877" s="223"/>
      <c r="Z1877" s="223"/>
      <c r="AA1877" s="223"/>
    </row>
    <row r="1878">
      <c r="A1878" s="42">
        <f t="shared" si="3"/>
        <v>1877</v>
      </c>
      <c r="B1878" s="51" t="s">
        <v>41</v>
      </c>
      <c r="C1878" s="53" t="s">
        <v>8417</v>
      </c>
      <c r="D1878" s="42" t="s">
        <v>44</v>
      </c>
      <c r="E1878" s="42" t="s">
        <v>44</v>
      </c>
      <c r="F1878" s="53" t="s">
        <v>8292</v>
      </c>
      <c r="G1878" s="53" t="s">
        <v>47</v>
      </c>
      <c r="H1878" s="53" t="s">
        <v>48</v>
      </c>
      <c r="I1878" s="53" t="s">
        <v>401</v>
      </c>
      <c r="J1878" s="53" t="s">
        <v>8293</v>
      </c>
      <c r="K1878" s="53" t="s">
        <v>51</v>
      </c>
      <c r="L1878" s="53" t="s">
        <v>52</v>
      </c>
      <c r="M1878" s="53" t="s">
        <v>52</v>
      </c>
      <c r="N1878" s="62" t="s">
        <v>8408</v>
      </c>
      <c r="O1878" s="62" t="s">
        <v>44</v>
      </c>
      <c r="P1878" s="62" t="s">
        <v>8418</v>
      </c>
      <c r="Q1878" s="62" t="s">
        <v>8419</v>
      </c>
      <c r="R1878" s="53"/>
      <c r="S1878" s="53"/>
      <c r="T1878" s="82"/>
      <c r="U1878" s="42"/>
      <c r="V1878" s="62"/>
      <c r="W1878" s="64"/>
      <c r="X1878" s="223"/>
      <c r="Y1878" s="223"/>
      <c r="Z1878" s="223"/>
      <c r="AA1878" s="223"/>
    </row>
    <row r="1879">
      <c r="A1879" s="42">
        <f t="shared" si="3"/>
        <v>1878</v>
      </c>
      <c r="B1879" s="51" t="s">
        <v>41</v>
      </c>
      <c r="C1879" s="53" t="s">
        <v>8420</v>
      </c>
      <c r="D1879" s="42" t="s">
        <v>44</v>
      </c>
      <c r="E1879" s="42" t="s">
        <v>44</v>
      </c>
      <c r="F1879" s="53" t="s">
        <v>8292</v>
      </c>
      <c r="G1879" s="53" t="s">
        <v>47</v>
      </c>
      <c r="H1879" s="53" t="s">
        <v>48</v>
      </c>
      <c r="I1879" s="53" t="s">
        <v>401</v>
      </c>
      <c r="J1879" s="53" t="s">
        <v>8293</v>
      </c>
      <c r="K1879" s="53" t="s">
        <v>51</v>
      </c>
      <c r="L1879" s="53" t="s">
        <v>52</v>
      </c>
      <c r="M1879" s="53" t="s">
        <v>52</v>
      </c>
      <c r="N1879" s="62" t="s">
        <v>8408</v>
      </c>
      <c r="O1879" s="62" t="s">
        <v>44</v>
      </c>
      <c r="P1879" s="62" t="s">
        <v>8421</v>
      </c>
      <c r="Q1879" s="62" t="s">
        <v>8422</v>
      </c>
      <c r="R1879" s="53"/>
      <c r="S1879" s="53"/>
      <c r="T1879" s="82"/>
      <c r="U1879" s="42"/>
      <c r="V1879" s="62"/>
      <c r="W1879" s="64"/>
      <c r="X1879" s="223"/>
      <c r="Y1879" s="223"/>
      <c r="Z1879" s="223"/>
      <c r="AA1879" s="223"/>
    </row>
    <row r="1880">
      <c r="A1880" s="42">
        <f t="shared" si="3"/>
        <v>1879</v>
      </c>
      <c r="B1880" s="51" t="s">
        <v>41</v>
      </c>
      <c r="C1880" s="53" t="s">
        <v>8423</v>
      </c>
      <c r="D1880" s="42" t="s">
        <v>44</v>
      </c>
      <c r="E1880" s="42" t="s">
        <v>44</v>
      </c>
      <c r="F1880" s="53" t="s">
        <v>8292</v>
      </c>
      <c r="G1880" s="53" t="s">
        <v>47</v>
      </c>
      <c r="H1880" s="53" t="s">
        <v>48</v>
      </c>
      <c r="I1880" s="53" t="s">
        <v>401</v>
      </c>
      <c r="J1880" s="53" t="s">
        <v>8293</v>
      </c>
      <c r="K1880" s="53" t="s">
        <v>51</v>
      </c>
      <c r="L1880" s="53" t="s">
        <v>52</v>
      </c>
      <c r="M1880" s="53" t="s">
        <v>52</v>
      </c>
      <c r="N1880" s="62" t="s">
        <v>8408</v>
      </c>
      <c r="O1880" s="62" t="s">
        <v>44</v>
      </c>
      <c r="P1880" s="62" t="s">
        <v>8424</v>
      </c>
      <c r="Q1880" s="62" t="s">
        <v>8425</v>
      </c>
      <c r="R1880" s="53"/>
      <c r="S1880" s="53"/>
      <c r="T1880" s="82"/>
      <c r="U1880" s="42"/>
      <c r="V1880" s="62"/>
      <c r="W1880" s="64"/>
      <c r="X1880" s="223"/>
      <c r="Y1880" s="223"/>
      <c r="Z1880" s="223"/>
      <c r="AA1880" s="223"/>
    </row>
    <row r="1881">
      <c r="A1881" s="42">
        <f t="shared" si="3"/>
        <v>1880</v>
      </c>
      <c r="B1881" s="51" t="s">
        <v>41</v>
      </c>
      <c r="C1881" s="53" t="s">
        <v>8426</v>
      </c>
      <c r="D1881" s="42" t="s">
        <v>44</v>
      </c>
      <c r="E1881" s="42" t="s">
        <v>44</v>
      </c>
      <c r="F1881" s="53" t="s">
        <v>8292</v>
      </c>
      <c r="G1881" s="53" t="s">
        <v>85</v>
      </c>
      <c r="H1881" s="53" t="s">
        <v>86</v>
      </c>
      <c r="I1881" s="53" t="s">
        <v>401</v>
      </c>
      <c r="J1881" s="53" t="s">
        <v>8293</v>
      </c>
      <c r="K1881" s="53" t="s">
        <v>51</v>
      </c>
      <c r="L1881" s="53" t="s">
        <v>52</v>
      </c>
      <c r="M1881" s="53" t="s">
        <v>52</v>
      </c>
      <c r="N1881" s="62" t="s">
        <v>8334</v>
      </c>
      <c r="O1881" s="62" t="s">
        <v>44</v>
      </c>
      <c r="P1881" s="62" t="s">
        <v>8427</v>
      </c>
      <c r="Q1881" s="62" t="s">
        <v>8428</v>
      </c>
      <c r="R1881" s="53"/>
      <c r="S1881" s="53"/>
      <c r="T1881" s="82"/>
      <c r="U1881" s="42"/>
      <c r="V1881" s="62"/>
      <c r="W1881" s="64"/>
      <c r="X1881" s="223"/>
      <c r="Y1881" s="223"/>
      <c r="Z1881" s="223"/>
      <c r="AA1881" s="223"/>
    </row>
    <row r="1882">
      <c r="A1882" s="42">
        <f t="shared" si="3"/>
        <v>1881</v>
      </c>
      <c r="B1882" s="51" t="s">
        <v>41</v>
      </c>
      <c r="C1882" s="53" t="s">
        <v>8429</v>
      </c>
      <c r="D1882" s="42" t="s">
        <v>44</v>
      </c>
      <c r="E1882" s="42" t="s">
        <v>44</v>
      </c>
      <c r="F1882" s="53" t="s">
        <v>8430</v>
      </c>
      <c r="G1882" s="53" t="s">
        <v>111</v>
      </c>
      <c r="H1882" s="53" t="s">
        <v>112</v>
      </c>
      <c r="I1882" s="53" t="s">
        <v>401</v>
      </c>
      <c r="J1882" s="53" t="s">
        <v>8431</v>
      </c>
      <c r="K1882" s="53" t="s">
        <v>51</v>
      </c>
      <c r="L1882" s="53" t="s">
        <v>52</v>
      </c>
      <c r="M1882" s="53" t="s">
        <v>52</v>
      </c>
      <c r="N1882" s="62" t="s">
        <v>8432</v>
      </c>
      <c r="O1882" s="62" t="s">
        <v>44</v>
      </c>
      <c r="P1882" s="62" t="s">
        <v>6399</v>
      </c>
      <c r="Q1882" s="62" t="s">
        <v>8433</v>
      </c>
      <c r="R1882" s="53"/>
      <c r="S1882" s="53"/>
      <c r="T1882" s="82"/>
      <c r="U1882" s="42"/>
      <c r="V1882" s="62"/>
      <c r="W1882" s="64"/>
      <c r="X1882" s="223"/>
      <c r="Y1882" s="223"/>
      <c r="Z1882" s="223"/>
      <c r="AA1882" s="223"/>
    </row>
    <row r="1883">
      <c r="A1883" s="42">
        <f t="shared" si="3"/>
        <v>1882</v>
      </c>
      <c r="B1883" s="51" t="s">
        <v>41</v>
      </c>
      <c r="C1883" s="53" t="s">
        <v>8434</v>
      </c>
      <c r="D1883" s="42" t="s">
        <v>44</v>
      </c>
      <c r="E1883" s="42" t="s">
        <v>44</v>
      </c>
      <c r="F1883" s="53" t="s">
        <v>8430</v>
      </c>
      <c r="G1883" s="53" t="s">
        <v>47</v>
      </c>
      <c r="H1883" s="53" t="s">
        <v>48</v>
      </c>
      <c r="I1883" s="53" t="s">
        <v>401</v>
      </c>
      <c r="J1883" s="53" t="s">
        <v>8431</v>
      </c>
      <c r="K1883" s="53" t="s">
        <v>51</v>
      </c>
      <c r="L1883" s="53" t="s">
        <v>52</v>
      </c>
      <c r="M1883" s="53" t="s">
        <v>52</v>
      </c>
      <c r="N1883" s="62" t="s">
        <v>8432</v>
      </c>
      <c r="O1883" s="62" t="s">
        <v>44</v>
      </c>
      <c r="P1883" s="62" t="s">
        <v>5384</v>
      </c>
      <c r="Q1883" s="62" t="s">
        <v>8297</v>
      </c>
      <c r="R1883" s="53"/>
      <c r="S1883" s="53"/>
      <c r="T1883" s="82"/>
      <c r="U1883" s="42"/>
      <c r="V1883" s="62"/>
      <c r="W1883" s="64"/>
      <c r="X1883" s="223"/>
      <c r="Y1883" s="223"/>
      <c r="Z1883" s="223"/>
      <c r="AA1883" s="223"/>
    </row>
    <row r="1884">
      <c r="A1884" s="42">
        <f t="shared" si="3"/>
        <v>1883</v>
      </c>
      <c r="B1884" s="51" t="s">
        <v>41</v>
      </c>
      <c r="C1884" s="53" t="s">
        <v>8435</v>
      </c>
      <c r="D1884" s="42" t="s">
        <v>44</v>
      </c>
      <c r="E1884" s="42" t="s">
        <v>44</v>
      </c>
      <c r="F1884" s="53" t="s">
        <v>8430</v>
      </c>
      <c r="G1884" s="53" t="s">
        <v>47</v>
      </c>
      <c r="H1884" s="53" t="s">
        <v>48</v>
      </c>
      <c r="I1884" s="53" t="s">
        <v>401</v>
      </c>
      <c r="J1884" s="53" t="s">
        <v>8431</v>
      </c>
      <c r="K1884" s="53" t="s">
        <v>51</v>
      </c>
      <c r="L1884" s="53" t="s">
        <v>52</v>
      </c>
      <c r="M1884" s="53" t="s">
        <v>52</v>
      </c>
      <c r="N1884" s="62" t="s">
        <v>8432</v>
      </c>
      <c r="O1884" s="62" t="s">
        <v>44</v>
      </c>
      <c r="P1884" s="62" t="s">
        <v>5389</v>
      </c>
      <c r="Q1884" s="62" t="s">
        <v>8299</v>
      </c>
      <c r="R1884" s="53"/>
      <c r="S1884" s="53"/>
      <c r="T1884" s="82"/>
      <c r="U1884" s="42"/>
      <c r="V1884" s="62"/>
      <c r="W1884" s="64"/>
      <c r="X1884" s="223"/>
      <c r="Y1884" s="223"/>
      <c r="Z1884" s="223"/>
      <c r="AA1884" s="223"/>
    </row>
    <row r="1885">
      <c r="A1885" s="42">
        <f t="shared" si="3"/>
        <v>1884</v>
      </c>
      <c r="B1885" s="51" t="s">
        <v>41</v>
      </c>
      <c r="C1885" s="53" t="s">
        <v>8436</v>
      </c>
      <c r="D1885" s="42" t="s">
        <v>44</v>
      </c>
      <c r="E1885" s="42" t="s">
        <v>44</v>
      </c>
      <c r="F1885" s="53" t="s">
        <v>8430</v>
      </c>
      <c r="G1885" s="53" t="s">
        <v>47</v>
      </c>
      <c r="H1885" s="53" t="s">
        <v>48</v>
      </c>
      <c r="I1885" s="53" t="s">
        <v>401</v>
      </c>
      <c r="J1885" s="53" t="s">
        <v>8431</v>
      </c>
      <c r="K1885" s="53" t="s">
        <v>51</v>
      </c>
      <c r="L1885" s="53" t="s">
        <v>52</v>
      </c>
      <c r="M1885" s="53" t="s">
        <v>52</v>
      </c>
      <c r="N1885" s="62" t="s">
        <v>8432</v>
      </c>
      <c r="O1885" s="62" t="s">
        <v>44</v>
      </c>
      <c r="P1885" s="62" t="s">
        <v>7324</v>
      </c>
      <c r="Q1885" s="62" t="s">
        <v>8301</v>
      </c>
      <c r="R1885" s="53"/>
      <c r="S1885" s="53"/>
      <c r="T1885" s="82"/>
      <c r="U1885" s="42"/>
      <c r="V1885" s="62"/>
      <c r="W1885" s="64"/>
      <c r="X1885" s="223"/>
      <c r="Y1885" s="223"/>
      <c r="Z1885" s="223"/>
      <c r="AA1885" s="223"/>
    </row>
    <row r="1886">
      <c r="A1886" s="42">
        <f t="shared" si="3"/>
        <v>1885</v>
      </c>
      <c r="B1886" s="51" t="s">
        <v>41</v>
      </c>
      <c r="C1886" s="53" t="s">
        <v>8437</v>
      </c>
      <c r="D1886" s="42" t="s">
        <v>44</v>
      </c>
      <c r="E1886" s="42" t="s">
        <v>44</v>
      </c>
      <c r="F1886" s="53" t="s">
        <v>8430</v>
      </c>
      <c r="G1886" s="53" t="s">
        <v>47</v>
      </c>
      <c r="H1886" s="53" t="s">
        <v>48</v>
      </c>
      <c r="I1886" s="53" t="s">
        <v>401</v>
      </c>
      <c r="J1886" s="53" t="s">
        <v>8431</v>
      </c>
      <c r="K1886" s="53" t="s">
        <v>51</v>
      </c>
      <c r="L1886" s="53" t="s">
        <v>52</v>
      </c>
      <c r="M1886" s="53" t="s">
        <v>52</v>
      </c>
      <c r="N1886" s="62" t="s">
        <v>8432</v>
      </c>
      <c r="O1886" s="62" t="s">
        <v>44</v>
      </c>
      <c r="P1886" s="62" t="s">
        <v>6082</v>
      </c>
      <c r="Q1886" s="62" t="s">
        <v>7770</v>
      </c>
      <c r="R1886" s="53"/>
      <c r="S1886" s="53"/>
      <c r="T1886" s="82"/>
      <c r="U1886" s="42"/>
      <c r="V1886" s="62"/>
      <c r="W1886" s="64"/>
      <c r="X1886" s="223"/>
      <c r="Y1886" s="223"/>
      <c r="Z1886" s="223"/>
      <c r="AA1886" s="223"/>
    </row>
    <row r="1887">
      <c r="A1887" s="42">
        <f t="shared" si="3"/>
        <v>1886</v>
      </c>
      <c r="B1887" s="51" t="s">
        <v>41</v>
      </c>
      <c r="C1887" s="53" t="s">
        <v>8438</v>
      </c>
      <c r="D1887" s="42" t="s">
        <v>44</v>
      </c>
      <c r="E1887" s="42" t="s">
        <v>44</v>
      </c>
      <c r="F1887" s="53" t="s">
        <v>8430</v>
      </c>
      <c r="G1887" s="53" t="s">
        <v>47</v>
      </c>
      <c r="H1887" s="53" t="s">
        <v>48</v>
      </c>
      <c r="I1887" s="53" t="s">
        <v>401</v>
      </c>
      <c r="J1887" s="53" t="s">
        <v>8431</v>
      </c>
      <c r="K1887" s="53" t="s">
        <v>51</v>
      </c>
      <c r="L1887" s="53" t="s">
        <v>52</v>
      </c>
      <c r="M1887" s="53" t="s">
        <v>52</v>
      </c>
      <c r="N1887" s="62" t="s">
        <v>8432</v>
      </c>
      <c r="O1887" s="62" t="s">
        <v>44</v>
      </c>
      <c r="P1887" s="62" t="s">
        <v>6085</v>
      </c>
      <c r="Q1887" s="62" t="s">
        <v>8177</v>
      </c>
      <c r="R1887" s="53"/>
      <c r="S1887" s="53"/>
      <c r="T1887" s="82"/>
      <c r="U1887" s="42"/>
      <c r="V1887" s="62"/>
      <c r="W1887" s="64"/>
      <c r="X1887" s="223"/>
      <c r="Y1887" s="223"/>
      <c r="Z1887" s="223"/>
      <c r="AA1887" s="223"/>
    </row>
    <row r="1888">
      <c r="A1888" s="42">
        <f t="shared" si="3"/>
        <v>1887</v>
      </c>
      <c r="B1888" s="51" t="s">
        <v>41</v>
      </c>
      <c r="C1888" s="53" t="s">
        <v>8439</v>
      </c>
      <c r="D1888" s="42" t="s">
        <v>44</v>
      </c>
      <c r="E1888" s="42" t="s">
        <v>44</v>
      </c>
      <c r="F1888" s="53" t="s">
        <v>8430</v>
      </c>
      <c r="G1888" s="53" t="s">
        <v>47</v>
      </c>
      <c r="H1888" s="53" t="s">
        <v>48</v>
      </c>
      <c r="I1888" s="53" t="s">
        <v>401</v>
      </c>
      <c r="J1888" s="53" t="s">
        <v>8431</v>
      </c>
      <c r="K1888" s="53" t="s">
        <v>51</v>
      </c>
      <c r="L1888" s="53" t="s">
        <v>52</v>
      </c>
      <c r="M1888" s="53" t="s">
        <v>52</v>
      </c>
      <c r="N1888" s="62" t="s">
        <v>8440</v>
      </c>
      <c r="O1888" s="62" t="s">
        <v>44</v>
      </c>
      <c r="P1888" s="62" t="s">
        <v>6429</v>
      </c>
      <c r="Q1888" s="62" t="s">
        <v>7773</v>
      </c>
      <c r="R1888" s="53"/>
      <c r="S1888" s="53"/>
      <c r="T1888" s="82"/>
      <c r="U1888" s="42"/>
      <c r="V1888" s="62"/>
      <c r="W1888" s="64"/>
      <c r="X1888" s="223"/>
      <c r="Y1888" s="223"/>
      <c r="Z1888" s="223"/>
      <c r="AA1888" s="223"/>
    </row>
    <row r="1889">
      <c r="A1889" s="42">
        <f t="shared" si="3"/>
        <v>1888</v>
      </c>
      <c r="B1889" s="51" t="s">
        <v>41</v>
      </c>
      <c r="C1889" s="53" t="s">
        <v>8441</v>
      </c>
      <c r="D1889" s="42" t="s">
        <v>44</v>
      </c>
      <c r="E1889" s="42" t="s">
        <v>44</v>
      </c>
      <c r="F1889" s="53" t="s">
        <v>8430</v>
      </c>
      <c r="G1889" s="53" t="s">
        <v>47</v>
      </c>
      <c r="H1889" s="53" t="s">
        <v>48</v>
      </c>
      <c r="I1889" s="53" t="s">
        <v>401</v>
      </c>
      <c r="J1889" s="53" t="s">
        <v>8431</v>
      </c>
      <c r="K1889" s="53" t="s">
        <v>51</v>
      </c>
      <c r="L1889" s="53" t="s">
        <v>52</v>
      </c>
      <c r="M1889" s="53" t="s">
        <v>52</v>
      </c>
      <c r="N1889" s="62" t="s">
        <v>8432</v>
      </c>
      <c r="O1889" s="62" t="s">
        <v>44</v>
      </c>
      <c r="P1889" s="62" t="s">
        <v>5448</v>
      </c>
      <c r="Q1889" s="62" t="s">
        <v>7775</v>
      </c>
      <c r="R1889" s="53"/>
      <c r="S1889" s="53"/>
      <c r="T1889" s="82"/>
      <c r="U1889" s="42"/>
      <c r="V1889" s="62"/>
      <c r="W1889" s="64"/>
      <c r="X1889" s="223"/>
      <c r="Y1889" s="223"/>
      <c r="Z1889" s="223"/>
      <c r="AA1889" s="223"/>
    </row>
    <row r="1890">
      <c r="A1890" s="42">
        <f t="shared" si="3"/>
        <v>1889</v>
      </c>
      <c r="B1890" s="51" t="s">
        <v>41</v>
      </c>
      <c r="C1890" s="53" t="s">
        <v>8442</v>
      </c>
      <c r="D1890" s="42" t="s">
        <v>44</v>
      </c>
      <c r="E1890" s="42" t="s">
        <v>44</v>
      </c>
      <c r="F1890" s="53" t="s">
        <v>8430</v>
      </c>
      <c r="G1890" s="53" t="s">
        <v>47</v>
      </c>
      <c r="H1890" s="53" t="s">
        <v>48</v>
      </c>
      <c r="I1890" s="53" t="s">
        <v>401</v>
      </c>
      <c r="J1890" s="53" t="s">
        <v>8431</v>
      </c>
      <c r="K1890" s="53" t="s">
        <v>51</v>
      </c>
      <c r="L1890" s="53" t="s">
        <v>52</v>
      </c>
      <c r="M1890" s="53" t="s">
        <v>52</v>
      </c>
      <c r="N1890" s="62" t="s">
        <v>8432</v>
      </c>
      <c r="O1890" s="62" t="s">
        <v>44</v>
      </c>
      <c r="P1890" s="62" t="s">
        <v>1002</v>
      </c>
      <c r="Q1890" s="62" t="s">
        <v>6246</v>
      </c>
      <c r="R1890" s="53"/>
      <c r="S1890" s="53"/>
      <c r="T1890" s="82"/>
      <c r="U1890" s="42"/>
      <c r="V1890" s="62"/>
      <c r="W1890" s="64"/>
      <c r="X1890" s="223"/>
      <c r="Y1890" s="223"/>
      <c r="Z1890" s="223"/>
      <c r="AA1890" s="223"/>
    </row>
    <row r="1891">
      <c r="A1891" s="42">
        <f t="shared" si="3"/>
        <v>1890</v>
      </c>
      <c r="B1891" s="51" t="s">
        <v>41</v>
      </c>
      <c r="C1891" s="53" t="s">
        <v>8443</v>
      </c>
      <c r="D1891" s="42" t="s">
        <v>44</v>
      </c>
      <c r="E1891" s="42" t="s">
        <v>44</v>
      </c>
      <c r="F1891" s="53" t="s">
        <v>8430</v>
      </c>
      <c r="G1891" s="53" t="s">
        <v>47</v>
      </c>
      <c r="H1891" s="53" t="s">
        <v>48</v>
      </c>
      <c r="I1891" s="53" t="s">
        <v>401</v>
      </c>
      <c r="J1891" s="53" t="s">
        <v>8431</v>
      </c>
      <c r="K1891" s="53" t="s">
        <v>51</v>
      </c>
      <c r="L1891" s="53" t="s">
        <v>52</v>
      </c>
      <c r="M1891" s="53" t="s">
        <v>52</v>
      </c>
      <c r="N1891" s="62" t="s">
        <v>8432</v>
      </c>
      <c r="O1891" s="62" t="s">
        <v>44</v>
      </c>
      <c r="P1891" s="62" t="s">
        <v>1009</v>
      </c>
      <c r="Q1891" s="62" t="s">
        <v>7778</v>
      </c>
      <c r="R1891" s="53"/>
      <c r="S1891" s="53"/>
      <c r="T1891" s="82"/>
      <c r="U1891" s="42"/>
      <c r="V1891" s="62"/>
      <c r="W1891" s="64"/>
      <c r="X1891" s="223"/>
      <c r="Y1891" s="223"/>
      <c r="Z1891" s="223"/>
      <c r="AA1891" s="223"/>
    </row>
    <row r="1892">
      <c r="A1892" s="42">
        <f t="shared" si="3"/>
        <v>1891</v>
      </c>
      <c r="B1892" s="51" t="s">
        <v>41</v>
      </c>
      <c r="C1892" s="53" t="s">
        <v>8444</v>
      </c>
      <c r="D1892" s="42" t="s">
        <v>44</v>
      </c>
      <c r="E1892" s="42" t="s">
        <v>44</v>
      </c>
      <c r="F1892" s="53" t="s">
        <v>8430</v>
      </c>
      <c r="G1892" s="53" t="s">
        <v>47</v>
      </c>
      <c r="H1892" s="53" t="s">
        <v>48</v>
      </c>
      <c r="I1892" s="53" t="s">
        <v>401</v>
      </c>
      <c r="J1892" s="53" t="s">
        <v>8431</v>
      </c>
      <c r="K1892" s="53" t="s">
        <v>51</v>
      </c>
      <c r="L1892" s="53" t="s">
        <v>52</v>
      </c>
      <c r="M1892" s="53" t="s">
        <v>52</v>
      </c>
      <c r="N1892" s="62" t="s">
        <v>8432</v>
      </c>
      <c r="O1892" s="62" t="s">
        <v>44</v>
      </c>
      <c r="P1892" s="62" t="s">
        <v>8445</v>
      </c>
      <c r="Q1892" s="62" t="s">
        <v>8446</v>
      </c>
      <c r="R1892" s="53"/>
      <c r="S1892" s="53"/>
      <c r="T1892" s="82"/>
      <c r="U1892" s="42"/>
      <c r="V1892" s="62"/>
      <c r="W1892" s="64"/>
      <c r="X1892" s="223"/>
      <c r="Y1892" s="223"/>
      <c r="Z1892" s="223"/>
      <c r="AA1892" s="223"/>
    </row>
    <row r="1893">
      <c r="A1893" s="42">
        <f t="shared" si="3"/>
        <v>1892</v>
      </c>
      <c r="B1893" s="51" t="s">
        <v>41</v>
      </c>
      <c r="C1893" s="53" t="s">
        <v>8447</v>
      </c>
      <c r="D1893" s="42" t="s">
        <v>44</v>
      </c>
      <c r="E1893" s="42" t="s">
        <v>44</v>
      </c>
      <c r="F1893" s="53" t="s">
        <v>8430</v>
      </c>
      <c r="G1893" s="53" t="s">
        <v>47</v>
      </c>
      <c r="H1893" s="53" t="s">
        <v>48</v>
      </c>
      <c r="I1893" s="53" t="s">
        <v>401</v>
      </c>
      <c r="J1893" s="53" t="s">
        <v>8431</v>
      </c>
      <c r="K1893" s="53" t="s">
        <v>51</v>
      </c>
      <c r="L1893" s="53" t="s">
        <v>52</v>
      </c>
      <c r="M1893" s="53" t="s">
        <v>52</v>
      </c>
      <c r="N1893" s="62" t="s">
        <v>8432</v>
      </c>
      <c r="O1893" s="62" t="s">
        <v>44</v>
      </c>
      <c r="P1893" s="62" t="s">
        <v>8448</v>
      </c>
      <c r="Q1893" s="62" t="s">
        <v>8449</v>
      </c>
      <c r="R1893" s="53"/>
      <c r="S1893" s="53"/>
      <c r="T1893" s="82"/>
      <c r="U1893" s="42"/>
      <c r="V1893" s="62"/>
      <c r="W1893" s="64"/>
      <c r="X1893" s="223"/>
      <c r="Y1893" s="223"/>
      <c r="Z1893" s="223"/>
      <c r="AA1893" s="223"/>
    </row>
    <row r="1894">
      <c r="A1894" s="42">
        <f t="shared" si="3"/>
        <v>1893</v>
      </c>
      <c r="B1894" s="51" t="s">
        <v>41</v>
      </c>
      <c r="C1894" s="53" t="s">
        <v>8450</v>
      </c>
      <c r="D1894" s="42" t="s">
        <v>44</v>
      </c>
      <c r="E1894" s="42" t="s">
        <v>44</v>
      </c>
      <c r="F1894" s="53" t="s">
        <v>8430</v>
      </c>
      <c r="G1894" s="53" t="s">
        <v>47</v>
      </c>
      <c r="H1894" s="53" t="s">
        <v>48</v>
      </c>
      <c r="I1894" s="53" t="s">
        <v>401</v>
      </c>
      <c r="J1894" s="53" t="s">
        <v>8431</v>
      </c>
      <c r="K1894" s="53" t="s">
        <v>51</v>
      </c>
      <c r="L1894" s="53" t="s">
        <v>52</v>
      </c>
      <c r="M1894" s="53" t="s">
        <v>52</v>
      </c>
      <c r="N1894" s="62" t="s">
        <v>8432</v>
      </c>
      <c r="O1894" s="62" t="s">
        <v>44</v>
      </c>
      <c r="P1894" s="62" t="s">
        <v>8451</v>
      </c>
      <c r="Q1894" s="62" t="s">
        <v>8452</v>
      </c>
      <c r="R1894" s="53"/>
      <c r="S1894" s="53"/>
      <c r="T1894" s="82"/>
      <c r="U1894" s="42"/>
      <c r="V1894" s="62"/>
      <c r="W1894" s="64"/>
      <c r="X1894" s="223"/>
      <c r="Y1894" s="223"/>
      <c r="Z1894" s="223"/>
      <c r="AA1894" s="223"/>
    </row>
    <row r="1895">
      <c r="A1895" s="42">
        <f t="shared" si="3"/>
        <v>1894</v>
      </c>
      <c r="B1895" s="51" t="s">
        <v>41</v>
      </c>
      <c r="C1895" s="53" t="s">
        <v>8453</v>
      </c>
      <c r="D1895" s="42" t="s">
        <v>44</v>
      </c>
      <c r="E1895" s="42" t="s">
        <v>44</v>
      </c>
      <c r="F1895" s="53" t="s">
        <v>8430</v>
      </c>
      <c r="G1895" s="53" t="s">
        <v>47</v>
      </c>
      <c r="H1895" s="53" t="s">
        <v>95</v>
      </c>
      <c r="I1895" s="53" t="s">
        <v>401</v>
      </c>
      <c r="J1895" s="53" t="s">
        <v>8431</v>
      </c>
      <c r="K1895" s="53" t="s">
        <v>51</v>
      </c>
      <c r="L1895" s="53" t="s">
        <v>52</v>
      </c>
      <c r="M1895" s="53" t="s">
        <v>52</v>
      </c>
      <c r="N1895" s="62" t="s">
        <v>8432</v>
      </c>
      <c r="O1895" s="62" t="s">
        <v>44</v>
      </c>
      <c r="P1895" s="62" t="s">
        <v>8454</v>
      </c>
      <c r="Q1895" s="62" t="s">
        <v>8455</v>
      </c>
      <c r="R1895" s="53"/>
      <c r="S1895" s="53"/>
      <c r="T1895" s="82"/>
      <c r="U1895" s="42"/>
      <c r="V1895" s="62"/>
      <c r="W1895" s="64"/>
      <c r="X1895" s="223"/>
      <c r="Y1895" s="223"/>
      <c r="Z1895" s="223"/>
      <c r="AA1895" s="223"/>
    </row>
    <row r="1896">
      <c r="A1896" s="42">
        <f t="shared" si="3"/>
        <v>1895</v>
      </c>
      <c r="B1896" s="51" t="s">
        <v>41</v>
      </c>
      <c r="C1896" s="53" t="s">
        <v>8456</v>
      </c>
      <c r="D1896" s="42" t="s">
        <v>44</v>
      </c>
      <c r="E1896" s="42" t="s">
        <v>44</v>
      </c>
      <c r="F1896" s="53" t="s">
        <v>8430</v>
      </c>
      <c r="G1896" s="53" t="s">
        <v>47</v>
      </c>
      <c r="H1896" s="53" t="s">
        <v>48</v>
      </c>
      <c r="I1896" s="53" t="s">
        <v>401</v>
      </c>
      <c r="J1896" s="53" t="s">
        <v>8431</v>
      </c>
      <c r="K1896" s="53" t="s">
        <v>51</v>
      </c>
      <c r="L1896" s="53" t="s">
        <v>52</v>
      </c>
      <c r="M1896" s="53" t="s">
        <v>52</v>
      </c>
      <c r="N1896" s="62" t="s">
        <v>8432</v>
      </c>
      <c r="O1896" s="62" t="s">
        <v>44</v>
      </c>
      <c r="P1896" s="62" t="s">
        <v>8457</v>
      </c>
      <c r="Q1896" s="62" t="s">
        <v>8458</v>
      </c>
      <c r="R1896" s="53"/>
      <c r="S1896" s="53"/>
      <c r="T1896" s="82"/>
      <c r="U1896" s="42"/>
      <c r="V1896" s="62"/>
      <c r="W1896" s="64"/>
      <c r="X1896" s="223"/>
      <c r="Y1896" s="223"/>
      <c r="Z1896" s="223"/>
      <c r="AA1896" s="223"/>
    </row>
    <row r="1897">
      <c r="A1897" s="42">
        <f t="shared" si="3"/>
        <v>1896</v>
      </c>
      <c r="B1897" s="51" t="s">
        <v>41</v>
      </c>
      <c r="C1897" s="53" t="s">
        <v>8459</v>
      </c>
      <c r="D1897" s="42" t="s">
        <v>44</v>
      </c>
      <c r="E1897" s="42" t="s">
        <v>44</v>
      </c>
      <c r="F1897" s="53" t="s">
        <v>8430</v>
      </c>
      <c r="G1897" s="53" t="s">
        <v>47</v>
      </c>
      <c r="H1897" s="53" t="s">
        <v>48</v>
      </c>
      <c r="I1897" s="53" t="s">
        <v>401</v>
      </c>
      <c r="J1897" s="53" t="s">
        <v>8431</v>
      </c>
      <c r="K1897" s="53" t="s">
        <v>51</v>
      </c>
      <c r="L1897" s="53" t="s">
        <v>52</v>
      </c>
      <c r="M1897" s="53" t="s">
        <v>52</v>
      </c>
      <c r="N1897" s="62" t="s">
        <v>8432</v>
      </c>
      <c r="O1897" s="62" t="s">
        <v>44</v>
      </c>
      <c r="P1897" s="62" t="s">
        <v>8460</v>
      </c>
      <c r="Q1897" s="62" t="s">
        <v>8461</v>
      </c>
      <c r="R1897" s="53"/>
      <c r="S1897" s="53"/>
      <c r="T1897" s="82"/>
      <c r="U1897" s="42"/>
      <c r="V1897" s="62"/>
      <c r="W1897" s="64"/>
      <c r="X1897" s="223"/>
      <c r="Y1897" s="223"/>
      <c r="Z1897" s="223"/>
      <c r="AA1897" s="223"/>
    </row>
    <row r="1898">
      <c r="A1898" s="42">
        <f t="shared" si="3"/>
        <v>1897</v>
      </c>
      <c r="B1898" s="51" t="s">
        <v>41</v>
      </c>
      <c r="C1898" s="53" t="s">
        <v>8462</v>
      </c>
      <c r="D1898" s="42" t="s">
        <v>44</v>
      </c>
      <c r="E1898" s="42" t="s">
        <v>44</v>
      </c>
      <c r="F1898" s="53" t="s">
        <v>8430</v>
      </c>
      <c r="G1898" s="53" t="s">
        <v>47</v>
      </c>
      <c r="H1898" s="53" t="s">
        <v>48</v>
      </c>
      <c r="I1898" s="53" t="s">
        <v>401</v>
      </c>
      <c r="J1898" s="53" t="s">
        <v>8431</v>
      </c>
      <c r="K1898" s="53" t="s">
        <v>51</v>
      </c>
      <c r="L1898" s="53" t="s">
        <v>52</v>
      </c>
      <c r="M1898" s="53" t="s">
        <v>52</v>
      </c>
      <c r="N1898" s="62" t="s">
        <v>8432</v>
      </c>
      <c r="O1898" s="62" t="s">
        <v>44</v>
      </c>
      <c r="P1898" s="62" t="s">
        <v>8463</v>
      </c>
      <c r="Q1898" s="62" t="s">
        <v>8464</v>
      </c>
      <c r="R1898" s="53"/>
      <c r="S1898" s="53"/>
      <c r="T1898" s="82"/>
      <c r="U1898" s="42"/>
      <c r="V1898" s="62"/>
      <c r="W1898" s="64"/>
      <c r="X1898" s="223"/>
      <c r="Y1898" s="223"/>
      <c r="Z1898" s="223"/>
      <c r="AA1898" s="223"/>
    </row>
    <row r="1899">
      <c r="A1899" s="42">
        <f t="shared" si="3"/>
        <v>1898</v>
      </c>
      <c r="B1899" s="51" t="s">
        <v>41</v>
      </c>
      <c r="C1899" s="53" t="s">
        <v>8465</v>
      </c>
      <c r="D1899" s="42" t="s">
        <v>44</v>
      </c>
      <c r="E1899" s="42" t="s">
        <v>44</v>
      </c>
      <c r="F1899" s="53" t="s">
        <v>8430</v>
      </c>
      <c r="G1899" s="53" t="s">
        <v>47</v>
      </c>
      <c r="H1899" s="53" t="s">
        <v>48</v>
      </c>
      <c r="I1899" s="53" t="s">
        <v>401</v>
      </c>
      <c r="J1899" s="53" t="s">
        <v>8431</v>
      </c>
      <c r="K1899" s="53" t="s">
        <v>51</v>
      </c>
      <c r="L1899" s="53" t="s">
        <v>52</v>
      </c>
      <c r="M1899" s="53" t="s">
        <v>52</v>
      </c>
      <c r="N1899" s="62" t="s">
        <v>8466</v>
      </c>
      <c r="O1899" s="62" t="s">
        <v>44</v>
      </c>
      <c r="P1899" s="62" t="s">
        <v>8467</v>
      </c>
      <c r="Q1899" s="62" t="s">
        <v>8468</v>
      </c>
      <c r="R1899" s="53"/>
      <c r="S1899" s="53"/>
      <c r="T1899" s="82"/>
      <c r="U1899" s="42"/>
      <c r="V1899" s="62"/>
      <c r="W1899" s="64"/>
      <c r="X1899" s="223"/>
      <c r="Y1899" s="223"/>
      <c r="Z1899" s="223"/>
      <c r="AA1899" s="223"/>
    </row>
    <row r="1900">
      <c r="A1900" s="42">
        <f t="shared" si="3"/>
        <v>1899</v>
      </c>
      <c r="B1900" s="51" t="s">
        <v>41</v>
      </c>
      <c r="C1900" s="53" t="s">
        <v>8469</v>
      </c>
      <c r="D1900" s="42" t="s">
        <v>44</v>
      </c>
      <c r="E1900" s="42" t="s">
        <v>44</v>
      </c>
      <c r="F1900" s="53" t="s">
        <v>8430</v>
      </c>
      <c r="G1900" s="53" t="s">
        <v>47</v>
      </c>
      <c r="H1900" s="53" t="s">
        <v>95</v>
      </c>
      <c r="I1900" s="53" t="s">
        <v>401</v>
      </c>
      <c r="J1900" s="53" t="s">
        <v>8431</v>
      </c>
      <c r="K1900" s="53" t="s">
        <v>51</v>
      </c>
      <c r="L1900" s="53" t="s">
        <v>52</v>
      </c>
      <c r="M1900" s="53" t="s">
        <v>52</v>
      </c>
      <c r="N1900" s="62" t="s">
        <v>8470</v>
      </c>
      <c r="O1900" s="62" t="s">
        <v>44</v>
      </c>
      <c r="P1900" s="62" t="s">
        <v>8471</v>
      </c>
      <c r="Q1900" s="62" t="s">
        <v>8472</v>
      </c>
      <c r="R1900" s="53"/>
      <c r="S1900" s="53"/>
      <c r="T1900" s="82"/>
      <c r="U1900" s="42"/>
      <c r="V1900" s="62"/>
      <c r="W1900" s="64"/>
      <c r="X1900" s="223"/>
      <c r="Y1900" s="223"/>
      <c r="Z1900" s="223"/>
      <c r="AA1900" s="223"/>
    </row>
    <row r="1901">
      <c r="A1901" s="42">
        <f t="shared" si="3"/>
        <v>1900</v>
      </c>
      <c r="B1901" s="51" t="s">
        <v>41</v>
      </c>
      <c r="C1901" s="53" t="s">
        <v>8473</v>
      </c>
      <c r="D1901" s="42" t="s">
        <v>44</v>
      </c>
      <c r="E1901" s="42" t="s">
        <v>44</v>
      </c>
      <c r="F1901" s="53" t="s">
        <v>8430</v>
      </c>
      <c r="G1901" s="53" t="s">
        <v>111</v>
      </c>
      <c r="H1901" s="53" t="s">
        <v>91</v>
      </c>
      <c r="I1901" s="53" t="s">
        <v>401</v>
      </c>
      <c r="J1901" s="53" t="s">
        <v>8431</v>
      </c>
      <c r="K1901" s="53" t="s">
        <v>51</v>
      </c>
      <c r="L1901" s="53" t="s">
        <v>52</v>
      </c>
      <c r="M1901" s="53" t="s">
        <v>52</v>
      </c>
      <c r="N1901" s="62" t="s">
        <v>8432</v>
      </c>
      <c r="O1901" s="62" t="s">
        <v>44</v>
      </c>
      <c r="P1901" s="62" t="s">
        <v>8474</v>
      </c>
      <c r="Q1901" s="62" t="s">
        <v>8475</v>
      </c>
      <c r="R1901" s="53"/>
      <c r="S1901" s="53"/>
      <c r="T1901" s="82"/>
      <c r="U1901" s="42"/>
      <c r="V1901" s="62"/>
      <c r="W1901" s="64"/>
      <c r="X1901" s="223"/>
      <c r="Y1901" s="223"/>
      <c r="Z1901" s="223"/>
      <c r="AA1901" s="223"/>
    </row>
    <row r="1902">
      <c r="A1902" s="42">
        <f t="shared" si="3"/>
        <v>1901</v>
      </c>
      <c r="B1902" s="51" t="s">
        <v>41</v>
      </c>
      <c r="C1902" s="53" t="s">
        <v>8476</v>
      </c>
      <c r="D1902" s="42" t="s">
        <v>44</v>
      </c>
      <c r="E1902" s="42" t="s">
        <v>44</v>
      </c>
      <c r="F1902" s="53" t="s">
        <v>8477</v>
      </c>
      <c r="G1902" s="53" t="s">
        <v>47</v>
      </c>
      <c r="H1902" s="53" t="s">
        <v>48</v>
      </c>
      <c r="I1902" s="53" t="s">
        <v>485</v>
      </c>
      <c r="J1902" s="53" t="s">
        <v>8478</v>
      </c>
      <c r="K1902" s="53" t="s">
        <v>927</v>
      </c>
      <c r="L1902" s="53" t="s">
        <v>52</v>
      </c>
      <c r="M1902" s="53" t="s">
        <v>52</v>
      </c>
      <c r="N1902" s="62" t="s">
        <v>8479</v>
      </c>
      <c r="O1902" s="62" t="s">
        <v>44</v>
      </c>
      <c r="P1902" s="62" t="s">
        <v>8480</v>
      </c>
      <c r="Q1902" s="62" t="s">
        <v>8481</v>
      </c>
      <c r="R1902" s="53"/>
      <c r="S1902" s="53"/>
      <c r="T1902" s="82"/>
      <c r="U1902" s="42"/>
      <c r="V1902" s="62"/>
      <c r="W1902" s="64"/>
      <c r="X1902" s="223"/>
      <c r="Y1902" s="223"/>
      <c r="Z1902" s="223"/>
      <c r="AA1902" s="223"/>
    </row>
    <row r="1903">
      <c r="A1903" s="42">
        <f t="shared" si="3"/>
        <v>1902</v>
      </c>
      <c r="B1903" s="51" t="s">
        <v>41</v>
      </c>
      <c r="C1903" s="53" t="s">
        <v>8482</v>
      </c>
      <c r="D1903" s="42" t="s">
        <v>44</v>
      </c>
      <c r="E1903" s="42" t="s">
        <v>44</v>
      </c>
      <c r="F1903" s="53" t="s">
        <v>8477</v>
      </c>
      <c r="G1903" s="53" t="s">
        <v>47</v>
      </c>
      <c r="H1903" s="53" t="s">
        <v>48</v>
      </c>
      <c r="I1903" s="53" t="s">
        <v>485</v>
      </c>
      <c r="J1903" s="53" t="s">
        <v>8478</v>
      </c>
      <c r="K1903" s="53" t="s">
        <v>927</v>
      </c>
      <c r="L1903" s="53" t="s">
        <v>52</v>
      </c>
      <c r="M1903" s="53" t="s">
        <v>52</v>
      </c>
      <c r="N1903" s="62" t="s">
        <v>8483</v>
      </c>
      <c r="O1903" s="62" t="s">
        <v>44</v>
      </c>
      <c r="P1903" s="62" t="s">
        <v>8484</v>
      </c>
      <c r="Q1903" s="62" t="s">
        <v>8485</v>
      </c>
      <c r="R1903" s="53"/>
      <c r="S1903" s="53"/>
      <c r="T1903" s="82"/>
      <c r="U1903" s="42"/>
      <c r="V1903" s="62"/>
      <c r="W1903" s="64"/>
      <c r="X1903" s="223"/>
      <c r="Y1903" s="223"/>
      <c r="Z1903" s="223"/>
      <c r="AA1903" s="223"/>
    </row>
    <row r="1904">
      <c r="A1904" s="42">
        <f t="shared" si="3"/>
        <v>1903</v>
      </c>
      <c r="B1904" s="51" t="s">
        <v>41</v>
      </c>
      <c r="C1904" s="53" t="s">
        <v>8486</v>
      </c>
      <c r="D1904" s="42" t="s">
        <v>44</v>
      </c>
      <c r="E1904" s="42" t="s">
        <v>44</v>
      </c>
      <c r="F1904" s="53" t="s">
        <v>8477</v>
      </c>
      <c r="G1904" s="53" t="s">
        <v>47</v>
      </c>
      <c r="H1904" s="53" t="s">
        <v>91</v>
      </c>
      <c r="I1904" s="53" t="s">
        <v>485</v>
      </c>
      <c r="J1904" s="53" t="s">
        <v>8478</v>
      </c>
      <c r="K1904" s="53" t="s">
        <v>927</v>
      </c>
      <c r="L1904" s="53" t="s">
        <v>52</v>
      </c>
      <c r="M1904" s="53" t="s">
        <v>52</v>
      </c>
      <c r="N1904" s="62" t="s">
        <v>8487</v>
      </c>
      <c r="O1904" s="62" t="s">
        <v>44</v>
      </c>
      <c r="P1904" s="62" t="s">
        <v>8488</v>
      </c>
      <c r="Q1904" s="62" t="s">
        <v>8489</v>
      </c>
      <c r="R1904" s="53"/>
      <c r="S1904" s="53"/>
      <c r="T1904" s="82"/>
      <c r="U1904" s="42"/>
      <c r="V1904" s="62"/>
      <c r="W1904" s="64"/>
      <c r="X1904" s="223"/>
      <c r="Y1904" s="223"/>
      <c r="Z1904" s="223"/>
      <c r="AA1904" s="223"/>
    </row>
    <row r="1905">
      <c r="A1905" s="42">
        <f t="shared" si="3"/>
        <v>1904</v>
      </c>
      <c r="B1905" s="51" t="s">
        <v>41</v>
      </c>
      <c r="C1905" s="53" t="s">
        <v>8490</v>
      </c>
      <c r="D1905" s="42" t="s">
        <v>44</v>
      </c>
      <c r="E1905" s="42" t="s">
        <v>44</v>
      </c>
      <c r="F1905" s="53" t="s">
        <v>8491</v>
      </c>
      <c r="G1905" s="53" t="s">
        <v>47</v>
      </c>
      <c r="H1905" s="53" t="s">
        <v>48</v>
      </c>
      <c r="I1905" s="53" t="s">
        <v>485</v>
      </c>
      <c r="J1905" s="53" t="s">
        <v>8478</v>
      </c>
      <c r="K1905" s="53" t="s">
        <v>927</v>
      </c>
      <c r="L1905" s="53" t="s">
        <v>52</v>
      </c>
      <c r="M1905" s="53" t="s">
        <v>52</v>
      </c>
      <c r="N1905" s="62" t="s">
        <v>8479</v>
      </c>
      <c r="O1905" s="62" t="s">
        <v>44</v>
      </c>
      <c r="P1905" s="62" t="s">
        <v>8480</v>
      </c>
      <c r="Q1905" s="62" t="s">
        <v>8492</v>
      </c>
      <c r="R1905" s="53"/>
      <c r="S1905" s="53"/>
      <c r="T1905" s="82"/>
      <c r="U1905" s="42"/>
      <c r="V1905" s="62"/>
      <c r="W1905" s="64"/>
      <c r="X1905" s="223"/>
      <c r="Y1905" s="223"/>
      <c r="Z1905" s="223"/>
      <c r="AA1905" s="223"/>
    </row>
    <row r="1906">
      <c r="A1906" s="42">
        <f t="shared" si="3"/>
        <v>1905</v>
      </c>
      <c r="B1906" s="51" t="s">
        <v>41</v>
      </c>
      <c r="C1906" s="53" t="s">
        <v>8493</v>
      </c>
      <c r="D1906" s="42" t="s">
        <v>44</v>
      </c>
      <c r="E1906" s="42" t="s">
        <v>44</v>
      </c>
      <c r="F1906" s="53" t="s">
        <v>8491</v>
      </c>
      <c r="G1906" s="53" t="s">
        <v>47</v>
      </c>
      <c r="H1906" s="53" t="s">
        <v>48</v>
      </c>
      <c r="I1906" s="53" t="s">
        <v>485</v>
      </c>
      <c r="J1906" s="53" t="s">
        <v>8478</v>
      </c>
      <c r="K1906" s="53" t="s">
        <v>927</v>
      </c>
      <c r="L1906" s="53" t="s">
        <v>52</v>
      </c>
      <c r="M1906" s="53" t="s">
        <v>52</v>
      </c>
      <c r="N1906" s="62" t="s">
        <v>8483</v>
      </c>
      <c r="O1906" s="62" t="s">
        <v>44</v>
      </c>
      <c r="P1906" s="62" t="s">
        <v>8484</v>
      </c>
      <c r="Q1906" s="62" t="s">
        <v>8494</v>
      </c>
      <c r="R1906" s="53"/>
      <c r="S1906" s="53"/>
      <c r="T1906" s="82"/>
      <c r="U1906" s="42"/>
      <c r="V1906" s="62"/>
      <c r="W1906" s="64"/>
      <c r="X1906" s="223"/>
      <c r="Y1906" s="223"/>
      <c r="Z1906" s="223"/>
      <c r="AA1906" s="223"/>
    </row>
    <row r="1907">
      <c r="A1907" s="42">
        <f t="shared" si="3"/>
        <v>1906</v>
      </c>
      <c r="B1907" s="51" t="s">
        <v>41</v>
      </c>
      <c r="C1907" s="53" t="s">
        <v>8495</v>
      </c>
      <c r="D1907" s="42" t="s">
        <v>44</v>
      </c>
      <c r="E1907" s="42" t="s">
        <v>44</v>
      </c>
      <c r="F1907" s="53" t="s">
        <v>8491</v>
      </c>
      <c r="G1907" s="53" t="s">
        <v>47</v>
      </c>
      <c r="H1907" s="53" t="s">
        <v>91</v>
      </c>
      <c r="I1907" s="53" t="s">
        <v>485</v>
      </c>
      <c r="J1907" s="53" t="s">
        <v>8478</v>
      </c>
      <c r="K1907" s="53" t="s">
        <v>927</v>
      </c>
      <c r="L1907" s="53" t="s">
        <v>52</v>
      </c>
      <c r="M1907" s="53" t="s">
        <v>52</v>
      </c>
      <c r="N1907" s="62" t="s">
        <v>8496</v>
      </c>
      <c r="O1907" s="62" t="s">
        <v>44</v>
      </c>
      <c r="P1907" s="62" t="s">
        <v>8497</v>
      </c>
      <c r="Q1907" s="62" t="s">
        <v>8489</v>
      </c>
      <c r="R1907" s="53"/>
      <c r="S1907" s="53"/>
      <c r="T1907" s="82"/>
      <c r="U1907" s="42"/>
      <c r="V1907" s="62"/>
      <c r="W1907" s="64"/>
      <c r="X1907" s="223"/>
      <c r="Y1907" s="223"/>
      <c r="Z1907" s="223"/>
      <c r="AA1907" s="223"/>
    </row>
    <row r="1908">
      <c r="A1908" s="42">
        <f t="shared" si="3"/>
        <v>1907</v>
      </c>
      <c r="B1908" s="51" t="s">
        <v>41</v>
      </c>
      <c r="C1908" s="53" t="s">
        <v>8498</v>
      </c>
      <c r="D1908" s="42" t="s">
        <v>44</v>
      </c>
      <c r="E1908" s="42" t="s">
        <v>44</v>
      </c>
      <c r="F1908" s="53" t="s">
        <v>6396</v>
      </c>
      <c r="G1908" s="53" t="s">
        <v>47</v>
      </c>
      <c r="H1908" s="53" t="s">
        <v>48</v>
      </c>
      <c r="I1908" s="53" t="s">
        <v>401</v>
      </c>
      <c r="J1908" s="53" t="s">
        <v>8478</v>
      </c>
      <c r="K1908" s="53" t="s">
        <v>927</v>
      </c>
      <c r="L1908" s="53" t="s">
        <v>52</v>
      </c>
      <c r="M1908" s="53" t="s">
        <v>52</v>
      </c>
      <c r="N1908" s="62" t="s">
        <v>8499</v>
      </c>
      <c r="O1908" s="62" t="s">
        <v>44</v>
      </c>
      <c r="P1908" s="62" t="s">
        <v>8500</v>
      </c>
      <c r="Q1908" s="62" t="s">
        <v>8501</v>
      </c>
      <c r="R1908" s="53"/>
      <c r="S1908" s="53"/>
      <c r="T1908" s="82"/>
      <c r="U1908" s="42"/>
      <c r="V1908" s="62"/>
      <c r="W1908" s="64"/>
      <c r="X1908" s="223"/>
      <c r="Y1908" s="223"/>
      <c r="Z1908" s="223"/>
      <c r="AA1908" s="223"/>
    </row>
    <row r="1909">
      <c r="A1909" s="42">
        <f t="shared" si="3"/>
        <v>1908</v>
      </c>
      <c r="B1909" s="51" t="s">
        <v>41</v>
      </c>
      <c r="C1909" s="53" t="s">
        <v>8502</v>
      </c>
      <c r="D1909" s="42" t="s">
        <v>44</v>
      </c>
      <c r="E1909" s="42" t="s">
        <v>44</v>
      </c>
      <c r="F1909" s="53" t="s">
        <v>6396</v>
      </c>
      <c r="G1909" s="53" t="s">
        <v>47</v>
      </c>
      <c r="H1909" s="53" t="s">
        <v>48</v>
      </c>
      <c r="I1909" s="53" t="s">
        <v>401</v>
      </c>
      <c r="J1909" s="53" t="s">
        <v>8478</v>
      </c>
      <c r="K1909" s="53" t="s">
        <v>927</v>
      </c>
      <c r="L1909" s="53" t="s">
        <v>52</v>
      </c>
      <c r="M1909" s="53" t="s">
        <v>52</v>
      </c>
      <c r="N1909" s="62" t="s">
        <v>8503</v>
      </c>
      <c r="O1909" s="62" t="s">
        <v>44</v>
      </c>
      <c r="P1909" s="62" t="s">
        <v>8504</v>
      </c>
      <c r="Q1909" s="62" t="s">
        <v>8505</v>
      </c>
      <c r="R1909" s="53"/>
      <c r="S1909" s="53"/>
      <c r="T1909" s="82"/>
      <c r="U1909" s="42"/>
      <c r="V1909" s="62"/>
      <c r="W1909" s="64"/>
      <c r="X1909" s="223"/>
      <c r="Y1909" s="223"/>
      <c r="Z1909" s="223"/>
      <c r="AA1909" s="223"/>
    </row>
    <row r="1910">
      <c r="A1910" s="42">
        <f t="shared" si="3"/>
        <v>1909</v>
      </c>
      <c r="B1910" s="51" t="s">
        <v>41</v>
      </c>
      <c r="C1910" s="53" t="s">
        <v>8506</v>
      </c>
      <c r="D1910" s="42" t="s">
        <v>44</v>
      </c>
      <c r="E1910" s="42" t="s">
        <v>44</v>
      </c>
      <c r="F1910" s="53" t="s">
        <v>6396</v>
      </c>
      <c r="G1910" s="53" t="s">
        <v>47</v>
      </c>
      <c r="H1910" s="53" t="s">
        <v>91</v>
      </c>
      <c r="I1910" s="53" t="s">
        <v>401</v>
      </c>
      <c r="J1910" s="53" t="s">
        <v>8478</v>
      </c>
      <c r="K1910" s="53" t="s">
        <v>927</v>
      </c>
      <c r="L1910" s="53" t="s">
        <v>52</v>
      </c>
      <c r="M1910" s="53" t="s">
        <v>52</v>
      </c>
      <c r="N1910" s="62" t="s">
        <v>8507</v>
      </c>
      <c r="O1910" s="62" t="s">
        <v>44</v>
      </c>
      <c r="P1910" s="62" t="s">
        <v>8508</v>
      </c>
      <c r="Q1910" s="62" t="s">
        <v>8489</v>
      </c>
      <c r="R1910" s="53"/>
      <c r="S1910" s="53"/>
      <c r="T1910" s="82"/>
      <c r="U1910" s="42"/>
      <c r="V1910" s="62"/>
      <c r="W1910" s="64"/>
      <c r="X1910" s="223"/>
      <c r="Y1910" s="223"/>
      <c r="Z1910" s="223"/>
      <c r="AA1910" s="223"/>
    </row>
    <row r="1911">
      <c r="A1911" s="42">
        <f t="shared" si="3"/>
        <v>1910</v>
      </c>
      <c r="B1911" s="51" t="s">
        <v>41</v>
      </c>
      <c r="C1911" s="53" t="s">
        <v>8509</v>
      </c>
      <c r="D1911" s="42" t="s">
        <v>44</v>
      </c>
      <c r="E1911" s="42" t="s">
        <v>44</v>
      </c>
      <c r="F1911" s="53" t="s">
        <v>923</v>
      </c>
      <c r="G1911" s="53" t="s">
        <v>47</v>
      </c>
      <c r="H1911" s="53" t="s">
        <v>48</v>
      </c>
      <c r="I1911" s="53" t="s">
        <v>485</v>
      </c>
      <c r="J1911" s="53" t="s">
        <v>8478</v>
      </c>
      <c r="K1911" s="53" t="s">
        <v>927</v>
      </c>
      <c r="L1911" s="53" t="s">
        <v>52</v>
      </c>
      <c r="M1911" s="53" t="s">
        <v>52</v>
      </c>
      <c r="N1911" s="62" t="s">
        <v>8479</v>
      </c>
      <c r="O1911" s="62" t="s">
        <v>44</v>
      </c>
      <c r="P1911" s="62" t="s">
        <v>8480</v>
      </c>
      <c r="Q1911" s="62" t="s">
        <v>8510</v>
      </c>
      <c r="R1911" s="53"/>
      <c r="S1911" s="53"/>
      <c r="T1911" s="82"/>
      <c r="U1911" s="42"/>
      <c r="V1911" s="62"/>
      <c r="W1911" s="64"/>
      <c r="X1911" s="223"/>
      <c r="Y1911" s="223"/>
      <c r="Z1911" s="223"/>
      <c r="AA1911" s="223"/>
    </row>
    <row r="1912">
      <c r="A1912" s="42">
        <f t="shared" si="3"/>
        <v>1911</v>
      </c>
      <c r="B1912" s="51" t="s">
        <v>41</v>
      </c>
      <c r="C1912" s="53" t="s">
        <v>8511</v>
      </c>
      <c r="D1912" s="42" t="s">
        <v>44</v>
      </c>
      <c r="E1912" s="42" t="s">
        <v>44</v>
      </c>
      <c r="F1912" s="53" t="s">
        <v>923</v>
      </c>
      <c r="G1912" s="53" t="s">
        <v>47</v>
      </c>
      <c r="H1912" s="53" t="s">
        <v>48</v>
      </c>
      <c r="I1912" s="53" t="s">
        <v>485</v>
      </c>
      <c r="J1912" s="53" t="s">
        <v>8478</v>
      </c>
      <c r="K1912" s="53" t="s">
        <v>927</v>
      </c>
      <c r="L1912" s="53" t="s">
        <v>52</v>
      </c>
      <c r="M1912" s="53" t="s">
        <v>52</v>
      </c>
      <c r="N1912" s="62" t="s">
        <v>8483</v>
      </c>
      <c r="O1912" s="62" t="s">
        <v>44</v>
      </c>
      <c r="P1912" s="62" t="s">
        <v>8484</v>
      </c>
      <c r="Q1912" s="62" t="s">
        <v>8512</v>
      </c>
      <c r="R1912" s="53"/>
      <c r="S1912" s="53"/>
      <c r="T1912" s="82"/>
      <c r="U1912" s="42"/>
      <c r="V1912" s="62"/>
      <c r="W1912" s="64"/>
      <c r="X1912" s="223"/>
      <c r="Y1912" s="223"/>
      <c r="Z1912" s="223"/>
      <c r="AA1912" s="223"/>
    </row>
    <row r="1913">
      <c r="A1913" s="42">
        <f t="shared" si="3"/>
        <v>1912</v>
      </c>
      <c r="B1913" s="51" t="s">
        <v>41</v>
      </c>
      <c r="C1913" s="53" t="s">
        <v>8513</v>
      </c>
      <c r="D1913" s="42" t="s">
        <v>44</v>
      </c>
      <c r="E1913" s="42" t="s">
        <v>44</v>
      </c>
      <c r="F1913" s="53" t="s">
        <v>923</v>
      </c>
      <c r="G1913" s="53" t="s">
        <v>47</v>
      </c>
      <c r="H1913" s="53" t="s">
        <v>91</v>
      </c>
      <c r="I1913" s="53" t="s">
        <v>485</v>
      </c>
      <c r="J1913" s="53" t="s">
        <v>8478</v>
      </c>
      <c r="K1913" s="53" t="s">
        <v>927</v>
      </c>
      <c r="L1913" s="53" t="s">
        <v>52</v>
      </c>
      <c r="M1913" s="53" t="s">
        <v>52</v>
      </c>
      <c r="N1913" s="62" t="s">
        <v>8514</v>
      </c>
      <c r="O1913" s="62" t="s">
        <v>44</v>
      </c>
      <c r="P1913" s="62" t="s">
        <v>8515</v>
      </c>
      <c r="Q1913" s="62" t="s">
        <v>8489</v>
      </c>
      <c r="R1913" s="53"/>
      <c r="S1913" s="53"/>
      <c r="T1913" s="82"/>
      <c r="U1913" s="42"/>
      <c r="V1913" s="62"/>
      <c r="W1913" s="64"/>
      <c r="X1913" s="223"/>
      <c r="Y1913" s="223"/>
      <c r="Z1913" s="223"/>
      <c r="AA1913" s="223"/>
    </row>
    <row r="1914">
      <c r="A1914" s="42">
        <f t="shared" si="3"/>
        <v>1913</v>
      </c>
      <c r="B1914" s="51" t="s">
        <v>41</v>
      </c>
      <c r="C1914" s="53" t="s">
        <v>8516</v>
      </c>
      <c r="D1914" s="42" t="s">
        <v>44</v>
      </c>
      <c r="E1914" s="42" t="s">
        <v>44</v>
      </c>
      <c r="F1914" s="53" t="s">
        <v>8517</v>
      </c>
      <c r="G1914" s="53" t="s">
        <v>47</v>
      </c>
      <c r="H1914" s="53" t="s">
        <v>48</v>
      </c>
      <c r="I1914" s="53" t="s">
        <v>49</v>
      </c>
      <c r="J1914" s="53" t="s">
        <v>8518</v>
      </c>
      <c r="K1914" s="53" t="s">
        <v>51</v>
      </c>
      <c r="L1914" s="53" t="s">
        <v>52</v>
      </c>
      <c r="M1914" s="53" t="s">
        <v>52</v>
      </c>
      <c r="N1914" s="62" t="s">
        <v>8519</v>
      </c>
      <c r="O1914" s="62" t="s">
        <v>44</v>
      </c>
      <c r="P1914" s="62" t="s">
        <v>8520</v>
      </c>
      <c r="Q1914" s="62" t="s">
        <v>8521</v>
      </c>
      <c r="R1914" s="53"/>
      <c r="S1914" s="53"/>
      <c r="T1914" s="82"/>
      <c r="U1914" s="42"/>
      <c r="V1914" s="62"/>
      <c r="W1914" s="64"/>
      <c r="X1914" s="223"/>
      <c r="Y1914" s="223"/>
      <c r="Z1914" s="223"/>
      <c r="AA1914" s="223"/>
    </row>
    <row r="1915">
      <c r="A1915" s="42">
        <f t="shared" si="3"/>
        <v>1914</v>
      </c>
      <c r="B1915" s="51" t="s">
        <v>41</v>
      </c>
      <c r="C1915" s="53" t="s">
        <v>8522</v>
      </c>
      <c r="D1915" s="42" t="s">
        <v>44</v>
      </c>
      <c r="E1915" s="42" t="s">
        <v>44</v>
      </c>
      <c r="F1915" s="53" t="s">
        <v>8517</v>
      </c>
      <c r="G1915" s="53" t="s">
        <v>47</v>
      </c>
      <c r="H1915" s="53" t="s">
        <v>48</v>
      </c>
      <c r="I1915" s="53" t="s">
        <v>49</v>
      </c>
      <c r="J1915" s="53" t="s">
        <v>8518</v>
      </c>
      <c r="K1915" s="53" t="s">
        <v>51</v>
      </c>
      <c r="L1915" s="53" t="s">
        <v>52</v>
      </c>
      <c r="M1915" s="53" t="s">
        <v>52</v>
      </c>
      <c r="N1915" s="62" t="s">
        <v>8519</v>
      </c>
      <c r="O1915" s="62" t="s">
        <v>44</v>
      </c>
      <c r="P1915" s="62" t="s">
        <v>8523</v>
      </c>
      <c r="Q1915" s="62" t="s">
        <v>8524</v>
      </c>
      <c r="R1915" s="53"/>
      <c r="S1915" s="53"/>
      <c r="T1915" s="82"/>
      <c r="U1915" s="42"/>
      <c r="V1915" s="62"/>
      <c r="W1915" s="64"/>
      <c r="X1915" s="223"/>
      <c r="Y1915" s="223"/>
      <c r="Z1915" s="223"/>
      <c r="AA1915" s="223"/>
    </row>
    <row r="1916">
      <c r="A1916" s="42">
        <f t="shared" si="3"/>
        <v>1915</v>
      </c>
      <c r="B1916" s="51" t="s">
        <v>41</v>
      </c>
      <c r="C1916" s="53" t="s">
        <v>8525</v>
      </c>
      <c r="D1916" s="42" t="s">
        <v>44</v>
      </c>
      <c r="E1916" s="42" t="s">
        <v>44</v>
      </c>
      <c r="F1916" s="53" t="s">
        <v>8517</v>
      </c>
      <c r="G1916" s="53" t="s">
        <v>47</v>
      </c>
      <c r="H1916" s="53" t="s">
        <v>48</v>
      </c>
      <c r="I1916" s="53" t="s">
        <v>49</v>
      </c>
      <c r="J1916" s="53" t="s">
        <v>8518</v>
      </c>
      <c r="K1916" s="53" t="s">
        <v>51</v>
      </c>
      <c r="L1916" s="53" t="s">
        <v>52</v>
      </c>
      <c r="M1916" s="53" t="s">
        <v>52</v>
      </c>
      <c r="N1916" s="62" t="s">
        <v>8519</v>
      </c>
      <c r="O1916" s="62" t="s">
        <v>44</v>
      </c>
      <c r="P1916" s="62" t="s">
        <v>8526</v>
      </c>
      <c r="Q1916" s="62" t="s">
        <v>8527</v>
      </c>
      <c r="R1916" s="53"/>
      <c r="S1916" s="53"/>
      <c r="T1916" s="82"/>
      <c r="U1916" s="42"/>
      <c r="V1916" s="62"/>
      <c r="W1916" s="64"/>
      <c r="X1916" s="223"/>
      <c r="Y1916" s="223"/>
      <c r="Z1916" s="223"/>
      <c r="AA1916" s="223"/>
    </row>
    <row r="1917">
      <c r="A1917" s="42">
        <f t="shared" si="3"/>
        <v>1916</v>
      </c>
      <c r="B1917" s="51" t="s">
        <v>41</v>
      </c>
      <c r="C1917" s="53" t="s">
        <v>8528</v>
      </c>
      <c r="D1917" s="42" t="s">
        <v>44</v>
      </c>
      <c r="E1917" s="42" t="s">
        <v>44</v>
      </c>
      <c r="F1917" s="53" t="s">
        <v>8517</v>
      </c>
      <c r="G1917" s="53" t="s">
        <v>47</v>
      </c>
      <c r="H1917" s="53" t="s">
        <v>95</v>
      </c>
      <c r="I1917" s="53" t="s">
        <v>49</v>
      </c>
      <c r="J1917" s="53" t="s">
        <v>8518</v>
      </c>
      <c r="K1917" s="53" t="s">
        <v>51</v>
      </c>
      <c r="L1917" s="53" t="s">
        <v>52</v>
      </c>
      <c r="M1917" s="53" t="s">
        <v>52</v>
      </c>
      <c r="N1917" s="62" t="s">
        <v>8529</v>
      </c>
      <c r="O1917" s="62" t="s">
        <v>44</v>
      </c>
      <c r="P1917" s="62" t="s">
        <v>8520</v>
      </c>
      <c r="Q1917" s="62" t="s">
        <v>8530</v>
      </c>
      <c r="R1917" s="53"/>
      <c r="S1917" s="53"/>
      <c r="T1917" s="82"/>
      <c r="U1917" s="42"/>
      <c r="V1917" s="62"/>
      <c r="W1917" s="64"/>
      <c r="X1917" s="223"/>
      <c r="Y1917" s="223"/>
      <c r="Z1917" s="223"/>
      <c r="AA1917" s="223"/>
    </row>
    <row r="1918">
      <c r="A1918" s="42">
        <f t="shared" si="3"/>
        <v>1917</v>
      </c>
      <c r="B1918" s="51" t="s">
        <v>41</v>
      </c>
      <c r="C1918" s="53" t="s">
        <v>8531</v>
      </c>
      <c r="D1918" s="42" t="s">
        <v>44</v>
      </c>
      <c r="E1918" s="42" t="s">
        <v>44</v>
      </c>
      <c r="F1918" s="53" t="s">
        <v>8517</v>
      </c>
      <c r="G1918" s="53" t="s">
        <v>47</v>
      </c>
      <c r="H1918" s="53" t="s">
        <v>91</v>
      </c>
      <c r="I1918" s="53" t="s">
        <v>49</v>
      </c>
      <c r="J1918" s="53" t="s">
        <v>8518</v>
      </c>
      <c r="K1918" s="53" t="s">
        <v>51</v>
      </c>
      <c r="L1918" s="53" t="s">
        <v>52</v>
      </c>
      <c r="M1918" s="53" t="s">
        <v>52</v>
      </c>
      <c r="N1918" s="62" t="s">
        <v>8532</v>
      </c>
      <c r="O1918" s="62" t="s">
        <v>44</v>
      </c>
      <c r="P1918" s="62" t="s">
        <v>8533</v>
      </c>
      <c r="Q1918" s="62" t="s">
        <v>8534</v>
      </c>
      <c r="R1918" s="53"/>
      <c r="S1918" s="53"/>
      <c r="T1918" s="82"/>
      <c r="U1918" s="42"/>
      <c r="V1918" s="62"/>
      <c r="W1918" s="64"/>
      <c r="X1918" s="223"/>
      <c r="Y1918" s="223"/>
      <c r="Z1918" s="223"/>
      <c r="AA1918" s="223"/>
    </row>
    <row r="1919">
      <c r="A1919" s="42">
        <f t="shared" si="3"/>
        <v>1918</v>
      </c>
      <c r="B1919" s="51" t="s">
        <v>41</v>
      </c>
      <c r="C1919" s="53" t="s">
        <v>8535</v>
      </c>
      <c r="D1919" s="42" t="s">
        <v>44</v>
      </c>
      <c r="E1919" s="42" t="s">
        <v>44</v>
      </c>
      <c r="F1919" s="53" t="s">
        <v>8517</v>
      </c>
      <c r="G1919" s="53" t="s">
        <v>47</v>
      </c>
      <c r="H1919" s="53" t="s">
        <v>95</v>
      </c>
      <c r="I1919" s="53" t="s">
        <v>49</v>
      </c>
      <c r="J1919" s="53" t="s">
        <v>8518</v>
      </c>
      <c r="K1919" s="53" t="s">
        <v>51</v>
      </c>
      <c r="L1919" s="53" t="s">
        <v>52</v>
      </c>
      <c r="M1919" s="53" t="s">
        <v>52</v>
      </c>
      <c r="N1919" s="62" t="s">
        <v>8536</v>
      </c>
      <c r="O1919" s="62" t="s">
        <v>44</v>
      </c>
      <c r="P1919" s="62" t="s">
        <v>8537</v>
      </c>
      <c r="Q1919" s="62" t="s">
        <v>8538</v>
      </c>
      <c r="R1919" s="53"/>
      <c r="S1919" s="53"/>
      <c r="T1919" s="82"/>
      <c r="U1919" s="42"/>
      <c r="V1919" s="62"/>
      <c r="W1919" s="64"/>
      <c r="X1919" s="223"/>
      <c r="Y1919" s="223"/>
      <c r="Z1919" s="223"/>
      <c r="AA1919" s="223"/>
    </row>
    <row r="1920">
      <c r="A1920" s="42">
        <f t="shared" si="3"/>
        <v>1919</v>
      </c>
      <c r="B1920" s="51" t="s">
        <v>41</v>
      </c>
      <c r="C1920" s="53" t="s">
        <v>8539</v>
      </c>
      <c r="D1920" s="42" t="s">
        <v>44</v>
      </c>
      <c r="E1920" s="42" t="s">
        <v>44</v>
      </c>
      <c r="F1920" s="53" t="s">
        <v>8540</v>
      </c>
      <c r="G1920" s="53" t="s">
        <v>47</v>
      </c>
      <c r="H1920" s="53" t="s">
        <v>48</v>
      </c>
      <c r="I1920" s="53" t="s">
        <v>49</v>
      </c>
      <c r="J1920" s="53" t="s">
        <v>8541</v>
      </c>
      <c r="K1920" s="53" t="s">
        <v>927</v>
      </c>
      <c r="L1920" s="53" t="s">
        <v>52</v>
      </c>
      <c r="M1920" s="53" t="s">
        <v>52</v>
      </c>
      <c r="N1920" s="62" t="s">
        <v>8542</v>
      </c>
      <c r="O1920" s="62" t="s">
        <v>44</v>
      </c>
      <c r="P1920" s="62" t="s">
        <v>8543</v>
      </c>
      <c r="Q1920" s="62" t="s">
        <v>8544</v>
      </c>
      <c r="R1920" s="53"/>
      <c r="S1920" s="53"/>
      <c r="T1920" s="82"/>
      <c r="U1920" s="42"/>
      <c r="V1920" s="62"/>
      <c r="W1920" s="64"/>
      <c r="X1920" s="223"/>
      <c r="Y1920" s="223"/>
      <c r="Z1920" s="223"/>
      <c r="AA1920" s="223"/>
    </row>
    <row r="1921">
      <c r="A1921" s="42">
        <f t="shared" si="3"/>
        <v>1920</v>
      </c>
      <c r="B1921" s="51" t="s">
        <v>41</v>
      </c>
      <c r="C1921" s="53" t="s">
        <v>8545</v>
      </c>
      <c r="D1921" s="42" t="s">
        <v>44</v>
      </c>
      <c r="E1921" s="42" t="s">
        <v>44</v>
      </c>
      <c r="F1921" s="53" t="s">
        <v>8540</v>
      </c>
      <c r="G1921" s="53" t="s">
        <v>47</v>
      </c>
      <c r="H1921" s="53" t="s">
        <v>48</v>
      </c>
      <c r="I1921" s="53" t="s">
        <v>49</v>
      </c>
      <c r="J1921" s="53" t="s">
        <v>8541</v>
      </c>
      <c r="K1921" s="53" t="s">
        <v>927</v>
      </c>
      <c r="L1921" s="53" t="s">
        <v>52</v>
      </c>
      <c r="M1921" s="53" t="s">
        <v>52</v>
      </c>
      <c r="N1921" s="62" t="s">
        <v>8546</v>
      </c>
      <c r="O1921" s="62" t="s">
        <v>44</v>
      </c>
      <c r="P1921" s="62" t="s">
        <v>8543</v>
      </c>
      <c r="Q1921" s="62" t="s">
        <v>8547</v>
      </c>
      <c r="R1921" s="53"/>
      <c r="S1921" s="53"/>
      <c r="T1921" s="82"/>
      <c r="U1921" s="42"/>
      <c r="V1921" s="62"/>
      <c r="W1921" s="64"/>
      <c r="X1921" s="223"/>
      <c r="Y1921" s="223"/>
      <c r="Z1921" s="223"/>
      <c r="AA1921" s="223"/>
    </row>
    <row r="1922">
      <c r="A1922" s="42">
        <f t="shared" si="3"/>
        <v>1921</v>
      </c>
      <c r="B1922" s="51" t="s">
        <v>41</v>
      </c>
      <c r="C1922" s="53" t="s">
        <v>8548</v>
      </c>
      <c r="D1922" s="42" t="s">
        <v>44</v>
      </c>
      <c r="E1922" s="42" t="s">
        <v>44</v>
      </c>
      <c r="F1922" s="53" t="s">
        <v>8540</v>
      </c>
      <c r="G1922" s="53" t="s">
        <v>47</v>
      </c>
      <c r="H1922" s="53" t="s">
        <v>48</v>
      </c>
      <c r="I1922" s="53" t="s">
        <v>49</v>
      </c>
      <c r="J1922" s="53" t="s">
        <v>8541</v>
      </c>
      <c r="K1922" s="53" t="s">
        <v>927</v>
      </c>
      <c r="L1922" s="53" t="s">
        <v>52</v>
      </c>
      <c r="M1922" s="53" t="s">
        <v>52</v>
      </c>
      <c r="N1922" s="62" t="s">
        <v>8549</v>
      </c>
      <c r="O1922" s="62" t="s">
        <v>44</v>
      </c>
      <c r="P1922" s="62" t="s">
        <v>8550</v>
      </c>
      <c r="Q1922" s="62" t="s">
        <v>8551</v>
      </c>
      <c r="R1922" s="53"/>
      <c r="S1922" s="53"/>
      <c r="T1922" s="82"/>
      <c r="U1922" s="42"/>
      <c r="V1922" s="62"/>
      <c r="W1922" s="64"/>
      <c r="X1922" s="223"/>
      <c r="Y1922" s="223"/>
      <c r="Z1922" s="223"/>
      <c r="AA1922" s="223"/>
    </row>
    <row r="1923">
      <c r="A1923" s="42">
        <f t="shared" si="3"/>
        <v>1922</v>
      </c>
      <c r="B1923" s="51" t="s">
        <v>41</v>
      </c>
      <c r="C1923" s="53" t="s">
        <v>8552</v>
      </c>
      <c r="D1923" s="42" t="s">
        <v>44</v>
      </c>
      <c r="E1923" s="42" t="s">
        <v>44</v>
      </c>
      <c r="F1923" s="53" t="s">
        <v>8540</v>
      </c>
      <c r="G1923" s="53" t="s">
        <v>47</v>
      </c>
      <c r="H1923" s="53" t="s">
        <v>48</v>
      </c>
      <c r="I1923" s="53" t="s">
        <v>49</v>
      </c>
      <c r="J1923" s="53" t="s">
        <v>8541</v>
      </c>
      <c r="K1923" s="53" t="s">
        <v>927</v>
      </c>
      <c r="L1923" s="53" t="s">
        <v>52</v>
      </c>
      <c r="M1923" s="53" t="s">
        <v>52</v>
      </c>
      <c r="N1923" s="62" t="s">
        <v>8553</v>
      </c>
      <c r="O1923" s="62" t="s">
        <v>44</v>
      </c>
      <c r="P1923" s="62" t="s">
        <v>8554</v>
      </c>
      <c r="Q1923" s="62" t="s">
        <v>8555</v>
      </c>
      <c r="R1923" s="53"/>
      <c r="S1923" s="53"/>
      <c r="T1923" s="82"/>
      <c r="U1923" s="42"/>
      <c r="V1923" s="62"/>
      <c r="W1923" s="64"/>
      <c r="X1923" s="223"/>
      <c r="Y1923" s="223"/>
      <c r="Z1923" s="223"/>
      <c r="AA1923" s="223"/>
    </row>
    <row r="1924">
      <c r="A1924" s="42">
        <f t="shared" si="3"/>
        <v>1923</v>
      </c>
      <c r="B1924" s="51" t="s">
        <v>41</v>
      </c>
      <c r="C1924" s="53" t="s">
        <v>8556</v>
      </c>
      <c r="D1924" s="42" t="s">
        <v>44</v>
      </c>
      <c r="E1924" s="42" t="s">
        <v>44</v>
      </c>
      <c r="F1924" s="53" t="s">
        <v>8517</v>
      </c>
      <c r="G1924" s="53" t="s">
        <v>47</v>
      </c>
      <c r="H1924" s="53" t="s">
        <v>95</v>
      </c>
      <c r="I1924" s="53" t="s">
        <v>49</v>
      </c>
      <c r="J1924" s="53" t="s">
        <v>8518</v>
      </c>
      <c r="K1924" s="53" t="s">
        <v>51</v>
      </c>
      <c r="L1924" s="53" t="s">
        <v>52</v>
      </c>
      <c r="M1924" s="53" t="s">
        <v>52</v>
      </c>
      <c r="N1924" s="62" t="s">
        <v>8557</v>
      </c>
      <c r="O1924" s="62" t="s">
        <v>44</v>
      </c>
      <c r="P1924" s="62" t="s">
        <v>8520</v>
      </c>
      <c r="Q1924" s="62" t="s">
        <v>8558</v>
      </c>
      <c r="R1924" s="53"/>
      <c r="S1924" s="53"/>
      <c r="T1924" s="82"/>
      <c r="U1924" s="42"/>
      <c r="V1924" s="62"/>
      <c r="W1924" s="64"/>
      <c r="X1924" s="223"/>
      <c r="Y1924" s="223"/>
      <c r="Z1924" s="223"/>
      <c r="AA1924" s="223"/>
    </row>
    <row r="1925">
      <c r="A1925" s="42">
        <f t="shared" si="3"/>
        <v>1924</v>
      </c>
      <c r="B1925" s="51" t="s">
        <v>41</v>
      </c>
      <c r="C1925" s="53" t="s">
        <v>8559</v>
      </c>
      <c r="D1925" s="42" t="s">
        <v>44</v>
      </c>
      <c r="E1925" s="42" t="s">
        <v>44</v>
      </c>
      <c r="F1925" s="53" t="s">
        <v>8477</v>
      </c>
      <c r="G1925" s="53" t="s">
        <v>47</v>
      </c>
      <c r="H1925" s="53" t="s">
        <v>48</v>
      </c>
      <c r="I1925" s="53" t="s">
        <v>485</v>
      </c>
      <c r="J1925" s="53" t="s">
        <v>8560</v>
      </c>
      <c r="K1925" s="53" t="s">
        <v>927</v>
      </c>
      <c r="L1925" s="53" t="s">
        <v>52</v>
      </c>
      <c r="M1925" s="53" t="s">
        <v>52</v>
      </c>
      <c r="N1925" s="62" t="s">
        <v>8561</v>
      </c>
      <c r="O1925" s="62" t="s">
        <v>44</v>
      </c>
      <c r="P1925" s="62" t="s">
        <v>8562</v>
      </c>
      <c r="Q1925" s="62" t="s">
        <v>8563</v>
      </c>
      <c r="R1925" s="53"/>
      <c r="S1925" s="53"/>
      <c r="T1925" s="82"/>
      <c r="U1925" s="42"/>
      <c r="V1925" s="62"/>
      <c r="W1925" s="64"/>
      <c r="X1925" s="223"/>
      <c r="Y1925" s="223"/>
      <c r="Z1925" s="223"/>
      <c r="AA1925" s="223"/>
    </row>
    <row r="1926">
      <c r="A1926" s="42">
        <f t="shared" si="3"/>
        <v>1925</v>
      </c>
      <c r="B1926" s="51" t="s">
        <v>41</v>
      </c>
      <c r="C1926" s="53" t="s">
        <v>8564</v>
      </c>
      <c r="D1926" s="42" t="s">
        <v>44</v>
      </c>
      <c r="E1926" s="42" t="s">
        <v>44</v>
      </c>
      <c r="F1926" s="53" t="s">
        <v>8477</v>
      </c>
      <c r="G1926" s="53" t="s">
        <v>47</v>
      </c>
      <c r="H1926" s="53" t="s">
        <v>48</v>
      </c>
      <c r="I1926" s="53" t="s">
        <v>485</v>
      </c>
      <c r="J1926" s="53" t="s">
        <v>8560</v>
      </c>
      <c r="K1926" s="53" t="s">
        <v>927</v>
      </c>
      <c r="L1926" s="53" t="s">
        <v>52</v>
      </c>
      <c r="M1926" s="53" t="s">
        <v>52</v>
      </c>
      <c r="N1926" s="62" t="s">
        <v>8561</v>
      </c>
      <c r="O1926" s="62" t="s">
        <v>44</v>
      </c>
      <c r="P1926" s="62" t="s">
        <v>8565</v>
      </c>
      <c r="Q1926" s="62" t="s">
        <v>8566</v>
      </c>
      <c r="R1926" s="53"/>
      <c r="S1926" s="53"/>
      <c r="T1926" s="82"/>
      <c r="U1926" s="42"/>
      <c r="V1926" s="62"/>
      <c r="W1926" s="64"/>
      <c r="X1926" s="223"/>
      <c r="Y1926" s="223"/>
      <c r="Z1926" s="223"/>
      <c r="AA1926" s="223"/>
    </row>
    <row r="1927">
      <c r="A1927" s="42">
        <f t="shared" si="3"/>
        <v>1926</v>
      </c>
      <c r="B1927" s="51" t="s">
        <v>41</v>
      </c>
      <c r="C1927" s="53" t="s">
        <v>8567</v>
      </c>
      <c r="D1927" s="42" t="s">
        <v>44</v>
      </c>
      <c r="E1927" s="42" t="s">
        <v>44</v>
      </c>
      <c r="F1927" s="53" t="s">
        <v>8477</v>
      </c>
      <c r="G1927" s="53" t="s">
        <v>47</v>
      </c>
      <c r="H1927" s="53" t="s">
        <v>95</v>
      </c>
      <c r="I1927" s="53" t="s">
        <v>485</v>
      </c>
      <c r="J1927" s="53" t="s">
        <v>8560</v>
      </c>
      <c r="K1927" s="53" t="s">
        <v>927</v>
      </c>
      <c r="L1927" s="53" t="s">
        <v>52</v>
      </c>
      <c r="M1927" s="53" t="s">
        <v>52</v>
      </c>
      <c r="N1927" s="62" t="s">
        <v>8568</v>
      </c>
      <c r="O1927" s="62" t="s">
        <v>44</v>
      </c>
      <c r="P1927" s="62" t="s">
        <v>8569</v>
      </c>
      <c r="Q1927" s="62" t="s">
        <v>8570</v>
      </c>
      <c r="R1927" s="53"/>
      <c r="S1927" s="53"/>
      <c r="T1927" s="82"/>
      <c r="U1927" s="42"/>
      <c r="V1927" s="62"/>
      <c r="W1927" s="64"/>
      <c r="X1927" s="223"/>
      <c r="Y1927" s="223"/>
      <c r="Z1927" s="223"/>
      <c r="AA1927" s="223"/>
    </row>
    <row r="1928">
      <c r="A1928" s="42">
        <f t="shared" si="3"/>
        <v>1927</v>
      </c>
      <c r="B1928" s="51" t="s">
        <v>41</v>
      </c>
      <c r="C1928" s="53" t="s">
        <v>8571</v>
      </c>
      <c r="D1928" s="42" t="s">
        <v>44</v>
      </c>
      <c r="E1928" s="42" t="s">
        <v>44</v>
      </c>
      <c r="F1928" s="53" t="s">
        <v>8477</v>
      </c>
      <c r="G1928" s="53" t="s">
        <v>197</v>
      </c>
      <c r="H1928" s="53" t="s">
        <v>198</v>
      </c>
      <c r="I1928" s="53" t="s">
        <v>485</v>
      </c>
      <c r="J1928" s="53" t="s">
        <v>8560</v>
      </c>
      <c r="K1928" s="53" t="s">
        <v>927</v>
      </c>
      <c r="L1928" s="53" t="s">
        <v>52</v>
      </c>
      <c r="M1928" s="53" t="s">
        <v>52</v>
      </c>
      <c r="N1928" s="62" t="s">
        <v>8572</v>
      </c>
      <c r="O1928" s="62" t="s">
        <v>44</v>
      </c>
      <c r="P1928" s="62" t="s">
        <v>8573</v>
      </c>
      <c r="Q1928" s="62" t="s">
        <v>8574</v>
      </c>
      <c r="R1928" s="53"/>
      <c r="S1928" s="53"/>
      <c r="T1928" s="82"/>
      <c r="U1928" s="42"/>
      <c r="V1928" s="62"/>
      <c r="W1928" s="64"/>
      <c r="X1928" s="223"/>
      <c r="Y1928" s="223"/>
      <c r="Z1928" s="223"/>
      <c r="AA1928" s="223"/>
    </row>
    <row r="1929">
      <c r="A1929" s="42">
        <f t="shared" si="3"/>
        <v>1928</v>
      </c>
      <c r="B1929" s="51" t="s">
        <v>41</v>
      </c>
      <c r="C1929" s="53" t="s">
        <v>8575</v>
      </c>
      <c r="D1929" s="42" t="s">
        <v>44</v>
      </c>
      <c r="E1929" s="42" t="s">
        <v>44</v>
      </c>
      <c r="F1929" s="53" t="s">
        <v>8477</v>
      </c>
      <c r="G1929" s="53" t="s">
        <v>47</v>
      </c>
      <c r="H1929" s="53" t="s">
        <v>91</v>
      </c>
      <c r="I1929" s="53" t="s">
        <v>485</v>
      </c>
      <c r="J1929" s="53" t="s">
        <v>8560</v>
      </c>
      <c r="K1929" s="53" t="s">
        <v>927</v>
      </c>
      <c r="L1929" s="53" t="s">
        <v>52</v>
      </c>
      <c r="M1929" s="53" t="s">
        <v>52</v>
      </c>
      <c r="N1929" s="62" t="s">
        <v>8576</v>
      </c>
      <c r="O1929" s="62" t="s">
        <v>44</v>
      </c>
      <c r="P1929" s="62" t="s">
        <v>8577</v>
      </c>
      <c r="Q1929" s="62" t="s">
        <v>8578</v>
      </c>
      <c r="R1929" s="53"/>
      <c r="S1929" s="53"/>
      <c r="T1929" s="82"/>
      <c r="U1929" s="42"/>
      <c r="V1929" s="62"/>
      <c r="W1929" s="64"/>
      <c r="X1929" s="223"/>
      <c r="Y1929" s="223"/>
      <c r="Z1929" s="223"/>
      <c r="AA1929" s="223"/>
    </row>
    <row r="1930">
      <c r="A1930" s="42">
        <f t="shared" si="3"/>
        <v>1929</v>
      </c>
      <c r="B1930" s="51" t="s">
        <v>41</v>
      </c>
      <c r="C1930" s="53" t="s">
        <v>8579</v>
      </c>
      <c r="D1930" s="42" t="s">
        <v>44</v>
      </c>
      <c r="E1930" s="42" t="s">
        <v>44</v>
      </c>
      <c r="F1930" s="53" t="s">
        <v>8477</v>
      </c>
      <c r="G1930" s="53" t="s">
        <v>47</v>
      </c>
      <c r="H1930" s="53" t="s">
        <v>48</v>
      </c>
      <c r="I1930" s="53" t="s">
        <v>485</v>
      </c>
      <c r="J1930" s="53" t="s">
        <v>8560</v>
      </c>
      <c r="K1930" s="53" t="s">
        <v>927</v>
      </c>
      <c r="L1930" s="53" t="s">
        <v>52</v>
      </c>
      <c r="M1930" s="53" t="s">
        <v>52</v>
      </c>
      <c r="N1930" s="62" t="s">
        <v>8580</v>
      </c>
      <c r="O1930" s="62" t="s">
        <v>44</v>
      </c>
      <c r="P1930" s="62" t="s">
        <v>8581</v>
      </c>
      <c r="Q1930" s="62" t="s">
        <v>8582</v>
      </c>
      <c r="R1930" s="53"/>
      <c r="S1930" s="53"/>
      <c r="T1930" s="82"/>
      <c r="U1930" s="42"/>
      <c r="V1930" s="62"/>
      <c r="W1930" s="64"/>
      <c r="X1930" s="223"/>
      <c r="Y1930" s="223"/>
      <c r="Z1930" s="223"/>
      <c r="AA1930" s="223"/>
    </row>
    <row r="1931">
      <c r="A1931" s="42">
        <f t="shared" si="3"/>
        <v>1930</v>
      </c>
      <c r="B1931" s="51" t="s">
        <v>41</v>
      </c>
      <c r="C1931" s="53" t="s">
        <v>8583</v>
      </c>
      <c r="D1931" s="42" t="s">
        <v>44</v>
      </c>
      <c r="E1931" s="42" t="s">
        <v>44</v>
      </c>
      <c r="F1931" s="53" t="s">
        <v>8477</v>
      </c>
      <c r="G1931" s="53" t="s">
        <v>47</v>
      </c>
      <c r="H1931" s="53" t="s">
        <v>91</v>
      </c>
      <c r="I1931" s="53" t="s">
        <v>485</v>
      </c>
      <c r="J1931" s="53" t="s">
        <v>8560</v>
      </c>
      <c r="K1931" s="53" t="s">
        <v>927</v>
      </c>
      <c r="L1931" s="53" t="s">
        <v>52</v>
      </c>
      <c r="M1931" s="53" t="s">
        <v>52</v>
      </c>
      <c r="N1931" s="62" t="s">
        <v>8584</v>
      </c>
      <c r="O1931" s="62" t="s">
        <v>44</v>
      </c>
      <c r="P1931" s="62" t="s">
        <v>8585</v>
      </c>
      <c r="Q1931" s="62" t="s">
        <v>8586</v>
      </c>
      <c r="R1931" s="53"/>
      <c r="S1931" s="53"/>
      <c r="T1931" s="82"/>
      <c r="U1931" s="42"/>
      <c r="V1931" s="62"/>
      <c r="W1931" s="64"/>
      <c r="X1931" s="223"/>
      <c r="Y1931" s="223"/>
      <c r="Z1931" s="223"/>
      <c r="AA1931" s="223"/>
    </row>
    <row r="1932">
      <c r="A1932" s="42">
        <f t="shared" si="3"/>
        <v>1931</v>
      </c>
      <c r="B1932" s="51" t="s">
        <v>41</v>
      </c>
      <c r="C1932" s="53" t="s">
        <v>8587</v>
      </c>
      <c r="D1932" s="42" t="s">
        <v>44</v>
      </c>
      <c r="E1932" s="42" t="s">
        <v>44</v>
      </c>
      <c r="F1932" s="53" t="s">
        <v>8477</v>
      </c>
      <c r="G1932" s="53" t="s">
        <v>47</v>
      </c>
      <c r="H1932" s="53" t="s">
        <v>48</v>
      </c>
      <c r="I1932" s="53" t="s">
        <v>485</v>
      </c>
      <c r="J1932" s="53" t="s">
        <v>8560</v>
      </c>
      <c r="K1932" s="53" t="s">
        <v>51</v>
      </c>
      <c r="L1932" s="53" t="s">
        <v>52</v>
      </c>
      <c r="M1932" s="53" t="s">
        <v>52</v>
      </c>
      <c r="N1932" s="62" t="s">
        <v>8584</v>
      </c>
      <c r="O1932" s="62" t="s">
        <v>44</v>
      </c>
      <c r="P1932" s="62" t="s">
        <v>8588</v>
      </c>
      <c r="Q1932" s="62" t="s">
        <v>8589</v>
      </c>
      <c r="R1932" s="53"/>
      <c r="S1932" s="53"/>
      <c r="T1932" s="82"/>
      <c r="U1932" s="42"/>
      <c r="V1932" s="62"/>
      <c r="W1932" s="64"/>
      <c r="X1932" s="223"/>
      <c r="Y1932" s="223"/>
      <c r="Z1932" s="223"/>
      <c r="AA1932" s="223"/>
    </row>
    <row r="1933">
      <c r="A1933" s="42">
        <f t="shared" si="3"/>
        <v>1932</v>
      </c>
      <c r="B1933" s="51" t="s">
        <v>41</v>
      </c>
      <c r="C1933" s="53" t="s">
        <v>8590</v>
      </c>
      <c r="D1933" s="42" t="s">
        <v>44</v>
      </c>
      <c r="E1933" s="42" t="s">
        <v>44</v>
      </c>
      <c r="F1933" s="53" t="s">
        <v>8477</v>
      </c>
      <c r="G1933" s="53" t="s">
        <v>47</v>
      </c>
      <c r="H1933" s="53" t="s">
        <v>48</v>
      </c>
      <c r="I1933" s="53" t="s">
        <v>485</v>
      </c>
      <c r="J1933" s="53" t="s">
        <v>8560</v>
      </c>
      <c r="K1933" s="53" t="s">
        <v>51</v>
      </c>
      <c r="L1933" s="53" t="s">
        <v>52</v>
      </c>
      <c r="M1933" s="53" t="s">
        <v>52</v>
      </c>
      <c r="N1933" s="62" t="s">
        <v>8584</v>
      </c>
      <c r="O1933" s="62" t="s">
        <v>44</v>
      </c>
      <c r="P1933" s="62" t="s">
        <v>8591</v>
      </c>
      <c r="Q1933" s="62" t="s">
        <v>8592</v>
      </c>
      <c r="R1933" s="53"/>
      <c r="S1933" s="53"/>
      <c r="T1933" s="82"/>
      <c r="U1933" s="42"/>
      <c r="V1933" s="62"/>
      <c r="W1933" s="64"/>
      <c r="X1933" s="223"/>
      <c r="Y1933" s="223"/>
      <c r="Z1933" s="223"/>
      <c r="AA1933" s="223"/>
    </row>
    <row r="1934">
      <c r="A1934" s="42">
        <f t="shared" si="3"/>
        <v>1933</v>
      </c>
      <c r="B1934" s="51" t="s">
        <v>41</v>
      </c>
      <c r="C1934" s="53" t="s">
        <v>8593</v>
      </c>
      <c r="D1934" s="42" t="s">
        <v>44</v>
      </c>
      <c r="E1934" s="42" t="s">
        <v>44</v>
      </c>
      <c r="F1934" s="53" t="s">
        <v>8477</v>
      </c>
      <c r="G1934" s="53" t="s">
        <v>197</v>
      </c>
      <c r="H1934" s="53" t="s">
        <v>112</v>
      </c>
      <c r="I1934" s="53" t="s">
        <v>485</v>
      </c>
      <c r="J1934" s="53" t="s">
        <v>8560</v>
      </c>
      <c r="K1934" s="53" t="s">
        <v>51</v>
      </c>
      <c r="L1934" s="53" t="s">
        <v>52</v>
      </c>
      <c r="M1934" s="53" t="s">
        <v>52</v>
      </c>
      <c r="N1934" s="62" t="s">
        <v>8594</v>
      </c>
      <c r="O1934" s="62" t="s">
        <v>44</v>
      </c>
      <c r="P1934" s="62" t="s">
        <v>8595</v>
      </c>
      <c r="Q1934" s="62" t="s">
        <v>8596</v>
      </c>
      <c r="R1934" s="53"/>
      <c r="S1934" s="53"/>
      <c r="T1934" s="82"/>
      <c r="U1934" s="42"/>
      <c r="V1934" s="62"/>
      <c r="W1934" s="64"/>
      <c r="X1934" s="223"/>
      <c r="Y1934" s="223"/>
      <c r="Z1934" s="223"/>
      <c r="AA1934" s="223"/>
    </row>
    <row r="1935">
      <c r="A1935" s="42">
        <f t="shared" si="3"/>
        <v>1934</v>
      </c>
      <c r="B1935" s="51" t="s">
        <v>41</v>
      </c>
      <c r="C1935" s="53" t="s">
        <v>8597</v>
      </c>
      <c r="D1935" s="42" t="s">
        <v>44</v>
      </c>
      <c r="E1935" s="42" t="s">
        <v>44</v>
      </c>
      <c r="F1935" s="53" t="s">
        <v>8477</v>
      </c>
      <c r="G1935" s="53" t="s">
        <v>197</v>
      </c>
      <c r="H1935" s="53" t="s">
        <v>112</v>
      </c>
      <c r="I1935" s="53" t="s">
        <v>485</v>
      </c>
      <c r="J1935" s="53" t="s">
        <v>8598</v>
      </c>
      <c r="K1935" s="53" t="s">
        <v>51</v>
      </c>
      <c r="L1935" s="53" t="s">
        <v>52</v>
      </c>
      <c r="M1935" s="53" t="s">
        <v>52</v>
      </c>
      <c r="N1935" s="62" t="s">
        <v>8599</v>
      </c>
      <c r="O1935" s="62" t="s">
        <v>44</v>
      </c>
      <c r="P1935" s="62" t="s">
        <v>8600</v>
      </c>
      <c r="Q1935" s="62" t="s">
        <v>8601</v>
      </c>
      <c r="R1935" s="53"/>
      <c r="S1935" s="53"/>
      <c r="T1935" s="82"/>
      <c r="U1935" s="42"/>
      <c r="V1935" s="62"/>
      <c r="W1935" s="64"/>
      <c r="X1935" s="223"/>
      <c r="Y1935" s="223"/>
      <c r="Z1935" s="223"/>
      <c r="AA1935" s="223"/>
    </row>
    <row r="1936">
      <c r="A1936" s="42">
        <f t="shared" si="3"/>
        <v>1935</v>
      </c>
      <c r="B1936" s="51" t="s">
        <v>41</v>
      </c>
      <c r="C1936" s="53" t="s">
        <v>8602</v>
      </c>
      <c r="D1936" s="42" t="s">
        <v>44</v>
      </c>
      <c r="E1936" s="42" t="s">
        <v>44</v>
      </c>
      <c r="F1936" s="53" t="s">
        <v>8603</v>
      </c>
      <c r="G1936" s="53" t="s">
        <v>47</v>
      </c>
      <c r="H1936" s="53" t="s">
        <v>91</v>
      </c>
      <c r="I1936" s="53" t="s">
        <v>485</v>
      </c>
      <c r="J1936" s="53" t="s">
        <v>8604</v>
      </c>
      <c r="K1936" s="53" t="s">
        <v>51</v>
      </c>
      <c r="L1936" s="53" t="s">
        <v>52</v>
      </c>
      <c r="M1936" s="53" t="s">
        <v>52</v>
      </c>
      <c r="N1936" s="62" t="s">
        <v>8605</v>
      </c>
      <c r="O1936" s="62" t="s">
        <v>44</v>
      </c>
      <c r="P1936" s="62" t="s">
        <v>8606</v>
      </c>
      <c r="Q1936" s="62" t="s">
        <v>8607</v>
      </c>
      <c r="R1936" s="53"/>
      <c r="S1936" s="53"/>
      <c r="T1936" s="82"/>
      <c r="U1936" s="42"/>
      <c r="V1936" s="62"/>
      <c r="W1936" s="64"/>
      <c r="X1936" s="223"/>
      <c r="Y1936" s="223"/>
      <c r="Z1936" s="223"/>
      <c r="AA1936" s="223"/>
    </row>
    <row r="1937">
      <c r="A1937" s="42">
        <f t="shared" si="3"/>
        <v>1936</v>
      </c>
      <c r="B1937" s="51" t="s">
        <v>41</v>
      </c>
      <c r="C1937" s="53" t="s">
        <v>8608</v>
      </c>
      <c r="D1937" s="42" t="s">
        <v>44</v>
      </c>
      <c r="E1937" s="42" t="s">
        <v>44</v>
      </c>
      <c r="F1937" s="53" t="s">
        <v>8603</v>
      </c>
      <c r="G1937" s="53" t="s">
        <v>47</v>
      </c>
      <c r="H1937" s="53" t="s">
        <v>48</v>
      </c>
      <c r="I1937" s="53" t="s">
        <v>485</v>
      </c>
      <c r="J1937" s="53" t="s">
        <v>8604</v>
      </c>
      <c r="K1937" s="53" t="s">
        <v>51</v>
      </c>
      <c r="L1937" s="53" t="s">
        <v>52</v>
      </c>
      <c r="M1937" s="53" t="s">
        <v>52</v>
      </c>
      <c r="N1937" s="62" t="s">
        <v>8609</v>
      </c>
      <c r="O1937" s="62" t="s">
        <v>44</v>
      </c>
      <c r="P1937" s="62" t="s">
        <v>8610</v>
      </c>
      <c r="Q1937" s="62" t="s">
        <v>8611</v>
      </c>
      <c r="R1937" s="53"/>
      <c r="S1937" s="53"/>
      <c r="T1937" s="82"/>
      <c r="U1937" s="42"/>
      <c r="V1937" s="62"/>
      <c r="W1937" s="64"/>
      <c r="X1937" s="223"/>
      <c r="Y1937" s="223"/>
      <c r="Z1937" s="223"/>
      <c r="AA1937" s="223"/>
    </row>
    <row r="1938">
      <c r="A1938" s="42">
        <f t="shared" si="3"/>
        <v>1937</v>
      </c>
      <c r="B1938" s="51" t="s">
        <v>41</v>
      </c>
      <c r="C1938" s="53" t="s">
        <v>8612</v>
      </c>
      <c r="D1938" s="42" t="s">
        <v>44</v>
      </c>
      <c r="E1938" s="42" t="s">
        <v>44</v>
      </c>
      <c r="F1938" s="53" t="s">
        <v>8603</v>
      </c>
      <c r="G1938" s="53" t="s">
        <v>47</v>
      </c>
      <c r="H1938" s="53" t="s">
        <v>48</v>
      </c>
      <c r="I1938" s="53" t="s">
        <v>485</v>
      </c>
      <c r="J1938" s="53" t="s">
        <v>8604</v>
      </c>
      <c r="K1938" s="53" t="s">
        <v>51</v>
      </c>
      <c r="L1938" s="53" t="s">
        <v>52</v>
      </c>
      <c r="M1938" s="53" t="s">
        <v>52</v>
      </c>
      <c r="N1938" s="62" t="s">
        <v>8605</v>
      </c>
      <c r="O1938" s="62" t="s">
        <v>44</v>
      </c>
      <c r="P1938" s="62" t="s">
        <v>8613</v>
      </c>
      <c r="Q1938" s="62" t="s">
        <v>8614</v>
      </c>
      <c r="R1938" s="53"/>
      <c r="S1938" s="53"/>
      <c r="T1938" s="82"/>
      <c r="U1938" s="42"/>
      <c r="V1938" s="62"/>
      <c r="W1938" s="64"/>
      <c r="X1938" s="223"/>
      <c r="Y1938" s="223"/>
      <c r="Z1938" s="223"/>
      <c r="AA1938" s="223"/>
    </row>
    <row r="1939">
      <c r="A1939" s="42">
        <f t="shared" si="3"/>
        <v>1938</v>
      </c>
      <c r="B1939" s="51" t="s">
        <v>41</v>
      </c>
      <c r="C1939" s="53" t="s">
        <v>8615</v>
      </c>
      <c r="D1939" s="42" t="s">
        <v>44</v>
      </c>
      <c r="E1939" s="42" t="s">
        <v>44</v>
      </c>
      <c r="F1939" s="53" t="s">
        <v>8603</v>
      </c>
      <c r="G1939" s="53" t="s">
        <v>47</v>
      </c>
      <c r="H1939" s="53" t="s">
        <v>48</v>
      </c>
      <c r="I1939" s="53" t="s">
        <v>485</v>
      </c>
      <c r="J1939" s="53" t="s">
        <v>8604</v>
      </c>
      <c r="K1939" s="53" t="s">
        <v>51</v>
      </c>
      <c r="L1939" s="53" t="s">
        <v>52</v>
      </c>
      <c r="M1939" s="53" t="s">
        <v>52</v>
      </c>
      <c r="N1939" s="62" t="s">
        <v>8616</v>
      </c>
      <c r="O1939" s="62" t="s">
        <v>44</v>
      </c>
      <c r="P1939" s="62" t="s">
        <v>8617</v>
      </c>
      <c r="Q1939" s="62" t="s">
        <v>8618</v>
      </c>
      <c r="R1939" s="53"/>
      <c r="S1939" s="53"/>
      <c r="T1939" s="82"/>
      <c r="U1939" s="42"/>
      <c r="V1939" s="62"/>
      <c r="W1939" s="64"/>
      <c r="X1939" s="223"/>
      <c r="Y1939" s="223"/>
      <c r="Z1939" s="223"/>
      <c r="AA1939" s="223"/>
    </row>
    <row r="1940">
      <c r="A1940" s="42">
        <f t="shared" si="3"/>
        <v>1939</v>
      </c>
      <c r="B1940" s="51" t="s">
        <v>41</v>
      </c>
      <c r="C1940" s="53" t="s">
        <v>8619</v>
      </c>
      <c r="D1940" s="42" t="s">
        <v>44</v>
      </c>
      <c r="E1940" s="42" t="s">
        <v>44</v>
      </c>
      <c r="F1940" s="53" t="s">
        <v>8603</v>
      </c>
      <c r="G1940" s="53" t="s">
        <v>47</v>
      </c>
      <c r="H1940" s="53" t="s">
        <v>91</v>
      </c>
      <c r="I1940" s="53" t="s">
        <v>485</v>
      </c>
      <c r="J1940" s="53" t="s">
        <v>8604</v>
      </c>
      <c r="K1940" s="53" t="s">
        <v>51</v>
      </c>
      <c r="L1940" s="53" t="s">
        <v>52</v>
      </c>
      <c r="M1940" s="53" t="s">
        <v>52</v>
      </c>
      <c r="N1940" s="62" t="s">
        <v>8620</v>
      </c>
      <c r="O1940" s="62" t="s">
        <v>44</v>
      </c>
      <c r="P1940" s="62" t="s">
        <v>8621</v>
      </c>
      <c r="Q1940" s="62" t="s">
        <v>8622</v>
      </c>
      <c r="R1940" s="53"/>
      <c r="S1940" s="53"/>
      <c r="T1940" s="82"/>
      <c r="U1940" s="42"/>
      <c r="V1940" s="62"/>
      <c r="W1940" s="64"/>
      <c r="X1940" s="223"/>
      <c r="Y1940" s="223"/>
      <c r="Z1940" s="223"/>
      <c r="AA1940" s="223"/>
    </row>
    <row r="1941">
      <c r="A1941" s="42">
        <f t="shared" si="3"/>
        <v>1940</v>
      </c>
      <c r="B1941" s="51" t="s">
        <v>41</v>
      </c>
      <c r="C1941" s="53" t="s">
        <v>8623</v>
      </c>
      <c r="D1941" s="42" t="s">
        <v>44</v>
      </c>
      <c r="E1941" s="42" t="s">
        <v>44</v>
      </c>
      <c r="F1941" s="53" t="s">
        <v>8603</v>
      </c>
      <c r="G1941" s="53" t="s">
        <v>197</v>
      </c>
      <c r="H1941" s="53" t="s">
        <v>198</v>
      </c>
      <c r="I1941" s="53" t="s">
        <v>485</v>
      </c>
      <c r="J1941" s="53" t="s">
        <v>8604</v>
      </c>
      <c r="K1941" s="53" t="s">
        <v>51</v>
      </c>
      <c r="L1941" s="53" t="s">
        <v>52</v>
      </c>
      <c r="M1941" s="53" t="s">
        <v>52</v>
      </c>
      <c r="N1941" s="62" t="s">
        <v>8624</v>
      </c>
      <c r="O1941" s="62" t="s">
        <v>44</v>
      </c>
      <c r="P1941" s="62" t="s">
        <v>8613</v>
      </c>
      <c r="Q1941" s="62" t="s">
        <v>8625</v>
      </c>
      <c r="R1941" s="53"/>
      <c r="S1941" s="53"/>
      <c r="T1941" s="82"/>
      <c r="U1941" s="42"/>
      <c r="V1941" s="62"/>
      <c r="W1941" s="64"/>
      <c r="X1941" s="223"/>
      <c r="Y1941" s="223"/>
      <c r="Z1941" s="223"/>
      <c r="AA1941" s="223"/>
    </row>
    <row r="1942">
      <c r="A1942" s="42">
        <f t="shared" si="3"/>
        <v>1941</v>
      </c>
      <c r="B1942" s="51" t="s">
        <v>41</v>
      </c>
      <c r="C1942" s="53" t="s">
        <v>8626</v>
      </c>
      <c r="D1942" s="42" t="s">
        <v>44</v>
      </c>
      <c r="E1942" s="42" t="s">
        <v>44</v>
      </c>
      <c r="F1942" s="53" t="s">
        <v>8603</v>
      </c>
      <c r="G1942" s="53" t="s">
        <v>47</v>
      </c>
      <c r="H1942" s="53" t="s">
        <v>95</v>
      </c>
      <c r="I1942" s="53" t="s">
        <v>485</v>
      </c>
      <c r="J1942" s="53" t="s">
        <v>8604</v>
      </c>
      <c r="K1942" s="53" t="s">
        <v>51</v>
      </c>
      <c r="L1942" s="53" t="s">
        <v>52</v>
      </c>
      <c r="M1942" s="53" t="s">
        <v>52</v>
      </c>
      <c r="N1942" s="62" t="s">
        <v>8624</v>
      </c>
      <c r="O1942" s="62" t="s">
        <v>44</v>
      </c>
      <c r="P1942" s="62" t="s">
        <v>8617</v>
      </c>
      <c r="Q1942" s="62" t="s">
        <v>8627</v>
      </c>
      <c r="R1942" s="53"/>
      <c r="S1942" s="53"/>
      <c r="T1942" s="82"/>
      <c r="U1942" s="42"/>
      <c r="V1942" s="62"/>
      <c r="W1942" s="64"/>
      <c r="X1942" s="223"/>
      <c r="Y1942" s="223"/>
      <c r="Z1942" s="223"/>
      <c r="AA1942" s="223"/>
    </row>
    <row r="1943">
      <c r="A1943" s="42">
        <f t="shared" si="3"/>
        <v>1942</v>
      </c>
      <c r="B1943" s="51" t="s">
        <v>41</v>
      </c>
      <c r="C1943" s="53" t="s">
        <v>8628</v>
      </c>
      <c r="D1943" s="42" t="s">
        <v>44</v>
      </c>
      <c r="E1943" s="42" t="s">
        <v>44</v>
      </c>
      <c r="F1943" s="53" t="s">
        <v>8629</v>
      </c>
      <c r="G1943" s="53" t="s">
        <v>197</v>
      </c>
      <c r="H1943" s="53" t="s">
        <v>198</v>
      </c>
      <c r="I1943" s="53" t="s">
        <v>485</v>
      </c>
      <c r="J1943" s="53" t="s">
        <v>8630</v>
      </c>
      <c r="K1943" s="53" t="s">
        <v>51</v>
      </c>
      <c r="L1943" s="53" t="s">
        <v>52</v>
      </c>
      <c r="M1943" s="53" t="s">
        <v>52</v>
      </c>
      <c r="N1943" s="62" t="s">
        <v>8631</v>
      </c>
      <c r="O1943" s="62" t="s">
        <v>44</v>
      </c>
      <c r="P1943" s="62" t="s">
        <v>8632</v>
      </c>
      <c r="Q1943" s="62" t="s">
        <v>8633</v>
      </c>
      <c r="R1943" s="53"/>
      <c r="S1943" s="53"/>
      <c r="T1943" s="82"/>
      <c r="U1943" s="42"/>
      <c r="V1943" s="62"/>
      <c r="W1943" s="64"/>
      <c r="X1943" s="223"/>
      <c r="Y1943" s="223"/>
      <c r="Z1943" s="223"/>
      <c r="AA1943" s="223"/>
    </row>
    <row r="1944">
      <c r="A1944" s="42">
        <f t="shared" si="3"/>
        <v>1943</v>
      </c>
      <c r="B1944" s="51" t="s">
        <v>41</v>
      </c>
      <c r="C1944" s="53" t="s">
        <v>8634</v>
      </c>
      <c r="D1944" s="42" t="s">
        <v>44</v>
      </c>
      <c r="E1944" s="42" t="s">
        <v>44</v>
      </c>
      <c r="F1944" s="53" t="s">
        <v>8629</v>
      </c>
      <c r="G1944" s="53" t="s">
        <v>47</v>
      </c>
      <c r="H1944" s="53" t="s">
        <v>48</v>
      </c>
      <c r="I1944" s="53" t="s">
        <v>485</v>
      </c>
      <c r="J1944" s="53" t="s">
        <v>8630</v>
      </c>
      <c r="K1944" s="53" t="s">
        <v>51</v>
      </c>
      <c r="L1944" s="53" t="s">
        <v>52</v>
      </c>
      <c r="M1944" s="53" t="s">
        <v>52</v>
      </c>
      <c r="N1944" s="62" t="s">
        <v>8635</v>
      </c>
      <c r="O1944" s="62" t="s">
        <v>44</v>
      </c>
      <c r="P1944" s="62" t="s">
        <v>8636</v>
      </c>
      <c r="Q1944" s="62" t="s">
        <v>8637</v>
      </c>
      <c r="R1944" s="53"/>
      <c r="S1944" s="53"/>
      <c r="T1944" s="82"/>
      <c r="U1944" s="42"/>
      <c r="V1944" s="62"/>
      <c r="W1944" s="64"/>
      <c r="X1944" s="223"/>
      <c r="Y1944" s="223"/>
      <c r="Z1944" s="223"/>
      <c r="AA1944" s="223"/>
    </row>
    <row r="1945">
      <c r="A1945" s="42">
        <f t="shared" si="3"/>
        <v>1944</v>
      </c>
      <c r="B1945" s="51" t="s">
        <v>41</v>
      </c>
      <c r="C1945" s="53" t="s">
        <v>8638</v>
      </c>
      <c r="D1945" s="42" t="s">
        <v>44</v>
      </c>
      <c r="E1945" s="42" t="s">
        <v>44</v>
      </c>
      <c r="F1945" s="53" t="s">
        <v>8629</v>
      </c>
      <c r="G1945" s="53" t="s">
        <v>47</v>
      </c>
      <c r="H1945" s="53" t="s">
        <v>95</v>
      </c>
      <c r="I1945" s="53" t="s">
        <v>485</v>
      </c>
      <c r="J1945" s="53" t="s">
        <v>8630</v>
      </c>
      <c r="K1945" s="53" t="s">
        <v>51</v>
      </c>
      <c r="L1945" s="53" t="s">
        <v>52</v>
      </c>
      <c r="M1945" s="53" t="s">
        <v>52</v>
      </c>
      <c r="N1945" s="62" t="s">
        <v>8635</v>
      </c>
      <c r="O1945" s="62" t="s">
        <v>44</v>
      </c>
      <c r="P1945" s="62" t="s">
        <v>8639</v>
      </c>
      <c r="Q1945" s="62" t="s">
        <v>8640</v>
      </c>
      <c r="R1945" s="53"/>
      <c r="S1945" s="53"/>
      <c r="T1945" s="82"/>
      <c r="U1945" s="42"/>
      <c r="V1945" s="62"/>
      <c r="W1945" s="64"/>
      <c r="X1945" s="223"/>
      <c r="Y1945" s="223"/>
      <c r="Z1945" s="223"/>
      <c r="AA1945" s="223"/>
    </row>
    <row r="1946">
      <c r="A1946" s="42">
        <f t="shared" si="3"/>
        <v>1945</v>
      </c>
      <c r="B1946" s="51" t="s">
        <v>41</v>
      </c>
      <c r="C1946" s="53" t="s">
        <v>8641</v>
      </c>
      <c r="D1946" s="42" t="s">
        <v>44</v>
      </c>
      <c r="E1946" s="42" t="s">
        <v>44</v>
      </c>
      <c r="F1946" s="53" t="s">
        <v>8629</v>
      </c>
      <c r="G1946" s="53" t="s">
        <v>47</v>
      </c>
      <c r="H1946" s="53" t="s">
        <v>95</v>
      </c>
      <c r="I1946" s="53" t="s">
        <v>485</v>
      </c>
      <c r="J1946" s="53" t="s">
        <v>8630</v>
      </c>
      <c r="K1946" s="53" t="s">
        <v>51</v>
      </c>
      <c r="L1946" s="53" t="s">
        <v>52</v>
      </c>
      <c r="M1946" s="53" t="s">
        <v>52</v>
      </c>
      <c r="N1946" s="62" t="s">
        <v>8635</v>
      </c>
      <c r="O1946" s="62" t="s">
        <v>44</v>
      </c>
      <c r="P1946" s="62" t="s">
        <v>8642</v>
      </c>
      <c r="Q1946" s="62" t="s">
        <v>8643</v>
      </c>
      <c r="R1946" s="53"/>
      <c r="S1946" s="53"/>
      <c r="T1946" s="82"/>
      <c r="U1946" s="42"/>
      <c r="V1946" s="62"/>
      <c r="W1946" s="64"/>
      <c r="X1946" s="223"/>
      <c r="Y1946" s="223"/>
      <c r="Z1946" s="223"/>
      <c r="AA1946" s="223"/>
    </row>
    <row r="1947">
      <c r="A1947" s="42">
        <f t="shared" si="3"/>
        <v>1946</v>
      </c>
      <c r="B1947" s="51" t="s">
        <v>41</v>
      </c>
      <c r="C1947" s="53" t="s">
        <v>8644</v>
      </c>
      <c r="D1947" s="42" t="s">
        <v>44</v>
      </c>
      <c r="E1947" s="42" t="s">
        <v>44</v>
      </c>
      <c r="F1947" s="53" t="s">
        <v>8629</v>
      </c>
      <c r="G1947" s="53" t="s">
        <v>197</v>
      </c>
      <c r="H1947" s="53" t="s">
        <v>112</v>
      </c>
      <c r="I1947" s="53" t="s">
        <v>485</v>
      </c>
      <c r="J1947" s="53" t="s">
        <v>8630</v>
      </c>
      <c r="K1947" s="53" t="s">
        <v>51</v>
      </c>
      <c r="L1947" s="53" t="s">
        <v>52</v>
      </c>
      <c r="M1947" s="53" t="s">
        <v>52</v>
      </c>
      <c r="N1947" s="62" t="s">
        <v>8635</v>
      </c>
      <c r="O1947" s="62" t="s">
        <v>44</v>
      </c>
      <c r="P1947" s="62" t="s">
        <v>8645</v>
      </c>
      <c r="Q1947" s="62" t="s">
        <v>8646</v>
      </c>
      <c r="R1947" s="53"/>
      <c r="S1947" s="53"/>
      <c r="T1947" s="82"/>
      <c r="U1947" s="42"/>
      <c r="V1947" s="62"/>
      <c r="W1947" s="64"/>
      <c r="X1947" s="223"/>
      <c r="Y1947" s="223"/>
      <c r="Z1947" s="223"/>
      <c r="AA1947" s="223"/>
    </row>
    <row r="1948">
      <c r="A1948" s="42">
        <f t="shared" si="3"/>
        <v>1947</v>
      </c>
      <c r="B1948" s="51" t="s">
        <v>41</v>
      </c>
      <c r="C1948" s="53" t="s">
        <v>8647</v>
      </c>
      <c r="D1948" s="42" t="s">
        <v>44</v>
      </c>
      <c r="E1948" s="42" t="s">
        <v>44</v>
      </c>
      <c r="F1948" s="53" t="s">
        <v>8648</v>
      </c>
      <c r="G1948" s="53" t="s">
        <v>197</v>
      </c>
      <c r="H1948" s="53" t="s">
        <v>112</v>
      </c>
      <c r="I1948" s="53" t="s">
        <v>485</v>
      </c>
      <c r="J1948" s="53" t="s">
        <v>8649</v>
      </c>
      <c r="K1948" s="53" t="s">
        <v>51</v>
      </c>
      <c r="L1948" s="53" t="s">
        <v>52</v>
      </c>
      <c r="M1948" s="53" t="s">
        <v>52</v>
      </c>
      <c r="N1948" s="62" t="s">
        <v>8650</v>
      </c>
      <c r="O1948" s="62" t="s">
        <v>44</v>
      </c>
      <c r="P1948" s="62" t="s">
        <v>8651</v>
      </c>
      <c r="Q1948" s="62" t="s">
        <v>8652</v>
      </c>
      <c r="R1948" s="53"/>
      <c r="S1948" s="53"/>
      <c r="T1948" s="82"/>
      <c r="U1948" s="42"/>
      <c r="V1948" s="62"/>
      <c r="W1948" s="64"/>
      <c r="X1948" s="223"/>
      <c r="Y1948" s="223"/>
      <c r="Z1948" s="223"/>
      <c r="AA1948" s="223"/>
    </row>
    <row r="1949">
      <c r="A1949" s="42">
        <f t="shared" si="3"/>
        <v>1948</v>
      </c>
      <c r="B1949" s="51" t="s">
        <v>41</v>
      </c>
      <c r="C1949" s="53" t="s">
        <v>8653</v>
      </c>
      <c r="D1949" s="42" t="s">
        <v>44</v>
      </c>
      <c r="E1949" s="42" t="s">
        <v>44</v>
      </c>
      <c r="F1949" s="53" t="s">
        <v>8648</v>
      </c>
      <c r="G1949" s="53" t="s">
        <v>47</v>
      </c>
      <c r="H1949" s="53" t="s">
        <v>48</v>
      </c>
      <c r="I1949" s="53" t="s">
        <v>485</v>
      </c>
      <c r="J1949" s="53" t="s">
        <v>8649</v>
      </c>
      <c r="K1949" s="53" t="s">
        <v>51</v>
      </c>
      <c r="L1949" s="53" t="s">
        <v>52</v>
      </c>
      <c r="M1949" s="53" t="s">
        <v>52</v>
      </c>
      <c r="N1949" s="62" t="s">
        <v>8654</v>
      </c>
      <c r="O1949" s="62" t="s">
        <v>44</v>
      </c>
      <c r="P1949" s="62" t="s">
        <v>8655</v>
      </c>
      <c r="Q1949" s="62" t="s">
        <v>8656</v>
      </c>
      <c r="R1949" s="53"/>
      <c r="S1949" s="53"/>
      <c r="T1949" s="82"/>
      <c r="U1949" s="42"/>
      <c r="V1949" s="62"/>
      <c r="W1949" s="64"/>
      <c r="X1949" s="223"/>
      <c r="Y1949" s="223"/>
      <c r="Z1949" s="223"/>
      <c r="AA1949" s="223"/>
    </row>
    <row r="1950">
      <c r="A1950" s="42">
        <f t="shared" si="3"/>
        <v>1949</v>
      </c>
      <c r="B1950" s="51" t="s">
        <v>41</v>
      </c>
      <c r="C1950" s="53" t="s">
        <v>8657</v>
      </c>
      <c r="D1950" s="42" t="s">
        <v>44</v>
      </c>
      <c r="E1950" s="42" t="s">
        <v>44</v>
      </c>
      <c r="F1950" s="53" t="s">
        <v>8648</v>
      </c>
      <c r="G1950" s="53" t="s">
        <v>47</v>
      </c>
      <c r="H1950" s="53" t="s">
        <v>95</v>
      </c>
      <c r="I1950" s="53" t="s">
        <v>485</v>
      </c>
      <c r="J1950" s="53" t="s">
        <v>8649</v>
      </c>
      <c r="K1950" s="53" t="s">
        <v>51</v>
      </c>
      <c r="L1950" s="53" t="s">
        <v>52</v>
      </c>
      <c r="M1950" s="53" t="s">
        <v>52</v>
      </c>
      <c r="N1950" s="62" t="s">
        <v>8654</v>
      </c>
      <c r="O1950" s="62" t="s">
        <v>44</v>
      </c>
      <c r="P1950" s="62" t="s">
        <v>8658</v>
      </c>
      <c r="Q1950" s="62" t="s">
        <v>8659</v>
      </c>
      <c r="R1950" s="53"/>
      <c r="S1950" s="53"/>
      <c r="T1950" s="82"/>
      <c r="U1950" s="42"/>
      <c r="V1950" s="62"/>
      <c r="W1950" s="64"/>
      <c r="X1950" s="223"/>
      <c r="Y1950" s="223"/>
      <c r="Z1950" s="223"/>
      <c r="AA1950" s="223"/>
    </row>
    <row r="1951">
      <c r="A1951" s="42">
        <f t="shared" si="3"/>
        <v>1950</v>
      </c>
      <c r="B1951" s="51" t="s">
        <v>41</v>
      </c>
      <c r="C1951" s="53" t="s">
        <v>8660</v>
      </c>
      <c r="D1951" s="42" t="s">
        <v>44</v>
      </c>
      <c r="E1951" s="42" t="s">
        <v>44</v>
      </c>
      <c r="F1951" s="53" t="s">
        <v>8661</v>
      </c>
      <c r="G1951" s="53" t="s">
        <v>47</v>
      </c>
      <c r="H1951" s="53" t="s">
        <v>95</v>
      </c>
      <c r="I1951" s="53" t="s">
        <v>485</v>
      </c>
      <c r="J1951" s="53" t="s">
        <v>8662</v>
      </c>
      <c r="K1951" s="53" t="s">
        <v>51</v>
      </c>
      <c r="L1951" s="53" t="s">
        <v>52</v>
      </c>
      <c r="M1951" s="53" t="s">
        <v>52</v>
      </c>
      <c r="N1951" s="62" t="s">
        <v>8663</v>
      </c>
      <c r="O1951" s="62" t="s">
        <v>44</v>
      </c>
      <c r="P1951" s="62" t="s">
        <v>8664</v>
      </c>
      <c r="Q1951" s="62" t="s">
        <v>8665</v>
      </c>
      <c r="R1951" s="53"/>
      <c r="S1951" s="53"/>
      <c r="T1951" s="82"/>
      <c r="U1951" s="42"/>
      <c r="V1951" s="62"/>
      <c r="W1951" s="64"/>
      <c r="X1951" s="223"/>
      <c r="Y1951" s="223"/>
      <c r="Z1951" s="223"/>
      <c r="AA1951" s="223"/>
    </row>
    <row r="1952">
      <c r="A1952" s="42">
        <f t="shared" si="3"/>
        <v>1951</v>
      </c>
      <c r="B1952" s="51" t="s">
        <v>41</v>
      </c>
      <c r="C1952" s="53" t="s">
        <v>8666</v>
      </c>
      <c r="D1952" s="42" t="s">
        <v>44</v>
      </c>
      <c r="E1952" s="42" t="s">
        <v>44</v>
      </c>
      <c r="F1952" s="53" t="s">
        <v>8661</v>
      </c>
      <c r="G1952" s="53" t="s">
        <v>47</v>
      </c>
      <c r="H1952" s="53" t="s">
        <v>48</v>
      </c>
      <c r="I1952" s="53" t="s">
        <v>485</v>
      </c>
      <c r="J1952" s="53" t="s">
        <v>8662</v>
      </c>
      <c r="K1952" s="53" t="s">
        <v>51</v>
      </c>
      <c r="L1952" s="53" t="s">
        <v>52</v>
      </c>
      <c r="M1952" s="53" t="s">
        <v>52</v>
      </c>
      <c r="N1952" s="62" t="s">
        <v>8663</v>
      </c>
      <c r="O1952" s="62" t="s">
        <v>44</v>
      </c>
      <c r="P1952" s="62" t="s">
        <v>8667</v>
      </c>
      <c r="Q1952" s="62" t="s">
        <v>8668</v>
      </c>
      <c r="R1952" s="53"/>
      <c r="S1952" s="53"/>
      <c r="T1952" s="82"/>
      <c r="U1952" s="42"/>
      <c r="V1952" s="62"/>
      <c r="W1952" s="64"/>
      <c r="X1952" s="223"/>
      <c r="Y1952" s="223"/>
      <c r="Z1952" s="223"/>
      <c r="AA1952" s="223"/>
    </row>
    <row r="1953">
      <c r="A1953" s="42">
        <f t="shared" si="3"/>
        <v>1952</v>
      </c>
      <c r="B1953" s="51" t="s">
        <v>41</v>
      </c>
      <c r="C1953" s="53" t="s">
        <v>8669</v>
      </c>
      <c r="D1953" s="42" t="s">
        <v>44</v>
      </c>
      <c r="E1953" s="42" t="s">
        <v>44</v>
      </c>
      <c r="F1953" s="53" t="s">
        <v>8661</v>
      </c>
      <c r="G1953" s="53" t="s">
        <v>47</v>
      </c>
      <c r="H1953" s="53" t="s">
        <v>95</v>
      </c>
      <c r="I1953" s="53" t="s">
        <v>485</v>
      </c>
      <c r="J1953" s="53" t="s">
        <v>8662</v>
      </c>
      <c r="K1953" s="53" t="s">
        <v>51</v>
      </c>
      <c r="L1953" s="53" t="s">
        <v>52</v>
      </c>
      <c r="M1953" s="53" t="s">
        <v>52</v>
      </c>
      <c r="N1953" s="62" t="s">
        <v>8663</v>
      </c>
      <c r="O1953" s="62" t="s">
        <v>44</v>
      </c>
      <c r="P1953" s="62" t="s">
        <v>8670</v>
      </c>
      <c r="Q1953" s="62" t="s">
        <v>8671</v>
      </c>
      <c r="R1953" s="53"/>
      <c r="S1953" s="53"/>
      <c r="T1953" s="82"/>
      <c r="U1953" s="42"/>
      <c r="V1953" s="62"/>
      <c r="W1953" s="64"/>
      <c r="X1953" s="223"/>
      <c r="Y1953" s="223"/>
      <c r="Z1953" s="223"/>
      <c r="AA1953" s="223"/>
    </row>
    <row r="1954">
      <c r="A1954" s="42">
        <f t="shared" si="3"/>
        <v>1953</v>
      </c>
      <c r="B1954" s="51" t="s">
        <v>41</v>
      </c>
      <c r="C1954" s="53" t="s">
        <v>8672</v>
      </c>
      <c r="D1954" s="42" t="s">
        <v>44</v>
      </c>
      <c r="E1954" s="42" t="s">
        <v>44</v>
      </c>
      <c r="F1954" s="53" t="s">
        <v>8661</v>
      </c>
      <c r="G1954" s="53" t="s">
        <v>197</v>
      </c>
      <c r="H1954" s="53" t="s">
        <v>112</v>
      </c>
      <c r="I1954" s="53" t="s">
        <v>485</v>
      </c>
      <c r="J1954" s="53" t="s">
        <v>8662</v>
      </c>
      <c r="K1954" s="53" t="s">
        <v>51</v>
      </c>
      <c r="L1954" s="53" t="s">
        <v>52</v>
      </c>
      <c r="M1954" s="53" t="s">
        <v>52</v>
      </c>
      <c r="N1954" s="62" t="s">
        <v>8673</v>
      </c>
      <c r="O1954" s="62" t="s">
        <v>44</v>
      </c>
      <c r="P1954" s="62" t="s">
        <v>8674</v>
      </c>
      <c r="Q1954" s="62" t="s">
        <v>8675</v>
      </c>
      <c r="R1954" s="53"/>
      <c r="S1954" s="53"/>
      <c r="T1954" s="82"/>
      <c r="U1954" s="42"/>
      <c r="V1954" s="62"/>
      <c r="W1954" s="64"/>
      <c r="X1954" s="223"/>
      <c r="Y1954" s="223"/>
      <c r="Z1954" s="223"/>
      <c r="AA1954" s="223"/>
    </row>
    <row r="1955">
      <c r="A1955" s="42">
        <f t="shared" si="3"/>
        <v>1954</v>
      </c>
      <c r="B1955" s="51" t="s">
        <v>41</v>
      </c>
      <c r="C1955" s="53" t="s">
        <v>8676</v>
      </c>
      <c r="D1955" s="42" t="s">
        <v>44</v>
      </c>
      <c r="E1955" s="42" t="s">
        <v>44</v>
      </c>
      <c r="F1955" s="53" t="s">
        <v>8661</v>
      </c>
      <c r="G1955" s="53" t="s">
        <v>47</v>
      </c>
      <c r="H1955" s="53" t="s">
        <v>48</v>
      </c>
      <c r="I1955" s="53" t="s">
        <v>485</v>
      </c>
      <c r="J1955" s="53" t="s">
        <v>8662</v>
      </c>
      <c r="K1955" s="53" t="s">
        <v>51</v>
      </c>
      <c r="L1955" s="53" t="s">
        <v>52</v>
      </c>
      <c r="M1955" s="53" t="s">
        <v>52</v>
      </c>
      <c r="N1955" s="62" t="s">
        <v>8673</v>
      </c>
      <c r="O1955" s="62" t="s">
        <v>44</v>
      </c>
      <c r="P1955" s="62" t="s">
        <v>8677</v>
      </c>
      <c r="Q1955" s="62" t="s">
        <v>8678</v>
      </c>
      <c r="R1955" s="53"/>
      <c r="S1955" s="53"/>
      <c r="T1955" s="82"/>
      <c r="U1955" s="42"/>
      <c r="V1955" s="62"/>
      <c r="W1955" s="64"/>
      <c r="X1955" s="223"/>
      <c r="Y1955" s="223"/>
      <c r="Z1955" s="223"/>
      <c r="AA1955" s="223"/>
    </row>
    <row r="1956">
      <c r="A1956" s="42">
        <f t="shared" si="3"/>
        <v>1955</v>
      </c>
      <c r="B1956" s="51" t="s">
        <v>41</v>
      </c>
      <c r="C1956" s="53" t="s">
        <v>8679</v>
      </c>
      <c r="D1956" s="42" t="s">
        <v>44</v>
      </c>
      <c r="E1956" s="42" t="s">
        <v>44</v>
      </c>
      <c r="F1956" s="53" t="s">
        <v>8661</v>
      </c>
      <c r="G1956" s="53" t="s">
        <v>47</v>
      </c>
      <c r="H1956" s="53" t="s">
        <v>95</v>
      </c>
      <c r="I1956" s="53" t="s">
        <v>485</v>
      </c>
      <c r="J1956" s="53" t="s">
        <v>8662</v>
      </c>
      <c r="K1956" s="53" t="s">
        <v>51</v>
      </c>
      <c r="L1956" s="53" t="s">
        <v>52</v>
      </c>
      <c r="M1956" s="53" t="s">
        <v>52</v>
      </c>
      <c r="N1956" s="62" t="s">
        <v>8680</v>
      </c>
      <c r="O1956" s="62" t="s">
        <v>44</v>
      </c>
      <c r="P1956" s="62" t="s">
        <v>8681</v>
      </c>
      <c r="Q1956" s="62" t="s">
        <v>8682</v>
      </c>
      <c r="R1956" s="53"/>
      <c r="S1956" s="53"/>
      <c r="T1956" s="82"/>
      <c r="U1956" s="42"/>
      <c r="V1956" s="62"/>
      <c r="W1956" s="64"/>
      <c r="X1956" s="223"/>
      <c r="Y1956" s="223"/>
      <c r="Z1956" s="223"/>
      <c r="AA1956" s="223"/>
    </row>
    <row r="1957">
      <c r="A1957" s="42">
        <f t="shared" si="3"/>
        <v>1956</v>
      </c>
      <c r="B1957" s="51" t="s">
        <v>41</v>
      </c>
      <c r="C1957" s="53" t="s">
        <v>8683</v>
      </c>
      <c r="D1957" s="42" t="s">
        <v>44</v>
      </c>
      <c r="E1957" s="42" t="s">
        <v>44</v>
      </c>
      <c r="F1957" s="53" t="s">
        <v>8661</v>
      </c>
      <c r="G1957" s="53" t="s">
        <v>47</v>
      </c>
      <c r="H1957" s="53" t="s">
        <v>48</v>
      </c>
      <c r="I1957" s="53" t="s">
        <v>485</v>
      </c>
      <c r="J1957" s="53" t="s">
        <v>8662</v>
      </c>
      <c r="K1957" s="53" t="s">
        <v>51</v>
      </c>
      <c r="L1957" s="53" t="s">
        <v>52</v>
      </c>
      <c r="M1957" s="53" t="s">
        <v>52</v>
      </c>
      <c r="N1957" s="62" t="s">
        <v>8684</v>
      </c>
      <c r="O1957" s="62" t="s">
        <v>44</v>
      </c>
      <c r="P1957" s="62" t="s">
        <v>8685</v>
      </c>
      <c r="Q1957" s="62" t="s">
        <v>8686</v>
      </c>
      <c r="R1957" s="53"/>
      <c r="S1957" s="53"/>
      <c r="T1957" s="82"/>
      <c r="U1957" s="42"/>
      <c r="V1957" s="62"/>
      <c r="W1957" s="64"/>
      <c r="X1957" s="223"/>
      <c r="Y1957" s="223"/>
      <c r="Z1957" s="223"/>
      <c r="AA1957" s="223"/>
    </row>
    <row r="1958">
      <c r="A1958" s="42">
        <f t="shared" si="3"/>
        <v>1957</v>
      </c>
      <c r="B1958" s="51" t="s">
        <v>41</v>
      </c>
      <c r="C1958" s="53" t="s">
        <v>8687</v>
      </c>
      <c r="D1958" s="42" t="s">
        <v>44</v>
      </c>
      <c r="E1958" s="42" t="s">
        <v>44</v>
      </c>
      <c r="F1958" s="53" t="s">
        <v>8688</v>
      </c>
      <c r="G1958" s="53" t="s">
        <v>47</v>
      </c>
      <c r="H1958" s="53" t="s">
        <v>48</v>
      </c>
      <c r="I1958" s="53" t="s">
        <v>485</v>
      </c>
      <c r="J1958" s="53" t="s">
        <v>8689</v>
      </c>
      <c r="K1958" s="53" t="s">
        <v>51</v>
      </c>
      <c r="L1958" s="53" t="s">
        <v>52</v>
      </c>
      <c r="M1958" s="53" t="s">
        <v>52</v>
      </c>
      <c r="N1958" s="62" t="s">
        <v>8690</v>
      </c>
      <c r="O1958" s="62" t="s">
        <v>44</v>
      </c>
      <c r="P1958" s="62" t="s">
        <v>8691</v>
      </c>
      <c r="Q1958" s="62" t="s">
        <v>8692</v>
      </c>
      <c r="R1958" s="53"/>
      <c r="S1958" s="53"/>
      <c r="T1958" s="82"/>
      <c r="U1958" s="42"/>
      <c r="V1958" s="62"/>
      <c r="W1958" s="64"/>
      <c r="X1958" s="223"/>
      <c r="Y1958" s="223"/>
      <c r="Z1958" s="223"/>
      <c r="AA1958" s="223"/>
    </row>
    <row r="1959">
      <c r="A1959" s="42">
        <f t="shared" si="3"/>
        <v>1958</v>
      </c>
      <c r="B1959" s="51" t="s">
        <v>41</v>
      </c>
      <c r="C1959" s="53" t="s">
        <v>8693</v>
      </c>
      <c r="D1959" s="42" t="s">
        <v>44</v>
      </c>
      <c r="E1959" s="42" t="s">
        <v>44</v>
      </c>
      <c r="F1959" s="53" t="s">
        <v>8688</v>
      </c>
      <c r="G1959" s="53" t="s">
        <v>47</v>
      </c>
      <c r="H1959" s="53" t="s">
        <v>48</v>
      </c>
      <c r="I1959" s="53" t="s">
        <v>485</v>
      </c>
      <c r="J1959" s="53" t="s">
        <v>8689</v>
      </c>
      <c r="K1959" s="53" t="s">
        <v>51</v>
      </c>
      <c r="L1959" s="53" t="s">
        <v>52</v>
      </c>
      <c r="M1959" s="53" t="s">
        <v>52</v>
      </c>
      <c r="N1959" s="62" t="s">
        <v>8690</v>
      </c>
      <c r="O1959" s="62" t="s">
        <v>44</v>
      </c>
      <c r="P1959" s="62" t="s">
        <v>8691</v>
      </c>
      <c r="Q1959" s="62" t="s">
        <v>8694</v>
      </c>
      <c r="R1959" s="53"/>
      <c r="S1959" s="53"/>
      <c r="T1959" s="82"/>
      <c r="U1959" s="42"/>
      <c r="V1959" s="62"/>
      <c r="W1959" s="64"/>
      <c r="X1959" s="223"/>
      <c r="Y1959" s="223"/>
      <c r="Z1959" s="223"/>
      <c r="AA1959" s="223"/>
    </row>
    <row r="1960">
      <c r="A1960" s="42">
        <f t="shared" si="3"/>
        <v>1959</v>
      </c>
      <c r="B1960" s="51" t="s">
        <v>41</v>
      </c>
      <c r="C1960" s="53" t="s">
        <v>8695</v>
      </c>
      <c r="D1960" s="42" t="s">
        <v>44</v>
      </c>
      <c r="E1960" s="42" t="s">
        <v>44</v>
      </c>
      <c r="F1960" s="53" t="s">
        <v>8688</v>
      </c>
      <c r="G1960" s="53" t="s">
        <v>47</v>
      </c>
      <c r="H1960" s="53" t="s">
        <v>95</v>
      </c>
      <c r="I1960" s="53" t="s">
        <v>485</v>
      </c>
      <c r="J1960" s="53" t="s">
        <v>8689</v>
      </c>
      <c r="K1960" s="53" t="s">
        <v>51</v>
      </c>
      <c r="L1960" s="53" t="s">
        <v>52</v>
      </c>
      <c r="M1960" s="53" t="s">
        <v>52</v>
      </c>
      <c r="N1960" s="62" t="s">
        <v>8696</v>
      </c>
      <c r="O1960" s="62" t="s">
        <v>44</v>
      </c>
      <c r="P1960" s="62" t="s">
        <v>8697</v>
      </c>
      <c r="Q1960" s="62" t="s">
        <v>8698</v>
      </c>
      <c r="R1960" s="53"/>
      <c r="S1960" s="53"/>
      <c r="T1960" s="82"/>
      <c r="U1960" s="42"/>
      <c r="V1960" s="62"/>
      <c r="W1960" s="64"/>
      <c r="X1960" s="223"/>
      <c r="Y1960" s="223"/>
      <c r="Z1960" s="223"/>
      <c r="AA1960" s="223"/>
    </row>
    <row r="1961">
      <c r="A1961" s="42">
        <f t="shared" si="3"/>
        <v>1960</v>
      </c>
      <c r="B1961" s="51" t="s">
        <v>41</v>
      </c>
      <c r="C1961" s="53" t="s">
        <v>8699</v>
      </c>
      <c r="D1961" s="42" t="s">
        <v>44</v>
      </c>
      <c r="E1961" s="42" t="s">
        <v>44</v>
      </c>
      <c r="F1961" s="53" t="s">
        <v>8688</v>
      </c>
      <c r="G1961" s="53" t="s">
        <v>47</v>
      </c>
      <c r="H1961" s="53" t="s">
        <v>48</v>
      </c>
      <c r="I1961" s="53" t="s">
        <v>485</v>
      </c>
      <c r="J1961" s="53" t="s">
        <v>8700</v>
      </c>
      <c r="K1961" s="53" t="s">
        <v>51</v>
      </c>
      <c r="L1961" s="53" t="s">
        <v>52</v>
      </c>
      <c r="M1961" s="53" t="s">
        <v>52</v>
      </c>
      <c r="N1961" s="62" t="s">
        <v>8701</v>
      </c>
      <c r="O1961" s="62" t="s">
        <v>44</v>
      </c>
      <c r="P1961" s="62" t="s">
        <v>8702</v>
      </c>
      <c r="Q1961" s="62" t="s">
        <v>8703</v>
      </c>
      <c r="R1961" s="53"/>
      <c r="S1961" s="53"/>
      <c r="T1961" s="82"/>
      <c r="U1961" s="42"/>
      <c r="V1961" s="62"/>
      <c r="W1961" s="64"/>
      <c r="X1961" s="223"/>
      <c r="Y1961" s="223"/>
      <c r="Z1961" s="223"/>
      <c r="AA1961" s="223"/>
    </row>
    <row r="1962">
      <c r="A1962" s="42">
        <f t="shared" si="3"/>
        <v>1961</v>
      </c>
      <c r="B1962" s="51" t="s">
        <v>41</v>
      </c>
      <c r="C1962" s="53" t="s">
        <v>8704</v>
      </c>
      <c r="D1962" s="42" t="s">
        <v>44</v>
      </c>
      <c r="E1962" s="42" t="s">
        <v>44</v>
      </c>
      <c r="F1962" s="53" t="s">
        <v>8688</v>
      </c>
      <c r="G1962" s="53" t="s">
        <v>47</v>
      </c>
      <c r="H1962" s="53" t="s">
        <v>91</v>
      </c>
      <c r="I1962" s="53" t="s">
        <v>485</v>
      </c>
      <c r="J1962" s="53" t="s">
        <v>8700</v>
      </c>
      <c r="K1962" s="53" t="s">
        <v>51</v>
      </c>
      <c r="L1962" s="53" t="s">
        <v>52</v>
      </c>
      <c r="M1962" s="53" t="s">
        <v>52</v>
      </c>
      <c r="N1962" s="62" t="s">
        <v>8705</v>
      </c>
      <c r="O1962" s="62" t="s">
        <v>44</v>
      </c>
      <c r="P1962" s="62" t="s">
        <v>8706</v>
      </c>
      <c r="Q1962" s="62" t="s">
        <v>8707</v>
      </c>
      <c r="R1962" s="53"/>
      <c r="S1962" s="53"/>
      <c r="T1962" s="82"/>
      <c r="U1962" s="42"/>
      <c r="V1962" s="62"/>
      <c r="W1962" s="64"/>
      <c r="X1962" s="223"/>
      <c r="Y1962" s="223"/>
      <c r="Z1962" s="223"/>
      <c r="AA1962" s="223"/>
    </row>
    <row r="1963">
      <c r="A1963" s="42">
        <f t="shared" si="3"/>
        <v>1962</v>
      </c>
      <c r="B1963" s="51" t="s">
        <v>41</v>
      </c>
      <c r="C1963" s="53" t="s">
        <v>8708</v>
      </c>
      <c r="D1963" s="42" t="s">
        <v>44</v>
      </c>
      <c r="E1963" s="42" t="s">
        <v>44</v>
      </c>
      <c r="F1963" s="53" t="s">
        <v>8688</v>
      </c>
      <c r="G1963" s="53" t="s">
        <v>47</v>
      </c>
      <c r="H1963" s="53" t="s">
        <v>91</v>
      </c>
      <c r="I1963" s="53" t="s">
        <v>485</v>
      </c>
      <c r="J1963" s="53" t="s">
        <v>8700</v>
      </c>
      <c r="K1963" s="53" t="s">
        <v>51</v>
      </c>
      <c r="L1963" s="53" t="s">
        <v>52</v>
      </c>
      <c r="M1963" s="53" t="s">
        <v>52</v>
      </c>
      <c r="N1963" s="62" t="s">
        <v>8709</v>
      </c>
      <c r="O1963" s="62" t="s">
        <v>44</v>
      </c>
      <c r="P1963" s="62" t="s">
        <v>8710</v>
      </c>
      <c r="Q1963" s="62" t="s">
        <v>8711</v>
      </c>
      <c r="R1963" s="53"/>
      <c r="S1963" s="53"/>
      <c r="T1963" s="82"/>
      <c r="U1963" s="42"/>
      <c r="V1963" s="62"/>
      <c r="W1963" s="64"/>
      <c r="X1963" s="223"/>
      <c r="Y1963" s="223"/>
      <c r="Z1963" s="223"/>
      <c r="AA1963" s="223"/>
    </row>
    <row r="1964">
      <c r="A1964" s="42">
        <f t="shared" si="3"/>
        <v>1963</v>
      </c>
      <c r="B1964" s="51" t="s">
        <v>41</v>
      </c>
      <c r="C1964" s="53" t="s">
        <v>8712</v>
      </c>
      <c r="D1964" s="42" t="s">
        <v>44</v>
      </c>
      <c r="E1964" s="42" t="s">
        <v>44</v>
      </c>
      <c r="F1964" s="53" t="s">
        <v>8688</v>
      </c>
      <c r="G1964" s="53" t="s">
        <v>47</v>
      </c>
      <c r="H1964" s="53" t="s">
        <v>91</v>
      </c>
      <c r="I1964" s="53" t="s">
        <v>485</v>
      </c>
      <c r="J1964" s="53" t="s">
        <v>8700</v>
      </c>
      <c r="K1964" s="53" t="s">
        <v>51</v>
      </c>
      <c r="L1964" s="53" t="s">
        <v>52</v>
      </c>
      <c r="M1964" s="53" t="s">
        <v>52</v>
      </c>
      <c r="N1964" s="62" t="s">
        <v>8713</v>
      </c>
      <c r="O1964" s="62" t="s">
        <v>44</v>
      </c>
      <c r="P1964" s="62" t="s">
        <v>8714</v>
      </c>
      <c r="Q1964" s="62" t="s">
        <v>512</v>
      </c>
      <c r="R1964" s="53"/>
      <c r="S1964" s="53"/>
      <c r="T1964" s="82"/>
      <c r="U1964" s="42"/>
      <c r="V1964" s="62"/>
      <c r="W1964" s="64"/>
      <c r="X1964" s="223"/>
      <c r="Y1964" s="223"/>
      <c r="Z1964" s="223"/>
      <c r="AA1964" s="223"/>
    </row>
    <row r="1965">
      <c r="A1965" s="42">
        <f t="shared" si="3"/>
        <v>1964</v>
      </c>
      <c r="B1965" s="51" t="s">
        <v>41</v>
      </c>
      <c r="C1965" s="53" t="s">
        <v>8715</v>
      </c>
      <c r="D1965" s="42" t="s">
        <v>44</v>
      </c>
      <c r="E1965" s="42" t="s">
        <v>44</v>
      </c>
      <c r="F1965" s="53" t="s">
        <v>8688</v>
      </c>
      <c r="G1965" s="53" t="s">
        <v>47</v>
      </c>
      <c r="H1965" s="53" t="s">
        <v>91</v>
      </c>
      <c r="I1965" s="53" t="s">
        <v>485</v>
      </c>
      <c r="J1965" s="53" t="s">
        <v>8700</v>
      </c>
      <c r="K1965" s="53" t="s">
        <v>51</v>
      </c>
      <c r="L1965" s="53" t="s">
        <v>52</v>
      </c>
      <c r="M1965" s="53" t="s">
        <v>52</v>
      </c>
      <c r="N1965" s="62" t="s">
        <v>8716</v>
      </c>
      <c r="O1965" s="62" t="s">
        <v>44</v>
      </c>
      <c r="P1965" s="62" t="s">
        <v>8714</v>
      </c>
      <c r="Q1965" s="62" t="s">
        <v>512</v>
      </c>
      <c r="R1965" s="53"/>
      <c r="S1965" s="53"/>
      <c r="T1965" s="82"/>
      <c r="U1965" s="42"/>
      <c r="V1965" s="62"/>
      <c r="W1965" s="64"/>
      <c r="X1965" s="223"/>
      <c r="Y1965" s="223"/>
      <c r="Z1965" s="223"/>
      <c r="AA1965" s="223"/>
    </row>
    <row r="1966">
      <c r="A1966" s="42">
        <f t="shared" si="3"/>
        <v>1965</v>
      </c>
      <c r="B1966" s="51" t="s">
        <v>41</v>
      </c>
      <c r="C1966" s="53" t="s">
        <v>8717</v>
      </c>
      <c r="D1966" s="42" t="s">
        <v>44</v>
      </c>
      <c r="E1966" s="42" t="s">
        <v>44</v>
      </c>
      <c r="F1966" s="53" t="s">
        <v>8688</v>
      </c>
      <c r="G1966" s="53" t="s">
        <v>47</v>
      </c>
      <c r="H1966" s="53" t="s">
        <v>91</v>
      </c>
      <c r="I1966" s="53" t="s">
        <v>485</v>
      </c>
      <c r="J1966" s="53" t="s">
        <v>8700</v>
      </c>
      <c r="K1966" s="53" t="s">
        <v>51</v>
      </c>
      <c r="L1966" s="53" t="s">
        <v>52</v>
      </c>
      <c r="M1966" s="53" t="s">
        <v>52</v>
      </c>
      <c r="N1966" s="62" t="s">
        <v>8718</v>
      </c>
      <c r="O1966" s="62" t="s">
        <v>44</v>
      </c>
      <c r="P1966" s="62" t="s">
        <v>8714</v>
      </c>
      <c r="Q1966" s="62" t="s">
        <v>512</v>
      </c>
      <c r="R1966" s="53"/>
      <c r="S1966" s="53"/>
      <c r="T1966" s="82"/>
      <c r="U1966" s="42"/>
      <c r="V1966" s="62"/>
      <c r="W1966" s="64"/>
      <c r="X1966" s="223"/>
      <c r="Y1966" s="223"/>
      <c r="Z1966" s="223"/>
      <c r="AA1966" s="223"/>
    </row>
    <row r="1967">
      <c r="A1967" s="42">
        <f t="shared" si="3"/>
        <v>1966</v>
      </c>
      <c r="B1967" s="51" t="s">
        <v>41</v>
      </c>
      <c r="C1967" s="53" t="s">
        <v>8719</v>
      </c>
      <c r="D1967" s="42" t="s">
        <v>44</v>
      </c>
      <c r="E1967" s="42" t="s">
        <v>44</v>
      </c>
      <c r="F1967" s="53" t="s">
        <v>8688</v>
      </c>
      <c r="G1967" s="53" t="s">
        <v>47</v>
      </c>
      <c r="H1967" s="53" t="s">
        <v>91</v>
      </c>
      <c r="I1967" s="53" t="s">
        <v>485</v>
      </c>
      <c r="J1967" s="53" t="s">
        <v>8700</v>
      </c>
      <c r="K1967" s="53" t="s">
        <v>51</v>
      </c>
      <c r="L1967" s="53" t="s">
        <v>52</v>
      </c>
      <c r="M1967" s="53" t="s">
        <v>52</v>
      </c>
      <c r="N1967" s="62" t="s">
        <v>8720</v>
      </c>
      <c r="O1967" s="62" t="s">
        <v>44</v>
      </c>
      <c r="P1967" s="62" t="s">
        <v>8714</v>
      </c>
      <c r="Q1967" s="62" t="s">
        <v>512</v>
      </c>
      <c r="R1967" s="53"/>
      <c r="S1967" s="53"/>
      <c r="T1967" s="82"/>
      <c r="U1967" s="42"/>
      <c r="V1967" s="62"/>
      <c r="W1967" s="64"/>
      <c r="X1967" s="223"/>
      <c r="Y1967" s="223"/>
      <c r="Z1967" s="223"/>
      <c r="AA1967" s="223"/>
    </row>
    <row r="1968">
      <c r="A1968" s="42">
        <f t="shared" si="3"/>
        <v>1967</v>
      </c>
      <c r="B1968" s="51" t="s">
        <v>41</v>
      </c>
      <c r="C1968" s="53" t="s">
        <v>8721</v>
      </c>
      <c r="D1968" s="42" t="s">
        <v>44</v>
      </c>
      <c r="E1968" s="42" t="s">
        <v>44</v>
      </c>
      <c r="F1968" s="53" t="s">
        <v>8688</v>
      </c>
      <c r="G1968" s="53" t="s">
        <v>47</v>
      </c>
      <c r="H1968" s="53" t="s">
        <v>48</v>
      </c>
      <c r="I1968" s="53" t="s">
        <v>485</v>
      </c>
      <c r="J1968" s="53" t="s">
        <v>8700</v>
      </c>
      <c r="K1968" s="53" t="s">
        <v>51</v>
      </c>
      <c r="L1968" s="53" t="s">
        <v>52</v>
      </c>
      <c r="M1968" s="53" t="s">
        <v>52</v>
      </c>
      <c r="N1968" s="62" t="s">
        <v>8722</v>
      </c>
      <c r="O1968" s="62" t="s">
        <v>44</v>
      </c>
      <c r="P1968" s="62" t="s">
        <v>8723</v>
      </c>
      <c r="Q1968" s="62" t="s">
        <v>8724</v>
      </c>
      <c r="R1968" s="53"/>
      <c r="S1968" s="53"/>
      <c r="T1968" s="82"/>
      <c r="U1968" s="42"/>
      <c r="V1968" s="62"/>
      <c r="W1968" s="64"/>
      <c r="X1968" s="223"/>
      <c r="Y1968" s="223"/>
      <c r="Z1968" s="223"/>
      <c r="AA1968" s="223"/>
    </row>
    <row r="1969">
      <c r="A1969" s="42">
        <f t="shared" si="3"/>
        <v>1968</v>
      </c>
      <c r="B1969" s="51" t="s">
        <v>41</v>
      </c>
      <c r="C1969" s="53" t="s">
        <v>8725</v>
      </c>
      <c r="D1969" s="42" t="s">
        <v>44</v>
      </c>
      <c r="E1969" s="42" t="s">
        <v>44</v>
      </c>
      <c r="F1969" s="53" t="s">
        <v>8688</v>
      </c>
      <c r="G1969" s="53" t="s">
        <v>47</v>
      </c>
      <c r="H1969" s="53" t="s">
        <v>48</v>
      </c>
      <c r="I1969" s="53" t="s">
        <v>485</v>
      </c>
      <c r="J1969" s="53" t="s">
        <v>8700</v>
      </c>
      <c r="K1969" s="53" t="s">
        <v>51</v>
      </c>
      <c r="L1969" s="53" t="s">
        <v>52</v>
      </c>
      <c r="M1969" s="53" t="s">
        <v>52</v>
      </c>
      <c r="N1969" s="62" t="s">
        <v>8726</v>
      </c>
      <c r="O1969" s="62" t="s">
        <v>44</v>
      </c>
      <c r="P1969" s="62" t="s">
        <v>8723</v>
      </c>
      <c r="Q1969" s="62" t="s">
        <v>8724</v>
      </c>
      <c r="R1969" s="53"/>
      <c r="S1969" s="53"/>
      <c r="T1969" s="82"/>
      <c r="U1969" s="42"/>
      <c r="V1969" s="62"/>
      <c r="W1969" s="64"/>
      <c r="X1969" s="223"/>
      <c r="Y1969" s="223"/>
      <c r="Z1969" s="223"/>
      <c r="AA1969" s="223"/>
    </row>
    <row r="1970">
      <c r="A1970" s="42">
        <f t="shared" si="3"/>
        <v>1969</v>
      </c>
      <c r="B1970" s="51" t="s">
        <v>41</v>
      </c>
      <c r="C1970" s="53" t="s">
        <v>8727</v>
      </c>
      <c r="D1970" s="42" t="s">
        <v>44</v>
      </c>
      <c r="E1970" s="42" t="s">
        <v>44</v>
      </c>
      <c r="F1970" s="53" t="s">
        <v>8728</v>
      </c>
      <c r="G1970" s="53" t="s">
        <v>197</v>
      </c>
      <c r="H1970" s="53" t="s">
        <v>198</v>
      </c>
      <c r="I1970" s="53" t="s">
        <v>485</v>
      </c>
      <c r="J1970" s="53" t="s">
        <v>8729</v>
      </c>
      <c r="K1970" s="53" t="s">
        <v>51</v>
      </c>
      <c r="L1970" s="53" t="s">
        <v>52</v>
      </c>
      <c r="M1970" s="53" t="s">
        <v>52</v>
      </c>
      <c r="N1970" s="62" t="s">
        <v>8730</v>
      </c>
      <c r="O1970" s="62" t="s">
        <v>44</v>
      </c>
      <c r="P1970" s="62" t="s">
        <v>8731</v>
      </c>
      <c r="Q1970" s="62" t="s">
        <v>8574</v>
      </c>
      <c r="R1970" s="53"/>
      <c r="S1970" s="53"/>
      <c r="T1970" s="82"/>
      <c r="U1970" s="42"/>
      <c r="V1970" s="62"/>
      <c r="W1970" s="64"/>
      <c r="X1970" s="223"/>
      <c r="Y1970" s="223"/>
      <c r="Z1970" s="223"/>
      <c r="AA1970" s="223"/>
    </row>
    <row r="1971">
      <c r="A1971" s="42">
        <f t="shared" si="3"/>
        <v>1970</v>
      </c>
      <c r="B1971" s="51" t="s">
        <v>41</v>
      </c>
      <c r="C1971" s="53" t="s">
        <v>8732</v>
      </c>
      <c r="D1971" s="42" t="s">
        <v>44</v>
      </c>
      <c r="E1971" s="42" t="s">
        <v>44</v>
      </c>
      <c r="F1971" s="53" t="s">
        <v>8728</v>
      </c>
      <c r="G1971" s="53" t="s">
        <v>47</v>
      </c>
      <c r="H1971" s="53" t="s">
        <v>48</v>
      </c>
      <c r="I1971" s="53" t="s">
        <v>485</v>
      </c>
      <c r="J1971" s="53" t="s">
        <v>8729</v>
      </c>
      <c r="K1971" s="53" t="s">
        <v>51</v>
      </c>
      <c r="L1971" s="53" t="s">
        <v>52</v>
      </c>
      <c r="M1971" s="53" t="s">
        <v>52</v>
      </c>
      <c r="N1971" s="62" t="s">
        <v>8730</v>
      </c>
      <c r="O1971" s="62" t="s">
        <v>44</v>
      </c>
      <c r="P1971" s="62" t="s">
        <v>8733</v>
      </c>
      <c r="Q1971" s="62" t="s">
        <v>8734</v>
      </c>
      <c r="R1971" s="53"/>
      <c r="S1971" s="53"/>
      <c r="T1971" s="82"/>
      <c r="U1971" s="42"/>
      <c r="V1971" s="62"/>
      <c r="W1971" s="64"/>
      <c r="X1971" s="223"/>
      <c r="Y1971" s="223"/>
      <c r="Z1971" s="223"/>
      <c r="AA1971" s="223"/>
    </row>
    <row r="1972">
      <c r="A1972" s="42">
        <f t="shared" si="3"/>
        <v>1971</v>
      </c>
      <c r="B1972" s="51" t="s">
        <v>41</v>
      </c>
      <c r="C1972" s="53" t="s">
        <v>8735</v>
      </c>
      <c r="D1972" s="42" t="s">
        <v>44</v>
      </c>
      <c r="E1972" s="42" t="s">
        <v>44</v>
      </c>
      <c r="F1972" s="53" t="s">
        <v>8728</v>
      </c>
      <c r="G1972" s="53" t="s">
        <v>47</v>
      </c>
      <c r="H1972" s="53" t="s">
        <v>48</v>
      </c>
      <c r="I1972" s="53" t="s">
        <v>485</v>
      </c>
      <c r="J1972" s="53" t="s">
        <v>8729</v>
      </c>
      <c r="K1972" s="53" t="s">
        <v>51</v>
      </c>
      <c r="L1972" s="53" t="s">
        <v>52</v>
      </c>
      <c r="M1972" s="53" t="s">
        <v>52</v>
      </c>
      <c r="N1972" s="62" t="s">
        <v>8736</v>
      </c>
      <c r="O1972" s="62" t="s">
        <v>44</v>
      </c>
      <c r="P1972" s="62" t="s">
        <v>8737</v>
      </c>
      <c r="Q1972" s="62" t="s">
        <v>8738</v>
      </c>
      <c r="R1972" s="53"/>
      <c r="S1972" s="53"/>
      <c r="T1972" s="82"/>
      <c r="U1972" s="42"/>
      <c r="V1972" s="62"/>
      <c r="W1972" s="64"/>
      <c r="X1972" s="223"/>
      <c r="Y1972" s="223"/>
      <c r="Z1972" s="223"/>
      <c r="AA1972" s="223"/>
    </row>
    <row r="1973">
      <c r="A1973" s="42">
        <f t="shared" si="3"/>
        <v>1972</v>
      </c>
      <c r="B1973" s="51" t="s">
        <v>41</v>
      </c>
      <c r="C1973" s="53" t="s">
        <v>8739</v>
      </c>
      <c r="D1973" s="42" t="s">
        <v>44</v>
      </c>
      <c r="E1973" s="42" t="s">
        <v>44</v>
      </c>
      <c r="F1973" s="53" t="s">
        <v>8728</v>
      </c>
      <c r="G1973" s="53" t="s">
        <v>47</v>
      </c>
      <c r="H1973" s="53" t="s">
        <v>95</v>
      </c>
      <c r="I1973" s="53" t="s">
        <v>485</v>
      </c>
      <c r="J1973" s="53" t="s">
        <v>8729</v>
      </c>
      <c r="K1973" s="53" t="s">
        <v>51</v>
      </c>
      <c r="L1973" s="53" t="s">
        <v>52</v>
      </c>
      <c r="M1973" s="53" t="s">
        <v>52</v>
      </c>
      <c r="N1973" s="62" t="s">
        <v>8740</v>
      </c>
      <c r="O1973" s="62" t="s">
        <v>44</v>
      </c>
      <c r="P1973" s="62" t="s">
        <v>8737</v>
      </c>
      <c r="Q1973" s="62" t="s">
        <v>8741</v>
      </c>
      <c r="R1973" s="53"/>
      <c r="S1973" s="53"/>
      <c r="T1973" s="82"/>
      <c r="U1973" s="42"/>
      <c r="V1973" s="62"/>
      <c r="W1973" s="64"/>
      <c r="X1973" s="223"/>
      <c r="Y1973" s="223"/>
      <c r="Z1973" s="223"/>
      <c r="AA1973" s="223"/>
    </row>
    <row r="1974">
      <c r="A1974" s="42">
        <f t="shared" si="3"/>
        <v>1973</v>
      </c>
      <c r="B1974" s="51" t="s">
        <v>41</v>
      </c>
      <c r="C1974" s="53" t="s">
        <v>8742</v>
      </c>
      <c r="D1974" s="42" t="s">
        <v>44</v>
      </c>
      <c r="E1974" s="42" t="s">
        <v>44</v>
      </c>
      <c r="F1974" s="53" t="s">
        <v>8728</v>
      </c>
      <c r="G1974" s="53" t="s">
        <v>47</v>
      </c>
      <c r="H1974" s="53" t="s">
        <v>48</v>
      </c>
      <c r="I1974" s="53" t="s">
        <v>485</v>
      </c>
      <c r="J1974" s="53" t="s">
        <v>8729</v>
      </c>
      <c r="K1974" s="53" t="s">
        <v>51</v>
      </c>
      <c r="L1974" s="53" t="s">
        <v>52</v>
      </c>
      <c r="M1974" s="53" t="s">
        <v>52</v>
      </c>
      <c r="N1974" s="62" t="s">
        <v>8743</v>
      </c>
      <c r="O1974" s="62" t="s">
        <v>44</v>
      </c>
      <c r="P1974" s="62" t="s">
        <v>8744</v>
      </c>
      <c r="Q1974" s="62" t="s">
        <v>8745</v>
      </c>
      <c r="R1974" s="53"/>
      <c r="S1974" s="53"/>
      <c r="T1974" s="82"/>
      <c r="U1974" s="42"/>
      <c r="V1974" s="62"/>
      <c r="W1974" s="64"/>
      <c r="X1974" s="223"/>
      <c r="Y1974" s="223"/>
      <c r="Z1974" s="223"/>
      <c r="AA1974" s="223"/>
    </row>
    <row r="1975">
      <c r="A1975" s="42">
        <f t="shared" si="3"/>
        <v>1974</v>
      </c>
      <c r="B1975" s="51" t="s">
        <v>41</v>
      </c>
      <c r="C1975" s="53" t="s">
        <v>8746</v>
      </c>
      <c r="D1975" s="42" t="s">
        <v>44</v>
      </c>
      <c r="E1975" s="42" t="s">
        <v>44</v>
      </c>
      <c r="F1975" s="53" t="s">
        <v>8728</v>
      </c>
      <c r="G1975" s="53" t="s">
        <v>47</v>
      </c>
      <c r="H1975" s="53" t="s">
        <v>48</v>
      </c>
      <c r="I1975" s="53" t="s">
        <v>485</v>
      </c>
      <c r="J1975" s="53" t="s">
        <v>8729</v>
      </c>
      <c r="K1975" s="53" t="s">
        <v>51</v>
      </c>
      <c r="L1975" s="53" t="s">
        <v>52</v>
      </c>
      <c r="M1975" s="53" t="s">
        <v>52</v>
      </c>
      <c r="N1975" s="62" t="s">
        <v>8747</v>
      </c>
      <c r="O1975" s="62" t="s">
        <v>44</v>
      </c>
      <c r="P1975" s="62" t="s">
        <v>8744</v>
      </c>
      <c r="Q1975" s="62" t="s">
        <v>8748</v>
      </c>
      <c r="R1975" s="53"/>
      <c r="S1975" s="53"/>
      <c r="T1975" s="82"/>
      <c r="U1975" s="42"/>
      <c r="V1975" s="62"/>
      <c r="W1975" s="64"/>
      <c r="X1975" s="223"/>
      <c r="Y1975" s="223"/>
      <c r="Z1975" s="223"/>
      <c r="AA1975" s="223"/>
    </row>
    <row r="1976">
      <c r="A1976" s="42">
        <f t="shared" si="3"/>
        <v>1975</v>
      </c>
      <c r="B1976" s="51" t="s">
        <v>41</v>
      </c>
      <c r="C1976" s="53" t="s">
        <v>8749</v>
      </c>
      <c r="D1976" s="42" t="s">
        <v>44</v>
      </c>
      <c r="E1976" s="42" t="s">
        <v>44</v>
      </c>
      <c r="F1976" s="53" t="s">
        <v>8728</v>
      </c>
      <c r="G1976" s="53" t="s">
        <v>47</v>
      </c>
      <c r="H1976" s="53" t="s">
        <v>48</v>
      </c>
      <c r="I1976" s="53" t="s">
        <v>485</v>
      </c>
      <c r="J1976" s="53" t="s">
        <v>8729</v>
      </c>
      <c r="K1976" s="53" t="s">
        <v>51</v>
      </c>
      <c r="L1976" s="53" t="s">
        <v>52</v>
      </c>
      <c r="M1976" s="53" t="s">
        <v>52</v>
      </c>
      <c r="N1976" s="62" t="s">
        <v>8750</v>
      </c>
      <c r="O1976" s="62" t="s">
        <v>44</v>
      </c>
      <c r="P1976" s="62" t="s">
        <v>8744</v>
      </c>
      <c r="Q1976" s="62" t="s">
        <v>8751</v>
      </c>
      <c r="R1976" s="53"/>
      <c r="S1976" s="53"/>
      <c r="T1976" s="82"/>
      <c r="U1976" s="42"/>
      <c r="V1976" s="62"/>
      <c r="W1976" s="64"/>
      <c r="X1976" s="223"/>
      <c r="Y1976" s="223"/>
      <c r="Z1976" s="223"/>
      <c r="AA1976" s="223"/>
    </row>
    <row r="1977">
      <c r="A1977" s="42">
        <f t="shared" si="3"/>
        <v>1976</v>
      </c>
      <c r="B1977" s="51" t="s">
        <v>41</v>
      </c>
      <c r="C1977" s="53" t="s">
        <v>8752</v>
      </c>
      <c r="D1977" s="42" t="s">
        <v>44</v>
      </c>
      <c r="E1977" s="42" t="s">
        <v>44</v>
      </c>
      <c r="F1977" s="53" t="s">
        <v>8728</v>
      </c>
      <c r="G1977" s="53" t="s">
        <v>47</v>
      </c>
      <c r="H1977" s="53" t="s">
        <v>95</v>
      </c>
      <c r="I1977" s="53" t="s">
        <v>485</v>
      </c>
      <c r="J1977" s="53" t="s">
        <v>8729</v>
      </c>
      <c r="K1977" s="53" t="s">
        <v>51</v>
      </c>
      <c r="L1977" s="53" t="s">
        <v>52</v>
      </c>
      <c r="M1977" s="53" t="s">
        <v>52</v>
      </c>
      <c r="N1977" s="62" t="s">
        <v>8753</v>
      </c>
      <c r="O1977" s="62" t="s">
        <v>44</v>
      </c>
      <c r="P1977" s="62" t="s">
        <v>8744</v>
      </c>
      <c r="Q1977" s="62" t="s">
        <v>8751</v>
      </c>
      <c r="R1977" s="53"/>
      <c r="S1977" s="53"/>
      <c r="T1977" s="82"/>
      <c r="U1977" s="42"/>
      <c r="V1977" s="62"/>
      <c r="W1977" s="64"/>
      <c r="X1977" s="223"/>
      <c r="Y1977" s="223"/>
      <c r="Z1977" s="223"/>
      <c r="AA1977" s="223"/>
    </row>
    <row r="1978">
      <c r="A1978" s="42">
        <f t="shared" si="3"/>
        <v>1977</v>
      </c>
      <c r="B1978" s="51" t="s">
        <v>41</v>
      </c>
      <c r="C1978" s="53" t="s">
        <v>8754</v>
      </c>
      <c r="D1978" s="42" t="s">
        <v>44</v>
      </c>
      <c r="E1978" s="42" t="s">
        <v>44</v>
      </c>
      <c r="F1978" s="53" t="s">
        <v>8728</v>
      </c>
      <c r="G1978" s="53" t="s">
        <v>47</v>
      </c>
      <c r="H1978" s="53" t="s">
        <v>91</v>
      </c>
      <c r="I1978" s="53" t="s">
        <v>485</v>
      </c>
      <c r="J1978" s="53" t="s">
        <v>8729</v>
      </c>
      <c r="K1978" s="53" t="s">
        <v>51</v>
      </c>
      <c r="L1978" s="53" t="s">
        <v>52</v>
      </c>
      <c r="M1978" s="53" t="s">
        <v>52</v>
      </c>
      <c r="N1978" s="62" t="s">
        <v>8755</v>
      </c>
      <c r="O1978" s="62" t="s">
        <v>44</v>
      </c>
      <c r="P1978" s="62" t="s">
        <v>8756</v>
      </c>
      <c r="Q1978" s="62" t="s">
        <v>8757</v>
      </c>
      <c r="R1978" s="53"/>
      <c r="S1978" s="53"/>
      <c r="T1978" s="82"/>
      <c r="U1978" s="42"/>
      <c r="V1978" s="62"/>
      <c r="W1978" s="64"/>
      <c r="X1978" s="223"/>
      <c r="Y1978" s="223"/>
      <c r="Z1978" s="223"/>
      <c r="AA1978" s="223"/>
    </row>
    <row r="1979">
      <c r="A1979" s="42">
        <f t="shared" si="3"/>
        <v>1978</v>
      </c>
      <c r="B1979" s="51" t="s">
        <v>41</v>
      </c>
      <c r="C1979" s="53" t="s">
        <v>8758</v>
      </c>
      <c r="D1979" s="42" t="s">
        <v>44</v>
      </c>
      <c r="E1979" s="42" t="s">
        <v>44</v>
      </c>
      <c r="F1979" s="53" t="s">
        <v>8728</v>
      </c>
      <c r="G1979" s="53" t="s">
        <v>47</v>
      </c>
      <c r="H1979" s="53" t="s">
        <v>48</v>
      </c>
      <c r="I1979" s="53" t="s">
        <v>485</v>
      </c>
      <c r="J1979" s="53" t="s">
        <v>8729</v>
      </c>
      <c r="K1979" s="53" t="s">
        <v>51</v>
      </c>
      <c r="L1979" s="53" t="s">
        <v>52</v>
      </c>
      <c r="M1979" s="53" t="s">
        <v>52</v>
      </c>
      <c r="N1979" s="62" t="s">
        <v>8759</v>
      </c>
      <c r="O1979" s="62" t="s">
        <v>44</v>
      </c>
      <c r="P1979" s="62" t="s">
        <v>8760</v>
      </c>
      <c r="Q1979" s="62" t="s">
        <v>8761</v>
      </c>
      <c r="R1979" s="53"/>
      <c r="S1979" s="53"/>
      <c r="T1979" s="82"/>
      <c r="U1979" s="42"/>
      <c r="V1979" s="62"/>
      <c r="W1979" s="64"/>
      <c r="X1979" s="223"/>
      <c r="Y1979" s="223"/>
      <c r="Z1979" s="223"/>
      <c r="AA1979" s="223"/>
    </row>
    <row r="1980">
      <c r="A1980" s="42">
        <f t="shared" si="3"/>
        <v>1979</v>
      </c>
      <c r="B1980" s="51" t="s">
        <v>41</v>
      </c>
      <c r="C1980" s="53" t="s">
        <v>8762</v>
      </c>
      <c r="D1980" s="42" t="s">
        <v>44</v>
      </c>
      <c r="E1980" s="42" t="s">
        <v>44</v>
      </c>
      <c r="F1980" s="53" t="s">
        <v>8728</v>
      </c>
      <c r="G1980" s="53" t="s">
        <v>47</v>
      </c>
      <c r="H1980" s="53" t="s">
        <v>91</v>
      </c>
      <c r="I1980" s="53" t="s">
        <v>485</v>
      </c>
      <c r="J1980" s="53" t="s">
        <v>8729</v>
      </c>
      <c r="K1980" s="53" t="s">
        <v>51</v>
      </c>
      <c r="L1980" s="53" t="s">
        <v>52</v>
      </c>
      <c r="M1980" s="53" t="s">
        <v>52</v>
      </c>
      <c r="N1980" s="62" t="s">
        <v>8755</v>
      </c>
      <c r="O1980" s="62" t="s">
        <v>44</v>
      </c>
      <c r="P1980" s="62" t="s">
        <v>8756</v>
      </c>
      <c r="Q1980" s="62" t="s">
        <v>8763</v>
      </c>
      <c r="R1980" s="53"/>
      <c r="S1980" s="53"/>
      <c r="T1980" s="82"/>
      <c r="U1980" s="42"/>
      <c r="V1980" s="62"/>
      <c r="W1980" s="64"/>
      <c r="X1980" s="223"/>
      <c r="Y1980" s="223"/>
      <c r="Z1980" s="223"/>
      <c r="AA1980" s="223"/>
    </row>
    <row r="1981">
      <c r="A1981" s="42">
        <f t="shared" si="3"/>
        <v>1980</v>
      </c>
      <c r="B1981" s="51" t="s">
        <v>41</v>
      </c>
      <c r="C1981" s="53" t="s">
        <v>8764</v>
      </c>
      <c r="D1981" s="42" t="s">
        <v>44</v>
      </c>
      <c r="E1981" s="42" t="s">
        <v>44</v>
      </c>
      <c r="F1981" s="53" t="s">
        <v>8728</v>
      </c>
      <c r="G1981" s="53" t="s">
        <v>47</v>
      </c>
      <c r="H1981" s="53" t="s">
        <v>91</v>
      </c>
      <c r="I1981" s="53" t="s">
        <v>485</v>
      </c>
      <c r="J1981" s="53" t="s">
        <v>8729</v>
      </c>
      <c r="K1981" s="53" t="s">
        <v>51</v>
      </c>
      <c r="L1981" s="53" t="s">
        <v>52</v>
      </c>
      <c r="M1981" s="53" t="s">
        <v>52</v>
      </c>
      <c r="N1981" s="62" t="s">
        <v>8755</v>
      </c>
      <c r="O1981" s="62" t="s">
        <v>44</v>
      </c>
      <c r="P1981" s="62" t="s">
        <v>8765</v>
      </c>
      <c r="Q1981" s="62" t="s">
        <v>8766</v>
      </c>
      <c r="R1981" s="53"/>
      <c r="S1981" s="53"/>
      <c r="T1981" s="82"/>
      <c r="U1981" s="42"/>
      <c r="V1981" s="62"/>
      <c r="W1981" s="64"/>
      <c r="X1981" s="223"/>
      <c r="Y1981" s="223"/>
      <c r="Z1981" s="223"/>
      <c r="AA1981" s="223"/>
    </row>
    <row r="1982">
      <c r="A1982" s="42">
        <f t="shared" si="3"/>
        <v>1981</v>
      </c>
      <c r="B1982" s="51" t="s">
        <v>41</v>
      </c>
      <c r="C1982" s="53" t="s">
        <v>8767</v>
      </c>
      <c r="D1982" s="42" t="s">
        <v>44</v>
      </c>
      <c r="E1982" s="42" t="s">
        <v>44</v>
      </c>
      <c r="F1982" s="53" t="s">
        <v>8728</v>
      </c>
      <c r="G1982" s="53" t="s">
        <v>47</v>
      </c>
      <c r="H1982" s="53" t="s">
        <v>48</v>
      </c>
      <c r="I1982" s="53" t="s">
        <v>485</v>
      </c>
      <c r="J1982" s="53" t="s">
        <v>8768</v>
      </c>
      <c r="K1982" s="53" t="s">
        <v>51</v>
      </c>
      <c r="L1982" s="53" t="s">
        <v>52</v>
      </c>
      <c r="M1982" s="53" t="s">
        <v>52</v>
      </c>
      <c r="N1982" s="62" t="s">
        <v>8769</v>
      </c>
      <c r="O1982" s="62" t="s">
        <v>44</v>
      </c>
      <c r="P1982" s="62" t="s">
        <v>8770</v>
      </c>
      <c r="Q1982" s="62" t="s">
        <v>8771</v>
      </c>
      <c r="R1982" s="53"/>
      <c r="S1982" s="53"/>
      <c r="T1982" s="82"/>
      <c r="U1982" s="42"/>
      <c r="V1982" s="62"/>
      <c r="W1982" s="64"/>
      <c r="X1982" s="223"/>
      <c r="Y1982" s="223"/>
      <c r="Z1982" s="223"/>
      <c r="AA1982" s="223"/>
    </row>
    <row r="1983">
      <c r="A1983" s="42">
        <f t="shared" si="3"/>
        <v>1982</v>
      </c>
      <c r="B1983" s="51" t="s">
        <v>41</v>
      </c>
      <c r="C1983" s="53" t="s">
        <v>8772</v>
      </c>
      <c r="D1983" s="42" t="s">
        <v>44</v>
      </c>
      <c r="E1983" s="42" t="s">
        <v>44</v>
      </c>
      <c r="F1983" s="53" t="s">
        <v>8728</v>
      </c>
      <c r="G1983" s="53" t="s">
        <v>47</v>
      </c>
      <c r="H1983" s="53" t="s">
        <v>48</v>
      </c>
      <c r="I1983" s="53" t="s">
        <v>485</v>
      </c>
      <c r="J1983" s="53" t="s">
        <v>8768</v>
      </c>
      <c r="K1983" s="53" t="s">
        <v>51</v>
      </c>
      <c r="L1983" s="53" t="s">
        <v>52</v>
      </c>
      <c r="M1983" s="53" t="s">
        <v>52</v>
      </c>
      <c r="N1983" s="62" t="s">
        <v>8773</v>
      </c>
      <c r="O1983" s="62" t="s">
        <v>44</v>
      </c>
      <c r="P1983" s="62" t="s">
        <v>8774</v>
      </c>
      <c r="Q1983" s="62" t="s">
        <v>8775</v>
      </c>
      <c r="R1983" s="53"/>
      <c r="S1983" s="53"/>
      <c r="T1983" s="82"/>
      <c r="U1983" s="42"/>
      <c r="V1983" s="62"/>
      <c r="W1983" s="64"/>
      <c r="X1983" s="223"/>
      <c r="Y1983" s="223"/>
      <c r="Z1983" s="223"/>
      <c r="AA1983" s="223"/>
    </row>
    <row r="1984">
      <c r="A1984" s="42">
        <f t="shared" si="3"/>
        <v>1983</v>
      </c>
      <c r="B1984" s="51" t="s">
        <v>41</v>
      </c>
      <c r="C1984" s="53" t="s">
        <v>8776</v>
      </c>
      <c r="D1984" s="42" t="s">
        <v>44</v>
      </c>
      <c r="E1984" s="42" t="s">
        <v>44</v>
      </c>
      <c r="F1984" s="53" t="s">
        <v>8728</v>
      </c>
      <c r="G1984" s="53" t="s">
        <v>47</v>
      </c>
      <c r="H1984" s="53" t="s">
        <v>91</v>
      </c>
      <c r="I1984" s="53" t="s">
        <v>485</v>
      </c>
      <c r="J1984" s="53" t="s">
        <v>8768</v>
      </c>
      <c r="K1984" s="53" t="s">
        <v>51</v>
      </c>
      <c r="L1984" s="53" t="s">
        <v>52</v>
      </c>
      <c r="M1984" s="53" t="s">
        <v>52</v>
      </c>
      <c r="N1984" s="62" t="s">
        <v>8777</v>
      </c>
      <c r="O1984" s="62" t="s">
        <v>44</v>
      </c>
      <c r="P1984" s="62" t="s">
        <v>8778</v>
      </c>
      <c r="Q1984" s="62" t="s">
        <v>8779</v>
      </c>
      <c r="R1984" s="53"/>
      <c r="S1984" s="53"/>
      <c r="T1984" s="82"/>
      <c r="U1984" s="42"/>
      <c r="V1984" s="62"/>
      <c r="W1984" s="64"/>
      <c r="X1984" s="223"/>
      <c r="Y1984" s="223"/>
      <c r="Z1984" s="223"/>
      <c r="AA1984" s="223"/>
    </row>
    <row r="1985">
      <c r="A1985" s="42">
        <f t="shared" si="3"/>
        <v>1984</v>
      </c>
      <c r="B1985" s="51" t="s">
        <v>41</v>
      </c>
      <c r="C1985" s="53" t="s">
        <v>8780</v>
      </c>
      <c r="D1985" s="42" t="s">
        <v>44</v>
      </c>
      <c r="E1985" s="42" t="s">
        <v>44</v>
      </c>
      <c r="F1985" s="53" t="s">
        <v>8728</v>
      </c>
      <c r="G1985" s="53" t="s">
        <v>47</v>
      </c>
      <c r="H1985" s="53" t="s">
        <v>91</v>
      </c>
      <c r="I1985" s="53" t="s">
        <v>485</v>
      </c>
      <c r="J1985" s="53" t="s">
        <v>8729</v>
      </c>
      <c r="K1985" s="53" t="s">
        <v>51</v>
      </c>
      <c r="L1985" s="53" t="s">
        <v>52</v>
      </c>
      <c r="M1985" s="53" t="s">
        <v>52</v>
      </c>
      <c r="N1985" s="62" t="s">
        <v>8781</v>
      </c>
      <c r="O1985" s="62" t="s">
        <v>44</v>
      </c>
      <c r="P1985" s="62" t="s">
        <v>8782</v>
      </c>
      <c r="Q1985" s="62" t="s">
        <v>5978</v>
      </c>
      <c r="R1985" s="53"/>
      <c r="S1985" s="53"/>
      <c r="T1985" s="82"/>
      <c r="U1985" s="42"/>
      <c r="V1985" s="62"/>
      <c r="W1985" s="64"/>
      <c r="X1985" s="223"/>
      <c r="Y1985" s="223"/>
      <c r="Z1985" s="223"/>
      <c r="AA1985" s="223"/>
    </row>
    <row r="1986">
      <c r="A1986" s="42">
        <f t="shared" si="3"/>
        <v>1985</v>
      </c>
      <c r="B1986" s="51" t="s">
        <v>41</v>
      </c>
      <c r="C1986" s="53" t="s">
        <v>8783</v>
      </c>
      <c r="D1986" s="42" t="s">
        <v>44</v>
      </c>
      <c r="E1986" s="42" t="s">
        <v>44</v>
      </c>
      <c r="F1986" s="53" t="s">
        <v>8728</v>
      </c>
      <c r="G1986" s="53" t="s">
        <v>47</v>
      </c>
      <c r="H1986" s="53" t="s">
        <v>91</v>
      </c>
      <c r="I1986" s="53" t="s">
        <v>485</v>
      </c>
      <c r="J1986" s="53" t="s">
        <v>8729</v>
      </c>
      <c r="K1986" s="53" t="s">
        <v>51</v>
      </c>
      <c r="L1986" s="53" t="s">
        <v>52</v>
      </c>
      <c r="M1986" s="53" t="s">
        <v>52</v>
      </c>
      <c r="N1986" s="62" t="s">
        <v>8784</v>
      </c>
      <c r="O1986" s="62" t="s">
        <v>44</v>
      </c>
      <c r="P1986" s="62" t="s">
        <v>8785</v>
      </c>
      <c r="Q1986" s="62" t="s">
        <v>8786</v>
      </c>
      <c r="R1986" s="53"/>
      <c r="S1986" s="53"/>
      <c r="T1986" s="82"/>
      <c r="U1986" s="42"/>
      <c r="V1986" s="62"/>
      <c r="W1986" s="64"/>
      <c r="X1986" s="223"/>
      <c r="Y1986" s="223"/>
      <c r="Z1986" s="223"/>
      <c r="AA1986" s="223"/>
    </row>
    <row r="1987">
      <c r="A1987" s="42">
        <f t="shared" si="3"/>
        <v>1986</v>
      </c>
      <c r="B1987" s="51" t="s">
        <v>41</v>
      </c>
      <c r="C1987" s="53" t="s">
        <v>8787</v>
      </c>
      <c r="D1987" s="42" t="s">
        <v>44</v>
      </c>
      <c r="E1987" s="42" t="s">
        <v>44</v>
      </c>
      <c r="F1987" s="53" t="s">
        <v>8788</v>
      </c>
      <c r="G1987" s="53" t="s">
        <v>47</v>
      </c>
      <c r="H1987" s="53" t="s">
        <v>48</v>
      </c>
      <c r="I1987" s="53" t="s">
        <v>485</v>
      </c>
      <c r="J1987" s="53" t="s">
        <v>8789</v>
      </c>
      <c r="K1987" s="53" t="s">
        <v>51</v>
      </c>
      <c r="L1987" s="53" t="s">
        <v>52</v>
      </c>
      <c r="M1987" s="53" t="s">
        <v>52</v>
      </c>
      <c r="N1987" s="62" t="s">
        <v>8790</v>
      </c>
      <c r="O1987" s="62" t="s">
        <v>44</v>
      </c>
      <c r="P1987" s="62" t="s">
        <v>8791</v>
      </c>
      <c r="Q1987" s="62" t="s">
        <v>8792</v>
      </c>
      <c r="R1987" s="53"/>
      <c r="S1987" s="53"/>
      <c r="T1987" s="82"/>
      <c r="U1987" s="42"/>
      <c r="V1987" s="62"/>
      <c r="W1987" s="64"/>
      <c r="X1987" s="223"/>
      <c r="Y1987" s="223"/>
      <c r="Z1987" s="223"/>
      <c r="AA1987" s="223"/>
    </row>
    <row r="1988">
      <c r="A1988" s="42">
        <f t="shared" si="3"/>
        <v>1987</v>
      </c>
      <c r="B1988" s="51" t="s">
        <v>41</v>
      </c>
      <c r="C1988" s="53" t="s">
        <v>8793</v>
      </c>
      <c r="D1988" s="42" t="s">
        <v>44</v>
      </c>
      <c r="E1988" s="42" t="s">
        <v>44</v>
      </c>
      <c r="F1988" s="53" t="s">
        <v>8788</v>
      </c>
      <c r="G1988" s="53" t="s">
        <v>47</v>
      </c>
      <c r="H1988" s="53" t="s">
        <v>48</v>
      </c>
      <c r="I1988" s="53" t="s">
        <v>485</v>
      </c>
      <c r="J1988" s="53" t="s">
        <v>8789</v>
      </c>
      <c r="K1988" s="53" t="s">
        <v>51</v>
      </c>
      <c r="L1988" s="53" t="s">
        <v>52</v>
      </c>
      <c r="M1988" s="53" t="s">
        <v>52</v>
      </c>
      <c r="N1988" s="62" t="s">
        <v>8790</v>
      </c>
      <c r="O1988" s="62" t="s">
        <v>44</v>
      </c>
      <c r="P1988" s="62" t="s">
        <v>8794</v>
      </c>
      <c r="Q1988" s="62" t="s">
        <v>8795</v>
      </c>
      <c r="R1988" s="53"/>
      <c r="S1988" s="53"/>
      <c r="T1988" s="82"/>
      <c r="U1988" s="42"/>
      <c r="V1988" s="62"/>
      <c r="W1988" s="64"/>
      <c r="X1988" s="223"/>
      <c r="Y1988" s="223"/>
      <c r="Z1988" s="223"/>
      <c r="AA1988" s="223"/>
    </row>
    <row r="1989">
      <c r="A1989" s="42">
        <f t="shared" si="3"/>
        <v>1988</v>
      </c>
      <c r="B1989" s="51" t="s">
        <v>41</v>
      </c>
      <c r="C1989" s="53" t="s">
        <v>8796</v>
      </c>
      <c r="D1989" s="42" t="s">
        <v>44</v>
      </c>
      <c r="E1989" s="42" t="s">
        <v>44</v>
      </c>
      <c r="F1989" s="53" t="s">
        <v>8788</v>
      </c>
      <c r="G1989" s="53" t="s">
        <v>47</v>
      </c>
      <c r="H1989" s="53" t="s">
        <v>48</v>
      </c>
      <c r="I1989" s="53" t="s">
        <v>485</v>
      </c>
      <c r="J1989" s="53" t="s">
        <v>8789</v>
      </c>
      <c r="K1989" s="53" t="s">
        <v>51</v>
      </c>
      <c r="L1989" s="53" t="s">
        <v>52</v>
      </c>
      <c r="M1989" s="53" t="s">
        <v>52</v>
      </c>
      <c r="N1989" s="62" t="s">
        <v>8790</v>
      </c>
      <c r="O1989" s="62" t="s">
        <v>44</v>
      </c>
      <c r="P1989" s="62" t="s">
        <v>8797</v>
      </c>
      <c r="Q1989" s="62" t="s">
        <v>8798</v>
      </c>
      <c r="R1989" s="53"/>
      <c r="S1989" s="53"/>
      <c r="T1989" s="82"/>
      <c r="U1989" s="42"/>
      <c r="V1989" s="62"/>
      <c r="W1989" s="64"/>
      <c r="X1989" s="223"/>
      <c r="Y1989" s="223"/>
      <c r="Z1989" s="223"/>
      <c r="AA1989" s="223"/>
    </row>
    <row r="1990">
      <c r="A1990" s="42">
        <f t="shared" si="3"/>
        <v>1989</v>
      </c>
      <c r="B1990" s="51" t="s">
        <v>41</v>
      </c>
      <c r="C1990" s="53" t="s">
        <v>8799</v>
      </c>
      <c r="D1990" s="42" t="s">
        <v>44</v>
      </c>
      <c r="E1990" s="42" t="s">
        <v>44</v>
      </c>
      <c r="F1990" s="53" t="s">
        <v>8788</v>
      </c>
      <c r="G1990" s="53" t="s">
        <v>47</v>
      </c>
      <c r="H1990" s="53" t="s">
        <v>48</v>
      </c>
      <c r="I1990" s="53" t="s">
        <v>485</v>
      </c>
      <c r="J1990" s="53" t="s">
        <v>8789</v>
      </c>
      <c r="K1990" s="53" t="s">
        <v>51</v>
      </c>
      <c r="L1990" s="53" t="s">
        <v>52</v>
      </c>
      <c r="M1990" s="53" t="s">
        <v>52</v>
      </c>
      <c r="N1990" s="62" t="s">
        <v>8800</v>
      </c>
      <c r="O1990" s="62" t="s">
        <v>44</v>
      </c>
      <c r="P1990" s="62" t="s">
        <v>8801</v>
      </c>
      <c r="Q1990" s="62" t="s">
        <v>8802</v>
      </c>
      <c r="R1990" s="53"/>
      <c r="S1990" s="53"/>
      <c r="T1990" s="82"/>
      <c r="U1990" s="42"/>
      <c r="V1990" s="62"/>
      <c r="W1990" s="64"/>
      <c r="X1990" s="223"/>
      <c r="Y1990" s="223"/>
      <c r="Z1990" s="223"/>
      <c r="AA1990" s="223"/>
    </row>
    <row r="1991">
      <c r="A1991" s="42">
        <f t="shared" si="3"/>
        <v>1990</v>
      </c>
      <c r="B1991" s="51" t="s">
        <v>41</v>
      </c>
      <c r="C1991" s="53" t="s">
        <v>8803</v>
      </c>
      <c r="D1991" s="42" t="s">
        <v>44</v>
      </c>
      <c r="E1991" s="42" t="s">
        <v>44</v>
      </c>
      <c r="F1991" s="53" t="s">
        <v>8788</v>
      </c>
      <c r="G1991" s="53" t="s">
        <v>47</v>
      </c>
      <c r="H1991" s="53" t="s">
        <v>95</v>
      </c>
      <c r="I1991" s="53" t="s">
        <v>485</v>
      </c>
      <c r="J1991" s="53" t="s">
        <v>8789</v>
      </c>
      <c r="K1991" s="53" t="s">
        <v>51</v>
      </c>
      <c r="L1991" s="53" t="s">
        <v>52</v>
      </c>
      <c r="M1991" s="53" t="s">
        <v>52</v>
      </c>
      <c r="N1991" s="62" t="s">
        <v>8804</v>
      </c>
      <c r="O1991" s="62" t="s">
        <v>44</v>
      </c>
      <c r="P1991" s="62" t="s">
        <v>8801</v>
      </c>
      <c r="Q1991" s="62" t="s">
        <v>8805</v>
      </c>
      <c r="R1991" s="53"/>
      <c r="S1991" s="53"/>
      <c r="T1991" s="82"/>
      <c r="U1991" s="42"/>
      <c r="V1991" s="62"/>
      <c r="W1991" s="64"/>
      <c r="X1991" s="223"/>
      <c r="Y1991" s="223"/>
      <c r="Z1991" s="223"/>
      <c r="AA1991" s="223"/>
    </row>
    <row r="1992">
      <c r="A1992" s="42">
        <f t="shared" si="3"/>
        <v>1991</v>
      </c>
      <c r="B1992" s="51" t="s">
        <v>41</v>
      </c>
      <c r="C1992" s="53" t="s">
        <v>8806</v>
      </c>
      <c r="D1992" s="42" t="s">
        <v>44</v>
      </c>
      <c r="E1992" s="42" t="s">
        <v>44</v>
      </c>
      <c r="F1992" s="53" t="s">
        <v>8788</v>
      </c>
      <c r="G1992" s="53" t="s">
        <v>47</v>
      </c>
      <c r="H1992" s="53" t="s">
        <v>48</v>
      </c>
      <c r="I1992" s="53" t="s">
        <v>485</v>
      </c>
      <c r="J1992" s="53" t="s">
        <v>8789</v>
      </c>
      <c r="K1992" s="53" t="s">
        <v>51</v>
      </c>
      <c r="L1992" s="53" t="s">
        <v>52</v>
      </c>
      <c r="M1992" s="53" t="s">
        <v>52</v>
      </c>
      <c r="N1992" s="62" t="s">
        <v>8807</v>
      </c>
      <c r="O1992" s="62" t="s">
        <v>44</v>
      </c>
      <c r="P1992" s="62" t="s">
        <v>8808</v>
      </c>
      <c r="Q1992" s="62" t="s">
        <v>8809</v>
      </c>
      <c r="R1992" s="53"/>
      <c r="S1992" s="53"/>
      <c r="T1992" s="82"/>
      <c r="U1992" s="42"/>
      <c r="V1992" s="62"/>
      <c r="W1992" s="64"/>
      <c r="X1992" s="223"/>
      <c r="Y1992" s="223"/>
      <c r="Z1992" s="223"/>
      <c r="AA1992" s="223"/>
    </row>
    <row r="1993">
      <c r="A1993" s="42">
        <f t="shared" si="3"/>
        <v>1992</v>
      </c>
      <c r="B1993" s="51" t="s">
        <v>41</v>
      </c>
      <c r="C1993" s="53" t="s">
        <v>8810</v>
      </c>
      <c r="D1993" s="42" t="s">
        <v>44</v>
      </c>
      <c r="E1993" s="42" t="s">
        <v>44</v>
      </c>
      <c r="F1993" s="53" t="s">
        <v>8788</v>
      </c>
      <c r="G1993" s="53" t="s">
        <v>47</v>
      </c>
      <c r="H1993" s="53" t="s">
        <v>95</v>
      </c>
      <c r="I1993" s="53" t="s">
        <v>485</v>
      </c>
      <c r="J1993" s="53" t="s">
        <v>8789</v>
      </c>
      <c r="K1993" s="53" t="s">
        <v>51</v>
      </c>
      <c r="L1993" s="53" t="s">
        <v>52</v>
      </c>
      <c r="M1993" s="53" t="s">
        <v>52</v>
      </c>
      <c r="N1993" s="62" t="s">
        <v>8811</v>
      </c>
      <c r="O1993" s="62" t="s">
        <v>44</v>
      </c>
      <c r="P1993" s="62" t="s">
        <v>8808</v>
      </c>
      <c r="Q1993" s="62" t="s">
        <v>8812</v>
      </c>
      <c r="R1993" s="53"/>
      <c r="S1993" s="53"/>
      <c r="T1993" s="82"/>
      <c r="U1993" s="42"/>
      <c r="V1993" s="62"/>
      <c r="W1993" s="64"/>
      <c r="X1993" s="223"/>
      <c r="Y1993" s="223"/>
      <c r="Z1993" s="223"/>
      <c r="AA1993" s="223"/>
    </row>
    <row r="1994">
      <c r="A1994" s="42">
        <f t="shared" si="3"/>
        <v>1993</v>
      </c>
      <c r="B1994" s="51" t="s">
        <v>41</v>
      </c>
      <c r="C1994" s="53" t="s">
        <v>8813</v>
      </c>
      <c r="D1994" s="42" t="s">
        <v>44</v>
      </c>
      <c r="E1994" s="42" t="s">
        <v>44</v>
      </c>
      <c r="F1994" s="53" t="s">
        <v>8788</v>
      </c>
      <c r="G1994" s="53" t="s">
        <v>47</v>
      </c>
      <c r="H1994" s="53" t="s">
        <v>48</v>
      </c>
      <c r="I1994" s="53" t="s">
        <v>485</v>
      </c>
      <c r="J1994" s="53" t="s">
        <v>8789</v>
      </c>
      <c r="K1994" s="53" t="s">
        <v>51</v>
      </c>
      <c r="L1994" s="53" t="s">
        <v>52</v>
      </c>
      <c r="M1994" s="53" t="s">
        <v>52</v>
      </c>
      <c r="N1994" s="62" t="s">
        <v>8814</v>
      </c>
      <c r="O1994" s="62" t="s">
        <v>44</v>
      </c>
      <c r="P1994" s="62" t="s">
        <v>8815</v>
      </c>
      <c r="Q1994" s="62" t="s">
        <v>8792</v>
      </c>
      <c r="R1994" s="53"/>
      <c r="S1994" s="53"/>
      <c r="T1994" s="82"/>
      <c r="U1994" s="42"/>
      <c r="V1994" s="62"/>
      <c r="W1994" s="64"/>
      <c r="X1994" s="223"/>
      <c r="Y1994" s="223"/>
      <c r="Z1994" s="223"/>
      <c r="AA1994" s="223"/>
    </row>
    <row r="1995">
      <c r="A1995" s="42">
        <f t="shared" si="3"/>
        <v>1994</v>
      </c>
      <c r="B1995" s="51" t="s">
        <v>41</v>
      </c>
      <c r="C1995" s="53" t="s">
        <v>8816</v>
      </c>
      <c r="D1995" s="42" t="s">
        <v>44</v>
      </c>
      <c r="E1995" s="42" t="s">
        <v>44</v>
      </c>
      <c r="F1995" s="53" t="s">
        <v>8788</v>
      </c>
      <c r="G1995" s="53" t="s">
        <v>47</v>
      </c>
      <c r="H1995" s="53" t="s">
        <v>48</v>
      </c>
      <c r="I1995" s="53" t="s">
        <v>485</v>
      </c>
      <c r="J1995" s="53" t="s">
        <v>8789</v>
      </c>
      <c r="K1995" s="53" t="s">
        <v>51</v>
      </c>
      <c r="L1995" s="53" t="s">
        <v>52</v>
      </c>
      <c r="M1995" s="53" t="s">
        <v>52</v>
      </c>
      <c r="N1995" s="62" t="s">
        <v>8814</v>
      </c>
      <c r="O1995" s="62" t="s">
        <v>44</v>
      </c>
      <c r="P1995" s="62" t="s">
        <v>8817</v>
      </c>
      <c r="Q1995" s="62" t="s">
        <v>8795</v>
      </c>
      <c r="R1995" s="53"/>
      <c r="S1995" s="53"/>
      <c r="T1995" s="82"/>
      <c r="U1995" s="42"/>
      <c r="V1995" s="62"/>
      <c r="W1995" s="64"/>
      <c r="X1995" s="223"/>
      <c r="Y1995" s="223"/>
      <c r="Z1995" s="223"/>
      <c r="AA1995" s="223"/>
    </row>
    <row r="1996">
      <c r="A1996" s="42">
        <f t="shared" si="3"/>
        <v>1995</v>
      </c>
      <c r="B1996" s="51" t="s">
        <v>41</v>
      </c>
      <c r="C1996" s="53" t="s">
        <v>8818</v>
      </c>
      <c r="D1996" s="42" t="s">
        <v>44</v>
      </c>
      <c r="E1996" s="42" t="s">
        <v>44</v>
      </c>
      <c r="F1996" s="53" t="s">
        <v>8788</v>
      </c>
      <c r="G1996" s="53" t="s">
        <v>47</v>
      </c>
      <c r="H1996" s="53" t="s">
        <v>48</v>
      </c>
      <c r="I1996" s="53" t="s">
        <v>485</v>
      </c>
      <c r="J1996" s="53" t="s">
        <v>8789</v>
      </c>
      <c r="K1996" s="53" t="s">
        <v>51</v>
      </c>
      <c r="L1996" s="53" t="s">
        <v>52</v>
      </c>
      <c r="M1996" s="53" t="s">
        <v>52</v>
      </c>
      <c r="N1996" s="62" t="s">
        <v>8814</v>
      </c>
      <c r="O1996" s="62" t="s">
        <v>44</v>
      </c>
      <c r="P1996" s="62" t="s">
        <v>8819</v>
      </c>
      <c r="Q1996" s="62" t="s">
        <v>8820</v>
      </c>
      <c r="R1996" s="53"/>
      <c r="S1996" s="53"/>
      <c r="T1996" s="82"/>
      <c r="U1996" s="42"/>
      <c r="V1996" s="62"/>
      <c r="W1996" s="64"/>
      <c r="X1996" s="223"/>
      <c r="Y1996" s="223"/>
      <c r="Z1996" s="223"/>
      <c r="AA1996" s="223"/>
    </row>
    <row r="1997">
      <c r="A1997" s="42">
        <f t="shared" si="3"/>
        <v>1996</v>
      </c>
      <c r="B1997" s="51" t="s">
        <v>41</v>
      </c>
      <c r="C1997" s="53" t="s">
        <v>8821</v>
      </c>
      <c r="D1997" s="42" t="s">
        <v>44</v>
      </c>
      <c r="E1997" s="42" t="s">
        <v>44</v>
      </c>
      <c r="F1997" s="53" t="s">
        <v>8788</v>
      </c>
      <c r="G1997" s="53" t="s">
        <v>47</v>
      </c>
      <c r="H1997" s="53" t="s">
        <v>48</v>
      </c>
      <c r="I1997" s="53" t="s">
        <v>485</v>
      </c>
      <c r="J1997" s="53" t="s">
        <v>8789</v>
      </c>
      <c r="K1997" s="53" t="s">
        <v>51</v>
      </c>
      <c r="L1997" s="53" t="s">
        <v>52</v>
      </c>
      <c r="M1997" s="53" t="s">
        <v>52</v>
      </c>
      <c r="N1997" s="62" t="s">
        <v>8822</v>
      </c>
      <c r="O1997" s="62" t="s">
        <v>44</v>
      </c>
      <c r="P1997" s="62" t="s">
        <v>8823</v>
      </c>
      <c r="Q1997" s="62" t="s">
        <v>8792</v>
      </c>
      <c r="R1997" s="53"/>
      <c r="S1997" s="53"/>
      <c r="T1997" s="82"/>
      <c r="U1997" s="42"/>
      <c r="V1997" s="62"/>
      <c r="W1997" s="64"/>
      <c r="X1997" s="223"/>
      <c r="Y1997" s="223"/>
      <c r="Z1997" s="223"/>
      <c r="AA1997" s="223"/>
    </row>
    <row r="1998">
      <c r="A1998" s="42">
        <f t="shared" si="3"/>
        <v>1997</v>
      </c>
      <c r="B1998" s="51" t="s">
        <v>41</v>
      </c>
      <c r="C1998" s="53" t="s">
        <v>8824</v>
      </c>
      <c r="D1998" s="42" t="s">
        <v>44</v>
      </c>
      <c r="E1998" s="42" t="s">
        <v>44</v>
      </c>
      <c r="F1998" s="53" t="s">
        <v>8788</v>
      </c>
      <c r="G1998" s="53" t="s">
        <v>47</v>
      </c>
      <c r="H1998" s="53" t="s">
        <v>48</v>
      </c>
      <c r="I1998" s="53" t="s">
        <v>485</v>
      </c>
      <c r="J1998" s="53" t="s">
        <v>8789</v>
      </c>
      <c r="K1998" s="53" t="s">
        <v>51</v>
      </c>
      <c r="L1998" s="53" t="s">
        <v>52</v>
      </c>
      <c r="M1998" s="53" t="s">
        <v>52</v>
      </c>
      <c r="N1998" s="62" t="s">
        <v>8822</v>
      </c>
      <c r="O1998" s="62" t="s">
        <v>44</v>
      </c>
      <c r="P1998" s="62" t="s">
        <v>8825</v>
      </c>
      <c r="Q1998" s="62" t="s">
        <v>8795</v>
      </c>
      <c r="R1998" s="53"/>
      <c r="S1998" s="53"/>
      <c r="T1998" s="82"/>
      <c r="U1998" s="42"/>
      <c r="V1998" s="62"/>
      <c r="W1998" s="64"/>
      <c r="X1998" s="223"/>
      <c r="Y1998" s="223"/>
      <c r="Z1998" s="223"/>
      <c r="AA1998" s="223"/>
    </row>
    <row r="1999">
      <c r="A1999" s="42">
        <f t="shared" si="3"/>
        <v>1998</v>
      </c>
      <c r="B1999" s="51" t="s">
        <v>41</v>
      </c>
      <c r="C1999" s="53" t="s">
        <v>8826</v>
      </c>
      <c r="D1999" s="42" t="s">
        <v>44</v>
      </c>
      <c r="E1999" s="42" t="s">
        <v>44</v>
      </c>
      <c r="F1999" s="53" t="s">
        <v>8788</v>
      </c>
      <c r="G1999" s="53" t="s">
        <v>47</v>
      </c>
      <c r="H1999" s="53" t="s">
        <v>48</v>
      </c>
      <c r="I1999" s="53" t="s">
        <v>485</v>
      </c>
      <c r="J1999" s="53" t="s">
        <v>8789</v>
      </c>
      <c r="K1999" s="53" t="s">
        <v>51</v>
      </c>
      <c r="L1999" s="53" t="s">
        <v>52</v>
      </c>
      <c r="M1999" s="53" t="s">
        <v>52</v>
      </c>
      <c r="N1999" s="62" t="s">
        <v>8822</v>
      </c>
      <c r="O1999" s="62" t="s">
        <v>44</v>
      </c>
      <c r="P1999" s="62" t="s">
        <v>8827</v>
      </c>
      <c r="Q1999" s="62" t="s">
        <v>8798</v>
      </c>
      <c r="R1999" s="53"/>
      <c r="S1999" s="53"/>
      <c r="T1999" s="82"/>
      <c r="U1999" s="42"/>
      <c r="V1999" s="62"/>
      <c r="W1999" s="64"/>
      <c r="X1999" s="223"/>
      <c r="Y1999" s="223"/>
      <c r="Z1999" s="223"/>
      <c r="AA1999" s="223"/>
    </row>
    <row r="2000">
      <c r="A2000" s="42">
        <f t="shared" si="3"/>
        <v>1999</v>
      </c>
      <c r="B2000" s="51" t="s">
        <v>41</v>
      </c>
      <c r="C2000" s="53" t="s">
        <v>8828</v>
      </c>
      <c r="D2000" s="42" t="s">
        <v>44</v>
      </c>
      <c r="E2000" s="42" t="s">
        <v>44</v>
      </c>
      <c r="F2000" s="53" t="s">
        <v>8829</v>
      </c>
      <c r="G2000" s="53" t="s">
        <v>47</v>
      </c>
      <c r="H2000" s="53" t="s">
        <v>48</v>
      </c>
      <c r="I2000" s="53" t="s">
        <v>401</v>
      </c>
      <c r="J2000" s="53" t="s">
        <v>8830</v>
      </c>
      <c r="K2000" s="53" t="s">
        <v>927</v>
      </c>
      <c r="L2000" s="53" t="s">
        <v>52</v>
      </c>
      <c r="M2000" s="53" t="s">
        <v>52</v>
      </c>
      <c r="N2000" s="62" t="s">
        <v>8831</v>
      </c>
      <c r="O2000" s="62" t="s">
        <v>44</v>
      </c>
      <c r="P2000" s="62" t="s">
        <v>8832</v>
      </c>
      <c r="Q2000" s="62" t="s">
        <v>8833</v>
      </c>
      <c r="R2000" s="53"/>
      <c r="S2000" s="53"/>
      <c r="T2000" s="82"/>
      <c r="U2000" s="42"/>
      <c r="V2000" s="62"/>
      <c r="W2000" s="64"/>
      <c r="X2000" s="223"/>
      <c r="Y2000" s="223"/>
      <c r="Z2000" s="223"/>
      <c r="AA2000" s="223"/>
    </row>
    <row r="2001">
      <c r="A2001" s="42">
        <f t="shared" si="3"/>
        <v>2000</v>
      </c>
      <c r="B2001" s="51" t="s">
        <v>41</v>
      </c>
      <c r="C2001" s="53" t="s">
        <v>8834</v>
      </c>
      <c r="D2001" s="42" t="s">
        <v>44</v>
      </c>
      <c r="E2001" s="42" t="s">
        <v>44</v>
      </c>
      <c r="F2001" s="53" t="s">
        <v>8829</v>
      </c>
      <c r="G2001" s="53" t="s">
        <v>47</v>
      </c>
      <c r="H2001" s="53" t="s">
        <v>48</v>
      </c>
      <c r="I2001" s="53" t="s">
        <v>401</v>
      </c>
      <c r="J2001" s="53" t="s">
        <v>8830</v>
      </c>
      <c r="K2001" s="53" t="s">
        <v>927</v>
      </c>
      <c r="L2001" s="53" t="s">
        <v>52</v>
      </c>
      <c r="M2001" s="53" t="s">
        <v>52</v>
      </c>
      <c r="N2001" s="62" t="s">
        <v>8831</v>
      </c>
      <c r="O2001" s="62" t="s">
        <v>44</v>
      </c>
      <c r="P2001" s="62" t="s">
        <v>8835</v>
      </c>
      <c r="Q2001" s="62" t="s">
        <v>8836</v>
      </c>
      <c r="R2001" s="53"/>
      <c r="S2001" s="53"/>
      <c r="T2001" s="82"/>
      <c r="U2001" s="42"/>
      <c r="V2001" s="62"/>
      <c r="W2001" s="64"/>
      <c r="X2001" s="223"/>
      <c r="Y2001" s="223"/>
      <c r="Z2001" s="223"/>
      <c r="AA2001" s="223"/>
    </row>
    <row r="2002">
      <c r="A2002" s="42">
        <f t="shared" si="3"/>
        <v>2001</v>
      </c>
      <c r="B2002" s="51" t="s">
        <v>41</v>
      </c>
      <c r="C2002" s="53" t="s">
        <v>8837</v>
      </c>
      <c r="D2002" s="42" t="s">
        <v>44</v>
      </c>
      <c r="E2002" s="42" t="s">
        <v>44</v>
      </c>
      <c r="F2002" s="53" t="s">
        <v>8829</v>
      </c>
      <c r="G2002" s="53" t="s">
        <v>47</v>
      </c>
      <c r="H2002" s="53" t="s">
        <v>91</v>
      </c>
      <c r="I2002" s="53" t="s">
        <v>401</v>
      </c>
      <c r="J2002" s="53" t="s">
        <v>8830</v>
      </c>
      <c r="K2002" s="53" t="s">
        <v>927</v>
      </c>
      <c r="L2002" s="53" t="s">
        <v>52</v>
      </c>
      <c r="M2002" s="53" t="s">
        <v>52</v>
      </c>
      <c r="N2002" s="62" t="s">
        <v>8831</v>
      </c>
      <c r="O2002" s="62" t="s">
        <v>44</v>
      </c>
      <c r="P2002" s="62" t="s">
        <v>8838</v>
      </c>
      <c r="Q2002" s="62" t="s">
        <v>8839</v>
      </c>
      <c r="R2002" s="53"/>
      <c r="S2002" s="53"/>
      <c r="T2002" s="82"/>
      <c r="U2002" s="42"/>
      <c r="V2002" s="62"/>
      <c r="W2002" s="64"/>
      <c r="X2002" s="223"/>
      <c r="Y2002" s="223"/>
      <c r="Z2002" s="223"/>
      <c r="AA2002" s="223"/>
    </row>
    <row r="2003">
      <c r="A2003" s="42">
        <f t="shared" si="3"/>
        <v>2002</v>
      </c>
      <c r="B2003" s="51" t="s">
        <v>41</v>
      </c>
      <c r="C2003" s="53" t="s">
        <v>8840</v>
      </c>
      <c r="D2003" s="42" t="s">
        <v>44</v>
      </c>
      <c r="E2003" s="42" t="s">
        <v>44</v>
      </c>
      <c r="F2003" s="53" t="s">
        <v>8829</v>
      </c>
      <c r="G2003" s="53" t="s">
        <v>47</v>
      </c>
      <c r="H2003" s="53" t="s">
        <v>95</v>
      </c>
      <c r="I2003" s="53" t="s">
        <v>401</v>
      </c>
      <c r="J2003" s="53" t="s">
        <v>8830</v>
      </c>
      <c r="K2003" s="53" t="s">
        <v>927</v>
      </c>
      <c r="L2003" s="53" t="s">
        <v>52</v>
      </c>
      <c r="M2003" s="53" t="s">
        <v>52</v>
      </c>
      <c r="N2003" s="62" t="s">
        <v>8841</v>
      </c>
      <c r="O2003" s="62" t="s">
        <v>44</v>
      </c>
      <c r="P2003" s="62" t="s">
        <v>8842</v>
      </c>
      <c r="Q2003" s="62" t="s">
        <v>8843</v>
      </c>
      <c r="R2003" s="53"/>
      <c r="S2003" s="53"/>
      <c r="T2003" s="82"/>
      <c r="U2003" s="42"/>
      <c r="V2003" s="62"/>
      <c r="W2003" s="64"/>
      <c r="X2003" s="223"/>
      <c r="Y2003" s="223"/>
      <c r="Z2003" s="223"/>
      <c r="AA2003" s="223"/>
    </row>
    <row r="2004">
      <c r="A2004" s="42">
        <f t="shared" si="3"/>
        <v>2003</v>
      </c>
      <c r="B2004" s="51" t="s">
        <v>41</v>
      </c>
      <c r="C2004" s="53" t="s">
        <v>8844</v>
      </c>
      <c r="D2004" s="42" t="s">
        <v>44</v>
      </c>
      <c r="E2004" s="42" t="s">
        <v>44</v>
      </c>
      <c r="F2004" s="53" t="s">
        <v>8845</v>
      </c>
      <c r="G2004" s="53" t="s">
        <v>47</v>
      </c>
      <c r="H2004" s="53" t="s">
        <v>48</v>
      </c>
      <c r="I2004" s="53" t="s">
        <v>401</v>
      </c>
      <c r="J2004" s="53" t="s">
        <v>8846</v>
      </c>
      <c r="K2004" s="53" t="s">
        <v>51</v>
      </c>
      <c r="L2004" s="53" t="s">
        <v>52</v>
      </c>
      <c r="M2004" s="53" t="s">
        <v>52</v>
      </c>
      <c r="N2004" s="62" t="s">
        <v>8847</v>
      </c>
      <c r="O2004" s="62" t="s">
        <v>44</v>
      </c>
      <c r="P2004" s="62" t="s">
        <v>8848</v>
      </c>
      <c r="Q2004" s="62" t="s">
        <v>8849</v>
      </c>
      <c r="R2004" s="53"/>
      <c r="S2004" s="53"/>
      <c r="T2004" s="82"/>
      <c r="U2004" s="42"/>
      <c r="V2004" s="62"/>
      <c r="W2004" s="64"/>
      <c r="X2004" s="223"/>
      <c r="Y2004" s="223"/>
      <c r="Z2004" s="223"/>
      <c r="AA2004" s="223"/>
    </row>
    <row r="2005">
      <c r="A2005" s="42">
        <f t="shared" si="3"/>
        <v>2004</v>
      </c>
      <c r="B2005" s="51" t="s">
        <v>41</v>
      </c>
      <c r="C2005" s="53" t="s">
        <v>8850</v>
      </c>
      <c r="D2005" s="42" t="s">
        <v>44</v>
      </c>
      <c r="E2005" s="42" t="s">
        <v>44</v>
      </c>
      <c r="F2005" s="53" t="s">
        <v>8845</v>
      </c>
      <c r="G2005" s="53" t="s">
        <v>47</v>
      </c>
      <c r="H2005" s="53" t="s">
        <v>91</v>
      </c>
      <c r="I2005" s="53" t="s">
        <v>401</v>
      </c>
      <c r="J2005" s="53" t="s">
        <v>8846</v>
      </c>
      <c r="K2005" s="53" t="s">
        <v>51</v>
      </c>
      <c r="L2005" s="53" t="s">
        <v>52</v>
      </c>
      <c r="M2005" s="53" t="s">
        <v>52</v>
      </c>
      <c r="N2005" s="62" t="s">
        <v>8847</v>
      </c>
      <c r="O2005" s="62" t="s">
        <v>44</v>
      </c>
      <c r="P2005" s="62" t="s">
        <v>8702</v>
      </c>
      <c r="Q2005" s="62" t="s">
        <v>8839</v>
      </c>
      <c r="R2005" s="53"/>
      <c r="S2005" s="53"/>
      <c r="T2005" s="82"/>
      <c r="U2005" s="42"/>
      <c r="V2005" s="62"/>
      <c r="W2005" s="64"/>
      <c r="X2005" s="223"/>
      <c r="Y2005" s="223"/>
      <c r="Z2005" s="223"/>
      <c r="AA2005" s="223"/>
    </row>
    <row r="2006">
      <c r="A2006" s="42">
        <f t="shared" si="3"/>
        <v>2005</v>
      </c>
      <c r="B2006" s="51" t="s">
        <v>41</v>
      </c>
      <c r="C2006" s="53" t="s">
        <v>8851</v>
      </c>
      <c r="D2006" s="42" t="s">
        <v>44</v>
      </c>
      <c r="E2006" s="42" t="s">
        <v>44</v>
      </c>
      <c r="F2006" s="53" t="s">
        <v>8845</v>
      </c>
      <c r="G2006" s="53" t="s">
        <v>47</v>
      </c>
      <c r="H2006" s="53" t="s">
        <v>48</v>
      </c>
      <c r="I2006" s="53" t="s">
        <v>401</v>
      </c>
      <c r="J2006" s="53" t="s">
        <v>8846</v>
      </c>
      <c r="K2006" s="53" t="s">
        <v>51</v>
      </c>
      <c r="L2006" s="53" t="s">
        <v>52</v>
      </c>
      <c r="M2006" s="53" t="s">
        <v>52</v>
      </c>
      <c r="N2006" s="62" t="s">
        <v>8847</v>
      </c>
      <c r="O2006" s="62" t="s">
        <v>44</v>
      </c>
      <c r="P2006" s="62" t="s">
        <v>8852</v>
      </c>
      <c r="Q2006" s="62" t="s">
        <v>8853</v>
      </c>
      <c r="R2006" s="53"/>
      <c r="S2006" s="53"/>
      <c r="T2006" s="82"/>
      <c r="U2006" s="42"/>
      <c r="V2006" s="62"/>
      <c r="W2006" s="64"/>
      <c r="X2006" s="223"/>
      <c r="Y2006" s="223"/>
      <c r="Z2006" s="223"/>
      <c r="AA2006" s="223"/>
    </row>
    <row r="2007">
      <c r="A2007" s="42">
        <f t="shared" si="3"/>
        <v>2006</v>
      </c>
      <c r="B2007" s="51" t="s">
        <v>41</v>
      </c>
      <c r="C2007" s="53" t="s">
        <v>8854</v>
      </c>
      <c r="D2007" s="42" t="s">
        <v>44</v>
      </c>
      <c r="E2007" s="42" t="s">
        <v>44</v>
      </c>
      <c r="F2007" s="53" t="s">
        <v>8845</v>
      </c>
      <c r="G2007" s="53" t="s">
        <v>47</v>
      </c>
      <c r="H2007" s="53" t="s">
        <v>91</v>
      </c>
      <c r="I2007" s="53" t="s">
        <v>401</v>
      </c>
      <c r="J2007" s="53" t="s">
        <v>8846</v>
      </c>
      <c r="K2007" s="53" t="s">
        <v>51</v>
      </c>
      <c r="L2007" s="53" t="s">
        <v>52</v>
      </c>
      <c r="M2007" s="53" t="s">
        <v>52</v>
      </c>
      <c r="N2007" s="62" t="s">
        <v>8847</v>
      </c>
      <c r="O2007" s="62" t="s">
        <v>44</v>
      </c>
      <c r="P2007" s="62" t="s">
        <v>8855</v>
      </c>
      <c r="Q2007" s="62" t="s">
        <v>8856</v>
      </c>
      <c r="R2007" s="53"/>
      <c r="S2007" s="53"/>
      <c r="T2007" s="82"/>
      <c r="U2007" s="42"/>
      <c r="V2007" s="62"/>
      <c r="W2007" s="64"/>
      <c r="X2007" s="223"/>
      <c r="Y2007" s="223"/>
      <c r="Z2007" s="223"/>
      <c r="AA2007" s="223"/>
    </row>
    <row r="2008">
      <c r="A2008" s="42">
        <f t="shared" si="3"/>
        <v>2007</v>
      </c>
      <c r="B2008" s="51" t="s">
        <v>41</v>
      </c>
      <c r="C2008" s="53" t="s">
        <v>8857</v>
      </c>
      <c r="D2008" s="42" t="s">
        <v>44</v>
      </c>
      <c r="E2008" s="42" t="s">
        <v>44</v>
      </c>
      <c r="F2008" s="53" t="s">
        <v>8845</v>
      </c>
      <c r="G2008" s="53" t="s">
        <v>47</v>
      </c>
      <c r="H2008" s="53" t="s">
        <v>48</v>
      </c>
      <c r="I2008" s="53" t="s">
        <v>401</v>
      </c>
      <c r="J2008" s="53" t="s">
        <v>8846</v>
      </c>
      <c r="K2008" s="53" t="s">
        <v>51</v>
      </c>
      <c r="L2008" s="53" t="s">
        <v>52</v>
      </c>
      <c r="M2008" s="53" t="s">
        <v>52</v>
      </c>
      <c r="N2008" s="62" t="s">
        <v>8847</v>
      </c>
      <c r="O2008" s="62" t="s">
        <v>44</v>
      </c>
      <c r="P2008" s="62" t="s">
        <v>8858</v>
      </c>
      <c r="Q2008" s="62" t="s">
        <v>8859</v>
      </c>
      <c r="R2008" s="53"/>
      <c r="S2008" s="53"/>
      <c r="T2008" s="82"/>
      <c r="U2008" s="42"/>
      <c r="V2008" s="62"/>
      <c r="W2008" s="64"/>
      <c r="X2008" s="223"/>
      <c r="Y2008" s="223"/>
      <c r="Z2008" s="223"/>
      <c r="AA2008" s="223"/>
    </row>
    <row r="2009">
      <c r="A2009" s="42">
        <f t="shared" si="3"/>
        <v>2008</v>
      </c>
      <c r="B2009" s="51" t="s">
        <v>41</v>
      </c>
      <c r="C2009" s="53" t="s">
        <v>8860</v>
      </c>
      <c r="D2009" s="42" t="s">
        <v>44</v>
      </c>
      <c r="E2009" s="42" t="s">
        <v>44</v>
      </c>
      <c r="F2009" s="53" t="s">
        <v>8845</v>
      </c>
      <c r="G2009" s="53" t="s">
        <v>47</v>
      </c>
      <c r="H2009" s="53" t="s">
        <v>48</v>
      </c>
      <c r="I2009" s="53" t="s">
        <v>401</v>
      </c>
      <c r="J2009" s="53" t="s">
        <v>8846</v>
      </c>
      <c r="K2009" s="53" t="s">
        <v>51</v>
      </c>
      <c r="L2009" s="53" t="s">
        <v>52</v>
      </c>
      <c r="M2009" s="53" t="s">
        <v>52</v>
      </c>
      <c r="N2009" s="62" t="s">
        <v>8847</v>
      </c>
      <c r="O2009" s="62" t="s">
        <v>44</v>
      </c>
      <c r="P2009" s="62" t="s">
        <v>8861</v>
      </c>
      <c r="Q2009" s="62" t="s">
        <v>8862</v>
      </c>
      <c r="R2009" s="53"/>
      <c r="S2009" s="53"/>
      <c r="T2009" s="82"/>
      <c r="U2009" s="42"/>
      <c r="V2009" s="62"/>
      <c r="W2009" s="64"/>
      <c r="X2009" s="223"/>
      <c r="Y2009" s="223"/>
      <c r="Z2009" s="223"/>
      <c r="AA2009" s="223"/>
    </row>
    <row r="2010">
      <c r="A2010" s="42">
        <f t="shared" si="3"/>
        <v>2009</v>
      </c>
      <c r="B2010" s="51" t="s">
        <v>41</v>
      </c>
      <c r="C2010" s="53" t="s">
        <v>8863</v>
      </c>
      <c r="D2010" s="42" t="s">
        <v>44</v>
      </c>
      <c r="E2010" s="42" t="s">
        <v>44</v>
      </c>
      <c r="F2010" s="53" t="s">
        <v>8845</v>
      </c>
      <c r="G2010" s="53" t="s">
        <v>47</v>
      </c>
      <c r="H2010" s="53" t="s">
        <v>91</v>
      </c>
      <c r="I2010" s="53" t="s">
        <v>401</v>
      </c>
      <c r="J2010" s="53" t="s">
        <v>8846</v>
      </c>
      <c r="K2010" s="53" t="s">
        <v>51</v>
      </c>
      <c r="L2010" s="53" t="s">
        <v>52</v>
      </c>
      <c r="M2010" s="53" t="s">
        <v>52</v>
      </c>
      <c r="N2010" s="62" t="s">
        <v>8847</v>
      </c>
      <c r="O2010" s="62" t="s">
        <v>44</v>
      </c>
      <c r="P2010" s="62" t="s">
        <v>8864</v>
      </c>
      <c r="Q2010" s="62" t="s">
        <v>8865</v>
      </c>
      <c r="R2010" s="53"/>
      <c r="S2010" s="53"/>
      <c r="T2010" s="82"/>
      <c r="U2010" s="42"/>
      <c r="V2010" s="62"/>
      <c r="W2010" s="64"/>
      <c r="X2010" s="223"/>
      <c r="Y2010" s="223"/>
      <c r="Z2010" s="223"/>
      <c r="AA2010" s="223"/>
    </row>
    <row r="2011">
      <c r="A2011" s="42">
        <f t="shared" si="3"/>
        <v>2010</v>
      </c>
      <c r="B2011" s="51" t="s">
        <v>41</v>
      </c>
      <c r="C2011" s="53" t="s">
        <v>8866</v>
      </c>
      <c r="D2011" s="42" t="s">
        <v>44</v>
      </c>
      <c r="E2011" s="42" t="s">
        <v>44</v>
      </c>
      <c r="F2011" s="53" t="s">
        <v>8845</v>
      </c>
      <c r="G2011" s="53" t="s">
        <v>47</v>
      </c>
      <c r="H2011" s="53" t="s">
        <v>48</v>
      </c>
      <c r="I2011" s="53" t="s">
        <v>401</v>
      </c>
      <c r="J2011" s="53" t="s">
        <v>8846</v>
      </c>
      <c r="K2011" s="53" t="s">
        <v>51</v>
      </c>
      <c r="L2011" s="53" t="s">
        <v>52</v>
      </c>
      <c r="M2011" s="53" t="s">
        <v>52</v>
      </c>
      <c r="N2011" s="62" t="s">
        <v>8847</v>
      </c>
      <c r="O2011" s="62" t="s">
        <v>44</v>
      </c>
      <c r="P2011" s="62" t="s">
        <v>8867</v>
      </c>
      <c r="Q2011" s="62" t="s">
        <v>8868</v>
      </c>
      <c r="R2011" s="53"/>
      <c r="S2011" s="53"/>
      <c r="T2011" s="82"/>
      <c r="U2011" s="42"/>
      <c r="V2011" s="62"/>
      <c r="W2011" s="64"/>
      <c r="X2011" s="223"/>
      <c r="Y2011" s="223"/>
      <c r="Z2011" s="223"/>
      <c r="AA2011" s="223"/>
    </row>
    <row r="2012">
      <c r="A2012" s="42">
        <f t="shared" si="3"/>
        <v>2011</v>
      </c>
      <c r="B2012" s="51" t="s">
        <v>41</v>
      </c>
      <c r="C2012" s="53" t="s">
        <v>8869</v>
      </c>
      <c r="D2012" s="42" t="s">
        <v>44</v>
      </c>
      <c r="E2012" s="42" t="s">
        <v>44</v>
      </c>
      <c r="F2012" s="53" t="s">
        <v>8845</v>
      </c>
      <c r="G2012" s="53" t="s">
        <v>47</v>
      </c>
      <c r="H2012" s="53" t="s">
        <v>48</v>
      </c>
      <c r="I2012" s="53" t="s">
        <v>401</v>
      </c>
      <c r="J2012" s="53" t="s">
        <v>8846</v>
      </c>
      <c r="K2012" s="53" t="s">
        <v>51</v>
      </c>
      <c r="L2012" s="53" t="s">
        <v>52</v>
      </c>
      <c r="M2012" s="53" t="s">
        <v>52</v>
      </c>
      <c r="N2012" s="62" t="s">
        <v>8847</v>
      </c>
      <c r="O2012" s="62" t="s">
        <v>44</v>
      </c>
      <c r="P2012" s="62" t="s">
        <v>8870</v>
      </c>
      <c r="Q2012" s="62" t="s">
        <v>8871</v>
      </c>
      <c r="R2012" s="53"/>
      <c r="S2012" s="53"/>
      <c r="T2012" s="82"/>
      <c r="U2012" s="42"/>
      <c r="V2012" s="62"/>
      <c r="W2012" s="64"/>
      <c r="X2012" s="223"/>
      <c r="Y2012" s="223"/>
      <c r="Z2012" s="223"/>
      <c r="AA2012" s="223"/>
    </row>
    <row r="2013">
      <c r="A2013" s="42">
        <f t="shared" si="3"/>
        <v>2012</v>
      </c>
      <c r="B2013" s="51" t="s">
        <v>41</v>
      </c>
      <c r="C2013" s="53" t="s">
        <v>8872</v>
      </c>
      <c r="D2013" s="42" t="s">
        <v>44</v>
      </c>
      <c r="E2013" s="42" t="s">
        <v>44</v>
      </c>
      <c r="F2013" s="53" t="s">
        <v>8845</v>
      </c>
      <c r="G2013" s="53" t="s">
        <v>47</v>
      </c>
      <c r="H2013" s="53" t="s">
        <v>48</v>
      </c>
      <c r="I2013" s="53" t="s">
        <v>401</v>
      </c>
      <c r="J2013" s="53" t="s">
        <v>8846</v>
      </c>
      <c r="K2013" s="53" t="s">
        <v>51</v>
      </c>
      <c r="L2013" s="53" t="s">
        <v>52</v>
      </c>
      <c r="M2013" s="53" t="s">
        <v>52</v>
      </c>
      <c r="N2013" s="62" t="s">
        <v>8847</v>
      </c>
      <c r="O2013" s="62" t="s">
        <v>44</v>
      </c>
      <c r="P2013" s="62" t="s">
        <v>8873</v>
      </c>
      <c r="Q2013" s="62" t="s">
        <v>8874</v>
      </c>
      <c r="R2013" s="53"/>
      <c r="S2013" s="53"/>
      <c r="T2013" s="82"/>
      <c r="U2013" s="42"/>
      <c r="V2013" s="62"/>
      <c r="W2013" s="64"/>
      <c r="X2013" s="223"/>
      <c r="Y2013" s="223"/>
      <c r="Z2013" s="223"/>
      <c r="AA2013" s="223"/>
    </row>
    <row r="2014">
      <c r="A2014" s="42">
        <f t="shared" si="3"/>
        <v>2013</v>
      </c>
      <c r="B2014" s="51" t="s">
        <v>41</v>
      </c>
      <c r="C2014" s="53" t="s">
        <v>8875</v>
      </c>
      <c r="D2014" s="42" t="s">
        <v>44</v>
      </c>
      <c r="E2014" s="42" t="s">
        <v>44</v>
      </c>
      <c r="F2014" s="53" t="s">
        <v>8845</v>
      </c>
      <c r="G2014" s="53" t="s">
        <v>47</v>
      </c>
      <c r="H2014" s="53" t="s">
        <v>48</v>
      </c>
      <c r="I2014" s="53" t="s">
        <v>401</v>
      </c>
      <c r="J2014" s="53" t="s">
        <v>8846</v>
      </c>
      <c r="K2014" s="53" t="s">
        <v>51</v>
      </c>
      <c r="L2014" s="53" t="s">
        <v>52</v>
      </c>
      <c r="M2014" s="53" t="s">
        <v>52</v>
      </c>
      <c r="N2014" s="62" t="s">
        <v>8847</v>
      </c>
      <c r="O2014" s="62" t="s">
        <v>44</v>
      </c>
      <c r="P2014" s="62" t="s">
        <v>8876</v>
      </c>
      <c r="Q2014" s="62" t="s">
        <v>8877</v>
      </c>
      <c r="R2014" s="53"/>
      <c r="S2014" s="53"/>
      <c r="T2014" s="82"/>
      <c r="U2014" s="42"/>
      <c r="V2014" s="62"/>
      <c r="W2014" s="64"/>
      <c r="X2014" s="223"/>
      <c r="Y2014" s="223"/>
      <c r="Z2014" s="223"/>
      <c r="AA2014" s="223"/>
    </row>
    <row r="2015">
      <c r="A2015" s="42">
        <f t="shared" si="3"/>
        <v>2014</v>
      </c>
      <c r="B2015" s="51" t="s">
        <v>41</v>
      </c>
      <c r="C2015" s="53" t="s">
        <v>8878</v>
      </c>
      <c r="D2015" s="42" t="s">
        <v>44</v>
      </c>
      <c r="E2015" s="42" t="s">
        <v>44</v>
      </c>
      <c r="F2015" s="53" t="s">
        <v>8845</v>
      </c>
      <c r="G2015" s="53" t="s">
        <v>47</v>
      </c>
      <c r="H2015" s="53" t="s">
        <v>91</v>
      </c>
      <c r="I2015" s="53" t="s">
        <v>401</v>
      </c>
      <c r="J2015" s="53" t="s">
        <v>8846</v>
      </c>
      <c r="K2015" s="53" t="s">
        <v>51</v>
      </c>
      <c r="L2015" s="53" t="s">
        <v>52</v>
      </c>
      <c r="M2015" s="53" t="s">
        <v>52</v>
      </c>
      <c r="N2015" s="62" t="s">
        <v>8847</v>
      </c>
      <c r="O2015" s="62" t="s">
        <v>44</v>
      </c>
      <c r="P2015" s="62" t="s">
        <v>8879</v>
      </c>
      <c r="Q2015" s="62" t="s">
        <v>8880</v>
      </c>
      <c r="R2015" s="53"/>
      <c r="S2015" s="53"/>
      <c r="T2015" s="82"/>
      <c r="U2015" s="42"/>
      <c r="V2015" s="62"/>
      <c r="W2015" s="64"/>
      <c r="X2015" s="223"/>
      <c r="Y2015" s="223"/>
      <c r="Z2015" s="223"/>
      <c r="AA2015" s="223"/>
    </row>
    <row r="2016">
      <c r="A2016" s="42">
        <f t="shared" si="3"/>
        <v>2015</v>
      </c>
      <c r="B2016" s="51" t="s">
        <v>41</v>
      </c>
      <c r="C2016" s="53" t="s">
        <v>8881</v>
      </c>
      <c r="D2016" s="42" t="s">
        <v>44</v>
      </c>
      <c r="E2016" s="42" t="s">
        <v>44</v>
      </c>
      <c r="F2016" s="53" t="s">
        <v>8845</v>
      </c>
      <c r="G2016" s="53" t="s">
        <v>47</v>
      </c>
      <c r="H2016" s="53" t="s">
        <v>48</v>
      </c>
      <c r="I2016" s="53" t="s">
        <v>401</v>
      </c>
      <c r="J2016" s="53" t="s">
        <v>8846</v>
      </c>
      <c r="K2016" s="53" t="s">
        <v>51</v>
      </c>
      <c r="L2016" s="53" t="s">
        <v>52</v>
      </c>
      <c r="M2016" s="53" t="s">
        <v>52</v>
      </c>
      <c r="N2016" s="62" t="s">
        <v>8847</v>
      </c>
      <c r="O2016" s="62" t="s">
        <v>44</v>
      </c>
      <c r="P2016" s="62" t="s">
        <v>8882</v>
      </c>
      <c r="Q2016" s="62" t="s">
        <v>8883</v>
      </c>
      <c r="R2016" s="53"/>
      <c r="S2016" s="53"/>
      <c r="T2016" s="82"/>
      <c r="U2016" s="42"/>
      <c r="V2016" s="62"/>
      <c r="W2016" s="64"/>
      <c r="X2016" s="223"/>
      <c r="Y2016" s="223"/>
      <c r="Z2016" s="223"/>
      <c r="AA2016" s="223"/>
    </row>
    <row r="2017">
      <c r="A2017" s="42">
        <f t="shared" si="3"/>
        <v>2016</v>
      </c>
      <c r="B2017" s="51" t="s">
        <v>41</v>
      </c>
      <c r="C2017" s="53" t="s">
        <v>8884</v>
      </c>
      <c r="D2017" s="42" t="s">
        <v>44</v>
      </c>
      <c r="E2017" s="42" t="s">
        <v>44</v>
      </c>
      <c r="F2017" s="53" t="s">
        <v>8845</v>
      </c>
      <c r="G2017" s="53" t="s">
        <v>47</v>
      </c>
      <c r="H2017" s="53" t="s">
        <v>48</v>
      </c>
      <c r="I2017" s="53" t="s">
        <v>401</v>
      </c>
      <c r="J2017" s="53" t="s">
        <v>8846</v>
      </c>
      <c r="K2017" s="53" t="s">
        <v>51</v>
      </c>
      <c r="L2017" s="53" t="s">
        <v>52</v>
      </c>
      <c r="M2017" s="53" t="s">
        <v>52</v>
      </c>
      <c r="N2017" s="62" t="s">
        <v>8847</v>
      </c>
      <c r="O2017" s="62" t="s">
        <v>44</v>
      </c>
      <c r="P2017" s="62" t="s">
        <v>8885</v>
      </c>
      <c r="Q2017" s="62" t="s">
        <v>8886</v>
      </c>
      <c r="R2017" s="53"/>
      <c r="S2017" s="53"/>
      <c r="T2017" s="82"/>
      <c r="U2017" s="42"/>
      <c r="V2017" s="62"/>
      <c r="W2017" s="64"/>
      <c r="X2017" s="223"/>
      <c r="Y2017" s="223"/>
      <c r="Z2017" s="223"/>
      <c r="AA2017" s="223"/>
    </row>
    <row r="2018">
      <c r="A2018" s="42">
        <f t="shared" si="3"/>
        <v>2017</v>
      </c>
      <c r="B2018" s="51" t="s">
        <v>41</v>
      </c>
      <c r="C2018" s="53" t="s">
        <v>8887</v>
      </c>
      <c r="D2018" s="42" t="s">
        <v>44</v>
      </c>
      <c r="E2018" s="42" t="s">
        <v>44</v>
      </c>
      <c r="F2018" s="53" t="s">
        <v>8888</v>
      </c>
      <c r="G2018" s="53" t="s">
        <v>47</v>
      </c>
      <c r="H2018" s="53" t="s">
        <v>48</v>
      </c>
      <c r="I2018" s="53" t="s">
        <v>401</v>
      </c>
      <c r="J2018" s="53" t="s">
        <v>8889</v>
      </c>
      <c r="K2018" s="53" t="s">
        <v>51</v>
      </c>
      <c r="L2018" s="53" t="s">
        <v>52</v>
      </c>
      <c r="M2018" s="53" t="s">
        <v>52</v>
      </c>
      <c r="N2018" s="62" t="s">
        <v>8890</v>
      </c>
      <c r="O2018" s="62" t="s">
        <v>44</v>
      </c>
      <c r="P2018" s="62" t="s">
        <v>8891</v>
      </c>
      <c r="Q2018" s="62" t="s">
        <v>8892</v>
      </c>
      <c r="R2018" s="53"/>
      <c r="S2018" s="53"/>
      <c r="T2018" s="82"/>
      <c r="U2018" s="42"/>
      <c r="V2018" s="62"/>
      <c r="W2018" s="64"/>
      <c r="X2018" s="223"/>
      <c r="Y2018" s="223"/>
      <c r="Z2018" s="223"/>
      <c r="AA2018" s="223"/>
    </row>
    <row r="2019">
      <c r="A2019" s="42">
        <f t="shared" si="3"/>
        <v>2018</v>
      </c>
      <c r="B2019" s="51" t="s">
        <v>41</v>
      </c>
      <c r="C2019" s="53" t="s">
        <v>8893</v>
      </c>
      <c r="D2019" s="42" t="s">
        <v>44</v>
      </c>
      <c r="E2019" s="42" t="s">
        <v>44</v>
      </c>
      <c r="F2019" s="53" t="s">
        <v>8888</v>
      </c>
      <c r="G2019" s="53" t="s">
        <v>47</v>
      </c>
      <c r="H2019" s="53" t="s">
        <v>91</v>
      </c>
      <c r="I2019" s="53" t="s">
        <v>401</v>
      </c>
      <c r="J2019" s="53" t="s">
        <v>8889</v>
      </c>
      <c r="K2019" s="53" t="s">
        <v>51</v>
      </c>
      <c r="L2019" s="53" t="s">
        <v>52</v>
      </c>
      <c r="M2019" s="53" t="s">
        <v>52</v>
      </c>
      <c r="N2019" s="62" t="s">
        <v>8890</v>
      </c>
      <c r="O2019" s="62" t="s">
        <v>44</v>
      </c>
      <c r="P2019" s="62" t="s">
        <v>8894</v>
      </c>
      <c r="Q2019" s="62" t="s">
        <v>8895</v>
      </c>
      <c r="R2019" s="53"/>
      <c r="S2019" s="53"/>
      <c r="T2019" s="82"/>
      <c r="U2019" s="42"/>
      <c r="V2019" s="62"/>
      <c r="W2019" s="64"/>
      <c r="X2019" s="223"/>
      <c r="Y2019" s="223"/>
      <c r="Z2019" s="223"/>
      <c r="AA2019" s="223"/>
    </row>
    <row r="2020">
      <c r="A2020" s="42">
        <f t="shared" si="3"/>
        <v>2019</v>
      </c>
      <c r="B2020" s="51" t="s">
        <v>41</v>
      </c>
      <c r="C2020" s="53" t="s">
        <v>8896</v>
      </c>
      <c r="D2020" s="42" t="s">
        <v>44</v>
      </c>
      <c r="E2020" s="42" t="s">
        <v>44</v>
      </c>
      <c r="F2020" s="53" t="s">
        <v>8888</v>
      </c>
      <c r="G2020" s="53" t="s">
        <v>47</v>
      </c>
      <c r="H2020" s="53" t="s">
        <v>48</v>
      </c>
      <c r="I2020" s="53" t="s">
        <v>401</v>
      </c>
      <c r="J2020" s="53" t="s">
        <v>8889</v>
      </c>
      <c r="K2020" s="53" t="s">
        <v>51</v>
      </c>
      <c r="L2020" s="53" t="s">
        <v>52</v>
      </c>
      <c r="M2020" s="53" t="s">
        <v>52</v>
      </c>
      <c r="N2020" s="62" t="s">
        <v>8890</v>
      </c>
      <c r="O2020" s="62" t="s">
        <v>44</v>
      </c>
      <c r="P2020" s="62" t="s">
        <v>8897</v>
      </c>
      <c r="Q2020" s="62" t="s">
        <v>8898</v>
      </c>
      <c r="R2020" s="53"/>
      <c r="S2020" s="53"/>
      <c r="T2020" s="82"/>
      <c r="U2020" s="42"/>
      <c r="V2020" s="62"/>
      <c r="W2020" s="64"/>
      <c r="X2020" s="223"/>
      <c r="Y2020" s="223"/>
      <c r="Z2020" s="223"/>
      <c r="AA2020" s="223"/>
    </row>
    <row r="2021">
      <c r="A2021" s="42">
        <f t="shared" si="3"/>
        <v>2020</v>
      </c>
      <c r="B2021" s="51" t="s">
        <v>41</v>
      </c>
      <c r="C2021" s="53" t="s">
        <v>8899</v>
      </c>
      <c r="D2021" s="42" t="s">
        <v>44</v>
      </c>
      <c r="E2021" s="42" t="s">
        <v>44</v>
      </c>
      <c r="F2021" s="53" t="s">
        <v>8888</v>
      </c>
      <c r="G2021" s="53" t="s">
        <v>47</v>
      </c>
      <c r="H2021" s="53" t="s">
        <v>48</v>
      </c>
      <c r="I2021" s="53" t="s">
        <v>401</v>
      </c>
      <c r="J2021" s="53" t="s">
        <v>8889</v>
      </c>
      <c r="K2021" s="53" t="s">
        <v>51</v>
      </c>
      <c r="L2021" s="53" t="s">
        <v>52</v>
      </c>
      <c r="M2021" s="53" t="s">
        <v>52</v>
      </c>
      <c r="N2021" s="62" t="s">
        <v>8890</v>
      </c>
      <c r="O2021" s="62" t="s">
        <v>44</v>
      </c>
      <c r="P2021" s="62" t="s">
        <v>8900</v>
      </c>
      <c r="Q2021" s="62" t="s">
        <v>8901</v>
      </c>
      <c r="R2021" s="53"/>
      <c r="S2021" s="53"/>
      <c r="T2021" s="82"/>
      <c r="U2021" s="42"/>
      <c r="V2021" s="62"/>
      <c r="W2021" s="64"/>
      <c r="X2021" s="223"/>
      <c r="Y2021" s="223"/>
      <c r="Z2021" s="223"/>
      <c r="AA2021" s="223"/>
    </row>
    <row r="2022">
      <c r="A2022" s="42">
        <f t="shared" si="3"/>
        <v>2021</v>
      </c>
      <c r="B2022" s="51" t="s">
        <v>41</v>
      </c>
      <c r="C2022" s="53" t="s">
        <v>8902</v>
      </c>
      <c r="D2022" s="42" t="s">
        <v>44</v>
      </c>
      <c r="E2022" s="42" t="s">
        <v>44</v>
      </c>
      <c r="F2022" s="53" t="s">
        <v>8888</v>
      </c>
      <c r="G2022" s="53" t="s">
        <v>47</v>
      </c>
      <c r="H2022" s="53" t="s">
        <v>91</v>
      </c>
      <c r="I2022" s="53" t="s">
        <v>401</v>
      </c>
      <c r="J2022" s="53" t="s">
        <v>8889</v>
      </c>
      <c r="K2022" s="53" t="s">
        <v>51</v>
      </c>
      <c r="L2022" s="53" t="s">
        <v>52</v>
      </c>
      <c r="M2022" s="53" t="s">
        <v>52</v>
      </c>
      <c r="N2022" s="62" t="s">
        <v>8890</v>
      </c>
      <c r="O2022" s="62" t="s">
        <v>44</v>
      </c>
      <c r="P2022" s="62" t="s">
        <v>8903</v>
      </c>
      <c r="Q2022" s="62" t="s">
        <v>8904</v>
      </c>
      <c r="R2022" s="53"/>
      <c r="S2022" s="53"/>
      <c r="T2022" s="82"/>
      <c r="U2022" s="42"/>
      <c r="V2022" s="62"/>
      <c r="W2022" s="64"/>
      <c r="X2022" s="223"/>
      <c r="Y2022" s="223"/>
      <c r="Z2022" s="223"/>
      <c r="AA2022" s="223"/>
    </row>
    <row r="2023">
      <c r="A2023" s="42">
        <f t="shared" si="3"/>
        <v>2022</v>
      </c>
      <c r="B2023" s="51" t="s">
        <v>41</v>
      </c>
      <c r="C2023" s="53" t="s">
        <v>8905</v>
      </c>
      <c r="D2023" s="42" t="s">
        <v>44</v>
      </c>
      <c r="E2023" s="42" t="s">
        <v>44</v>
      </c>
      <c r="F2023" s="53" t="s">
        <v>8888</v>
      </c>
      <c r="G2023" s="53" t="s">
        <v>47</v>
      </c>
      <c r="H2023" s="53" t="s">
        <v>48</v>
      </c>
      <c r="I2023" s="53" t="s">
        <v>401</v>
      </c>
      <c r="J2023" s="53" t="s">
        <v>8889</v>
      </c>
      <c r="K2023" s="53" t="s">
        <v>51</v>
      </c>
      <c r="L2023" s="53" t="s">
        <v>52</v>
      </c>
      <c r="M2023" s="53" t="s">
        <v>52</v>
      </c>
      <c r="N2023" s="62" t="s">
        <v>8890</v>
      </c>
      <c r="O2023" s="62" t="s">
        <v>44</v>
      </c>
      <c r="P2023" s="62" t="s">
        <v>8906</v>
      </c>
      <c r="Q2023" s="62" t="s">
        <v>8907</v>
      </c>
      <c r="R2023" s="53"/>
      <c r="S2023" s="53"/>
      <c r="T2023" s="82"/>
      <c r="U2023" s="42"/>
      <c r="V2023" s="62"/>
      <c r="W2023" s="64"/>
      <c r="X2023" s="223"/>
      <c r="Y2023" s="223"/>
      <c r="Z2023" s="223"/>
      <c r="AA2023" s="223"/>
    </row>
    <row r="2024">
      <c r="A2024" s="42">
        <f t="shared" si="3"/>
        <v>2023</v>
      </c>
      <c r="B2024" s="51" t="s">
        <v>41</v>
      </c>
      <c r="C2024" s="53" t="s">
        <v>8908</v>
      </c>
      <c r="D2024" s="42" t="s">
        <v>44</v>
      </c>
      <c r="E2024" s="42" t="s">
        <v>44</v>
      </c>
      <c r="F2024" s="53" t="s">
        <v>8888</v>
      </c>
      <c r="G2024" s="53" t="s">
        <v>47</v>
      </c>
      <c r="H2024" s="53" t="s">
        <v>48</v>
      </c>
      <c r="I2024" s="53" t="s">
        <v>401</v>
      </c>
      <c r="J2024" s="53" t="s">
        <v>8889</v>
      </c>
      <c r="K2024" s="53" t="s">
        <v>51</v>
      </c>
      <c r="L2024" s="53" t="s">
        <v>52</v>
      </c>
      <c r="M2024" s="53" t="s">
        <v>52</v>
      </c>
      <c r="N2024" s="62" t="s">
        <v>8890</v>
      </c>
      <c r="O2024" s="62" t="s">
        <v>44</v>
      </c>
      <c r="P2024" s="62" t="s">
        <v>8909</v>
      </c>
      <c r="Q2024" s="62" t="s">
        <v>8910</v>
      </c>
      <c r="R2024" s="53"/>
      <c r="S2024" s="53"/>
      <c r="T2024" s="82"/>
      <c r="U2024" s="42"/>
      <c r="V2024" s="62"/>
      <c r="W2024" s="64"/>
      <c r="X2024" s="223"/>
      <c r="Y2024" s="223"/>
      <c r="Z2024" s="223"/>
      <c r="AA2024" s="223"/>
    </row>
    <row r="2025">
      <c r="A2025" s="42">
        <f t="shared" si="3"/>
        <v>2024</v>
      </c>
      <c r="B2025" s="51" t="s">
        <v>41</v>
      </c>
      <c r="C2025" s="53" t="s">
        <v>8911</v>
      </c>
      <c r="D2025" s="42" t="s">
        <v>44</v>
      </c>
      <c r="E2025" s="42" t="s">
        <v>44</v>
      </c>
      <c r="F2025" s="53" t="s">
        <v>8912</v>
      </c>
      <c r="G2025" s="53" t="s">
        <v>47</v>
      </c>
      <c r="H2025" s="53" t="s">
        <v>48</v>
      </c>
      <c r="I2025" s="53" t="s">
        <v>8913</v>
      </c>
      <c r="J2025" s="53" t="s">
        <v>8914</v>
      </c>
      <c r="K2025" s="53" t="s">
        <v>51</v>
      </c>
      <c r="L2025" s="53" t="s">
        <v>52</v>
      </c>
      <c r="M2025" s="53" t="s">
        <v>52</v>
      </c>
      <c r="N2025" s="62" t="s">
        <v>8915</v>
      </c>
      <c r="O2025" s="62" t="s">
        <v>44</v>
      </c>
      <c r="P2025" s="62" t="s">
        <v>8916</v>
      </c>
      <c r="Q2025" s="62" t="s">
        <v>8917</v>
      </c>
      <c r="R2025" s="53"/>
      <c r="S2025" s="53"/>
      <c r="T2025" s="82"/>
      <c r="U2025" s="42"/>
      <c r="V2025" s="62"/>
      <c r="W2025" s="64"/>
      <c r="X2025" s="223"/>
      <c r="Y2025" s="223"/>
      <c r="Z2025" s="223"/>
      <c r="AA2025" s="223"/>
    </row>
    <row r="2026">
      <c r="A2026" s="42">
        <f t="shared" si="3"/>
        <v>2025</v>
      </c>
      <c r="B2026" s="51" t="s">
        <v>41</v>
      </c>
      <c r="C2026" s="53" t="s">
        <v>8918</v>
      </c>
      <c r="D2026" s="42" t="s">
        <v>44</v>
      </c>
      <c r="E2026" s="42" t="s">
        <v>44</v>
      </c>
      <c r="F2026" s="53" t="s">
        <v>8912</v>
      </c>
      <c r="G2026" s="53" t="s">
        <v>47</v>
      </c>
      <c r="H2026" s="53" t="s">
        <v>48</v>
      </c>
      <c r="I2026" s="53" t="s">
        <v>8913</v>
      </c>
      <c r="J2026" s="53" t="s">
        <v>8914</v>
      </c>
      <c r="K2026" s="53" t="s">
        <v>51</v>
      </c>
      <c r="L2026" s="53" t="s">
        <v>52</v>
      </c>
      <c r="M2026" s="53" t="s">
        <v>52</v>
      </c>
      <c r="N2026" s="62" t="s">
        <v>8915</v>
      </c>
      <c r="O2026" s="62" t="s">
        <v>44</v>
      </c>
      <c r="P2026" s="62" t="s">
        <v>8919</v>
      </c>
      <c r="Q2026" s="62" t="s">
        <v>8920</v>
      </c>
      <c r="R2026" s="53"/>
      <c r="S2026" s="53"/>
      <c r="T2026" s="82"/>
      <c r="U2026" s="42"/>
      <c r="V2026" s="62"/>
      <c r="W2026" s="64"/>
      <c r="X2026" s="223"/>
      <c r="Y2026" s="223"/>
      <c r="Z2026" s="223"/>
      <c r="AA2026" s="223"/>
    </row>
    <row r="2027">
      <c r="A2027" s="42">
        <f t="shared" si="3"/>
        <v>2026</v>
      </c>
      <c r="B2027" s="51" t="s">
        <v>41</v>
      </c>
      <c r="C2027" s="53" t="s">
        <v>8921</v>
      </c>
      <c r="D2027" s="42" t="s">
        <v>44</v>
      </c>
      <c r="E2027" s="42" t="s">
        <v>44</v>
      </c>
      <c r="F2027" s="53" t="s">
        <v>8912</v>
      </c>
      <c r="G2027" s="53" t="s">
        <v>47</v>
      </c>
      <c r="H2027" s="53" t="s">
        <v>91</v>
      </c>
      <c r="I2027" s="53" t="s">
        <v>8913</v>
      </c>
      <c r="J2027" s="53" t="s">
        <v>8914</v>
      </c>
      <c r="K2027" s="53" t="s">
        <v>51</v>
      </c>
      <c r="L2027" s="53" t="s">
        <v>52</v>
      </c>
      <c r="M2027" s="53" t="s">
        <v>52</v>
      </c>
      <c r="N2027" s="62" t="s">
        <v>8915</v>
      </c>
      <c r="O2027" s="62" t="s">
        <v>44</v>
      </c>
      <c r="P2027" s="62" t="s">
        <v>8922</v>
      </c>
      <c r="Q2027" s="62" t="s">
        <v>8923</v>
      </c>
      <c r="R2027" s="53"/>
      <c r="S2027" s="53"/>
      <c r="T2027" s="82"/>
      <c r="U2027" s="42"/>
      <c r="V2027" s="62"/>
      <c r="W2027" s="64"/>
      <c r="X2027" s="223"/>
      <c r="Y2027" s="223"/>
      <c r="Z2027" s="223"/>
      <c r="AA2027" s="223"/>
    </row>
    <row r="2028">
      <c r="A2028" s="42">
        <f t="shared" si="3"/>
        <v>2027</v>
      </c>
      <c r="B2028" s="51" t="s">
        <v>41</v>
      </c>
      <c r="C2028" s="53" t="s">
        <v>8924</v>
      </c>
      <c r="D2028" s="42" t="s">
        <v>44</v>
      </c>
      <c r="E2028" s="42" t="s">
        <v>44</v>
      </c>
      <c r="F2028" s="53" t="s">
        <v>8912</v>
      </c>
      <c r="G2028" s="53" t="s">
        <v>47</v>
      </c>
      <c r="H2028" s="53" t="s">
        <v>48</v>
      </c>
      <c r="I2028" s="53" t="s">
        <v>8913</v>
      </c>
      <c r="J2028" s="53" t="s">
        <v>8914</v>
      </c>
      <c r="K2028" s="53" t="s">
        <v>51</v>
      </c>
      <c r="L2028" s="53" t="s">
        <v>52</v>
      </c>
      <c r="M2028" s="53" t="s">
        <v>52</v>
      </c>
      <c r="N2028" s="62" t="s">
        <v>8925</v>
      </c>
      <c r="O2028" s="62" t="s">
        <v>44</v>
      </c>
      <c r="P2028" s="62" t="s">
        <v>8926</v>
      </c>
      <c r="Q2028" s="62" t="s">
        <v>8927</v>
      </c>
      <c r="R2028" s="53"/>
      <c r="S2028" s="53"/>
      <c r="T2028" s="82"/>
      <c r="U2028" s="42"/>
      <c r="V2028" s="62"/>
      <c r="W2028" s="64"/>
      <c r="X2028" s="223"/>
      <c r="Y2028" s="223"/>
      <c r="Z2028" s="223"/>
      <c r="AA2028" s="223"/>
    </row>
    <row r="2029">
      <c r="A2029" s="42">
        <f t="shared" si="3"/>
        <v>2028</v>
      </c>
      <c r="B2029" s="51" t="s">
        <v>41</v>
      </c>
      <c r="C2029" s="53" t="s">
        <v>8928</v>
      </c>
      <c r="D2029" s="42" t="s">
        <v>44</v>
      </c>
      <c r="E2029" s="42" t="s">
        <v>44</v>
      </c>
      <c r="F2029" s="53" t="s">
        <v>8912</v>
      </c>
      <c r="G2029" s="53" t="s">
        <v>47</v>
      </c>
      <c r="H2029" s="53" t="s">
        <v>48</v>
      </c>
      <c r="I2029" s="53" t="s">
        <v>8913</v>
      </c>
      <c r="J2029" s="53" t="s">
        <v>8914</v>
      </c>
      <c r="K2029" s="53" t="s">
        <v>51</v>
      </c>
      <c r="L2029" s="53" t="s">
        <v>52</v>
      </c>
      <c r="M2029" s="53" t="s">
        <v>52</v>
      </c>
      <c r="N2029" s="62" t="s">
        <v>8925</v>
      </c>
      <c r="O2029" s="62" t="s">
        <v>44</v>
      </c>
      <c r="P2029" s="62" t="s">
        <v>8929</v>
      </c>
      <c r="Q2029" s="62" t="s">
        <v>8930</v>
      </c>
      <c r="R2029" s="53"/>
      <c r="S2029" s="53"/>
      <c r="T2029" s="82"/>
      <c r="U2029" s="42"/>
      <c r="V2029" s="62"/>
      <c r="W2029" s="64"/>
      <c r="X2029" s="223"/>
      <c r="Y2029" s="223"/>
      <c r="Z2029" s="223"/>
      <c r="AA2029" s="223"/>
    </row>
    <row r="2030">
      <c r="A2030" s="42">
        <f t="shared" si="3"/>
        <v>2029</v>
      </c>
      <c r="B2030" s="51" t="s">
        <v>41</v>
      </c>
      <c r="C2030" s="53" t="s">
        <v>8931</v>
      </c>
      <c r="D2030" s="42" t="s">
        <v>44</v>
      </c>
      <c r="E2030" s="42" t="s">
        <v>44</v>
      </c>
      <c r="F2030" s="53" t="s">
        <v>8912</v>
      </c>
      <c r="G2030" s="53" t="s">
        <v>47</v>
      </c>
      <c r="H2030" s="53" t="s">
        <v>48</v>
      </c>
      <c r="I2030" s="53" t="s">
        <v>8913</v>
      </c>
      <c r="J2030" s="53" t="s">
        <v>8914</v>
      </c>
      <c r="K2030" s="53" t="s">
        <v>51</v>
      </c>
      <c r="L2030" s="53" t="s">
        <v>52</v>
      </c>
      <c r="M2030" s="53" t="s">
        <v>52</v>
      </c>
      <c r="N2030" s="62" t="s">
        <v>8925</v>
      </c>
      <c r="O2030" s="62" t="s">
        <v>44</v>
      </c>
      <c r="P2030" s="62" t="s">
        <v>8932</v>
      </c>
      <c r="Q2030" s="62" t="s">
        <v>8933</v>
      </c>
      <c r="R2030" s="53"/>
      <c r="S2030" s="53"/>
      <c r="T2030" s="82"/>
      <c r="U2030" s="42"/>
      <c r="V2030" s="62"/>
      <c r="W2030" s="64"/>
      <c r="X2030" s="223"/>
      <c r="Y2030" s="223"/>
      <c r="Z2030" s="223"/>
      <c r="AA2030" s="223"/>
    </row>
    <row r="2031">
      <c r="A2031" s="42">
        <f t="shared" si="3"/>
        <v>2030</v>
      </c>
      <c r="B2031" s="51" t="s">
        <v>41</v>
      </c>
      <c r="C2031" s="53" t="s">
        <v>8934</v>
      </c>
      <c r="D2031" s="42" t="s">
        <v>44</v>
      </c>
      <c r="E2031" s="42" t="s">
        <v>44</v>
      </c>
      <c r="F2031" s="53" t="s">
        <v>8912</v>
      </c>
      <c r="G2031" s="53" t="s">
        <v>47</v>
      </c>
      <c r="H2031" s="53" t="s">
        <v>91</v>
      </c>
      <c r="I2031" s="53" t="s">
        <v>8913</v>
      </c>
      <c r="J2031" s="53" t="s">
        <v>8914</v>
      </c>
      <c r="K2031" s="53" t="s">
        <v>51</v>
      </c>
      <c r="L2031" s="53" t="s">
        <v>52</v>
      </c>
      <c r="M2031" s="53" t="s">
        <v>52</v>
      </c>
      <c r="N2031" s="62" t="s">
        <v>8925</v>
      </c>
      <c r="O2031" s="62" t="s">
        <v>44</v>
      </c>
      <c r="P2031" s="62" t="s">
        <v>8935</v>
      </c>
      <c r="Q2031" s="62" t="s">
        <v>8936</v>
      </c>
      <c r="R2031" s="53"/>
      <c r="S2031" s="53"/>
      <c r="T2031" s="82"/>
      <c r="U2031" s="42"/>
      <c r="V2031" s="62"/>
      <c r="W2031" s="64"/>
      <c r="X2031" s="223"/>
      <c r="Y2031" s="223"/>
      <c r="Z2031" s="223"/>
      <c r="AA2031" s="223"/>
    </row>
    <row r="2032">
      <c r="A2032" s="42">
        <f t="shared" si="3"/>
        <v>2031</v>
      </c>
      <c r="B2032" s="51" t="s">
        <v>41</v>
      </c>
      <c r="C2032" s="53" t="s">
        <v>8937</v>
      </c>
      <c r="D2032" s="42" t="s">
        <v>44</v>
      </c>
      <c r="E2032" s="42" t="s">
        <v>44</v>
      </c>
      <c r="F2032" s="53" t="s">
        <v>8912</v>
      </c>
      <c r="G2032" s="53" t="s">
        <v>47</v>
      </c>
      <c r="H2032" s="53" t="s">
        <v>48</v>
      </c>
      <c r="I2032" s="53" t="s">
        <v>8913</v>
      </c>
      <c r="J2032" s="53" t="s">
        <v>8914</v>
      </c>
      <c r="K2032" s="53" t="s">
        <v>51</v>
      </c>
      <c r="L2032" s="53" t="s">
        <v>52</v>
      </c>
      <c r="M2032" s="53" t="s">
        <v>52</v>
      </c>
      <c r="N2032" s="62" t="s">
        <v>8925</v>
      </c>
      <c r="O2032" s="62" t="s">
        <v>44</v>
      </c>
      <c r="P2032" s="62" t="s">
        <v>8938</v>
      </c>
      <c r="Q2032" s="62" t="s">
        <v>8939</v>
      </c>
      <c r="R2032" s="53"/>
      <c r="S2032" s="53"/>
      <c r="T2032" s="82"/>
      <c r="U2032" s="42"/>
      <c r="V2032" s="62"/>
      <c r="W2032" s="64"/>
      <c r="X2032" s="223"/>
      <c r="Y2032" s="223"/>
      <c r="Z2032" s="223"/>
      <c r="AA2032" s="223"/>
    </row>
    <row r="2033">
      <c r="A2033" s="42">
        <f t="shared" si="3"/>
        <v>2032</v>
      </c>
      <c r="B2033" s="51" t="s">
        <v>41</v>
      </c>
      <c r="C2033" s="53" t="s">
        <v>8940</v>
      </c>
      <c r="D2033" s="42" t="s">
        <v>44</v>
      </c>
      <c r="E2033" s="42" t="s">
        <v>44</v>
      </c>
      <c r="F2033" s="53" t="s">
        <v>8941</v>
      </c>
      <c r="G2033" s="53" t="s">
        <v>47</v>
      </c>
      <c r="H2033" s="53" t="s">
        <v>48</v>
      </c>
      <c r="I2033" s="53" t="s">
        <v>8913</v>
      </c>
      <c r="J2033" s="53" t="s">
        <v>8942</v>
      </c>
      <c r="K2033" s="53" t="s">
        <v>51</v>
      </c>
      <c r="L2033" s="53" t="s">
        <v>52</v>
      </c>
      <c r="M2033" s="53" t="s">
        <v>52</v>
      </c>
      <c r="N2033" s="62" t="s">
        <v>8943</v>
      </c>
      <c r="O2033" s="62" t="s">
        <v>44</v>
      </c>
      <c r="P2033" s="62" t="s">
        <v>8922</v>
      </c>
      <c r="Q2033" s="62" t="s">
        <v>8944</v>
      </c>
      <c r="R2033" s="53"/>
      <c r="S2033" s="53"/>
      <c r="T2033" s="82"/>
      <c r="U2033" s="42"/>
      <c r="V2033" s="62"/>
      <c r="W2033" s="64"/>
      <c r="X2033" s="223"/>
      <c r="Y2033" s="223"/>
      <c r="Z2033" s="223"/>
      <c r="AA2033" s="223"/>
    </row>
    <row r="2034">
      <c r="A2034" s="42">
        <f t="shared" si="3"/>
        <v>2033</v>
      </c>
      <c r="B2034" s="51" t="s">
        <v>41</v>
      </c>
      <c r="C2034" s="53" t="s">
        <v>8945</v>
      </c>
      <c r="D2034" s="42" t="s">
        <v>44</v>
      </c>
      <c r="E2034" s="42" t="s">
        <v>44</v>
      </c>
      <c r="F2034" s="53" t="s">
        <v>8941</v>
      </c>
      <c r="G2034" s="53" t="s">
        <v>47</v>
      </c>
      <c r="H2034" s="53" t="s">
        <v>48</v>
      </c>
      <c r="I2034" s="53" t="s">
        <v>8913</v>
      </c>
      <c r="J2034" s="53" t="s">
        <v>8942</v>
      </c>
      <c r="K2034" s="53" t="s">
        <v>51</v>
      </c>
      <c r="L2034" s="53" t="s">
        <v>52</v>
      </c>
      <c r="M2034" s="53" t="s">
        <v>52</v>
      </c>
      <c r="N2034" s="62" t="s">
        <v>8946</v>
      </c>
      <c r="O2034" s="62" t="s">
        <v>44</v>
      </c>
      <c r="P2034" s="62" t="s">
        <v>8947</v>
      </c>
      <c r="Q2034" s="62" t="s">
        <v>8948</v>
      </c>
      <c r="R2034" s="53"/>
      <c r="S2034" s="53"/>
      <c r="T2034" s="82"/>
      <c r="U2034" s="42"/>
      <c r="V2034" s="62"/>
      <c r="W2034" s="64"/>
      <c r="X2034" s="223"/>
      <c r="Y2034" s="223"/>
      <c r="Z2034" s="223"/>
      <c r="AA2034" s="223"/>
    </row>
    <row r="2035">
      <c r="A2035" s="42">
        <f t="shared" si="3"/>
        <v>2034</v>
      </c>
      <c r="B2035" s="51" t="s">
        <v>41</v>
      </c>
      <c r="C2035" s="53" t="s">
        <v>8949</v>
      </c>
      <c r="D2035" s="42" t="s">
        <v>44</v>
      </c>
      <c r="E2035" s="42" t="s">
        <v>44</v>
      </c>
      <c r="F2035" s="53" t="s">
        <v>8941</v>
      </c>
      <c r="G2035" s="53" t="s">
        <v>47</v>
      </c>
      <c r="H2035" s="53" t="s">
        <v>48</v>
      </c>
      <c r="I2035" s="53" t="s">
        <v>8913</v>
      </c>
      <c r="J2035" s="53" t="s">
        <v>8942</v>
      </c>
      <c r="K2035" s="53" t="s">
        <v>51</v>
      </c>
      <c r="L2035" s="53" t="s">
        <v>52</v>
      </c>
      <c r="M2035" s="53" t="s">
        <v>52</v>
      </c>
      <c r="N2035" s="62" t="s">
        <v>8946</v>
      </c>
      <c r="O2035" s="62" t="s">
        <v>44</v>
      </c>
      <c r="P2035" s="62" t="s">
        <v>8950</v>
      </c>
      <c r="Q2035" s="62" t="s">
        <v>8951</v>
      </c>
      <c r="R2035" s="53"/>
      <c r="S2035" s="53"/>
      <c r="T2035" s="82"/>
      <c r="U2035" s="42"/>
      <c r="V2035" s="62"/>
      <c r="W2035" s="64"/>
      <c r="X2035" s="223"/>
      <c r="Y2035" s="223"/>
      <c r="Z2035" s="223"/>
      <c r="AA2035" s="223"/>
    </row>
    <row r="2036">
      <c r="A2036" s="42">
        <f t="shared" si="3"/>
        <v>2035</v>
      </c>
      <c r="B2036" s="51" t="s">
        <v>41</v>
      </c>
      <c r="C2036" s="53" t="s">
        <v>8952</v>
      </c>
      <c r="D2036" s="42" t="s">
        <v>44</v>
      </c>
      <c r="E2036" s="42" t="s">
        <v>44</v>
      </c>
      <c r="F2036" s="53" t="s">
        <v>8941</v>
      </c>
      <c r="G2036" s="53" t="s">
        <v>47</v>
      </c>
      <c r="H2036" s="53" t="s">
        <v>48</v>
      </c>
      <c r="I2036" s="53" t="s">
        <v>8913</v>
      </c>
      <c r="J2036" s="53" t="s">
        <v>8942</v>
      </c>
      <c r="K2036" s="53" t="s">
        <v>51</v>
      </c>
      <c r="L2036" s="53" t="s">
        <v>52</v>
      </c>
      <c r="M2036" s="53" t="s">
        <v>52</v>
      </c>
      <c r="N2036" s="62" t="s">
        <v>8946</v>
      </c>
      <c r="O2036" s="62" t="s">
        <v>44</v>
      </c>
      <c r="P2036" s="62" t="s">
        <v>8953</v>
      </c>
      <c r="Q2036" s="62" t="s">
        <v>8954</v>
      </c>
      <c r="R2036" s="53"/>
      <c r="S2036" s="53"/>
      <c r="T2036" s="82"/>
      <c r="U2036" s="42"/>
      <c r="V2036" s="62"/>
      <c r="W2036" s="64"/>
      <c r="X2036" s="223"/>
      <c r="Y2036" s="223"/>
      <c r="Z2036" s="223"/>
      <c r="AA2036" s="223"/>
    </row>
    <row r="2037">
      <c r="A2037" s="42">
        <f t="shared" si="3"/>
        <v>2036</v>
      </c>
      <c r="B2037" s="51" t="s">
        <v>41</v>
      </c>
      <c r="C2037" s="53" t="s">
        <v>8955</v>
      </c>
      <c r="D2037" s="42" t="s">
        <v>44</v>
      </c>
      <c r="E2037" s="42" t="s">
        <v>44</v>
      </c>
      <c r="F2037" s="53" t="s">
        <v>8941</v>
      </c>
      <c r="G2037" s="53" t="s">
        <v>47</v>
      </c>
      <c r="H2037" s="53" t="s">
        <v>91</v>
      </c>
      <c r="I2037" s="53" t="s">
        <v>8913</v>
      </c>
      <c r="J2037" s="53" t="s">
        <v>8942</v>
      </c>
      <c r="K2037" s="53" t="s">
        <v>51</v>
      </c>
      <c r="L2037" s="53" t="s">
        <v>52</v>
      </c>
      <c r="M2037" s="53" t="s">
        <v>52</v>
      </c>
      <c r="N2037" s="62" t="s">
        <v>8946</v>
      </c>
      <c r="O2037" s="62" t="s">
        <v>44</v>
      </c>
      <c r="P2037" s="62" t="s">
        <v>8956</v>
      </c>
      <c r="Q2037" s="62" t="s">
        <v>8957</v>
      </c>
      <c r="R2037" s="53"/>
      <c r="S2037" s="53"/>
      <c r="T2037" s="82"/>
      <c r="U2037" s="42"/>
      <c r="V2037" s="62"/>
      <c r="W2037" s="64"/>
      <c r="X2037" s="223"/>
      <c r="Y2037" s="223"/>
      <c r="Z2037" s="223"/>
      <c r="AA2037" s="223"/>
    </row>
    <row r="2038">
      <c r="A2038" s="42">
        <f t="shared" si="3"/>
        <v>2037</v>
      </c>
      <c r="B2038" s="51" t="s">
        <v>41</v>
      </c>
      <c r="C2038" s="53" t="s">
        <v>8958</v>
      </c>
      <c r="D2038" s="42" t="s">
        <v>44</v>
      </c>
      <c r="E2038" s="42" t="s">
        <v>44</v>
      </c>
      <c r="F2038" s="53" t="s">
        <v>8959</v>
      </c>
      <c r="G2038" s="53" t="s">
        <v>47</v>
      </c>
      <c r="H2038" s="53" t="s">
        <v>48</v>
      </c>
      <c r="I2038" s="53" t="s">
        <v>8913</v>
      </c>
      <c r="J2038" s="53" t="s">
        <v>8960</v>
      </c>
      <c r="K2038" s="53" t="s">
        <v>51</v>
      </c>
      <c r="L2038" s="53" t="s">
        <v>52</v>
      </c>
      <c r="M2038" s="53" t="s">
        <v>52</v>
      </c>
      <c r="N2038" s="62" t="s">
        <v>8961</v>
      </c>
      <c r="O2038" s="62" t="s">
        <v>44</v>
      </c>
      <c r="P2038" s="62" t="s">
        <v>8962</v>
      </c>
      <c r="Q2038" s="62" t="s">
        <v>8963</v>
      </c>
      <c r="R2038" s="53"/>
      <c r="S2038" s="53"/>
      <c r="T2038" s="82"/>
      <c r="U2038" s="42"/>
      <c r="V2038" s="62"/>
      <c r="W2038" s="64"/>
      <c r="X2038" s="223"/>
      <c r="Y2038" s="223"/>
      <c r="Z2038" s="223"/>
      <c r="AA2038" s="223"/>
    </row>
    <row r="2039">
      <c r="A2039" s="42">
        <f t="shared" si="3"/>
        <v>2038</v>
      </c>
      <c r="B2039" s="51" t="s">
        <v>41</v>
      </c>
      <c r="C2039" s="53" t="s">
        <v>8964</v>
      </c>
      <c r="D2039" s="42" t="s">
        <v>44</v>
      </c>
      <c r="E2039" s="42" t="s">
        <v>44</v>
      </c>
      <c r="F2039" s="53" t="s">
        <v>8959</v>
      </c>
      <c r="G2039" s="53" t="s">
        <v>47</v>
      </c>
      <c r="H2039" s="53" t="s">
        <v>91</v>
      </c>
      <c r="I2039" s="53" t="s">
        <v>8913</v>
      </c>
      <c r="J2039" s="53" t="s">
        <v>8960</v>
      </c>
      <c r="K2039" s="53" t="s">
        <v>51</v>
      </c>
      <c r="L2039" s="53" t="s">
        <v>52</v>
      </c>
      <c r="M2039" s="53" t="s">
        <v>52</v>
      </c>
      <c r="N2039" s="62" t="s">
        <v>8961</v>
      </c>
      <c r="O2039" s="62" t="s">
        <v>44</v>
      </c>
      <c r="P2039" s="62" t="s">
        <v>8965</v>
      </c>
      <c r="Q2039" s="62" t="s">
        <v>8966</v>
      </c>
      <c r="R2039" s="53"/>
      <c r="S2039" s="53"/>
      <c r="T2039" s="82"/>
      <c r="U2039" s="42"/>
      <c r="V2039" s="62"/>
      <c r="W2039" s="64"/>
      <c r="X2039" s="223"/>
      <c r="Y2039" s="223"/>
      <c r="Z2039" s="223"/>
      <c r="AA2039" s="223"/>
    </row>
    <row r="2040">
      <c r="A2040" s="42">
        <f t="shared" si="3"/>
        <v>2039</v>
      </c>
      <c r="B2040" s="51" t="s">
        <v>41</v>
      </c>
      <c r="C2040" s="53" t="s">
        <v>8967</v>
      </c>
      <c r="D2040" s="42" t="s">
        <v>44</v>
      </c>
      <c r="E2040" s="42" t="s">
        <v>44</v>
      </c>
      <c r="F2040" s="53" t="s">
        <v>8959</v>
      </c>
      <c r="G2040" s="53" t="s">
        <v>47</v>
      </c>
      <c r="H2040" s="53" t="s">
        <v>48</v>
      </c>
      <c r="I2040" s="53" t="s">
        <v>8913</v>
      </c>
      <c r="J2040" s="53" t="s">
        <v>8960</v>
      </c>
      <c r="K2040" s="53" t="s">
        <v>51</v>
      </c>
      <c r="L2040" s="53" t="s">
        <v>52</v>
      </c>
      <c r="M2040" s="53" t="s">
        <v>52</v>
      </c>
      <c r="N2040" s="62" t="s">
        <v>8968</v>
      </c>
      <c r="O2040" s="62" t="s">
        <v>44</v>
      </c>
      <c r="P2040" s="62" t="s">
        <v>8969</v>
      </c>
      <c r="Q2040" s="62" t="s">
        <v>8970</v>
      </c>
      <c r="R2040" s="53"/>
      <c r="S2040" s="53"/>
      <c r="T2040" s="82"/>
      <c r="U2040" s="42"/>
      <c r="V2040" s="62"/>
      <c r="W2040" s="64"/>
      <c r="X2040" s="223"/>
      <c r="Y2040" s="223"/>
      <c r="Z2040" s="223"/>
      <c r="AA2040" s="223"/>
    </row>
    <row r="2041">
      <c r="A2041" s="42">
        <f t="shared" si="3"/>
        <v>2040</v>
      </c>
      <c r="B2041" s="51" t="s">
        <v>41</v>
      </c>
      <c r="C2041" s="53" t="s">
        <v>8971</v>
      </c>
      <c r="D2041" s="42" t="s">
        <v>44</v>
      </c>
      <c r="E2041" s="42" t="s">
        <v>44</v>
      </c>
      <c r="F2041" s="53" t="s">
        <v>8959</v>
      </c>
      <c r="G2041" s="53" t="s">
        <v>47</v>
      </c>
      <c r="H2041" s="53" t="s">
        <v>91</v>
      </c>
      <c r="I2041" s="53" t="s">
        <v>8913</v>
      </c>
      <c r="J2041" s="53" t="s">
        <v>8960</v>
      </c>
      <c r="K2041" s="53" t="s">
        <v>51</v>
      </c>
      <c r="L2041" s="53" t="s">
        <v>52</v>
      </c>
      <c r="M2041" s="53" t="s">
        <v>52</v>
      </c>
      <c r="N2041" s="62" t="s">
        <v>8972</v>
      </c>
      <c r="O2041" s="62" t="s">
        <v>44</v>
      </c>
      <c r="P2041" s="62" t="s">
        <v>8973</v>
      </c>
      <c r="Q2041" s="62" t="s">
        <v>8974</v>
      </c>
      <c r="R2041" s="53"/>
      <c r="S2041" s="53"/>
      <c r="T2041" s="82"/>
      <c r="U2041" s="42"/>
      <c r="V2041" s="62"/>
      <c r="W2041" s="64"/>
      <c r="X2041" s="223"/>
      <c r="Y2041" s="223"/>
      <c r="Z2041" s="223"/>
      <c r="AA2041" s="223"/>
    </row>
    <row r="2042">
      <c r="A2042" s="42">
        <f t="shared" si="3"/>
        <v>2041</v>
      </c>
      <c r="B2042" s="51" t="s">
        <v>41</v>
      </c>
      <c r="C2042" s="53" t="s">
        <v>8975</v>
      </c>
      <c r="D2042" s="42" t="s">
        <v>44</v>
      </c>
      <c r="E2042" s="42" t="s">
        <v>44</v>
      </c>
      <c r="F2042" s="53" t="s">
        <v>8976</v>
      </c>
      <c r="G2042" s="53" t="s">
        <v>47</v>
      </c>
      <c r="H2042" s="53" t="s">
        <v>48</v>
      </c>
      <c r="I2042" s="53" t="s">
        <v>8913</v>
      </c>
      <c r="J2042" s="53" t="s">
        <v>8977</v>
      </c>
      <c r="K2042" s="53" t="s">
        <v>927</v>
      </c>
      <c r="L2042" s="53" t="s">
        <v>52</v>
      </c>
      <c r="M2042" s="53" t="s">
        <v>52</v>
      </c>
      <c r="N2042" s="62" t="s">
        <v>8978</v>
      </c>
      <c r="O2042" s="62" t="s">
        <v>44</v>
      </c>
      <c r="P2042" s="62" t="s">
        <v>8979</v>
      </c>
      <c r="Q2042" s="62" t="s">
        <v>8980</v>
      </c>
      <c r="R2042" s="53"/>
      <c r="S2042" s="53"/>
      <c r="T2042" s="82"/>
      <c r="U2042" s="42"/>
      <c r="V2042" s="62"/>
      <c r="W2042" s="64"/>
      <c r="X2042" s="223"/>
      <c r="Y2042" s="223"/>
      <c r="Z2042" s="223"/>
      <c r="AA2042" s="223"/>
    </row>
    <row r="2043">
      <c r="A2043" s="42">
        <f t="shared" si="3"/>
        <v>2042</v>
      </c>
      <c r="B2043" s="51" t="s">
        <v>41</v>
      </c>
      <c r="C2043" s="53" t="s">
        <v>8981</v>
      </c>
      <c r="D2043" s="42" t="s">
        <v>44</v>
      </c>
      <c r="E2043" s="42" t="s">
        <v>44</v>
      </c>
      <c r="F2043" s="53" t="s">
        <v>8976</v>
      </c>
      <c r="G2043" s="53" t="s">
        <v>47</v>
      </c>
      <c r="H2043" s="53" t="s">
        <v>48</v>
      </c>
      <c r="I2043" s="53" t="s">
        <v>8913</v>
      </c>
      <c r="J2043" s="53" t="s">
        <v>8977</v>
      </c>
      <c r="K2043" s="53" t="s">
        <v>927</v>
      </c>
      <c r="L2043" s="53" t="s">
        <v>52</v>
      </c>
      <c r="M2043" s="53" t="s">
        <v>52</v>
      </c>
      <c r="N2043" s="62" t="s">
        <v>8978</v>
      </c>
      <c r="O2043" s="62" t="s">
        <v>44</v>
      </c>
      <c r="P2043" s="62" t="s">
        <v>8982</v>
      </c>
      <c r="Q2043" s="62" t="s">
        <v>8983</v>
      </c>
      <c r="R2043" s="53"/>
      <c r="S2043" s="53"/>
      <c r="T2043" s="82"/>
      <c r="U2043" s="42"/>
      <c r="V2043" s="62"/>
      <c r="W2043" s="64"/>
      <c r="X2043" s="223"/>
      <c r="Y2043" s="223"/>
      <c r="Z2043" s="223"/>
      <c r="AA2043" s="223"/>
    </row>
    <row r="2044">
      <c r="A2044" s="42">
        <f t="shared" si="3"/>
        <v>2043</v>
      </c>
      <c r="B2044" s="51" t="s">
        <v>41</v>
      </c>
      <c r="C2044" s="53" t="s">
        <v>8984</v>
      </c>
      <c r="D2044" s="42" t="s">
        <v>44</v>
      </c>
      <c r="E2044" s="42" t="s">
        <v>44</v>
      </c>
      <c r="F2044" s="53" t="s">
        <v>8976</v>
      </c>
      <c r="G2044" s="53" t="s">
        <v>47</v>
      </c>
      <c r="H2044" s="53" t="s">
        <v>48</v>
      </c>
      <c r="I2044" s="53" t="s">
        <v>8913</v>
      </c>
      <c r="J2044" s="53" t="s">
        <v>8977</v>
      </c>
      <c r="K2044" s="53" t="s">
        <v>927</v>
      </c>
      <c r="L2044" s="53" t="s">
        <v>52</v>
      </c>
      <c r="M2044" s="53" t="s">
        <v>52</v>
      </c>
      <c r="N2044" s="62" t="s">
        <v>8978</v>
      </c>
      <c r="O2044" s="62" t="s">
        <v>44</v>
      </c>
      <c r="P2044" s="62" t="s">
        <v>8985</v>
      </c>
      <c r="Q2044" s="62" t="s">
        <v>8986</v>
      </c>
      <c r="R2044" s="53"/>
      <c r="S2044" s="53"/>
      <c r="T2044" s="82"/>
      <c r="U2044" s="42"/>
      <c r="V2044" s="62"/>
      <c r="W2044" s="64"/>
      <c r="X2044" s="223"/>
      <c r="Y2044" s="223"/>
      <c r="Z2044" s="223"/>
      <c r="AA2044" s="223"/>
    </row>
    <row r="2045">
      <c r="A2045" s="42">
        <f t="shared" si="3"/>
        <v>2044</v>
      </c>
      <c r="B2045" s="51" t="s">
        <v>41</v>
      </c>
      <c r="C2045" s="53" t="s">
        <v>8987</v>
      </c>
      <c r="D2045" s="42" t="s">
        <v>44</v>
      </c>
      <c r="E2045" s="42" t="s">
        <v>44</v>
      </c>
      <c r="F2045" s="53" t="s">
        <v>8976</v>
      </c>
      <c r="G2045" s="53" t="s">
        <v>47</v>
      </c>
      <c r="H2045" s="53" t="s">
        <v>48</v>
      </c>
      <c r="I2045" s="53" t="s">
        <v>8913</v>
      </c>
      <c r="J2045" s="53" t="s">
        <v>8977</v>
      </c>
      <c r="K2045" s="53" t="s">
        <v>927</v>
      </c>
      <c r="L2045" s="53" t="s">
        <v>52</v>
      </c>
      <c r="M2045" s="53" t="s">
        <v>52</v>
      </c>
      <c r="N2045" s="62" t="s">
        <v>8978</v>
      </c>
      <c r="O2045" s="62" t="s">
        <v>44</v>
      </c>
      <c r="P2045" s="62" t="s">
        <v>8988</v>
      </c>
      <c r="Q2045" s="62" t="s">
        <v>8989</v>
      </c>
      <c r="R2045" s="53"/>
      <c r="S2045" s="53"/>
      <c r="T2045" s="82"/>
      <c r="U2045" s="42"/>
      <c r="V2045" s="62"/>
      <c r="W2045" s="64"/>
      <c r="X2045" s="223"/>
      <c r="Y2045" s="223"/>
      <c r="Z2045" s="223"/>
      <c r="AA2045" s="223"/>
    </row>
    <row r="2046">
      <c r="A2046" s="42">
        <f t="shared" si="3"/>
        <v>2045</v>
      </c>
      <c r="B2046" s="51" t="s">
        <v>41</v>
      </c>
      <c r="C2046" s="53" t="s">
        <v>8990</v>
      </c>
      <c r="D2046" s="42" t="s">
        <v>44</v>
      </c>
      <c r="E2046" s="42" t="s">
        <v>44</v>
      </c>
      <c r="F2046" s="53" t="s">
        <v>8976</v>
      </c>
      <c r="G2046" s="53" t="s">
        <v>47</v>
      </c>
      <c r="H2046" s="53" t="s">
        <v>48</v>
      </c>
      <c r="I2046" s="53" t="s">
        <v>8913</v>
      </c>
      <c r="J2046" s="53" t="s">
        <v>8977</v>
      </c>
      <c r="K2046" s="53" t="s">
        <v>927</v>
      </c>
      <c r="L2046" s="53" t="s">
        <v>52</v>
      </c>
      <c r="M2046" s="53" t="s">
        <v>52</v>
      </c>
      <c r="N2046" s="62" t="s">
        <v>8978</v>
      </c>
      <c r="O2046" s="62" t="s">
        <v>44</v>
      </c>
      <c r="P2046" s="62" t="s">
        <v>8991</v>
      </c>
      <c r="Q2046" s="62" t="s">
        <v>8992</v>
      </c>
      <c r="R2046" s="53"/>
      <c r="S2046" s="53"/>
      <c r="T2046" s="82"/>
      <c r="U2046" s="42"/>
      <c r="V2046" s="62"/>
      <c r="W2046" s="64"/>
      <c r="X2046" s="223"/>
      <c r="Y2046" s="223"/>
      <c r="Z2046" s="223"/>
      <c r="AA2046" s="223"/>
    </row>
    <row r="2047">
      <c r="A2047" s="42">
        <f t="shared" si="3"/>
        <v>2046</v>
      </c>
      <c r="B2047" s="51" t="s">
        <v>41</v>
      </c>
      <c r="C2047" s="53" t="s">
        <v>8993</v>
      </c>
      <c r="D2047" s="42" t="s">
        <v>44</v>
      </c>
      <c r="E2047" s="42" t="s">
        <v>44</v>
      </c>
      <c r="F2047" s="53" t="s">
        <v>8976</v>
      </c>
      <c r="G2047" s="53" t="s">
        <v>47</v>
      </c>
      <c r="H2047" s="53" t="s">
        <v>48</v>
      </c>
      <c r="I2047" s="53" t="s">
        <v>8913</v>
      </c>
      <c r="J2047" s="53" t="s">
        <v>8977</v>
      </c>
      <c r="K2047" s="53" t="s">
        <v>927</v>
      </c>
      <c r="L2047" s="53" t="s">
        <v>52</v>
      </c>
      <c r="M2047" s="53" t="s">
        <v>52</v>
      </c>
      <c r="N2047" s="62" t="s">
        <v>8994</v>
      </c>
      <c r="O2047" s="62" t="s">
        <v>44</v>
      </c>
      <c r="P2047" s="62" t="s">
        <v>8995</v>
      </c>
      <c r="Q2047" s="62" t="s">
        <v>8996</v>
      </c>
      <c r="R2047" s="53"/>
      <c r="S2047" s="53"/>
      <c r="T2047" s="82"/>
      <c r="U2047" s="42"/>
      <c r="V2047" s="62"/>
      <c r="W2047" s="64"/>
      <c r="X2047" s="223"/>
      <c r="Y2047" s="223"/>
      <c r="Z2047" s="223"/>
      <c r="AA2047" s="223"/>
    </row>
    <row r="2048">
      <c r="A2048" s="42">
        <f t="shared" si="3"/>
        <v>2047</v>
      </c>
      <c r="B2048" s="51" t="s">
        <v>41</v>
      </c>
      <c r="C2048" s="53" t="s">
        <v>8997</v>
      </c>
      <c r="D2048" s="42" t="s">
        <v>44</v>
      </c>
      <c r="E2048" s="42" t="s">
        <v>44</v>
      </c>
      <c r="F2048" s="53" t="s">
        <v>8976</v>
      </c>
      <c r="G2048" s="53" t="s">
        <v>47</v>
      </c>
      <c r="H2048" s="53" t="s">
        <v>95</v>
      </c>
      <c r="I2048" s="53" t="s">
        <v>8913</v>
      </c>
      <c r="J2048" s="53" t="s">
        <v>8977</v>
      </c>
      <c r="K2048" s="53" t="s">
        <v>927</v>
      </c>
      <c r="L2048" s="53" t="s">
        <v>52</v>
      </c>
      <c r="M2048" s="53" t="s">
        <v>52</v>
      </c>
      <c r="N2048" s="62" t="s">
        <v>8998</v>
      </c>
      <c r="O2048" s="62" t="s">
        <v>44</v>
      </c>
      <c r="P2048" s="62" t="s">
        <v>8995</v>
      </c>
      <c r="Q2048" s="62" t="s">
        <v>8999</v>
      </c>
      <c r="R2048" s="53"/>
      <c r="S2048" s="53"/>
      <c r="T2048" s="82"/>
      <c r="U2048" s="42"/>
      <c r="V2048" s="62"/>
      <c r="W2048" s="64"/>
      <c r="X2048" s="223"/>
      <c r="Y2048" s="223"/>
      <c r="Z2048" s="223"/>
      <c r="AA2048" s="223"/>
    </row>
    <row r="2049">
      <c r="A2049" s="42">
        <f t="shared" si="3"/>
        <v>2048</v>
      </c>
      <c r="B2049" s="51" t="s">
        <v>41</v>
      </c>
      <c r="C2049" s="53" t="s">
        <v>9000</v>
      </c>
      <c r="D2049" s="42" t="s">
        <v>44</v>
      </c>
      <c r="E2049" s="42" t="s">
        <v>44</v>
      </c>
      <c r="F2049" s="53" t="s">
        <v>8976</v>
      </c>
      <c r="G2049" s="53" t="s">
        <v>47</v>
      </c>
      <c r="H2049" s="53" t="s">
        <v>48</v>
      </c>
      <c r="I2049" s="53" t="s">
        <v>8913</v>
      </c>
      <c r="J2049" s="53" t="s">
        <v>8977</v>
      </c>
      <c r="K2049" s="53" t="s">
        <v>927</v>
      </c>
      <c r="L2049" s="53" t="s">
        <v>52</v>
      </c>
      <c r="M2049" s="53" t="s">
        <v>52</v>
      </c>
      <c r="N2049" s="62" t="s">
        <v>8978</v>
      </c>
      <c r="O2049" s="62" t="s">
        <v>44</v>
      </c>
      <c r="P2049" s="62" t="s">
        <v>8991</v>
      </c>
      <c r="Q2049" s="62" t="s">
        <v>9001</v>
      </c>
      <c r="R2049" s="53"/>
      <c r="S2049" s="53"/>
      <c r="T2049" s="82"/>
      <c r="U2049" s="42"/>
      <c r="V2049" s="62"/>
      <c r="W2049" s="64"/>
      <c r="X2049" s="223"/>
      <c r="Y2049" s="223"/>
      <c r="Z2049" s="223"/>
      <c r="AA2049" s="223"/>
    </row>
    <row r="2050">
      <c r="A2050" s="42">
        <f t="shared" si="3"/>
        <v>2049</v>
      </c>
      <c r="B2050" s="51" t="s">
        <v>41</v>
      </c>
      <c r="C2050" s="53" t="s">
        <v>9002</v>
      </c>
      <c r="D2050" s="42" t="s">
        <v>44</v>
      </c>
      <c r="E2050" s="42" t="s">
        <v>44</v>
      </c>
      <c r="F2050" s="53" t="s">
        <v>8976</v>
      </c>
      <c r="G2050" s="53" t="s">
        <v>47</v>
      </c>
      <c r="H2050" s="53" t="s">
        <v>91</v>
      </c>
      <c r="I2050" s="53" t="s">
        <v>8913</v>
      </c>
      <c r="J2050" s="53" t="s">
        <v>8977</v>
      </c>
      <c r="K2050" s="53" t="s">
        <v>927</v>
      </c>
      <c r="L2050" s="53" t="s">
        <v>52</v>
      </c>
      <c r="M2050" s="53" t="s">
        <v>52</v>
      </c>
      <c r="N2050" s="62" t="s">
        <v>8978</v>
      </c>
      <c r="O2050" s="62" t="s">
        <v>44</v>
      </c>
      <c r="P2050" s="62" t="s">
        <v>9003</v>
      </c>
      <c r="Q2050" s="62" t="s">
        <v>9004</v>
      </c>
      <c r="R2050" s="53"/>
      <c r="S2050" s="53"/>
      <c r="T2050" s="82"/>
      <c r="U2050" s="42"/>
      <c r="V2050" s="62"/>
      <c r="W2050" s="64"/>
      <c r="X2050" s="223"/>
      <c r="Y2050" s="223"/>
      <c r="Z2050" s="223"/>
      <c r="AA2050" s="223"/>
    </row>
    <row r="2051">
      <c r="A2051" s="42">
        <f t="shared" si="3"/>
        <v>2050</v>
      </c>
      <c r="B2051" s="51" t="s">
        <v>41</v>
      </c>
      <c r="C2051" s="53" t="s">
        <v>9005</v>
      </c>
      <c r="D2051" s="42" t="s">
        <v>44</v>
      </c>
      <c r="E2051" s="42" t="s">
        <v>44</v>
      </c>
      <c r="F2051" s="53" t="s">
        <v>8976</v>
      </c>
      <c r="G2051" s="53" t="s">
        <v>47</v>
      </c>
      <c r="H2051" s="53" t="s">
        <v>91</v>
      </c>
      <c r="I2051" s="53" t="s">
        <v>8913</v>
      </c>
      <c r="J2051" s="53" t="s">
        <v>8977</v>
      </c>
      <c r="K2051" s="53" t="s">
        <v>927</v>
      </c>
      <c r="L2051" s="53" t="s">
        <v>52</v>
      </c>
      <c r="M2051" s="53" t="s">
        <v>52</v>
      </c>
      <c r="N2051" s="62" t="s">
        <v>8978</v>
      </c>
      <c r="O2051" s="62" t="s">
        <v>44</v>
      </c>
      <c r="P2051" s="62" t="s">
        <v>9006</v>
      </c>
      <c r="Q2051" s="62" t="s">
        <v>9007</v>
      </c>
      <c r="R2051" s="53"/>
      <c r="S2051" s="53"/>
      <c r="T2051" s="82"/>
      <c r="U2051" s="42"/>
      <c r="V2051" s="62"/>
      <c r="W2051" s="64"/>
      <c r="X2051" s="223"/>
      <c r="Y2051" s="223"/>
      <c r="Z2051" s="223"/>
      <c r="AA2051" s="223"/>
    </row>
    <row r="2052">
      <c r="A2052" s="42">
        <f t="shared" si="3"/>
        <v>2051</v>
      </c>
      <c r="B2052" s="51" t="s">
        <v>41</v>
      </c>
      <c r="C2052" s="53" t="s">
        <v>9008</v>
      </c>
      <c r="D2052" s="42" t="s">
        <v>44</v>
      </c>
      <c r="E2052" s="42" t="s">
        <v>44</v>
      </c>
      <c r="F2052" s="53" t="s">
        <v>8976</v>
      </c>
      <c r="G2052" s="53" t="s">
        <v>47</v>
      </c>
      <c r="H2052" s="53" t="s">
        <v>48</v>
      </c>
      <c r="I2052" s="53" t="s">
        <v>8913</v>
      </c>
      <c r="J2052" s="53" t="s">
        <v>8977</v>
      </c>
      <c r="K2052" s="53" t="s">
        <v>927</v>
      </c>
      <c r="L2052" s="53" t="s">
        <v>52</v>
      </c>
      <c r="M2052" s="53" t="s">
        <v>52</v>
      </c>
      <c r="N2052" s="62" t="s">
        <v>9009</v>
      </c>
      <c r="O2052" s="62" t="s">
        <v>44</v>
      </c>
      <c r="P2052" s="62" t="s">
        <v>9010</v>
      </c>
      <c r="Q2052" s="62" t="s">
        <v>9011</v>
      </c>
      <c r="R2052" s="53"/>
      <c r="S2052" s="53"/>
      <c r="T2052" s="82"/>
      <c r="U2052" s="42"/>
      <c r="V2052" s="62"/>
      <c r="W2052" s="64"/>
      <c r="X2052" s="223"/>
      <c r="Y2052" s="223"/>
      <c r="Z2052" s="223"/>
      <c r="AA2052" s="223"/>
    </row>
    <row r="2053">
      <c r="A2053" s="42">
        <f t="shared" si="3"/>
        <v>2052</v>
      </c>
      <c r="B2053" s="51" t="s">
        <v>41</v>
      </c>
      <c r="C2053" s="53" t="s">
        <v>9012</v>
      </c>
      <c r="D2053" s="42" t="s">
        <v>44</v>
      </c>
      <c r="E2053" s="42" t="s">
        <v>44</v>
      </c>
      <c r="F2053" s="53" t="s">
        <v>8976</v>
      </c>
      <c r="G2053" s="53" t="s">
        <v>47</v>
      </c>
      <c r="H2053" s="53" t="s">
        <v>48</v>
      </c>
      <c r="I2053" s="53" t="s">
        <v>8913</v>
      </c>
      <c r="J2053" s="53" t="s">
        <v>8977</v>
      </c>
      <c r="K2053" s="53" t="s">
        <v>927</v>
      </c>
      <c r="L2053" s="53" t="s">
        <v>52</v>
      </c>
      <c r="M2053" s="53" t="s">
        <v>52</v>
      </c>
      <c r="N2053" s="62" t="s">
        <v>9009</v>
      </c>
      <c r="O2053" s="62" t="s">
        <v>44</v>
      </c>
      <c r="P2053" s="62" t="s">
        <v>9013</v>
      </c>
      <c r="Q2053" s="62" t="s">
        <v>9014</v>
      </c>
      <c r="R2053" s="53"/>
      <c r="S2053" s="53"/>
      <c r="T2053" s="82"/>
      <c r="U2053" s="42"/>
      <c r="V2053" s="62"/>
      <c r="W2053" s="64"/>
      <c r="X2053" s="223"/>
      <c r="Y2053" s="223"/>
      <c r="Z2053" s="223"/>
      <c r="AA2053" s="223"/>
    </row>
    <row r="2054">
      <c r="A2054" s="42">
        <f t="shared" si="3"/>
        <v>2053</v>
      </c>
      <c r="B2054" s="51" t="s">
        <v>41</v>
      </c>
      <c r="C2054" s="53" t="s">
        <v>9015</v>
      </c>
      <c r="D2054" s="42" t="s">
        <v>44</v>
      </c>
      <c r="E2054" s="42" t="s">
        <v>44</v>
      </c>
      <c r="F2054" s="53" t="s">
        <v>8976</v>
      </c>
      <c r="G2054" s="53" t="s">
        <v>47</v>
      </c>
      <c r="H2054" s="53" t="s">
        <v>48</v>
      </c>
      <c r="I2054" s="53" t="s">
        <v>8913</v>
      </c>
      <c r="J2054" s="53" t="s">
        <v>8977</v>
      </c>
      <c r="K2054" s="53" t="s">
        <v>927</v>
      </c>
      <c r="L2054" s="53" t="s">
        <v>52</v>
      </c>
      <c r="M2054" s="53" t="s">
        <v>52</v>
      </c>
      <c r="N2054" s="62" t="s">
        <v>9009</v>
      </c>
      <c r="O2054" s="62" t="s">
        <v>44</v>
      </c>
      <c r="P2054" s="62" t="s">
        <v>9016</v>
      </c>
      <c r="Q2054" s="62" t="s">
        <v>9017</v>
      </c>
      <c r="R2054" s="53"/>
      <c r="S2054" s="53"/>
      <c r="T2054" s="82"/>
      <c r="U2054" s="42"/>
      <c r="V2054" s="62"/>
      <c r="W2054" s="64"/>
      <c r="X2054" s="223"/>
      <c r="Y2054" s="223"/>
      <c r="Z2054" s="223"/>
      <c r="AA2054" s="223"/>
    </row>
    <row r="2055">
      <c r="A2055" s="42">
        <f t="shared" si="3"/>
        <v>2054</v>
      </c>
      <c r="B2055" s="51" t="s">
        <v>41</v>
      </c>
      <c r="C2055" s="53" t="s">
        <v>9018</v>
      </c>
      <c r="D2055" s="42" t="s">
        <v>44</v>
      </c>
      <c r="E2055" s="42" t="s">
        <v>44</v>
      </c>
      <c r="F2055" s="53" t="s">
        <v>8976</v>
      </c>
      <c r="G2055" s="53" t="s">
        <v>47</v>
      </c>
      <c r="H2055" s="53" t="s">
        <v>95</v>
      </c>
      <c r="I2055" s="53" t="s">
        <v>8913</v>
      </c>
      <c r="J2055" s="53" t="s">
        <v>8977</v>
      </c>
      <c r="K2055" s="53" t="s">
        <v>927</v>
      </c>
      <c r="L2055" s="53" t="s">
        <v>52</v>
      </c>
      <c r="M2055" s="53" t="s">
        <v>52</v>
      </c>
      <c r="N2055" s="62" t="s">
        <v>8998</v>
      </c>
      <c r="O2055" s="62" t="s">
        <v>44</v>
      </c>
      <c r="P2055" s="62" t="s">
        <v>9019</v>
      </c>
      <c r="Q2055" s="62" t="s">
        <v>9020</v>
      </c>
      <c r="R2055" s="53"/>
      <c r="S2055" s="53"/>
      <c r="T2055" s="82"/>
      <c r="U2055" s="42"/>
      <c r="V2055" s="62"/>
      <c r="W2055" s="64"/>
      <c r="X2055" s="223"/>
      <c r="Y2055" s="223"/>
      <c r="Z2055" s="223"/>
      <c r="AA2055" s="223"/>
    </row>
    <row r="2056">
      <c r="A2056" s="42">
        <f t="shared" si="3"/>
        <v>2055</v>
      </c>
      <c r="B2056" s="51" t="s">
        <v>41</v>
      </c>
      <c r="C2056" s="53" t="s">
        <v>9021</v>
      </c>
      <c r="D2056" s="42" t="s">
        <v>44</v>
      </c>
      <c r="E2056" s="42" t="s">
        <v>44</v>
      </c>
      <c r="F2056" s="53" t="s">
        <v>8976</v>
      </c>
      <c r="G2056" s="53" t="s">
        <v>47</v>
      </c>
      <c r="H2056" s="53" t="s">
        <v>95</v>
      </c>
      <c r="I2056" s="53" t="s">
        <v>8913</v>
      </c>
      <c r="J2056" s="53" t="s">
        <v>8977</v>
      </c>
      <c r="K2056" s="53" t="s">
        <v>927</v>
      </c>
      <c r="L2056" s="53" t="s">
        <v>52</v>
      </c>
      <c r="M2056" s="53" t="s">
        <v>52</v>
      </c>
      <c r="N2056" s="62" t="s">
        <v>9022</v>
      </c>
      <c r="O2056" s="62" t="s">
        <v>44</v>
      </c>
      <c r="P2056" s="62" t="s">
        <v>9019</v>
      </c>
      <c r="Q2056" s="62" t="s">
        <v>9023</v>
      </c>
      <c r="R2056" s="53"/>
      <c r="S2056" s="53"/>
      <c r="T2056" s="82"/>
      <c r="U2056" s="42"/>
      <c r="V2056" s="62"/>
      <c r="W2056" s="64"/>
      <c r="X2056" s="223"/>
      <c r="Y2056" s="223"/>
      <c r="Z2056" s="223"/>
      <c r="AA2056" s="223"/>
    </row>
    <row r="2057">
      <c r="A2057" s="42">
        <f t="shared" si="3"/>
        <v>2056</v>
      </c>
      <c r="B2057" s="51" t="s">
        <v>41</v>
      </c>
      <c r="C2057" s="53" t="s">
        <v>9024</v>
      </c>
      <c r="D2057" s="42" t="s">
        <v>44</v>
      </c>
      <c r="E2057" s="42" t="s">
        <v>44</v>
      </c>
      <c r="F2057" s="53" t="s">
        <v>8976</v>
      </c>
      <c r="G2057" s="53" t="s">
        <v>47</v>
      </c>
      <c r="H2057" s="53" t="s">
        <v>48</v>
      </c>
      <c r="I2057" s="53" t="s">
        <v>8913</v>
      </c>
      <c r="J2057" s="53" t="s">
        <v>9025</v>
      </c>
      <c r="K2057" s="53" t="s">
        <v>51</v>
      </c>
      <c r="L2057" s="53" t="s">
        <v>52</v>
      </c>
      <c r="M2057" s="53" t="s">
        <v>52</v>
      </c>
      <c r="N2057" s="62" t="s">
        <v>9026</v>
      </c>
      <c r="O2057" s="62" t="s">
        <v>44</v>
      </c>
      <c r="P2057" s="62" t="s">
        <v>9027</v>
      </c>
      <c r="Q2057" s="62" t="s">
        <v>9028</v>
      </c>
      <c r="R2057" s="53"/>
      <c r="S2057" s="53"/>
      <c r="T2057" s="82"/>
      <c r="U2057" s="42"/>
      <c r="V2057" s="62"/>
      <c r="W2057" s="64"/>
      <c r="X2057" s="223"/>
      <c r="Y2057" s="223"/>
      <c r="Z2057" s="223"/>
      <c r="AA2057" s="223"/>
    </row>
    <row r="2058">
      <c r="A2058" s="42">
        <f t="shared" si="3"/>
        <v>2057</v>
      </c>
      <c r="B2058" s="51" t="s">
        <v>41</v>
      </c>
      <c r="C2058" s="53" t="s">
        <v>9029</v>
      </c>
      <c r="D2058" s="42" t="s">
        <v>44</v>
      </c>
      <c r="E2058" s="42" t="s">
        <v>44</v>
      </c>
      <c r="F2058" s="53" t="s">
        <v>8976</v>
      </c>
      <c r="G2058" s="53" t="s">
        <v>47</v>
      </c>
      <c r="H2058" s="53" t="s">
        <v>91</v>
      </c>
      <c r="I2058" s="53" t="s">
        <v>8913</v>
      </c>
      <c r="J2058" s="53" t="s">
        <v>9025</v>
      </c>
      <c r="K2058" s="53" t="s">
        <v>51</v>
      </c>
      <c r="L2058" s="53" t="s">
        <v>52</v>
      </c>
      <c r="M2058" s="53" t="s">
        <v>52</v>
      </c>
      <c r="N2058" s="62" t="s">
        <v>9030</v>
      </c>
      <c r="O2058" s="62" t="s">
        <v>44</v>
      </c>
      <c r="P2058" s="62" t="s">
        <v>2592</v>
      </c>
      <c r="Q2058" s="62" t="s">
        <v>9031</v>
      </c>
      <c r="R2058" s="53"/>
      <c r="S2058" s="53"/>
      <c r="T2058" s="82"/>
      <c r="U2058" s="42"/>
      <c r="V2058" s="62"/>
      <c r="W2058" s="64"/>
      <c r="X2058" s="223"/>
      <c r="Y2058" s="223"/>
      <c r="Z2058" s="223"/>
      <c r="AA2058" s="223"/>
    </row>
    <row r="2059">
      <c r="A2059" s="42">
        <f t="shared" si="3"/>
        <v>2058</v>
      </c>
      <c r="B2059" s="51" t="s">
        <v>41</v>
      </c>
      <c r="C2059" s="53" t="s">
        <v>9032</v>
      </c>
      <c r="D2059" s="42" t="s">
        <v>44</v>
      </c>
      <c r="E2059" s="42" t="s">
        <v>44</v>
      </c>
      <c r="F2059" s="53" t="s">
        <v>8976</v>
      </c>
      <c r="G2059" s="53" t="s">
        <v>47</v>
      </c>
      <c r="H2059" s="53" t="s">
        <v>48</v>
      </c>
      <c r="I2059" s="53" t="s">
        <v>8913</v>
      </c>
      <c r="J2059" s="53" t="s">
        <v>8977</v>
      </c>
      <c r="K2059" s="53" t="s">
        <v>927</v>
      </c>
      <c r="L2059" s="53" t="s">
        <v>52</v>
      </c>
      <c r="M2059" s="53" t="s">
        <v>52</v>
      </c>
      <c r="N2059" s="62" t="s">
        <v>9033</v>
      </c>
      <c r="O2059" s="62" t="s">
        <v>44</v>
      </c>
      <c r="P2059" s="62" t="s">
        <v>9034</v>
      </c>
      <c r="Q2059" s="62" t="s">
        <v>9035</v>
      </c>
      <c r="R2059" s="53"/>
      <c r="S2059" s="53"/>
      <c r="T2059" s="82"/>
      <c r="U2059" s="42"/>
      <c r="V2059" s="62"/>
      <c r="W2059" s="64"/>
      <c r="X2059" s="223"/>
      <c r="Y2059" s="223"/>
      <c r="Z2059" s="223"/>
      <c r="AA2059" s="223"/>
    </row>
    <row r="2060">
      <c r="A2060" s="42">
        <f t="shared" si="3"/>
        <v>2059</v>
      </c>
      <c r="B2060" s="51" t="s">
        <v>41</v>
      </c>
      <c r="C2060" s="53" t="s">
        <v>9036</v>
      </c>
      <c r="D2060" s="42" t="s">
        <v>44</v>
      </c>
      <c r="E2060" s="42" t="s">
        <v>44</v>
      </c>
      <c r="F2060" s="53" t="s">
        <v>8976</v>
      </c>
      <c r="G2060" s="53" t="s">
        <v>47</v>
      </c>
      <c r="H2060" s="53" t="s">
        <v>48</v>
      </c>
      <c r="I2060" s="53" t="s">
        <v>8913</v>
      </c>
      <c r="J2060" s="53" t="s">
        <v>8977</v>
      </c>
      <c r="K2060" s="53" t="s">
        <v>927</v>
      </c>
      <c r="L2060" s="53" t="s">
        <v>52</v>
      </c>
      <c r="M2060" s="53" t="s">
        <v>52</v>
      </c>
      <c r="N2060" s="62" t="s">
        <v>9037</v>
      </c>
      <c r="O2060" s="62" t="s">
        <v>44</v>
      </c>
      <c r="P2060" s="62" t="s">
        <v>9034</v>
      </c>
      <c r="Q2060" s="62" t="s">
        <v>9038</v>
      </c>
      <c r="R2060" s="53"/>
      <c r="S2060" s="53"/>
      <c r="T2060" s="82"/>
      <c r="U2060" s="42"/>
      <c r="V2060" s="62"/>
      <c r="W2060" s="64"/>
      <c r="X2060" s="223"/>
      <c r="Y2060" s="223"/>
      <c r="Z2060" s="223"/>
      <c r="AA2060" s="223"/>
    </row>
    <row r="2061">
      <c r="A2061" s="42">
        <f t="shared" si="3"/>
        <v>2060</v>
      </c>
      <c r="B2061" s="51" t="s">
        <v>41</v>
      </c>
      <c r="C2061" s="53" t="s">
        <v>9039</v>
      </c>
      <c r="D2061" s="42" t="s">
        <v>44</v>
      </c>
      <c r="E2061" s="42" t="s">
        <v>44</v>
      </c>
      <c r="F2061" s="53" t="s">
        <v>9040</v>
      </c>
      <c r="G2061" s="53" t="s">
        <v>47</v>
      </c>
      <c r="H2061" s="53" t="s">
        <v>48</v>
      </c>
      <c r="I2061" s="53" t="s">
        <v>8913</v>
      </c>
      <c r="J2061" s="53" t="s">
        <v>9041</v>
      </c>
      <c r="K2061" s="53" t="s">
        <v>1615</v>
      </c>
      <c r="L2061" s="53" t="s">
        <v>52</v>
      </c>
      <c r="M2061" s="53" t="s">
        <v>52</v>
      </c>
      <c r="N2061" s="62" t="s">
        <v>9042</v>
      </c>
      <c r="O2061" s="62" t="s">
        <v>44</v>
      </c>
      <c r="P2061" s="62" t="s">
        <v>9043</v>
      </c>
      <c r="Q2061" s="62" t="s">
        <v>9044</v>
      </c>
      <c r="R2061" s="53"/>
      <c r="S2061" s="53"/>
      <c r="T2061" s="82"/>
      <c r="U2061" s="42"/>
      <c r="V2061" s="62"/>
      <c r="W2061" s="64"/>
      <c r="X2061" s="223"/>
      <c r="Y2061" s="223"/>
      <c r="Z2061" s="223"/>
      <c r="AA2061" s="223"/>
    </row>
    <row r="2062">
      <c r="A2062" s="42">
        <f t="shared" si="3"/>
        <v>2061</v>
      </c>
      <c r="B2062" s="51" t="s">
        <v>41</v>
      </c>
      <c r="C2062" s="53" t="s">
        <v>9045</v>
      </c>
      <c r="D2062" s="42" t="s">
        <v>44</v>
      </c>
      <c r="E2062" s="42" t="s">
        <v>44</v>
      </c>
      <c r="F2062" s="53" t="s">
        <v>9040</v>
      </c>
      <c r="G2062" s="53" t="s">
        <v>47</v>
      </c>
      <c r="H2062" s="53" t="s">
        <v>91</v>
      </c>
      <c r="I2062" s="53" t="s">
        <v>8913</v>
      </c>
      <c r="J2062" s="53" t="s">
        <v>9041</v>
      </c>
      <c r="K2062" s="53" t="s">
        <v>1615</v>
      </c>
      <c r="L2062" s="53" t="s">
        <v>52</v>
      </c>
      <c r="M2062" s="53" t="s">
        <v>52</v>
      </c>
      <c r="N2062" s="62" t="s">
        <v>9042</v>
      </c>
      <c r="O2062" s="62" t="s">
        <v>44</v>
      </c>
      <c r="P2062" s="62" t="s">
        <v>9046</v>
      </c>
      <c r="Q2062" s="62" t="s">
        <v>9047</v>
      </c>
      <c r="R2062" s="53"/>
      <c r="S2062" s="53"/>
      <c r="T2062" s="82"/>
      <c r="U2062" s="42"/>
      <c r="V2062" s="62"/>
      <c r="W2062" s="64"/>
      <c r="X2062" s="223"/>
      <c r="Y2062" s="223"/>
      <c r="Z2062" s="223"/>
      <c r="AA2062" s="223"/>
    </row>
    <row r="2063">
      <c r="A2063" s="42">
        <f t="shared" si="3"/>
        <v>2062</v>
      </c>
      <c r="B2063" s="51" t="s">
        <v>41</v>
      </c>
      <c r="C2063" s="53" t="s">
        <v>9048</v>
      </c>
      <c r="D2063" s="42" t="s">
        <v>44</v>
      </c>
      <c r="E2063" s="42" t="s">
        <v>44</v>
      </c>
      <c r="F2063" s="53" t="s">
        <v>9040</v>
      </c>
      <c r="G2063" s="53" t="s">
        <v>47</v>
      </c>
      <c r="H2063" s="53" t="s">
        <v>48</v>
      </c>
      <c r="I2063" s="53" t="s">
        <v>8913</v>
      </c>
      <c r="J2063" s="53" t="s">
        <v>9041</v>
      </c>
      <c r="K2063" s="53" t="s">
        <v>1615</v>
      </c>
      <c r="L2063" s="53" t="s">
        <v>52</v>
      </c>
      <c r="M2063" s="53" t="s">
        <v>52</v>
      </c>
      <c r="N2063" s="62" t="s">
        <v>9049</v>
      </c>
      <c r="O2063" s="62" t="s">
        <v>44</v>
      </c>
      <c r="P2063" s="62" t="s">
        <v>9043</v>
      </c>
      <c r="Q2063" s="62" t="s">
        <v>9050</v>
      </c>
      <c r="R2063" s="53"/>
      <c r="S2063" s="53"/>
      <c r="T2063" s="82"/>
      <c r="U2063" s="42"/>
      <c r="V2063" s="62"/>
      <c r="W2063" s="64"/>
      <c r="X2063" s="223"/>
      <c r="Y2063" s="223"/>
      <c r="Z2063" s="223"/>
      <c r="AA2063" s="223"/>
    </row>
    <row r="2064">
      <c r="A2064" s="42">
        <f t="shared" si="3"/>
        <v>2063</v>
      </c>
      <c r="B2064" s="51" t="s">
        <v>41</v>
      </c>
      <c r="C2064" s="53" t="s">
        <v>9051</v>
      </c>
      <c r="D2064" s="42" t="s">
        <v>44</v>
      </c>
      <c r="E2064" s="42" t="s">
        <v>44</v>
      </c>
      <c r="F2064" s="53" t="s">
        <v>9040</v>
      </c>
      <c r="G2064" s="53" t="s">
        <v>47</v>
      </c>
      <c r="H2064" s="53" t="s">
        <v>48</v>
      </c>
      <c r="I2064" s="53" t="s">
        <v>8913</v>
      </c>
      <c r="J2064" s="53" t="s">
        <v>9041</v>
      </c>
      <c r="K2064" s="53" t="s">
        <v>1615</v>
      </c>
      <c r="L2064" s="53" t="s">
        <v>52</v>
      </c>
      <c r="M2064" s="53" t="s">
        <v>52</v>
      </c>
      <c r="N2064" s="62" t="s">
        <v>9052</v>
      </c>
      <c r="O2064" s="62" t="s">
        <v>44</v>
      </c>
      <c r="P2064" s="62" t="s">
        <v>9043</v>
      </c>
      <c r="Q2064" s="62" t="s">
        <v>9053</v>
      </c>
      <c r="R2064" s="53"/>
      <c r="S2064" s="53"/>
      <c r="T2064" s="82"/>
      <c r="U2064" s="42"/>
      <c r="V2064" s="62"/>
      <c r="W2064" s="64"/>
      <c r="X2064" s="223"/>
      <c r="Y2064" s="223"/>
      <c r="Z2064" s="223"/>
      <c r="AA2064" s="223"/>
    </row>
    <row r="2065">
      <c r="A2065" s="42">
        <f t="shared" si="3"/>
        <v>2064</v>
      </c>
      <c r="B2065" s="51" t="s">
        <v>41</v>
      </c>
      <c r="C2065" s="53" t="s">
        <v>9054</v>
      </c>
      <c r="D2065" s="42" t="s">
        <v>44</v>
      </c>
      <c r="E2065" s="42" t="s">
        <v>44</v>
      </c>
      <c r="F2065" s="53" t="s">
        <v>9040</v>
      </c>
      <c r="G2065" s="53" t="s">
        <v>47</v>
      </c>
      <c r="H2065" s="53" t="s">
        <v>48</v>
      </c>
      <c r="I2065" s="53" t="s">
        <v>8913</v>
      </c>
      <c r="J2065" s="53" t="s">
        <v>9041</v>
      </c>
      <c r="K2065" s="53" t="s">
        <v>1615</v>
      </c>
      <c r="L2065" s="53" t="s">
        <v>52</v>
      </c>
      <c r="M2065" s="53" t="s">
        <v>52</v>
      </c>
      <c r="N2065" s="62" t="s">
        <v>9055</v>
      </c>
      <c r="O2065" s="62" t="s">
        <v>44</v>
      </c>
      <c r="P2065" s="62" t="s">
        <v>9056</v>
      </c>
      <c r="Q2065" s="62" t="s">
        <v>9057</v>
      </c>
      <c r="R2065" s="53"/>
      <c r="S2065" s="53"/>
      <c r="T2065" s="82"/>
      <c r="U2065" s="42"/>
      <c r="V2065" s="62"/>
      <c r="W2065" s="64"/>
      <c r="X2065" s="223"/>
      <c r="Y2065" s="223"/>
      <c r="Z2065" s="223"/>
      <c r="AA2065" s="223"/>
    </row>
    <row r="2066">
      <c r="A2066" s="42">
        <f t="shared" si="3"/>
        <v>2065</v>
      </c>
      <c r="B2066" s="51" t="s">
        <v>41</v>
      </c>
      <c r="C2066" s="53" t="s">
        <v>9058</v>
      </c>
      <c r="D2066" s="42" t="s">
        <v>44</v>
      </c>
      <c r="E2066" s="42" t="s">
        <v>44</v>
      </c>
      <c r="F2066" s="53" t="s">
        <v>9059</v>
      </c>
      <c r="G2066" s="53" t="s">
        <v>47</v>
      </c>
      <c r="H2066" s="53" t="s">
        <v>95</v>
      </c>
      <c r="I2066" s="53" t="s">
        <v>8913</v>
      </c>
      <c r="J2066" s="53" t="s">
        <v>9060</v>
      </c>
      <c r="K2066" s="53" t="s">
        <v>3753</v>
      </c>
      <c r="L2066" s="53" t="s">
        <v>52</v>
      </c>
      <c r="M2066" s="53" t="s">
        <v>52</v>
      </c>
      <c r="N2066" s="62" t="s">
        <v>9061</v>
      </c>
      <c r="O2066" s="62" t="s">
        <v>44</v>
      </c>
      <c r="P2066" s="62" t="s">
        <v>3893</v>
      </c>
      <c r="Q2066" s="62" t="s">
        <v>9062</v>
      </c>
      <c r="R2066" s="53"/>
      <c r="S2066" s="53"/>
      <c r="T2066" s="82"/>
      <c r="U2066" s="42"/>
      <c r="V2066" s="62"/>
      <c r="W2066" s="64"/>
      <c r="X2066" s="223"/>
      <c r="Y2066" s="223"/>
      <c r="Z2066" s="223"/>
      <c r="AA2066" s="223"/>
    </row>
    <row r="2067">
      <c r="A2067" s="42">
        <f t="shared" si="3"/>
        <v>2066</v>
      </c>
      <c r="B2067" s="51" t="s">
        <v>41</v>
      </c>
      <c r="C2067" s="53" t="s">
        <v>9063</v>
      </c>
      <c r="D2067" s="42" t="s">
        <v>44</v>
      </c>
      <c r="E2067" s="42" t="s">
        <v>44</v>
      </c>
      <c r="F2067" s="53" t="s">
        <v>9059</v>
      </c>
      <c r="G2067" s="53" t="s">
        <v>47</v>
      </c>
      <c r="H2067" s="53" t="s">
        <v>95</v>
      </c>
      <c r="I2067" s="53" t="s">
        <v>8913</v>
      </c>
      <c r="J2067" s="53" t="s">
        <v>9060</v>
      </c>
      <c r="K2067" s="53" t="s">
        <v>3753</v>
      </c>
      <c r="L2067" s="53" t="s">
        <v>52</v>
      </c>
      <c r="M2067" s="53" t="s">
        <v>52</v>
      </c>
      <c r="N2067" s="62" t="s">
        <v>9064</v>
      </c>
      <c r="O2067" s="62" t="s">
        <v>44</v>
      </c>
      <c r="P2067" s="62" t="s">
        <v>3893</v>
      </c>
      <c r="Q2067" s="62" t="s">
        <v>9065</v>
      </c>
      <c r="R2067" s="53"/>
      <c r="S2067" s="53"/>
      <c r="T2067" s="82"/>
      <c r="U2067" s="42"/>
      <c r="V2067" s="62"/>
      <c r="W2067" s="64"/>
      <c r="X2067" s="223"/>
      <c r="Y2067" s="223"/>
      <c r="Z2067" s="223"/>
      <c r="AA2067" s="223"/>
    </row>
    <row r="2068">
      <c r="A2068" s="42">
        <f t="shared" si="3"/>
        <v>2067</v>
      </c>
      <c r="B2068" s="51" t="s">
        <v>41</v>
      </c>
      <c r="C2068" s="53" t="s">
        <v>9066</v>
      </c>
      <c r="D2068" s="42" t="s">
        <v>44</v>
      </c>
      <c r="E2068" s="42" t="s">
        <v>44</v>
      </c>
      <c r="F2068" s="53" t="s">
        <v>9059</v>
      </c>
      <c r="G2068" s="53" t="s">
        <v>47</v>
      </c>
      <c r="H2068" s="53" t="s">
        <v>48</v>
      </c>
      <c r="I2068" s="53" t="s">
        <v>8913</v>
      </c>
      <c r="J2068" s="53" t="s">
        <v>9067</v>
      </c>
      <c r="K2068" s="53" t="s">
        <v>51</v>
      </c>
      <c r="L2068" s="53" t="s">
        <v>52</v>
      </c>
      <c r="M2068" s="53" t="s">
        <v>52</v>
      </c>
      <c r="N2068" s="62" t="s">
        <v>9068</v>
      </c>
      <c r="O2068" s="62" t="s">
        <v>44</v>
      </c>
      <c r="P2068" s="62" t="s">
        <v>9069</v>
      </c>
      <c r="Q2068" s="62" t="s">
        <v>9070</v>
      </c>
      <c r="R2068" s="53"/>
      <c r="S2068" s="53"/>
      <c r="T2068" s="82"/>
      <c r="U2068" s="42"/>
      <c r="V2068" s="62"/>
      <c r="W2068" s="64"/>
      <c r="X2068" s="223"/>
      <c r="Y2068" s="223"/>
      <c r="Z2068" s="223"/>
      <c r="AA2068" s="223"/>
    </row>
    <row r="2069">
      <c r="A2069" s="42">
        <f t="shared" si="3"/>
        <v>2068</v>
      </c>
      <c r="B2069" s="51" t="s">
        <v>41</v>
      </c>
      <c r="C2069" s="53" t="s">
        <v>9071</v>
      </c>
      <c r="D2069" s="42" t="s">
        <v>44</v>
      </c>
      <c r="E2069" s="42" t="s">
        <v>44</v>
      </c>
      <c r="F2069" s="53" t="s">
        <v>9059</v>
      </c>
      <c r="G2069" s="53" t="s">
        <v>47</v>
      </c>
      <c r="H2069" s="53" t="s">
        <v>48</v>
      </c>
      <c r="I2069" s="53" t="s">
        <v>8913</v>
      </c>
      <c r="J2069" s="53" t="s">
        <v>9067</v>
      </c>
      <c r="K2069" s="53" t="s">
        <v>51</v>
      </c>
      <c r="L2069" s="53" t="s">
        <v>52</v>
      </c>
      <c r="M2069" s="53" t="s">
        <v>52</v>
      </c>
      <c r="N2069" s="62" t="s">
        <v>9072</v>
      </c>
      <c r="O2069" s="62" t="s">
        <v>44</v>
      </c>
      <c r="P2069" s="62" t="s">
        <v>9073</v>
      </c>
      <c r="Q2069" s="62" t="s">
        <v>9074</v>
      </c>
      <c r="R2069" s="53"/>
      <c r="S2069" s="53"/>
      <c r="T2069" s="82"/>
      <c r="U2069" s="42"/>
      <c r="V2069" s="62"/>
      <c r="W2069" s="64"/>
      <c r="X2069" s="223"/>
      <c r="Y2069" s="223"/>
      <c r="Z2069" s="223"/>
      <c r="AA2069" s="223"/>
    </row>
    <row r="2070">
      <c r="A2070" s="42">
        <f t="shared" si="3"/>
        <v>2069</v>
      </c>
      <c r="B2070" s="51" t="s">
        <v>41</v>
      </c>
      <c r="C2070" s="53" t="s">
        <v>9075</v>
      </c>
      <c r="D2070" s="42" t="s">
        <v>44</v>
      </c>
      <c r="E2070" s="42" t="s">
        <v>44</v>
      </c>
      <c r="F2070" s="53" t="s">
        <v>9059</v>
      </c>
      <c r="G2070" s="53" t="s">
        <v>47</v>
      </c>
      <c r="H2070" s="53" t="s">
        <v>48</v>
      </c>
      <c r="I2070" s="53" t="s">
        <v>8913</v>
      </c>
      <c r="J2070" s="53" t="s">
        <v>9067</v>
      </c>
      <c r="K2070" s="53" t="s">
        <v>51</v>
      </c>
      <c r="L2070" s="53" t="s">
        <v>52</v>
      </c>
      <c r="M2070" s="53" t="s">
        <v>52</v>
      </c>
      <c r="N2070" s="62" t="s">
        <v>9076</v>
      </c>
      <c r="O2070" s="62" t="s">
        <v>44</v>
      </c>
      <c r="P2070" s="62" t="s">
        <v>9077</v>
      </c>
      <c r="Q2070" s="62" t="s">
        <v>9078</v>
      </c>
      <c r="R2070" s="53"/>
      <c r="S2070" s="53"/>
      <c r="T2070" s="82"/>
      <c r="U2070" s="42"/>
      <c r="V2070" s="62"/>
      <c r="W2070" s="64"/>
      <c r="X2070" s="223"/>
      <c r="Y2070" s="223"/>
      <c r="Z2070" s="223"/>
      <c r="AA2070" s="223"/>
    </row>
    <row r="2071">
      <c r="A2071" s="42">
        <f t="shared" si="3"/>
        <v>2070</v>
      </c>
      <c r="B2071" s="51" t="s">
        <v>41</v>
      </c>
      <c r="C2071" s="53" t="s">
        <v>9079</v>
      </c>
      <c r="D2071" s="42" t="s">
        <v>44</v>
      </c>
      <c r="E2071" s="42" t="s">
        <v>44</v>
      </c>
      <c r="F2071" s="53" t="s">
        <v>9059</v>
      </c>
      <c r="G2071" s="53" t="s">
        <v>47</v>
      </c>
      <c r="H2071" s="53" t="s">
        <v>91</v>
      </c>
      <c r="I2071" s="53" t="s">
        <v>8913</v>
      </c>
      <c r="J2071" s="53" t="s">
        <v>9067</v>
      </c>
      <c r="K2071" s="53" t="s">
        <v>51</v>
      </c>
      <c r="L2071" s="53" t="s">
        <v>52</v>
      </c>
      <c r="M2071" s="53" t="s">
        <v>52</v>
      </c>
      <c r="N2071" s="62" t="s">
        <v>9080</v>
      </c>
      <c r="O2071" s="62" t="s">
        <v>44</v>
      </c>
      <c r="P2071" s="62" t="s">
        <v>9081</v>
      </c>
      <c r="Q2071" s="62" t="s">
        <v>9082</v>
      </c>
      <c r="R2071" s="53"/>
      <c r="S2071" s="53"/>
      <c r="T2071" s="82"/>
      <c r="U2071" s="42"/>
      <c r="V2071" s="62"/>
      <c r="W2071" s="64"/>
      <c r="X2071" s="223"/>
      <c r="Y2071" s="223"/>
      <c r="Z2071" s="223"/>
      <c r="AA2071" s="223"/>
    </row>
    <row r="2072">
      <c r="A2072" s="42">
        <f t="shared" si="3"/>
        <v>2071</v>
      </c>
      <c r="B2072" s="51" t="s">
        <v>41</v>
      </c>
      <c r="C2072" s="53" t="s">
        <v>9083</v>
      </c>
      <c r="D2072" s="42" t="s">
        <v>44</v>
      </c>
      <c r="E2072" s="42" t="s">
        <v>44</v>
      </c>
      <c r="F2072" s="53" t="s">
        <v>8491</v>
      </c>
      <c r="G2072" s="53" t="s">
        <v>47</v>
      </c>
      <c r="H2072" s="53" t="s">
        <v>48</v>
      </c>
      <c r="I2072" s="53" t="s">
        <v>485</v>
      </c>
      <c r="J2072" s="53" t="s">
        <v>9084</v>
      </c>
      <c r="K2072" s="53" t="s">
        <v>51</v>
      </c>
      <c r="L2072" s="53" t="s">
        <v>52</v>
      </c>
      <c r="M2072" s="53" t="s">
        <v>52</v>
      </c>
      <c r="N2072" s="62" t="s">
        <v>9085</v>
      </c>
      <c r="O2072" s="62" t="s">
        <v>44</v>
      </c>
      <c r="P2072" s="62" t="s">
        <v>9086</v>
      </c>
      <c r="Q2072" s="62" t="s">
        <v>9087</v>
      </c>
      <c r="R2072" s="53"/>
      <c r="S2072" s="53"/>
      <c r="T2072" s="82"/>
      <c r="U2072" s="42"/>
      <c r="V2072" s="62"/>
      <c r="W2072" s="64"/>
      <c r="X2072" s="223"/>
      <c r="Y2072" s="223"/>
      <c r="Z2072" s="223"/>
      <c r="AA2072" s="223"/>
    </row>
    <row r="2073">
      <c r="A2073" s="42">
        <f t="shared" si="3"/>
        <v>2072</v>
      </c>
      <c r="B2073" s="51" t="s">
        <v>41</v>
      </c>
      <c r="C2073" s="53" t="s">
        <v>9088</v>
      </c>
      <c r="D2073" s="42" t="s">
        <v>44</v>
      </c>
      <c r="E2073" s="42" t="s">
        <v>44</v>
      </c>
      <c r="F2073" s="53" t="s">
        <v>8491</v>
      </c>
      <c r="G2073" s="53" t="s">
        <v>47</v>
      </c>
      <c r="H2073" s="53" t="s">
        <v>48</v>
      </c>
      <c r="I2073" s="53" t="s">
        <v>485</v>
      </c>
      <c r="J2073" s="53" t="s">
        <v>9084</v>
      </c>
      <c r="K2073" s="53" t="s">
        <v>51</v>
      </c>
      <c r="L2073" s="53" t="s">
        <v>52</v>
      </c>
      <c r="M2073" s="53" t="s">
        <v>52</v>
      </c>
      <c r="N2073" s="62" t="s">
        <v>9089</v>
      </c>
      <c r="O2073" s="62" t="s">
        <v>44</v>
      </c>
      <c r="P2073" s="62" t="s">
        <v>9090</v>
      </c>
      <c r="Q2073" s="62" t="s">
        <v>9091</v>
      </c>
      <c r="R2073" s="53"/>
      <c r="S2073" s="53"/>
      <c r="T2073" s="82"/>
      <c r="U2073" s="42"/>
      <c r="V2073" s="62"/>
      <c r="W2073" s="64"/>
      <c r="X2073" s="223"/>
      <c r="Y2073" s="223"/>
      <c r="Z2073" s="223"/>
      <c r="AA2073" s="223"/>
    </row>
    <row r="2074">
      <c r="A2074" s="42">
        <f t="shared" si="3"/>
        <v>2073</v>
      </c>
      <c r="B2074" s="51" t="s">
        <v>41</v>
      </c>
      <c r="C2074" s="53" t="s">
        <v>9092</v>
      </c>
      <c r="D2074" s="42" t="s">
        <v>44</v>
      </c>
      <c r="E2074" s="42" t="s">
        <v>44</v>
      </c>
      <c r="F2074" s="53" t="s">
        <v>8491</v>
      </c>
      <c r="G2074" s="53" t="s">
        <v>47</v>
      </c>
      <c r="H2074" s="53" t="s">
        <v>95</v>
      </c>
      <c r="I2074" s="53" t="s">
        <v>485</v>
      </c>
      <c r="J2074" s="53" t="s">
        <v>9084</v>
      </c>
      <c r="K2074" s="53" t="s">
        <v>51</v>
      </c>
      <c r="L2074" s="53" t="s">
        <v>52</v>
      </c>
      <c r="M2074" s="53" t="s">
        <v>52</v>
      </c>
      <c r="N2074" s="62" t="s">
        <v>9093</v>
      </c>
      <c r="O2074" s="62" t="s">
        <v>44</v>
      </c>
      <c r="P2074" s="62" t="s">
        <v>9090</v>
      </c>
      <c r="Q2074" s="62" t="s">
        <v>9094</v>
      </c>
      <c r="R2074" s="53"/>
      <c r="S2074" s="53"/>
      <c r="T2074" s="82"/>
      <c r="U2074" s="42"/>
      <c r="V2074" s="62"/>
      <c r="W2074" s="64"/>
      <c r="X2074" s="223"/>
      <c r="Y2074" s="223"/>
      <c r="Z2074" s="223"/>
      <c r="AA2074" s="223"/>
    </row>
    <row r="2075">
      <c r="A2075" s="42">
        <f t="shared" si="3"/>
        <v>2074</v>
      </c>
      <c r="B2075" s="51" t="s">
        <v>41</v>
      </c>
      <c r="C2075" s="53" t="s">
        <v>9095</v>
      </c>
      <c r="D2075" s="42" t="s">
        <v>44</v>
      </c>
      <c r="E2075" s="42" t="s">
        <v>44</v>
      </c>
      <c r="F2075" s="53" t="s">
        <v>8491</v>
      </c>
      <c r="G2075" s="53" t="s">
        <v>47</v>
      </c>
      <c r="H2075" s="53" t="s">
        <v>48</v>
      </c>
      <c r="I2075" s="53" t="s">
        <v>485</v>
      </c>
      <c r="J2075" s="53" t="s">
        <v>9084</v>
      </c>
      <c r="K2075" s="53" t="s">
        <v>51</v>
      </c>
      <c r="L2075" s="53" t="s">
        <v>52</v>
      </c>
      <c r="M2075" s="53" t="s">
        <v>52</v>
      </c>
      <c r="N2075" s="62" t="s">
        <v>9096</v>
      </c>
      <c r="O2075" s="62" t="s">
        <v>44</v>
      </c>
      <c r="P2075" s="62" t="s">
        <v>9097</v>
      </c>
      <c r="Q2075" s="62" t="s">
        <v>9098</v>
      </c>
      <c r="R2075" s="53"/>
      <c r="S2075" s="53"/>
      <c r="T2075" s="82"/>
      <c r="U2075" s="42"/>
      <c r="V2075" s="62"/>
      <c r="W2075" s="64"/>
      <c r="X2075" s="223"/>
      <c r="Y2075" s="223"/>
      <c r="Z2075" s="223"/>
      <c r="AA2075" s="223"/>
    </row>
    <row r="2076">
      <c r="A2076" s="42">
        <f t="shared" si="3"/>
        <v>2075</v>
      </c>
      <c r="B2076" s="51" t="s">
        <v>41</v>
      </c>
      <c r="C2076" s="53" t="s">
        <v>9099</v>
      </c>
      <c r="D2076" s="42" t="s">
        <v>44</v>
      </c>
      <c r="E2076" s="42" t="s">
        <v>44</v>
      </c>
      <c r="F2076" s="53" t="s">
        <v>8491</v>
      </c>
      <c r="G2076" s="53" t="s">
        <v>47</v>
      </c>
      <c r="H2076" s="53" t="s">
        <v>95</v>
      </c>
      <c r="I2076" s="53" t="s">
        <v>485</v>
      </c>
      <c r="J2076" s="53" t="s">
        <v>9084</v>
      </c>
      <c r="K2076" s="53" t="s">
        <v>51</v>
      </c>
      <c r="L2076" s="53" t="s">
        <v>52</v>
      </c>
      <c r="M2076" s="53" t="s">
        <v>52</v>
      </c>
      <c r="N2076" s="62" t="s">
        <v>9100</v>
      </c>
      <c r="O2076" s="62" t="s">
        <v>44</v>
      </c>
      <c r="P2076" s="62" t="s">
        <v>9097</v>
      </c>
      <c r="Q2076" s="62" t="s">
        <v>9101</v>
      </c>
      <c r="R2076" s="53"/>
      <c r="S2076" s="53"/>
      <c r="T2076" s="82"/>
      <c r="U2076" s="42"/>
      <c r="V2076" s="62"/>
      <c r="W2076" s="64"/>
      <c r="X2076" s="223"/>
      <c r="Y2076" s="223"/>
      <c r="Z2076" s="223"/>
      <c r="AA2076" s="223"/>
    </row>
    <row r="2077">
      <c r="A2077" s="42">
        <f t="shared" si="3"/>
        <v>2076</v>
      </c>
      <c r="B2077" s="51" t="s">
        <v>41</v>
      </c>
      <c r="C2077" s="53" t="s">
        <v>9102</v>
      </c>
      <c r="D2077" s="42" t="s">
        <v>44</v>
      </c>
      <c r="E2077" s="42" t="s">
        <v>44</v>
      </c>
      <c r="F2077" s="53" t="s">
        <v>8491</v>
      </c>
      <c r="G2077" s="53" t="s">
        <v>47</v>
      </c>
      <c r="H2077" s="53" t="s">
        <v>95</v>
      </c>
      <c r="I2077" s="53" t="s">
        <v>485</v>
      </c>
      <c r="J2077" s="53" t="s">
        <v>9084</v>
      </c>
      <c r="K2077" s="53" t="s">
        <v>51</v>
      </c>
      <c r="L2077" s="53" t="s">
        <v>52</v>
      </c>
      <c r="M2077" s="53" t="s">
        <v>52</v>
      </c>
      <c r="N2077" s="62" t="s">
        <v>9100</v>
      </c>
      <c r="O2077" s="62" t="s">
        <v>44</v>
      </c>
      <c r="P2077" s="62" t="s">
        <v>9103</v>
      </c>
      <c r="Q2077" s="62" t="s">
        <v>9104</v>
      </c>
      <c r="R2077" s="53"/>
      <c r="S2077" s="53"/>
      <c r="T2077" s="82"/>
      <c r="U2077" s="42"/>
      <c r="V2077" s="62"/>
      <c r="W2077" s="64"/>
      <c r="X2077" s="223"/>
      <c r="Y2077" s="223"/>
      <c r="Z2077" s="223"/>
      <c r="AA2077" s="223"/>
    </row>
    <row r="2078">
      <c r="A2078" s="42">
        <f t="shared" si="3"/>
        <v>2077</v>
      </c>
      <c r="B2078" s="51" t="s">
        <v>41</v>
      </c>
      <c r="C2078" s="53" t="s">
        <v>9105</v>
      </c>
      <c r="D2078" s="42" t="s">
        <v>44</v>
      </c>
      <c r="E2078" s="42" t="s">
        <v>44</v>
      </c>
      <c r="F2078" s="53" t="s">
        <v>8491</v>
      </c>
      <c r="G2078" s="53" t="s">
        <v>47</v>
      </c>
      <c r="H2078" s="53" t="s">
        <v>48</v>
      </c>
      <c r="I2078" s="53" t="s">
        <v>485</v>
      </c>
      <c r="J2078" s="53" t="s">
        <v>9084</v>
      </c>
      <c r="K2078" s="53" t="s">
        <v>51</v>
      </c>
      <c r="L2078" s="53" t="s">
        <v>52</v>
      </c>
      <c r="M2078" s="53" t="s">
        <v>52</v>
      </c>
      <c r="N2078" s="62" t="s">
        <v>9106</v>
      </c>
      <c r="O2078" s="62" t="s">
        <v>44</v>
      </c>
      <c r="P2078" s="62" t="s">
        <v>9107</v>
      </c>
      <c r="Q2078" s="62" t="s">
        <v>9108</v>
      </c>
      <c r="R2078" s="53"/>
      <c r="S2078" s="53"/>
      <c r="T2078" s="82"/>
      <c r="U2078" s="42"/>
      <c r="V2078" s="62"/>
      <c r="W2078" s="64"/>
      <c r="X2078" s="223"/>
      <c r="Y2078" s="223"/>
      <c r="Z2078" s="223"/>
      <c r="AA2078" s="223"/>
    </row>
    <row r="2079">
      <c r="A2079" s="42">
        <f t="shared" si="3"/>
        <v>2078</v>
      </c>
      <c r="B2079" s="51" t="s">
        <v>41</v>
      </c>
      <c r="C2079" s="53" t="s">
        <v>9109</v>
      </c>
      <c r="D2079" s="42" t="s">
        <v>44</v>
      </c>
      <c r="E2079" s="42" t="s">
        <v>44</v>
      </c>
      <c r="F2079" s="53" t="s">
        <v>8491</v>
      </c>
      <c r="G2079" s="53" t="s">
        <v>197</v>
      </c>
      <c r="H2079" s="53" t="s">
        <v>112</v>
      </c>
      <c r="I2079" s="53" t="s">
        <v>485</v>
      </c>
      <c r="J2079" s="53" t="s">
        <v>9084</v>
      </c>
      <c r="K2079" s="53" t="s">
        <v>51</v>
      </c>
      <c r="L2079" s="53" t="s">
        <v>52</v>
      </c>
      <c r="M2079" s="53" t="s">
        <v>52</v>
      </c>
      <c r="N2079" s="62" t="s">
        <v>9106</v>
      </c>
      <c r="O2079" s="62" t="s">
        <v>44</v>
      </c>
      <c r="P2079" s="62" t="s">
        <v>9110</v>
      </c>
      <c r="Q2079" s="62" t="s">
        <v>9111</v>
      </c>
      <c r="R2079" s="53"/>
      <c r="S2079" s="53"/>
      <c r="T2079" s="82"/>
      <c r="U2079" s="42"/>
      <c r="V2079" s="62"/>
      <c r="W2079" s="64"/>
      <c r="X2079" s="223"/>
      <c r="Y2079" s="223"/>
      <c r="Z2079" s="223"/>
      <c r="AA2079" s="223"/>
    </row>
    <row r="2080">
      <c r="A2080" s="42">
        <f t="shared" si="3"/>
        <v>2079</v>
      </c>
      <c r="B2080" s="51" t="s">
        <v>41</v>
      </c>
      <c r="C2080" s="53" t="s">
        <v>9112</v>
      </c>
      <c r="D2080" s="42" t="s">
        <v>44</v>
      </c>
      <c r="E2080" s="42" t="s">
        <v>44</v>
      </c>
      <c r="F2080" s="53" t="s">
        <v>8491</v>
      </c>
      <c r="G2080" s="53" t="s">
        <v>47</v>
      </c>
      <c r="H2080" s="53" t="s">
        <v>48</v>
      </c>
      <c r="I2080" s="53" t="s">
        <v>485</v>
      </c>
      <c r="J2080" s="53" t="s">
        <v>9084</v>
      </c>
      <c r="K2080" s="53" t="s">
        <v>51</v>
      </c>
      <c r="L2080" s="53" t="s">
        <v>52</v>
      </c>
      <c r="M2080" s="53" t="s">
        <v>52</v>
      </c>
      <c r="N2080" s="62" t="s">
        <v>9085</v>
      </c>
      <c r="O2080" s="62" t="s">
        <v>44</v>
      </c>
      <c r="P2080" s="62" t="s">
        <v>9113</v>
      </c>
      <c r="Q2080" s="62" t="s">
        <v>9114</v>
      </c>
      <c r="R2080" s="53"/>
      <c r="S2080" s="53"/>
      <c r="T2080" s="82"/>
      <c r="U2080" s="42"/>
      <c r="V2080" s="62"/>
      <c r="W2080" s="64"/>
      <c r="X2080" s="223"/>
      <c r="Y2080" s="223"/>
      <c r="Z2080" s="223"/>
      <c r="AA2080" s="223"/>
    </row>
    <row r="2081">
      <c r="A2081" s="42">
        <f t="shared" si="3"/>
        <v>2080</v>
      </c>
      <c r="B2081" s="51" t="s">
        <v>41</v>
      </c>
      <c r="C2081" s="53" t="s">
        <v>9115</v>
      </c>
      <c r="D2081" s="42" t="s">
        <v>44</v>
      </c>
      <c r="E2081" s="42" t="s">
        <v>44</v>
      </c>
      <c r="F2081" s="53" t="s">
        <v>8491</v>
      </c>
      <c r="G2081" s="53" t="s">
        <v>197</v>
      </c>
      <c r="H2081" s="53" t="s">
        <v>112</v>
      </c>
      <c r="I2081" s="53" t="s">
        <v>485</v>
      </c>
      <c r="J2081" s="53" t="s">
        <v>9084</v>
      </c>
      <c r="K2081" s="53" t="s">
        <v>51</v>
      </c>
      <c r="L2081" s="53" t="s">
        <v>52</v>
      </c>
      <c r="M2081" s="53" t="s">
        <v>52</v>
      </c>
      <c r="N2081" s="62" t="s">
        <v>9116</v>
      </c>
      <c r="O2081" s="62" t="s">
        <v>44</v>
      </c>
      <c r="P2081" s="62" t="s">
        <v>9117</v>
      </c>
      <c r="Q2081" s="62" t="s">
        <v>9118</v>
      </c>
      <c r="R2081" s="53"/>
      <c r="S2081" s="53"/>
      <c r="T2081" s="82"/>
      <c r="U2081" s="42"/>
      <c r="V2081" s="62"/>
      <c r="W2081" s="64"/>
      <c r="X2081" s="223"/>
      <c r="Y2081" s="223"/>
      <c r="Z2081" s="223"/>
      <c r="AA2081" s="223"/>
    </row>
    <row r="2082">
      <c r="A2082" s="42">
        <f t="shared" si="3"/>
        <v>2081</v>
      </c>
      <c r="B2082" s="51" t="s">
        <v>41</v>
      </c>
      <c r="C2082" s="53" t="s">
        <v>9119</v>
      </c>
      <c r="D2082" s="42" t="s">
        <v>44</v>
      </c>
      <c r="E2082" s="42" t="s">
        <v>44</v>
      </c>
      <c r="F2082" s="53" t="s">
        <v>8491</v>
      </c>
      <c r="G2082" s="53" t="s">
        <v>47</v>
      </c>
      <c r="H2082" s="53" t="s">
        <v>95</v>
      </c>
      <c r="I2082" s="53" t="s">
        <v>485</v>
      </c>
      <c r="J2082" s="53" t="s">
        <v>9084</v>
      </c>
      <c r="K2082" s="53" t="s">
        <v>51</v>
      </c>
      <c r="L2082" s="53" t="s">
        <v>52</v>
      </c>
      <c r="M2082" s="53" t="s">
        <v>52</v>
      </c>
      <c r="N2082" s="62" t="s">
        <v>9120</v>
      </c>
      <c r="O2082" s="62" t="s">
        <v>44</v>
      </c>
      <c r="P2082" s="62" t="s">
        <v>9117</v>
      </c>
      <c r="Q2082" s="62" t="s">
        <v>9121</v>
      </c>
      <c r="R2082" s="53"/>
      <c r="S2082" s="53"/>
      <c r="T2082" s="82"/>
      <c r="U2082" s="42"/>
      <c r="V2082" s="62"/>
      <c r="W2082" s="64"/>
      <c r="X2082" s="223"/>
      <c r="Y2082" s="223"/>
      <c r="Z2082" s="223"/>
      <c r="AA2082" s="223"/>
    </row>
    <row r="2083">
      <c r="A2083" s="42">
        <f t="shared" si="3"/>
        <v>2082</v>
      </c>
      <c r="B2083" s="51" t="s">
        <v>41</v>
      </c>
      <c r="C2083" s="53" t="s">
        <v>9122</v>
      </c>
      <c r="D2083" s="42" t="s">
        <v>44</v>
      </c>
      <c r="E2083" s="42" t="s">
        <v>44</v>
      </c>
      <c r="F2083" s="53" t="s">
        <v>8491</v>
      </c>
      <c r="G2083" s="53" t="s">
        <v>47</v>
      </c>
      <c r="H2083" s="53" t="s">
        <v>95</v>
      </c>
      <c r="I2083" s="53" t="s">
        <v>485</v>
      </c>
      <c r="J2083" s="53" t="s">
        <v>9084</v>
      </c>
      <c r="K2083" s="53" t="s">
        <v>51</v>
      </c>
      <c r="L2083" s="53" t="s">
        <v>52</v>
      </c>
      <c r="M2083" s="53" t="s">
        <v>52</v>
      </c>
      <c r="N2083" s="62" t="s">
        <v>9123</v>
      </c>
      <c r="O2083" s="62" t="s">
        <v>44</v>
      </c>
      <c r="P2083" s="62" t="s">
        <v>9124</v>
      </c>
      <c r="Q2083" s="62" t="s">
        <v>9125</v>
      </c>
      <c r="R2083" s="53"/>
      <c r="S2083" s="53"/>
      <c r="T2083" s="82"/>
      <c r="U2083" s="42"/>
      <c r="V2083" s="62"/>
      <c r="W2083" s="64"/>
      <c r="X2083" s="223"/>
      <c r="Y2083" s="223"/>
      <c r="Z2083" s="223"/>
      <c r="AA2083" s="223"/>
    </row>
    <row r="2084">
      <c r="A2084" s="42">
        <f t="shared" si="3"/>
        <v>2083</v>
      </c>
      <c r="B2084" s="51" t="s">
        <v>41</v>
      </c>
      <c r="C2084" s="53" t="s">
        <v>9126</v>
      </c>
      <c r="D2084" s="42" t="s">
        <v>44</v>
      </c>
      <c r="E2084" s="42" t="s">
        <v>44</v>
      </c>
      <c r="F2084" s="53" t="s">
        <v>8491</v>
      </c>
      <c r="G2084" s="53" t="s">
        <v>47</v>
      </c>
      <c r="H2084" s="53" t="s">
        <v>48</v>
      </c>
      <c r="I2084" s="53" t="s">
        <v>485</v>
      </c>
      <c r="J2084" s="53" t="s">
        <v>9084</v>
      </c>
      <c r="K2084" s="53" t="s">
        <v>51</v>
      </c>
      <c r="L2084" s="53" t="s">
        <v>52</v>
      </c>
      <c r="M2084" s="53" t="s">
        <v>52</v>
      </c>
      <c r="N2084" s="62" t="s">
        <v>9127</v>
      </c>
      <c r="O2084" s="62" t="s">
        <v>44</v>
      </c>
      <c r="P2084" s="62" t="s">
        <v>9128</v>
      </c>
      <c r="Q2084" s="62" t="s">
        <v>9129</v>
      </c>
      <c r="R2084" s="53"/>
      <c r="S2084" s="53"/>
      <c r="T2084" s="82"/>
      <c r="U2084" s="42"/>
      <c r="V2084" s="62"/>
      <c r="W2084" s="64"/>
      <c r="X2084" s="223"/>
      <c r="Y2084" s="223"/>
      <c r="Z2084" s="223"/>
      <c r="AA2084" s="223"/>
    </row>
    <row r="2085">
      <c r="A2085" s="42">
        <f t="shared" si="3"/>
        <v>2084</v>
      </c>
      <c r="B2085" s="51" t="s">
        <v>41</v>
      </c>
      <c r="C2085" s="53" t="s">
        <v>9130</v>
      </c>
      <c r="D2085" s="42" t="s">
        <v>44</v>
      </c>
      <c r="E2085" s="42" t="s">
        <v>44</v>
      </c>
      <c r="F2085" s="53" t="s">
        <v>8491</v>
      </c>
      <c r="G2085" s="53" t="s">
        <v>47</v>
      </c>
      <c r="H2085" s="53" t="s">
        <v>48</v>
      </c>
      <c r="I2085" s="53" t="s">
        <v>485</v>
      </c>
      <c r="J2085" s="53" t="s">
        <v>9084</v>
      </c>
      <c r="K2085" s="53" t="s">
        <v>51</v>
      </c>
      <c r="L2085" s="53" t="s">
        <v>52</v>
      </c>
      <c r="M2085" s="53" t="s">
        <v>52</v>
      </c>
      <c r="N2085" s="62" t="s">
        <v>9127</v>
      </c>
      <c r="O2085" s="62" t="s">
        <v>44</v>
      </c>
      <c r="P2085" s="62" t="s">
        <v>9131</v>
      </c>
      <c r="Q2085" s="62" t="s">
        <v>9132</v>
      </c>
      <c r="R2085" s="53"/>
      <c r="S2085" s="53"/>
      <c r="T2085" s="82"/>
      <c r="U2085" s="42"/>
      <c r="V2085" s="62"/>
      <c r="W2085" s="64"/>
      <c r="X2085" s="223"/>
      <c r="Y2085" s="223"/>
      <c r="Z2085" s="223"/>
      <c r="AA2085" s="223"/>
    </row>
    <row r="2086">
      <c r="A2086" s="42">
        <f t="shared" si="3"/>
        <v>2085</v>
      </c>
      <c r="B2086" s="51" t="s">
        <v>41</v>
      </c>
      <c r="C2086" s="53" t="s">
        <v>9133</v>
      </c>
      <c r="D2086" s="42" t="s">
        <v>44</v>
      </c>
      <c r="E2086" s="42" t="s">
        <v>44</v>
      </c>
      <c r="F2086" s="53" t="s">
        <v>8491</v>
      </c>
      <c r="G2086" s="53" t="s">
        <v>47</v>
      </c>
      <c r="H2086" s="53" t="s">
        <v>95</v>
      </c>
      <c r="I2086" s="53" t="s">
        <v>485</v>
      </c>
      <c r="J2086" s="53" t="s">
        <v>9084</v>
      </c>
      <c r="K2086" s="53" t="s">
        <v>51</v>
      </c>
      <c r="L2086" s="53" t="s">
        <v>52</v>
      </c>
      <c r="M2086" s="53" t="s">
        <v>52</v>
      </c>
      <c r="N2086" s="62" t="s">
        <v>9134</v>
      </c>
      <c r="O2086" s="62" t="s">
        <v>44</v>
      </c>
      <c r="P2086" s="62" t="s">
        <v>9135</v>
      </c>
      <c r="Q2086" s="62" t="s">
        <v>9136</v>
      </c>
      <c r="R2086" s="53"/>
      <c r="S2086" s="53"/>
      <c r="T2086" s="82"/>
      <c r="U2086" s="42"/>
      <c r="V2086" s="62"/>
      <c r="W2086" s="64"/>
      <c r="X2086" s="223"/>
      <c r="Y2086" s="223"/>
      <c r="Z2086" s="223"/>
      <c r="AA2086" s="223"/>
    </row>
    <row r="2087">
      <c r="A2087" s="42">
        <f t="shared" si="3"/>
        <v>2086</v>
      </c>
      <c r="B2087" s="51" t="s">
        <v>41</v>
      </c>
      <c r="C2087" s="53" t="s">
        <v>9137</v>
      </c>
      <c r="D2087" s="42" t="s">
        <v>44</v>
      </c>
      <c r="E2087" s="42" t="s">
        <v>44</v>
      </c>
      <c r="F2087" s="53" t="s">
        <v>8491</v>
      </c>
      <c r="G2087" s="53" t="s">
        <v>47</v>
      </c>
      <c r="H2087" s="53" t="s">
        <v>95</v>
      </c>
      <c r="I2087" s="53" t="s">
        <v>485</v>
      </c>
      <c r="J2087" s="53" t="s">
        <v>9084</v>
      </c>
      <c r="K2087" s="53" t="s">
        <v>51</v>
      </c>
      <c r="L2087" s="53" t="s">
        <v>52</v>
      </c>
      <c r="M2087" s="53" t="s">
        <v>52</v>
      </c>
      <c r="N2087" s="62" t="s">
        <v>9138</v>
      </c>
      <c r="O2087" s="62" t="s">
        <v>44</v>
      </c>
      <c r="P2087" s="62" t="s">
        <v>9135</v>
      </c>
      <c r="Q2087" s="62" t="s">
        <v>9139</v>
      </c>
      <c r="R2087" s="53"/>
      <c r="S2087" s="53"/>
      <c r="T2087" s="82"/>
      <c r="U2087" s="42"/>
      <c r="V2087" s="62"/>
      <c r="W2087" s="64"/>
      <c r="X2087" s="223"/>
      <c r="Y2087" s="223"/>
      <c r="Z2087" s="223"/>
      <c r="AA2087" s="223"/>
    </row>
    <row r="2088">
      <c r="A2088" s="42">
        <f t="shared" si="3"/>
        <v>2087</v>
      </c>
      <c r="B2088" s="51" t="s">
        <v>41</v>
      </c>
      <c r="C2088" s="53" t="s">
        <v>9140</v>
      </c>
      <c r="D2088" s="42" t="s">
        <v>44</v>
      </c>
      <c r="E2088" s="42" t="s">
        <v>44</v>
      </c>
      <c r="F2088" s="53" t="s">
        <v>8491</v>
      </c>
      <c r="G2088" s="53" t="s">
        <v>47</v>
      </c>
      <c r="H2088" s="53" t="s">
        <v>48</v>
      </c>
      <c r="I2088" s="53" t="s">
        <v>485</v>
      </c>
      <c r="J2088" s="53" t="s">
        <v>9084</v>
      </c>
      <c r="K2088" s="53" t="s">
        <v>51</v>
      </c>
      <c r="L2088" s="53" t="s">
        <v>52</v>
      </c>
      <c r="M2088" s="53" t="s">
        <v>52</v>
      </c>
      <c r="N2088" s="62" t="s">
        <v>9141</v>
      </c>
      <c r="O2088" s="62" t="s">
        <v>44</v>
      </c>
      <c r="P2088" s="62" t="s">
        <v>9142</v>
      </c>
      <c r="Q2088" s="62" t="s">
        <v>9143</v>
      </c>
      <c r="R2088" s="53"/>
      <c r="S2088" s="53"/>
      <c r="T2088" s="82"/>
      <c r="U2088" s="42"/>
      <c r="V2088" s="62"/>
      <c r="W2088" s="64"/>
      <c r="X2088" s="223"/>
      <c r="Y2088" s="223"/>
      <c r="Z2088" s="223"/>
      <c r="AA2088" s="223"/>
    </row>
    <row r="2089">
      <c r="A2089" s="42">
        <f t="shared" si="3"/>
        <v>2088</v>
      </c>
      <c r="B2089" s="51" t="s">
        <v>41</v>
      </c>
      <c r="C2089" s="53" t="s">
        <v>9144</v>
      </c>
      <c r="D2089" s="42" t="s">
        <v>44</v>
      </c>
      <c r="E2089" s="42" t="s">
        <v>44</v>
      </c>
      <c r="F2089" s="53" t="s">
        <v>8491</v>
      </c>
      <c r="G2089" s="53" t="s">
        <v>47</v>
      </c>
      <c r="H2089" s="53" t="s">
        <v>91</v>
      </c>
      <c r="I2089" s="53" t="s">
        <v>485</v>
      </c>
      <c r="J2089" s="53" t="s">
        <v>9084</v>
      </c>
      <c r="K2089" s="53" t="s">
        <v>51</v>
      </c>
      <c r="L2089" s="53" t="s">
        <v>52</v>
      </c>
      <c r="M2089" s="53" t="s">
        <v>52</v>
      </c>
      <c r="N2089" s="62" t="s">
        <v>9145</v>
      </c>
      <c r="O2089" s="62" t="s">
        <v>44</v>
      </c>
      <c r="P2089" s="62" t="s">
        <v>9146</v>
      </c>
      <c r="Q2089" s="62" t="s">
        <v>512</v>
      </c>
      <c r="R2089" s="53"/>
      <c r="S2089" s="53"/>
      <c r="T2089" s="82"/>
      <c r="U2089" s="42"/>
      <c r="V2089" s="62"/>
      <c r="W2089" s="64"/>
      <c r="X2089" s="223"/>
      <c r="Y2089" s="223"/>
      <c r="Z2089" s="223"/>
      <c r="AA2089" s="223"/>
    </row>
    <row r="2090">
      <c r="A2090" s="42">
        <f t="shared" si="3"/>
        <v>2089</v>
      </c>
      <c r="B2090" s="51" t="s">
        <v>41</v>
      </c>
      <c r="C2090" s="53" t="s">
        <v>9147</v>
      </c>
      <c r="D2090" s="42" t="s">
        <v>44</v>
      </c>
      <c r="E2090" s="42" t="s">
        <v>44</v>
      </c>
      <c r="F2090" s="53" t="s">
        <v>8491</v>
      </c>
      <c r="G2090" s="53" t="s">
        <v>47</v>
      </c>
      <c r="H2090" s="53" t="s">
        <v>48</v>
      </c>
      <c r="I2090" s="53" t="s">
        <v>485</v>
      </c>
      <c r="J2090" s="53" t="s">
        <v>9084</v>
      </c>
      <c r="K2090" s="53" t="s">
        <v>51</v>
      </c>
      <c r="L2090" s="53" t="s">
        <v>52</v>
      </c>
      <c r="M2090" s="53" t="s">
        <v>52</v>
      </c>
      <c r="N2090" s="62" t="s">
        <v>9145</v>
      </c>
      <c r="O2090" s="62" t="s">
        <v>44</v>
      </c>
      <c r="P2090" s="62" t="s">
        <v>9148</v>
      </c>
      <c r="Q2090" s="62" t="s">
        <v>9149</v>
      </c>
      <c r="R2090" s="53"/>
      <c r="S2090" s="53"/>
      <c r="T2090" s="82"/>
      <c r="U2090" s="42"/>
      <c r="V2090" s="62"/>
      <c r="W2090" s="64"/>
      <c r="X2090" s="223"/>
      <c r="Y2090" s="223"/>
      <c r="Z2090" s="223"/>
      <c r="AA2090" s="223"/>
    </row>
    <row r="2091">
      <c r="A2091" s="42">
        <f t="shared" si="3"/>
        <v>2090</v>
      </c>
      <c r="B2091" s="51" t="s">
        <v>41</v>
      </c>
      <c r="C2091" s="53" t="s">
        <v>9150</v>
      </c>
      <c r="D2091" s="42" t="s">
        <v>44</v>
      </c>
      <c r="E2091" s="42" t="s">
        <v>44</v>
      </c>
      <c r="F2091" s="53" t="s">
        <v>8491</v>
      </c>
      <c r="G2091" s="53" t="s">
        <v>47</v>
      </c>
      <c r="H2091" s="53" t="s">
        <v>48</v>
      </c>
      <c r="I2091" s="53" t="s">
        <v>485</v>
      </c>
      <c r="J2091" s="53" t="s">
        <v>9084</v>
      </c>
      <c r="K2091" s="53" t="s">
        <v>51</v>
      </c>
      <c r="L2091" s="53" t="s">
        <v>52</v>
      </c>
      <c r="M2091" s="53" t="s">
        <v>52</v>
      </c>
      <c r="N2091" s="62" t="s">
        <v>9145</v>
      </c>
      <c r="O2091" s="62" t="s">
        <v>44</v>
      </c>
      <c r="P2091" s="62" t="s">
        <v>9148</v>
      </c>
      <c r="Q2091" s="62" t="s">
        <v>9151</v>
      </c>
      <c r="R2091" s="53"/>
      <c r="S2091" s="53"/>
      <c r="T2091" s="82"/>
      <c r="U2091" s="42"/>
      <c r="V2091" s="62"/>
      <c r="W2091" s="64"/>
      <c r="X2091" s="223"/>
      <c r="Y2091" s="223"/>
      <c r="Z2091" s="223"/>
      <c r="AA2091" s="223"/>
    </row>
    <row r="2092">
      <c r="A2092" s="42">
        <f t="shared" si="3"/>
        <v>2091</v>
      </c>
      <c r="B2092" s="51" t="s">
        <v>41</v>
      </c>
      <c r="C2092" s="53" t="s">
        <v>9152</v>
      </c>
      <c r="D2092" s="42" t="s">
        <v>44</v>
      </c>
      <c r="E2092" s="42" t="s">
        <v>44</v>
      </c>
      <c r="F2092" s="53" t="s">
        <v>8491</v>
      </c>
      <c r="G2092" s="53" t="s">
        <v>47</v>
      </c>
      <c r="H2092" s="53" t="s">
        <v>48</v>
      </c>
      <c r="I2092" s="53" t="s">
        <v>485</v>
      </c>
      <c r="J2092" s="53" t="s">
        <v>9084</v>
      </c>
      <c r="K2092" s="53" t="s">
        <v>51</v>
      </c>
      <c r="L2092" s="53" t="s">
        <v>52</v>
      </c>
      <c r="M2092" s="53" t="s">
        <v>52</v>
      </c>
      <c r="N2092" s="62" t="s">
        <v>9145</v>
      </c>
      <c r="O2092" s="62" t="s">
        <v>44</v>
      </c>
      <c r="P2092" s="62" t="s">
        <v>9148</v>
      </c>
      <c r="Q2092" s="62" t="s">
        <v>9153</v>
      </c>
      <c r="R2092" s="53"/>
      <c r="S2092" s="53"/>
      <c r="T2092" s="82"/>
      <c r="U2092" s="42"/>
      <c r="V2092" s="62"/>
      <c r="W2092" s="64"/>
      <c r="X2092" s="223"/>
      <c r="Y2092" s="223"/>
      <c r="Z2092" s="223"/>
      <c r="AA2092" s="223"/>
    </row>
    <row r="2093">
      <c r="A2093" s="42">
        <f t="shared" si="3"/>
        <v>2092</v>
      </c>
      <c r="B2093" s="51" t="s">
        <v>41</v>
      </c>
      <c r="C2093" s="53" t="s">
        <v>9154</v>
      </c>
      <c r="D2093" s="42" t="s">
        <v>44</v>
      </c>
      <c r="E2093" s="42" t="s">
        <v>44</v>
      </c>
      <c r="F2093" s="53" t="s">
        <v>8491</v>
      </c>
      <c r="G2093" s="53" t="s">
        <v>47</v>
      </c>
      <c r="H2093" s="53" t="s">
        <v>48</v>
      </c>
      <c r="I2093" s="53" t="s">
        <v>485</v>
      </c>
      <c r="J2093" s="53" t="s">
        <v>9084</v>
      </c>
      <c r="K2093" s="53" t="s">
        <v>51</v>
      </c>
      <c r="L2093" s="53" t="s">
        <v>52</v>
      </c>
      <c r="M2093" s="53" t="s">
        <v>52</v>
      </c>
      <c r="N2093" s="62" t="s">
        <v>9155</v>
      </c>
      <c r="O2093" s="62" t="s">
        <v>44</v>
      </c>
      <c r="P2093" s="62" t="s">
        <v>9156</v>
      </c>
      <c r="Q2093" s="62" t="s">
        <v>9157</v>
      </c>
      <c r="R2093" s="53"/>
      <c r="S2093" s="53"/>
      <c r="T2093" s="82"/>
      <c r="U2093" s="42"/>
      <c r="V2093" s="62"/>
      <c r="W2093" s="64"/>
      <c r="X2093" s="223"/>
      <c r="Y2093" s="223"/>
      <c r="Z2093" s="223"/>
      <c r="AA2093" s="223"/>
    </row>
    <row r="2094">
      <c r="A2094" s="42">
        <f t="shared" si="3"/>
        <v>2093</v>
      </c>
      <c r="B2094" s="51" t="s">
        <v>41</v>
      </c>
      <c r="C2094" s="53" t="s">
        <v>9158</v>
      </c>
      <c r="D2094" s="42" t="s">
        <v>44</v>
      </c>
      <c r="E2094" s="42" t="s">
        <v>44</v>
      </c>
      <c r="F2094" s="53" t="s">
        <v>8491</v>
      </c>
      <c r="G2094" s="53" t="s">
        <v>47</v>
      </c>
      <c r="H2094" s="53" t="s">
        <v>95</v>
      </c>
      <c r="I2094" s="53" t="s">
        <v>485</v>
      </c>
      <c r="J2094" s="53" t="s">
        <v>9084</v>
      </c>
      <c r="K2094" s="53" t="s">
        <v>51</v>
      </c>
      <c r="L2094" s="53" t="s">
        <v>52</v>
      </c>
      <c r="M2094" s="53" t="s">
        <v>52</v>
      </c>
      <c r="N2094" s="62" t="s">
        <v>9159</v>
      </c>
      <c r="O2094" s="62" t="s">
        <v>44</v>
      </c>
      <c r="P2094" s="62" t="s">
        <v>9156</v>
      </c>
      <c r="Q2094" s="62" t="s">
        <v>9160</v>
      </c>
      <c r="R2094" s="53"/>
      <c r="S2094" s="53"/>
      <c r="T2094" s="82"/>
      <c r="U2094" s="42"/>
      <c r="V2094" s="62"/>
      <c r="W2094" s="64"/>
      <c r="X2094" s="223"/>
      <c r="Y2094" s="223"/>
      <c r="Z2094" s="223"/>
      <c r="AA2094" s="223"/>
    </row>
    <row r="2095">
      <c r="A2095" s="42">
        <f t="shared" si="3"/>
        <v>2094</v>
      </c>
      <c r="B2095" s="51" t="s">
        <v>41</v>
      </c>
      <c r="C2095" s="53" t="s">
        <v>9161</v>
      </c>
      <c r="D2095" s="42" t="s">
        <v>44</v>
      </c>
      <c r="E2095" s="42" t="s">
        <v>44</v>
      </c>
      <c r="F2095" s="53" t="s">
        <v>9162</v>
      </c>
      <c r="G2095" s="53" t="s">
        <v>197</v>
      </c>
      <c r="H2095" s="53" t="s">
        <v>112</v>
      </c>
      <c r="I2095" s="53" t="s">
        <v>485</v>
      </c>
      <c r="J2095" s="53" t="s">
        <v>9163</v>
      </c>
      <c r="K2095" s="53" t="s">
        <v>51</v>
      </c>
      <c r="L2095" s="53" t="s">
        <v>52</v>
      </c>
      <c r="M2095" s="53" t="s">
        <v>52</v>
      </c>
      <c r="N2095" s="62" t="s">
        <v>9164</v>
      </c>
      <c r="O2095" s="62" t="s">
        <v>44</v>
      </c>
      <c r="P2095" s="62" t="s">
        <v>9165</v>
      </c>
      <c r="Q2095" s="62" t="s">
        <v>9166</v>
      </c>
      <c r="R2095" s="53"/>
      <c r="S2095" s="53"/>
      <c r="T2095" s="82"/>
      <c r="U2095" s="42"/>
      <c r="V2095" s="62"/>
      <c r="W2095" s="64"/>
      <c r="X2095" s="223"/>
      <c r="Y2095" s="223"/>
      <c r="Z2095" s="223"/>
      <c r="AA2095" s="223"/>
    </row>
    <row r="2096">
      <c r="A2096" s="42">
        <f t="shared" si="3"/>
        <v>2095</v>
      </c>
      <c r="B2096" s="51" t="s">
        <v>41</v>
      </c>
      <c r="C2096" s="53" t="s">
        <v>9167</v>
      </c>
      <c r="D2096" s="42" t="s">
        <v>44</v>
      </c>
      <c r="E2096" s="42" t="s">
        <v>44</v>
      </c>
      <c r="F2096" s="53" t="s">
        <v>9162</v>
      </c>
      <c r="G2096" s="53" t="s">
        <v>47</v>
      </c>
      <c r="H2096" s="53" t="s">
        <v>95</v>
      </c>
      <c r="I2096" s="53" t="s">
        <v>485</v>
      </c>
      <c r="J2096" s="53" t="s">
        <v>9163</v>
      </c>
      <c r="K2096" s="53" t="s">
        <v>51</v>
      </c>
      <c r="L2096" s="53" t="s">
        <v>52</v>
      </c>
      <c r="M2096" s="53" t="s">
        <v>52</v>
      </c>
      <c r="N2096" s="62" t="s">
        <v>9168</v>
      </c>
      <c r="O2096" s="62" t="s">
        <v>44</v>
      </c>
      <c r="P2096" s="62" t="s">
        <v>9165</v>
      </c>
      <c r="Q2096" s="62" t="s">
        <v>9169</v>
      </c>
      <c r="R2096" s="53"/>
      <c r="S2096" s="53"/>
      <c r="T2096" s="82"/>
      <c r="U2096" s="42"/>
      <c r="V2096" s="62"/>
      <c r="W2096" s="64"/>
      <c r="X2096" s="223"/>
      <c r="Y2096" s="223"/>
      <c r="Z2096" s="223"/>
      <c r="AA2096" s="223"/>
    </row>
    <row r="2097">
      <c r="A2097" s="42">
        <f t="shared" si="3"/>
        <v>2096</v>
      </c>
      <c r="B2097" s="51" t="s">
        <v>41</v>
      </c>
      <c r="C2097" s="53" t="s">
        <v>9170</v>
      </c>
      <c r="D2097" s="42" t="s">
        <v>44</v>
      </c>
      <c r="E2097" s="42" t="s">
        <v>44</v>
      </c>
      <c r="F2097" s="53" t="s">
        <v>9171</v>
      </c>
      <c r="G2097" s="53" t="s">
        <v>47</v>
      </c>
      <c r="H2097" s="53" t="s">
        <v>48</v>
      </c>
      <c r="I2097" s="53" t="s">
        <v>485</v>
      </c>
      <c r="J2097" s="53" t="s">
        <v>9172</v>
      </c>
      <c r="K2097" s="53" t="s">
        <v>51</v>
      </c>
      <c r="L2097" s="53" t="s">
        <v>52</v>
      </c>
      <c r="M2097" s="53" t="s">
        <v>52</v>
      </c>
      <c r="N2097" s="62" t="s">
        <v>9173</v>
      </c>
      <c r="O2097" s="62" t="s">
        <v>44</v>
      </c>
      <c r="P2097" s="62" t="s">
        <v>9174</v>
      </c>
      <c r="Q2097" s="62" t="s">
        <v>9175</v>
      </c>
      <c r="R2097" s="53"/>
      <c r="S2097" s="53"/>
      <c r="T2097" s="82"/>
      <c r="U2097" s="42"/>
      <c r="V2097" s="62"/>
      <c r="W2097" s="64"/>
      <c r="X2097" s="223"/>
      <c r="Y2097" s="223"/>
      <c r="Z2097" s="223"/>
      <c r="AA2097" s="223"/>
    </row>
    <row r="2098">
      <c r="A2098" s="42">
        <f t="shared" si="3"/>
        <v>2097</v>
      </c>
      <c r="B2098" s="51" t="s">
        <v>41</v>
      </c>
      <c r="C2098" s="53" t="s">
        <v>9176</v>
      </c>
      <c r="D2098" s="42" t="s">
        <v>44</v>
      </c>
      <c r="E2098" s="42" t="s">
        <v>44</v>
      </c>
      <c r="F2098" s="53" t="s">
        <v>9171</v>
      </c>
      <c r="G2098" s="53" t="s">
        <v>47</v>
      </c>
      <c r="H2098" s="53" t="s">
        <v>95</v>
      </c>
      <c r="I2098" s="53" t="s">
        <v>485</v>
      </c>
      <c r="J2098" s="53" t="s">
        <v>9172</v>
      </c>
      <c r="K2098" s="53" t="s">
        <v>51</v>
      </c>
      <c r="L2098" s="53" t="s">
        <v>52</v>
      </c>
      <c r="M2098" s="53" t="s">
        <v>52</v>
      </c>
      <c r="N2098" s="62" t="s">
        <v>9177</v>
      </c>
      <c r="O2098" s="62" t="s">
        <v>44</v>
      </c>
      <c r="P2098" s="62" t="s">
        <v>9174</v>
      </c>
      <c r="Q2098" s="62" t="s">
        <v>9178</v>
      </c>
      <c r="R2098" s="53"/>
      <c r="S2098" s="53"/>
      <c r="T2098" s="82"/>
      <c r="U2098" s="42"/>
      <c r="V2098" s="62"/>
      <c r="W2098" s="64"/>
      <c r="X2098" s="223"/>
      <c r="Y2098" s="223"/>
      <c r="Z2098" s="223"/>
      <c r="AA2098" s="223"/>
    </row>
    <row r="2099">
      <c r="A2099" s="42">
        <f t="shared" si="3"/>
        <v>2098</v>
      </c>
      <c r="B2099" s="51" t="s">
        <v>41</v>
      </c>
      <c r="C2099" s="53" t="s">
        <v>9179</v>
      </c>
      <c r="D2099" s="42" t="s">
        <v>44</v>
      </c>
      <c r="E2099" s="42" t="s">
        <v>44</v>
      </c>
      <c r="F2099" s="53" t="s">
        <v>9171</v>
      </c>
      <c r="G2099" s="53" t="s">
        <v>47</v>
      </c>
      <c r="H2099" s="53" t="s">
        <v>91</v>
      </c>
      <c r="I2099" s="53" t="s">
        <v>485</v>
      </c>
      <c r="J2099" s="53" t="s">
        <v>9172</v>
      </c>
      <c r="K2099" s="53" t="s">
        <v>51</v>
      </c>
      <c r="L2099" s="53" t="s">
        <v>52</v>
      </c>
      <c r="M2099" s="53" t="s">
        <v>52</v>
      </c>
      <c r="N2099" s="62" t="s">
        <v>9180</v>
      </c>
      <c r="O2099" s="62" t="s">
        <v>44</v>
      </c>
      <c r="P2099" s="62" t="s">
        <v>9110</v>
      </c>
      <c r="Q2099" s="62" t="s">
        <v>9111</v>
      </c>
      <c r="R2099" s="53"/>
      <c r="S2099" s="53"/>
      <c r="T2099" s="82"/>
      <c r="U2099" s="42"/>
      <c r="V2099" s="62"/>
      <c r="W2099" s="64"/>
      <c r="X2099" s="223"/>
      <c r="Y2099" s="223"/>
      <c r="Z2099" s="223"/>
      <c r="AA2099" s="223"/>
    </row>
    <row r="2100">
      <c r="A2100" s="42">
        <f t="shared" si="3"/>
        <v>2099</v>
      </c>
      <c r="B2100" s="51" t="s">
        <v>41</v>
      </c>
      <c r="C2100" s="53" t="s">
        <v>9181</v>
      </c>
      <c r="D2100" s="42" t="s">
        <v>44</v>
      </c>
      <c r="E2100" s="42" t="s">
        <v>44</v>
      </c>
      <c r="F2100" s="53" t="s">
        <v>9171</v>
      </c>
      <c r="G2100" s="53" t="s">
        <v>197</v>
      </c>
      <c r="H2100" s="53" t="s">
        <v>198</v>
      </c>
      <c r="I2100" s="53" t="s">
        <v>485</v>
      </c>
      <c r="J2100" s="53" t="s">
        <v>9172</v>
      </c>
      <c r="K2100" s="53" t="s">
        <v>51</v>
      </c>
      <c r="L2100" s="53" t="s">
        <v>52</v>
      </c>
      <c r="M2100" s="53" t="s">
        <v>52</v>
      </c>
      <c r="N2100" s="62" t="s">
        <v>9182</v>
      </c>
      <c r="O2100" s="62" t="s">
        <v>44</v>
      </c>
      <c r="P2100" s="62" t="s">
        <v>9183</v>
      </c>
      <c r="Q2100" s="62" t="s">
        <v>9184</v>
      </c>
      <c r="R2100" s="53"/>
      <c r="S2100" s="53"/>
      <c r="T2100" s="82"/>
      <c r="U2100" s="42"/>
      <c r="V2100" s="62"/>
      <c r="W2100" s="64"/>
      <c r="X2100" s="223"/>
      <c r="Y2100" s="223"/>
      <c r="Z2100" s="223"/>
      <c r="AA2100" s="223"/>
    </row>
    <row r="2101">
      <c r="A2101" s="42">
        <f t="shared" si="3"/>
        <v>2100</v>
      </c>
      <c r="B2101" s="51" t="s">
        <v>41</v>
      </c>
      <c r="C2101" s="53" t="s">
        <v>9185</v>
      </c>
      <c r="D2101" s="42" t="s">
        <v>44</v>
      </c>
      <c r="E2101" s="42" t="s">
        <v>44</v>
      </c>
      <c r="F2101" s="53" t="s">
        <v>9171</v>
      </c>
      <c r="G2101" s="53" t="s">
        <v>47</v>
      </c>
      <c r="H2101" s="53" t="s">
        <v>91</v>
      </c>
      <c r="I2101" s="53" t="s">
        <v>485</v>
      </c>
      <c r="J2101" s="53" t="s">
        <v>9172</v>
      </c>
      <c r="K2101" s="53" t="s">
        <v>51</v>
      </c>
      <c r="L2101" s="53" t="s">
        <v>52</v>
      </c>
      <c r="M2101" s="53" t="s">
        <v>52</v>
      </c>
      <c r="N2101" s="62" t="s">
        <v>9186</v>
      </c>
      <c r="O2101" s="62" t="s">
        <v>44</v>
      </c>
      <c r="P2101" s="62" t="s">
        <v>9187</v>
      </c>
      <c r="Q2101" s="62" t="s">
        <v>9188</v>
      </c>
      <c r="R2101" s="53"/>
      <c r="S2101" s="53"/>
      <c r="T2101" s="82"/>
      <c r="U2101" s="42"/>
      <c r="V2101" s="62"/>
      <c r="W2101" s="64"/>
      <c r="X2101" s="223"/>
      <c r="Y2101" s="223"/>
      <c r="Z2101" s="223"/>
      <c r="AA2101" s="223"/>
    </row>
    <row r="2102">
      <c r="A2102" s="42">
        <f t="shared" si="3"/>
        <v>2101</v>
      </c>
      <c r="B2102" s="51" t="s">
        <v>41</v>
      </c>
      <c r="C2102" s="53" t="s">
        <v>9189</v>
      </c>
      <c r="D2102" s="42" t="s">
        <v>44</v>
      </c>
      <c r="E2102" s="42" t="s">
        <v>44</v>
      </c>
      <c r="F2102" s="53" t="s">
        <v>9171</v>
      </c>
      <c r="G2102" s="53" t="s">
        <v>47</v>
      </c>
      <c r="H2102" s="53" t="s">
        <v>48</v>
      </c>
      <c r="I2102" s="53" t="s">
        <v>485</v>
      </c>
      <c r="J2102" s="53" t="s">
        <v>9172</v>
      </c>
      <c r="K2102" s="53" t="s">
        <v>51</v>
      </c>
      <c r="L2102" s="53" t="s">
        <v>52</v>
      </c>
      <c r="M2102" s="53" t="s">
        <v>52</v>
      </c>
      <c r="N2102" s="62" t="s">
        <v>9190</v>
      </c>
      <c r="O2102" s="62" t="s">
        <v>44</v>
      </c>
      <c r="P2102" s="62" t="s">
        <v>9191</v>
      </c>
      <c r="Q2102" s="62" t="s">
        <v>9192</v>
      </c>
      <c r="R2102" s="53"/>
      <c r="S2102" s="53"/>
      <c r="T2102" s="82"/>
      <c r="U2102" s="42"/>
      <c r="V2102" s="62"/>
      <c r="W2102" s="64"/>
      <c r="X2102" s="223"/>
      <c r="Y2102" s="223"/>
      <c r="Z2102" s="223"/>
      <c r="AA2102" s="223"/>
    </row>
    <row r="2103">
      <c r="A2103" s="42">
        <f t="shared" si="3"/>
        <v>2102</v>
      </c>
      <c r="B2103" s="51" t="s">
        <v>41</v>
      </c>
      <c r="C2103" s="53" t="s">
        <v>9193</v>
      </c>
      <c r="D2103" s="42" t="s">
        <v>44</v>
      </c>
      <c r="E2103" s="42" t="s">
        <v>44</v>
      </c>
      <c r="F2103" s="53" t="s">
        <v>9171</v>
      </c>
      <c r="G2103" s="53" t="s">
        <v>47</v>
      </c>
      <c r="H2103" s="53" t="s">
        <v>95</v>
      </c>
      <c r="I2103" s="53" t="s">
        <v>485</v>
      </c>
      <c r="J2103" s="53" t="s">
        <v>9172</v>
      </c>
      <c r="K2103" s="53" t="s">
        <v>51</v>
      </c>
      <c r="L2103" s="53" t="s">
        <v>52</v>
      </c>
      <c r="M2103" s="53" t="s">
        <v>52</v>
      </c>
      <c r="N2103" s="62" t="s">
        <v>9194</v>
      </c>
      <c r="O2103" s="62" t="s">
        <v>44</v>
      </c>
      <c r="P2103" s="62" t="s">
        <v>9195</v>
      </c>
      <c r="Q2103" s="62" t="s">
        <v>9196</v>
      </c>
      <c r="R2103" s="53"/>
      <c r="S2103" s="53"/>
      <c r="T2103" s="82"/>
      <c r="U2103" s="42"/>
      <c r="V2103" s="62"/>
      <c r="W2103" s="64"/>
      <c r="X2103" s="223"/>
      <c r="Y2103" s="223"/>
      <c r="Z2103" s="223"/>
      <c r="AA2103" s="223"/>
    </row>
    <row r="2104">
      <c r="A2104" s="42">
        <f t="shared" si="3"/>
        <v>2103</v>
      </c>
      <c r="B2104" s="51" t="s">
        <v>41</v>
      </c>
      <c r="C2104" s="53" t="s">
        <v>9197</v>
      </c>
      <c r="D2104" s="42" t="s">
        <v>44</v>
      </c>
      <c r="E2104" s="42" t="s">
        <v>44</v>
      </c>
      <c r="F2104" s="53" t="s">
        <v>9171</v>
      </c>
      <c r="G2104" s="53" t="s">
        <v>47</v>
      </c>
      <c r="H2104" s="53" t="s">
        <v>95</v>
      </c>
      <c r="I2104" s="53" t="s">
        <v>485</v>
      </c>
      <c r="J2104" s="53" t="s">
        <v>9172</v>
      </c>
      <c r="K2104" s="53" t="s">
        <v>51</v>
      </c>
      <c r="L2104" s="53" t="s">
        <v>52</v>
      </c>
      <c r="M2104" s="53" t="s">
        <v>52</v>
      </c>
      <c r="N2104" s="62" t="s">
        <v>9194</v>
      </c>
      <c r="O2104" s="62" t="s">
        <v>44</v>
      </c>
      <c r="P2104" s="62" t="s">
        <v>9198</v>
      </c>
      <c r="Q2104" s="62" t="s">
        <v>9199</v>
      </c>
      <c r="R2104" s="53"/>
      <c r="S2104" s="53"/>
      <c r="T2104" s="82"/>
      <c r="U2104" s="42"/>
      <c r="V2104" s="62"/>
      <c r="W2104" s="64"/>
      <c r="X2104" s="223"/>
      <c r="Y2104" s="223"/>
      <c r="Z2104" s="223"/>
      <c r="AA2104" s="223"/>
    </row>
    <row r="2105">
      <c r="A2105" s="42">
        <f t="shared" si="3"/>
        <v>2104</v>
      </c>
      <c r="B2105" s="51" t="s">
        <v>41</v>
      </c>
      <c r="C2105" s="53" t="s">
        <v>9200</v>
      </c>
      <c r="D2105" s="42" t="s">
        <v>44</v>
      </c>
      <c r="E2105" s="42" t="s">
        <v>44</v>
      </c>
      <c r="F2105" s="53" t="s">
        <v>9171</v>
      </c>
      <c r="G2105" s="53" t="s">
        <v>47</v>
      </c>
      <c r="H2105" s="53" t="s">
        <v>95</v>
      </c>
      <c r="I2105" s="53" t="s">
        <v>485</v>
      </c>
      <c r="J2105" s="53" t="s">
        <v>9172</v>
      </c>
      <c r="K2105" s="53" t="s">
        <v>51</v>
      </c>
      <c r="L2105" s="53" t="s">
        <v>52</v>
      </c>
      <c r="M2105" s="53" t="s">
        <v>52</v>
      </c>
      <c r="N2105" s="62" t="s">
        <v>9194</v>
      </c>
      <c r="O2105" s="62" t="s">
        <v>44</v>
      </c>
      <c r="P2105" s="62" t="s">
        <v>9198</v>
      </c>
      <c r="Q2105" s="62" t="s">
        <v>9201</v>
      </c>
      <c r="R2105" s="53"/>
      <c r="S2105" s="53"/>
      <c r="T2105" s="82"/>
      <c r="U2105" s="42"/>
      <c r="V2105" s="62"/>
      <c r="W2105" s="64"/>
      <c r="X2105" s="223"/>
      <c r="Y2105" s="223"/>
      <c r="Z2105" s="223"/>
      <c r="AA2105" s="223"/>
    </row>
    <row r="2106">
      <c r="A2106" s="42">
        <f t="shared" si="3"/>
        <v>2105</v>
      </c>
      <c r="B2106" s="51" t="s">
        <v>41</v>
      </c>
      <c r="C2106" s="53" t="s">
        <v>9202</v>
      </c>
      <c r="D2106" s="42" t="s">
        <v>44</v>
      </c>
      <c r="E2106" s="42" t="s">
        <v>44</v>
      </c>
      <c r="F2106" s="53" t="s">
        <v>9171</v>
      </c>
      <c r="G2106" s="53" t="s">
        <v>197</v>
      </c>
      <c r="H2106" s="53" t="s">
        <v>112</v>
      </c>
      <c r="I2106" s="53" t="s">
        <v>485</v>
      </c>
      <c r="J2106" s="53" t="s">
        <v>9172</v>
      </c>
      <c r="K2106" s="53" t="s">
        <v>51</v>
      </c>
      <c r="L2106" s="53" t="s">
        <v>52</v>
      </c>
      <c r="M2106" s="53" t="s">
        <v>52</v>
      </c>
      <c r="N2106" s="62" t="s">
        <v>9203</v>
      </c>
      <c r="O2106" s="62" t="s">
        <v>44</v>
      </c>
      <c r="P2106" s="62" t="s">
        <v>9204</v>
      </c>
      <c r="Q2106" s="62" t="s">
        <v>9205</v>
      </c>
      <c r="R2106" s="53"/>
      <c r="S2106" s="53"/>
      <c r="T2106" s="82"/>
      <c r="U2106" s="42"/>
      <c r="V2106" s="62"/>
      <c r="W2106" s="64"/>
      <c r="X2106" s="223"/>
      <c r="Y2106" s="223"/>
      <c r="Z2106" s="223"/>
      <c r="AA2106" s="223"/>
    </row>
    <row r="2107">
      <c r="A2107" s="42">
        <f t="shared" si="3"/>
        <v>2106</v>
      </c>
      <c r="B2107" s="51" t="s">
        <v>41</v>
      </c>
      <c r="C2107" s="53" t="s">
        <v>9206</v>
      </c>
      <c r="D2107" s="42" t="s">
        <v>44</v>
      </c>
      <c r="E2107" s="42" t="s">
        <v>44</v>
      </c>
      <c r="F2107" s="53" t="s">
        <v>9171</v>
      </c>
      <c r="G2107" s="53" t="s">
        <v>47</v>
      </c>
      <c r="H2107" s="53" t="s">
        <v>95</v>
      </c>
      <c r="I2107" s="53" t="s">
        <v>485</v>
      </c>
      <c r="J2107" s="53" t="s">
        <v>9172</v>
      </c>
      <c r="K2107" s="53" t="s">
        <v>51</v>
      </c>
      <c r="L2107" s="53" t="s">
        <v>52</v>
      </c>
      <c r="M2107" s="53" t="s">
        <v>52</v>
      </c>
      <c r="N2107" s="62" t="s">
        <v>9207</v>
      </c>
      <c r="O2107" s="62" t="s">
        <v>44</v>
      </c>
      <c r="P2107" s="62" t="s">
        <v>9204</v>
      </c>
      <c r="Q2107" s="62" t="s">
        <v>9208</v>
      </c>
      <c r="R2107" s="53"/>
      <c r="S2107" s="53"/>
      <c r="T2107" s="82"/>
      <c r="U2107" s="42"/>
      <c r="V2107" s="62"/>
      <c r="W2107" s="64"/>
      <c r="X2107" s="223"/>
      <c r="Y2107" s="223"/>
      <c r="Z2107" s="223"/>
      <c r="AA2107" s="223"/>
    </row>
    <row r="2108">
      <c r="A2108" s="42">
        <f t="shared" si="3"/>
        <v>2107</v>
      </c>
      <c r="B2108" s="51" t="s">
        <v>41</v>
      </c>
      <c r="C2108" s="53" t="s">
        <v>9209</v>
      </c>
      <c r="D2108" s="42" t="s">
        <v>44</v>
      </c>
      <c r="E2108" s="42" t="s">
        <v>44</v>
      </c>
      <c r="F2108" s="53" t="s">
        <v>9171</v>
      </c>
      <c r="G2108" s="53" t="s">
        <v>47</v>
      </c>
      <c r="H2108" s="53" t="s">
        <v>48</v>
      </c>
      <c r="I2108" s="53" t="s">
        <v>485</v>
      </c>
      <c r="J2108" s="53" t="s">
        <v>9172</v>
      </c>
      <c r="K2108" s="53" t="s">
        <v>51</v>
      </c>
      <c r="L2108" s="53" t="s">
        <v>52</v>
      </c>
      <c r="M2108" s="53" t="s">
        <v>52</v>
      </c>
      <c r="N2108" s="62" t="s">
        <v>9210</v>
      </c>
      <c r="O2108" s="62" t="s">
        <v>44</v>
      </c>
      <c r="P2108" s="62" t="s">
        <v>9211</v>
      </c>
      <c r="Q2108" s="62" t="s">
        <v>9212</v>
      </c>
      <c r="R2108" s="53"/>
      <c r="S2108" s="53"/>
      <c r="T2108" s="82"/>
      <c r="U2108" s="42"/>
      <c r="V2108" s="62"/>
      <c r="W2108" s="64"/>
      <c r="X2108" s="223"/>
      <c r="Y2108" s="223"/>
      <c r="Z2108" s="223"/>
      <c r="AA2108" s="223"/>
    </row>
    <row r="2109">
      <c r="A2109" s="42">
        <f t="shared" si="3"/>
        <v>2108</v>
      </c>
      <c r="B2109" s="51" t="s">
        <v>41</v>
      </c>
      <c r="C2109" s="53" t="s">
        <v>9213</v>
      </c>
      <c r="D2109" s="42" t="s">
        <v>44</v>
      </c>
      <c r="E2109" s="42" t="s">
        <v>44</v>
      </c>
      <c r="F2109" s="53" t="s">
        <v>9214</v>
      </c>
      <c r="G2109" s="53" t="s">
        <v>197</v>
      </c>
      <c r="H2109" s="53" t="s">
        <v>112</v>
      </c>
      <c r="I2109" s="53" t="s">
        <v>485</v>
      </c>
      <c r="J2109" s="53" t="s">
        <v>9215</v>
      </c>
      <c r="K2109" s="53" t="s">
        <v>51</v>
      </c>
      <c r="L2109" s="53" t="s">
        <v>52</v>
      </c>
      <c r="M2109" s="53" t="s">
        <v>52</v>
      </c>
      <c r="N2109" s="62" t="s">
        <v>9216</v>
      </c>
      <c r="O2109" s="62" t="s">
        <v>44</v>
      </c>
      <c r="P2109" s="62" t="s">
        <v>9165</v>
      </c>
      <c r="Q2109" s="62" t="s">
        <v>9166</v>
      </c>
      <c r="R2109" s="53"/>
      <c r="S2109" s="53"/>
      <c r="T2109" s="82"/>
      <c r="U2109" s="42"/>
      <c r="V2109" s="62"/>
      <c r="W2109" s="64"/>
      <c r="X2109" s="223"/>
      <c r="Y2109" s="223"/>
      <c r="Z2109" s="223"/>
      <c r="AA2109" s="223"/>
    </row>
    <row r="2110">
      <c r="A2110" s="42">
        <f t="shared" si="3"/>
        <v>2109</v>
      </c>
      <c r="B2110" s="51" t="s">
        <v>41</v>
      </c>
      <c r="C2110" s="53" t="s">
        <v>9217</v>
      </c>
      <c r="D2110" s="42" t="s">
        <v>44</v>
      </c>
      <c r="E2110" s="42" t="s">
        <v>44</v>
      </c>
      <c r="F2110" s="53" t="s">
        <v>9214</v>
      </c>
      <c r="G2110" s="53" t="s">
        <v>47</v>
      </c>
      <c r="H2110" s="53" t="s">
        <v>95</v>
      </c>
      <c r="I2110" s="53" t="s">
        <v>485</v>
      </c>
      <c r="J2110" s="53" t="s">
        <v>9215</v>
      </c>
      <c r="K2110" s="53" t="s">
        <v>51</v>
      </c>
      <c r="L2110" s="53" t="s">
        <v>52</v>
      </c>
      <c r="M2110" s="53" t="s">
        <v>52</v>
      </c>
      <c r="N2110" s="62" t="s">
        <v>9218</v>
      </c>
      <c r="O2110" s="62" t="s">
        <v>44</v>
      </c>
      <c r="P2110" s="62" t="s">
        <v>9165</v>
      </c>
      <c r="Q2110" s="62" t="s">
        <v>9219</v>
      </c>
      <c r="R2110" s="53"/>
      <c r="S2110" s="53"/>
      <c r="T2110" s="82"/>
      <c r="U2110" s="42"/>
      <c r="V2110" s="62"/>
      <c r="W2110" s="64"/>
      <c r="X2110" s="223"/>
      <c r="Y2110" s="223"/>
      <c r="Z2110" s="223"/>
      <c r="AA2110" s="223"/>
    </row>
    <row r="2111">
      <c r="A2111" s="42">
        <f t="shared" si="3"/>
        <v>2110</v>
      </c>
      <c r="B2111" s="51" t="s">
        <v>41</v>
      </c>
      <c r="C2111" s="53" t="s">
        <v>9220</v>
      </c>
      <c r="D2111" s="42" t="s">
        <v>44</v>
      </c>
      <c r="E2111" s="42" t="s">
        <v>44</v>
      </c>
      <c r="F2111" s="53" t="s">
        <v>9221</v>
      </c>
      <c r="G2111" s="53" t="s">
        <v>47</v>
      </c>
      <c r="H2111" s="53" t="s">
        <v>48</v>
      </c>
      <c r="I2111" s="53" t="s">
        <v>9222</v>
      </c>
      <c r="J2111" s="53" t="s">
        <v>9223</v>
      </c>
      <c r="K2111" s="53" t="s">
        <v>927</v>
      </c>
      <c r="L2111" s="53" t="s">
        <v>52</v>
      </c>
      <c r="M2111" s="53" t="s">
        <v>52</v>
      </c>
      <c r="N2111" s="62" t="s">
        <v>9224</v>
      </c>
      <c r="O2111" s="62" t="s">
        <v>44</v>
      </c>
      <c r="P2111" s="62" t="s">
        <v>8988</v>
      </c>
      <c r="Q2111" s="62" t="s">
        <v>9225</v>
      </c>
      <c r="R2111" s="53"/>
      <c r="S2111" s="53"/>
      <c r="T2111" s="82"/>
      <c r="U2111" s="42"/>
      <c r="V2111" s="62"/>
      <c r="W2111" s="64"/>
      <c r="X2111" s="223"/>
      <c r="Y2111" s="223"/>
      <c r="Z2111" s="223"/>
      <c r="AA2111" s="223"/>
    </row>
    <row r="2112">
      <c r="A2112" s="42">
        <f t="shared" si="3"/>
        <v>2111</v>
      </c>
      <c r="B2112" s="51" t="s">
        <v>41</v>
      </c>
      <c r="C2112" s="53" t="s">
        <v>9226</v>
      </c>
      <c r="D2112" s="42" t="s">
        <v>44</v>
      </c>
      <c r="E2112" s="42" t="s">
        <v>44</v>
      </c>
      <c r="F2112" s="53" t="s">
        <v>9221</v>
      </c>
      <c r="G2112" s="53" t="s">
        <v>47</v>
      </c>
      <c r="H2112" s="53" t="s">
        <v>48</v>
      </c>
      <c r="I2112" s="53" t="s">
        <v>9222</v>
      </c>
      <c r="J2112" s="53" t="s">
        <v>9223</v>
      </c>
      <c r="K2112" s="53" t="s">
        <v>927</v>
      </c>
      <c r="L2112" s="53" t="s">
        <v>52</v>
      </c>
      <c r="M2112" s="53" t="s">
        <v>52</v>
      </c>
      <c r="N2112" s="62" t="s">
        <v>9224</v>
      </c>
      <c r="O2112" s="62" t="s">
        <v>44</v>
      </c>
      <c r="P2112" s="62" t="s">
        <v>8988</v>
      </c>
      <c r="Q2112" s="62" t="s">
        <v>9227</v>
      </c>
      <c r="R2112" s="53"/>
      <c r="S2112" s="53"/>
      <c r="T2112" s="82"/>
      <c r="U2112" s="42"/>
      <c r="V2112" s="62"/>
      <c r="W2112" s="64"/>
      <c r="X2112" s="223"/>
      <c r="Y2112" s="223"/>
      <c r="Z2112" s="223"/>
      <c r="AA2112" s="223"/>
    </row>
    <row r="2113">
      <c r="A2113" s="42">
        <f t="shared" si="3"/>
        <v>2112</v>
      </c>
      <c r="B2113" s="51" t="s">
        <v>41</v>
      </c>
      <c r="C2113" s="53" t="s">
        <v>9228</v>
      </c>
      <c r="D2113" s="42" t="s">
        <v>44</v>
      </c>
      <c r="E2113" s="42" t="s">
        <v>44</v>
      </c>
      <c r="F2113" s="53" t="s">
        <v>9221</v>
      </c>
      <c r="G2113" s="53" t="s">
        <v>47</v>
      </c>
      <c r="H2113" s="53" t="s">
        <v>48</v>
      </c>
      <c r="I2113" s="53" t="s">
        <v>9222</v>
      </c>
      <c r="J2113" s="53" t="s">
        <v>9223</v>
      </c>
      <c r="K2113" s="53" t="s">
        <v>927</v>
      </c>
      <c r="L2113" s="53" t="s">
        <v>52</v>
      </c>
      <c r="M2113" s="53" t="s">
        <v>52</v>
      </c>
      <c r="N2113" s="62" t="s">
        <v>9224</v>
      </c>
      <c r="O2113" s="62" t="s">
        <v>44</v>
      </c>
      <c r="P2113" s="62" t="s">
        <v>8988</v>
      </c>
      <c r="Q2113" s="62" t="s">
        <v>9229</v>
      </c>
      <c r="R2113" s="53"/>
      <c r="S2113" s="53"/>
      <c r="T2113" s="82"/>
      <c r="U2113" s="42"/>
      <c r="V2113" s="62"/>
      <c r="W2113" s="64"/>
      <c r="X2113" s="223"/>
      <c r="Y2113" s="223"/>
      <c r="Z2113" s="223"/>
      <c r="AA2113" s="223"/>
    </row>
    <row r="2114">
      <c r="A2114" s="42">
        <f t="shared" si="3"/>
        <v>2113</v>
      </c>
      <c r="B2114" s="51" t="s">
        <v>41</v>
      </c>
      <c r="C2114" s="53" t="s">
        <v>9230</v>
      </c>
      <c r="D2114" s="42" t="s">
        <v>44</v>
      </c>
      <c r="E2114" s="42" t="s">
        <v>44</v>
      </c>
      <c r="F2114" s="53" t="s">
        <v>9221</v>
      </c>
      <c r="G2114" s="53" t="s">
        <v>197</v>
      </c>
      <c r="H2114" s="53" t="s">
        <v>112</v>
      </c>
      <c r="I2114" s="53" t="s">
        <v>9222</v>
      </c>
      <c r="J2114" s="53" t="s">
        <v>9223</v>
      </c>
      <c r="K2114" s="53" t="s">
        <v>927</v>
      </c>
      <c r="L2114" s="53" t="s">
        <v>52</v>
      </c>
      <c r="M2114" s="53" t="s">
        <v>52</v>
      </c>
      <c r="N2114" s="62" t="s">
        <v>9224</v>
      </c>
      <c r="O2114" s="62" t="s">
        <v>44</v>
      </c>
      <c r="P2114" s="62" t="s">
        <v>9231</v>
      </c>
      <c r="Q2114" s="62" t="s">
        <v>9232</v>
      </c>
      <c r="R2114" s="53"/>
      <c r="S2114" s="53"/>
      <c r="T2114" s="82"/>
      <c r="U2114" s="42"/>
      <c r="V2114" s="62"/>
      <c r="W2114" s="64"/>
      <c r="X2114" s="223"/>
      <c r="Y2114" s="223"/>
      <c r="Z2114" s="223"/>
      <c r="AA2114" s="223"/>
    </row>
    <row r="2115">
      <c r="A2115" s="42">
        <f t="shared" si="3"/>
        <v>2114</v>
      </c>
      <c r="B2115" s="51" t="s">
        <v>41</v>
      </c>
      <c r="C2115" s="53" t="s">
        <v>9233</v>
      </c>
      <c r="D2115" s="42" t="s">
        <v>44</v>
      </c>
      <c r="E2115" s="42" t="s">
        <v>44</v>
      </c>
      <c r="F2115" s="53" t="s">
        <v>9221</v>
      </c>
      <c r="G2115" s="53" t="s">
        <v>197</v>
      </c>
      <c r="H2115" s="53" t="s">
        <v>112</v>
      </c>
      <c r="I2115" s="53" t="s">
        <v>9222</v>
      </c>
      <c r="J2115" s="53" t="s">
        <v>9223</v>
      </c>
      <c r="K2115" s="53" t="s">
        <v>927</v>
      </c>
      <c r="L2115" s="53" t="s">
        <v>52</v>
      </c>
      <c r="M2115" s="53" t="s">
        <v>52</v>
      </c>
      <c r="N2115" s="62" t="s">
        <v>9234</v>
      </c>
      <c r="O2115" s="62" t="s">
        <v>44</v>
      </c>
      <c r="P2115" s="62" t="s">
        <v>9235</v>
      </c>
      <c r="Q2115" s="62" t="s">
        <v>9236</v>
      </c>
      <c r="R2115" s="53"/>
      <c r="S2115" s="53"/>
      <c r="T2115" s="82"/>
      <c r="U2115" s="42"/>
      <c r="V2115" s="62"/>
      <c r="W2115" s="64"/>
      <c r="X2115" s="223"/>
      <c r="Y2115" s="223"/>
      <c r="Z2115" s="223"/>
      <c r="AA2115" s="223"/>
    </row>
    <row r="2116">
      <c r="A2116" s="42">
        <f t="shared" si="3"/>
        <v>2115</v>
      </c>
      <c r="B2116" s="51" t="s">
        <v>41</v>
      </c>
      <c r="C2116" s="53" t="s">
        <v>9237</v>
      </c>
      <c r="D2116" s="42" t="s">
        <v>44</v>
      </c>
      <c r="E2116" s="42" t="s">
        <v>44</v>
      </c>
      <c r="F2116" s="53" t="s">
        <v>9221</v>
      </c>
      <c r="G2116" s="53" t="s">
        <v>47</v>
      </c>
      <c r="H2116" s="53" t="s">
        <v>95</v>
      </c>
      <c r="I2116" s="53" t="s">
        <v>9222</v>
      </c>
      <c r="J2116" s="53" t="s">
        <v>9223</v>
      </c>
      <c r="K2116" s="53" t="s">
        <v>927</v>
      </c>
      <c r="L2116" s="53" t="s">
        <v>52</v>
      </c>
      <c r="M2116" s="53" t="s">
        <v>52</v>
      </c>
      <c r="N2116" s="62" t="s">
        <v>9238</v>
      </c>
      <c r="O2116" s="62" t="s">
        <v>44</v>
      </c>
      <c r="P2116" s="62" t="s">
        <v>9235</v>
      </c>
      <c r="Q2116" s="62" t="s">
        <v>9239</v>
      </c>
      <c r="R2116" s="53"/>
      <c r="S2116" s="53"/>
      <c r="T2116" s="82"/>
      <c r="U2116" s="42"/>
      <c r="V2116" s="62"/>
      <c r="W2116" s="64"/>
      <c r="X2116" s="223"/>
      <c r="Y2116" s="223"/>
      <c r="Z2116" s="223"/>
      <c r="AA2116" s="223"/>
    </row>
    <row r="2117">
      <c r="A2117" s="42">
        <f t="shared" si="3"/>
        <v>2116</v>
      </c>
      <c r="B2117" s="51" t="s">
        <v>41</v>
      </c>
      <c r="C2117" s="53" t="s">
        <v>9240</v>
      </c>
      <c r="D2117" s="42" t="s">
        <v>44</v>
      </c>
      <c r="E2117" s="42" t="s">
        <v>44</v>
      </c>
      <c r="F2117" s="53" t="s">
        <v>9221</v>
      </c>
      <c r="G2117" s="53" t="s">
        <v>47</v>
      </c>
      <c r="H2117" s="53" t="s">
        <v>48</v>
      </c>
      <c r="I2117" s="53" t="s">
        <v>9222</v>
      </c>
      <c r="J2117" s="53" t="s">
        <v>9223</v>
      </c>
      <c r="K2117" s="53" t="s">
        <v>927</v>
      </c>
      <c r="L2117" s="53" t="s">
        <v>52</v>
      </c>
      <c r="M2117" s="53" t="s">
        <v>52</v>
      </c>
      <c r="N2117" s="62" t="s">
        <v>9241</v>
      </c>
      <c r="O2117" s="62" t="s">
        <v>44</v>
      </c>
      <c r="P2117" s="62" t="s">
        <v>9242</v>
      </c>
      <c r="Q2117" s="62" t="s">
        <v>9243</v>
      </c>
      <c r="R2117" s="53"/>
      <c r="S2117" s="53"/>
      <c r="T2117" s="82"/>
      <c r="U2117" s="42"/>
      <c r="V2117" s="62"/>
      <c r="W2117" s="64"/>
      <c r="X2117" s="223"/>
      <c r="Y2117" s="223"/>
      <c r="Z2117" s="223"/>
      <c r="AA2117" s="223"/>
    </row>
    <row r="2118">
      <c r="A2118" s="42">
        <f t="shared" si="3"/>
        <v>2117</v>
      </c>
      <c r="B2118" s="51" t="s">
        <v>41</v>
      </c>
      <c r="C2118" s="53" t="s">
        <v>9244</v>
      </c>
      <c r="D2118" s="42" t="s">
        <v>44</v>
      </c>
      <c r="E2118" s="42" t="s">
        <v>44</v>
      </c>
      <c r="F2118" s="53" t="s">
        <v>9221</v>
      </c>
      <c r="G2118" s="53" t="s">
        <v>47</v>
      </c>
      <c r="H2118" s="53" t="s">
        <v>95</v>
      </c>
      <c r="I2118" s="53" t="s">
        <v>9222</v>
      </c>
      <c r="J2118" s="53" t="s">
        <v>9223</v>
      </c>
      <c r="K2118" s="53" t="s">
        <v>927</v>
      </c>
      <c r="L2118" s="53" t="s">
        <v>52</v>
      </c>
      <c r="M2118" s="53" t="s">
        <v>52</v>
      </c>
      <c r="N2118" s="62" t="s">
        <v>9245</v>
      </c>
      <c r="O2118" s="62" t="s">
        <v>44</v>
      </c>
      <c r="P2118" s="62" t="s">
        <v>9242</v>
      </c>
      <c r="Q2118" s="62" t="s">
        <v>9246</v>
      </c>
      <c r="R2118" s="53"/>
      <c r="S2118" s="53"/>
      <c r="T2118" s="82"/>
      <c r="U2118" s="42"/>
      <c r="V2118" s="62"/>
      <c r="W2118" s="64"/>
      <c r="X2118" s="223"/>
      <c r="Y2118" s="223"/>
      <c r="Z2118" s="223"/>
      <c r="AA2118" s="223"/>
    </row>
    <row r="2119">
      <c r="A2119" s="42">
        <f t="shared" si="3"/>
        <v>2118</v>
      </c>
      <c r="B2119" s="51" t="s">
        <v>41</v>
      </c>
      <c r="C2119" s="53" t="s">
        <v>9247</v>
      </c>
      <c r="D2119" s="42" t="s">
        <v>44</v>
      </c>
      <c r="E2119" s="42" t="s">
        <v>44</v>
      </c>
      <c r="F2119" s="53" t="s">
        <v>9221</v>
      </c>
      <c r="G2119" s="53" t="s">
        <v>47</v>
      </c>
      <c r="H2119" s="53" t="s">
        <v>48</v>
      </c>
      <c r="I2119" s="53" t="s">
        <v>9222</v>
      </c>
      <c r="J2119" s="53" t="s">
        <v>9223</v>
      </c>
      <c r="K2119" s="53" t="s">
        <v>927</v>
      </c>
      <c r="L2119" s="53" t="s">
        <v>52</v>
      </c>
      <c r="M2119" s="53" t="s">
        <v>52</v>
      </c>
      <c r="N2119" s="62" t="s">
        <v>9224</v>
      </c>
      <c r="O2119" s="62" t="s">
        <v>44</v>
      </c>
      <c r="P2119" s="62" t="s">
        <v>9248</v>
      </c>
      <c r="Q2119" s="62" t="s">
        <v>9249</v>
      </c>
      <c r="R2119" s="53"/>
      <c r="S2119" s="53"/>
      <c r="T2119" s="82"/>
      <c r="U2119" s="42"/>
      <c r="V2119" s="62"/>
      <c r="W2119" s="64"/>
      <c r="X2119" s="223"/>
      <c r="Y2119" s="223"/>
      <c r="Z2119" s="223"/>
      <c r="AA2119" s="223"/>
    </row>
    <row r="2120">
      <c r="A2120" s="42">
        <f t="shared" si="3"/>
        <v>2119</v>
      </c>
      <c r="B2120" s="51" t="s">
        <v>41</v>
      </c>
      <c r="C2120" s="53" t="s">
        <v>9250</v>
      </c>
      <c r="D2120" s="42" t="s">
        <v>44</v>
      </c>
      <c r="E2120" s="42" t="s">
        <v>44</v>
      </c>
      <c r="F2120" s="53" t="s">
        <v>9221</v>
      </c>
      <c r="G2120" s="53" t="s">
        <v>47</v>
      </c>
      <c r="H2120" s="53" t="s">
        <v>48</v>
      </c>
      <c r="I2120" s="53" t="s">
        <v>9222</v>
      </c>
      <c r="J2120" s="53" t="s">
        <v>9223</v>
      </c>
      <c r="K2120" s="53" t="s">
        <v>927</v>
      </c>
      <c r="L2120" s="53" t="s">
        <v>52</v>
      </c>
      <c r="M2120" s="53" t="s">
        <v>52</v>
      </c>
      <c r="N2120" s="62" t="s">
        <v>9251</v>
      </c>
      <c r="O2120" s="62" t="s">
        <v>44</v>
      </c>
      <c r="P2120" s="62" t="s">
        <v>9252</v>
      </c>
      <c r="Q2120" s="62" t="s">
        <v>9253</v>
      </c>
      <c r="R2120" s="53"/>
      <c r="S2120" s="53"/>
      <c r="T2120" s="82"/>
      <c r="U2120" s="42"/>
      <c r="V2120" s="62"/>
      <c r="W2120" s="64"/>
      <c r="X2120" s="223"/>
      <c r="Y2120" s="223"/>
      <c r="Z2120" s="223"/>
      <c r="AA2120" s="223"/>
    </row>
    <row r="2121">
      <c r="A2121" s="42">
        <f t="shared" si="3"/>
        <v>2120</v>
      </c>
      <c r="B2121" s="51" t="s">
        <v>41</v>
      </c>
      <c r="C2121" s="53" t="s">
        <v>9254</v>
      </c>
      <c r="D2121" s="42" t="s">
        <v>44</v>
      </c>
      <c r="E2121" s="42" t="s">
        <v>44</v>
      </c>
      <c r="F2121" s="53" t="s">
        <v>9221</v>
      </c>
      <c r="G2121" s="53" t="s">
        <v>47</v>
      </c>
      <c r="H2121" s="53" t="s">
        <v>48</v>
      </c>
      <c r="I2121" s="53" t="s">
        <v>9222</v>
      </c>
      <c r="J2121" s="53" t="s">
        <v>9223</v>
      </c>
      <c r="K2121" s="53" t="s">
        <v>927</v>
      </c>
      <c r="L2121" s="53" t="s">
        <v>52</v>
      </c>
      <c r="M2121" s="53" t="s">
        <v>52</v>
      </c>
      <c r="N2121" s="62" t="s">
        <v>9255</v>
      </c>
      <c r="O2121" s="62" t="s">
        <v>44</v>
      </c>
      <c r="P2121" s="62" t="s">
        <v>9252</v>
      </c>
      <c r="Q2121" s="62" t="s">
        <v>9256</v>
      </c>
      <c r="R2121" s="53"/>
      <c r="S2121" s="53"/>
      <c r="T2121" s="82"/>
      <c r="U2121" s="42"/>
      <c r="V2121" s="62"/>
      <c r="W2121" s="64"/>
      <c r="X2121" s="223"/>
      <c r="Y2121" s="223"/>
      <c r="Z2121" s="223"/>
      <c r="AA2121" s="223"/>
    </row>
    <row r="2122">
      <c r="A2122" s="42">
        <f t="shared" si="3"/>
        <v>2121</v>
      </c>
      <c r="B2122" s="51" t="s">
        <v>41</v>
      </c>
      <c r="C2122" s="53" t="s">
        <v>9257</v>
      </c>
      <c r="D2122" s="42" t="s">
        <v>44</v>
      </c>
      <c r="E2122" s="42" t="s">
        <v>44</v>
      </c>
      <c r="F2122" s="53" t="s">
        <v>9221</v>
      </c>
      <c r="G2122" s="53" t="s">
        <v>47</v>
      </c>
      <c r="H2122" s="53" t="s">
        <v>48</v>
      </c>
      <c r="I2122" s="53" t="s">
        <v>9222</v>
      </c>
      <c r="J2122" s="53" t="s">
        <v>9223</v>
      </c>
      <c r="K2122" s="53" t="s">
        <v>927</v>
      </c>
      <c r="L2122" s="53" t="s">
        <v>52</v>
      </c>
      <c r="M2122" s="53" t="s">
        <v>52</v>
      </c>
      <c r="N2122" s="62" t="s">
        <v>9258</v>
      </c>
      <c r="O2122" s="62" t="s">
        <v>44</v>
      </c>
      <c r="P2122" s="62" t="s">
        <v>9252</v>
      </c>
      <c r="Q2122" s="62" t="s">
        <v>9259</v>
      </c>
      <c r="R2122" s="53"/>
      <c r="S2122" s="53"/>
      <c r="T2122" s="82"/>
      <c r="U2122" s="42"/>
      <c r="V2122" s="62"/>
      <c r="W2122" s="64"/>
      <c r="X2122" s="223"/>
      <c r="Y2122" s="223"/>
      <c r="Z2122" s="223"/>
      <c r="AA2122" s="223"/>
    </row>
    <row r="2123">
      <c r="A2123" s="42">
        <f t="shared" si="3"/>
        <v>2122</v>
      </c>
      <c r="B2123" s="51" t="s">
        <v>41</v>
      </c>
      <c r="C2123" s="53" t="s">
        <v>9260</v>
      </c>
      <c r="D2123" s="42" t="s">
        <v>44</v>
      </c>
      <c r="E2123" s="42" t="s">
        <v>44</v>
      </c>
      <c r="F2123" s="53" t="s">
        <v>9221</v>
      </c>
      <c r="G2123" s="53" t="s">
        <v>197</v>
      </c>
      <c r="H2123" s="53" t="s">
        <v>112</v>
      </c>
      <c r="I2123" s="53" t="s">
        <v>9222</v>
      </c>
      <c r="J2123" s="53" t="s">
        <v>9223</v>
      </c>
      <c r="K2123" s="53" t="s">
        <v>927</v>
      </c>
      <c r="L2123" s="53" t="s">
        <v>52</v>
      </c>
      <c r="M2123" s="53" t="s">
        <v>52</v>
      </c>
      <c r="N2123" s="62" t="s">
        <v>9261</v>
      </c>
      <c r="O2123" s="62" t="s">
        <v>44</v>
      </c>
      <c r="P2123" s="62" t="s">
        <v>9262</v>
      </c>
      <c r="Q2123" s="62" t="s">
        <v>9263</v>
      </c>
      <c r="R2123" s="53"/>
      <c r="S2123" s="53"/>
      <c r="T2123" s="82"/>
      <c r="U2123" s="42"/>
      <c r="V2123" s="62"/>
      <c r="W2123" s="64"/>
      <c r="X2123" s="223"/>
      <c r="Y2123" s="223"/>
      <c r="Z2123" s="223"/>
      <c r="AA2123" s="223"/>
    </row>
    <row r="2124">
      <c r="A2124" s="42">
        <f t="shared" si="3"/>
        <v>2123</v>
      </c>
      <c r="B2124" s="51" t="s">
        <v>41</v>
      </c>
      <c r="C2124" s="53" t="s">
        <v>9264</v>
      </c>
      <c r="D2124" s="42" t="s">
        <v>44</v>
      </c>
      <c r="E2124" s="42" t="s">
        <v>44</v>
      </c>
      <c r="F2124" s="53" t="s">
        <v>9221</v>
      </c>
      <c r="G2124" s="53" t="s">
        <v>197</v>
      </c>
      <c r="H2124" s="53" t="s">
        <v>198</v>
      </c>
      <c r="I2124" s="53" t="s">
        <v>9222</v>
      </c>
      <c r="J2124" s="53" t="s">
        <v>9223</v>
      </c>
      <c r="K2124" s="53" t="s">
        <v>927</v>
      </c>
      <c r="L2124" s="53" t="s">
        <v>52</v>
      </c>
      <c r="M2124" s="53" t="s">
        <v>52</v>
      </c>
      <c r="N2124" s="62" t="s">
        <v>9265</v>
      </c>
      <c r="O2124" s="62" t="s">
        <v>44</v>
      </c>
      <c r="P2124" s="62" t="s">
        <v>9266</v>
      </c>
      <c r="Q2124" s="62" t="s">
        <v>9267</v>
      </c>
      <c r="R2124" s="53"/>
      <c r="S2124" s="53"/>
      <c r="T2124" s="82"/>
      <c r="U2124" s="42"/>
      <c r="V2124" s="62"/>
      <c r="W2124" s="64"/>
      <c r="X2124" s="223"/>
      <c r="Y2124" s="223"/>
      <c r="Z2124" s="223"/>
      <c r="AA2124" s="223"/>
    </row>
    <row r="2125">
      <c r="A2125" s="42">
        <f t="shared" si="3"/>
        <v>2124</v>
      </c>
      <c r="B2125" s="51" t="s">
        <v>41</v>
      </c>
      <c r="C2125" s="53" t="s">
        <v>9268</v>
      </c>
      <c r="D2125" s="42" t="s">
        <v>44</v>
      </c>
      <c r="E2125" s="42" t="s">
        <v>44</v>
      </c>
      <c r="F2125" s="53" t="s">
        <v>9221</v>
      </c>
      <c r="G2125" s="53" t="s">
        <v>197</v>
      </c>
      <c r="H2125" s="53" t="s">
        <v>198</v>
      </c>
      <c r="I2125" s="53" t="s">
        <v>9222</v>
      </c>
      <c r="J2125" s="53" t="s">
        <v>9223</v>
      </c>
      <c r="K2125" s="53" t="s">
        <v>927</v>
      </c>
      <c r="L2125" s="53" t="s">
        <v>52</v>
      </c>
      <c r="M2125" s="53" t="s">
        <v>52</v>
      </c>
      <c r="N2125" s="62" t="s">
        <v>9265</v>
      </c>
      <c r="O2125" s="62" t="s">
        <v>44</v>
      </c>
      <c r="P2125" s="62" t="s">
        <v>9269</v>
      </c>
      <c r="Q2125" s="62" t="s">
        <v>9267</v>
      </c>
      <c r="R2125" s="53"/>
      <c r="S2125" s="53"/>
      <c r="T2125" s="82"/>
      <c r="U2125" s="42"/>
      <c r="V2125" s="62"/>
      <c r="W2125" s="64"/>
      <c r="X2125" s="223"/>
      <c r="Y2125" s="223"/>
      <c r="Z2125" s="223"/>
      <c r="AA2125" s="223"/>
    </row>
    <row r="2126">
      <c r="A2126" s="42">
        <f t="shared" si="3"/>
        <v>2125</v>
      </c>
      <c r="B2126" s="51" t="s">
        <v>41</v>
      </c>
      <c r="C2126" s="53" t="s">
        <v>9270</v>
      </c>
      <c r="D2126" s="42" t="s">
        <v>44</v>
      </c>
      <c r="E2126" s="42" t="s">
        <v>44</v>
      </c>
      <c r="F2126" s="53" t="s">
        <v>9221</v>
      </c>
      <c r="G2126" s="53" t="s">
        <v>197</v>
      </c>
      <c r="H2126" s="53" t="s">
        <v>112</v>
      </c>
      <c r="I2126" s="53" t="s">
        <v>9222</v>
      </c>
      <c r="J2126" s="53" t="s">
        <v>9223</v>
      </c>
      <c r="K2126" s="53" t="s">
        <v>927</v>
      </c>
      <c r="L2126" s="53" t="s">
        <v>52</v>
      </c>
      <c r="M2126" s="53" t="s">
        <v>52</v>
      </c>
      <c r="N2126" s="62" t="s">
        <v>9271</v>
      </c>
      <c r="O2126" s="62" t="s">
        <v>44</v>
      </c>
      <c r="P2126" s="62" t="s">
        <v>9262</v>
      </c>
      <c r="Q2126" s="62" t="s">
        <v>9263</v>
      </c>
      <c r="R2126" s="53"/>
      <c r="S2126" s="53"/>
      <c r="T2126" s="82"/>
      <c r="U2126" s="42"/>
      <c r="V2126" s="62"/>
      <c r="W2126" s="64"/>
      <c r="X2126" s="223"/>
      <c r="Y2126" s="223"/>
      <c r="Z2126" s="223"/>
      <c r="AA2126" s="223"/>
    </row>
    <row r="2127">
      <c r="A2127" s="42">
        <f t="shared" si="3"/>
        <v>2126</v>
      </c>
      <c r="B2127" s="51" t="s">
        <v>41</v>
      </c>
      <c r="C2127" s="53" t="s">
        <v>9272</v>
      </c>
      <c r="D2127" s="42" t="s">
        <v>44</v>
      </c>
      <c r="E2127" s="42" t="s">
        <v>44</v>
      </c>
      <c r="F2127" s="53" t="s">
        <v>9221</v>
      </c>
      <c r="G2127" s="53" t="s">
        <v>197</v>
      </c>
      <c r="H2127" s="53" t="s">
        <v>198</v>
      </c>
      <c r="I2127" s="53" t="s">
        <v>9222</v>
      </c>
      <c r="J2127" s="53" t="s">
        <v>9223</v>
      </c>
      <c r="K2127" s="53" t="s">
        <v>927</v>
      </c>
      <c r="L2127" s="53" t="s">
        <v>52</v>
      </c>
      <c r="M2127" s="53" t="s">
        <v>52</v>
      </c>
      <c r="N2127" s="62" t="s">
        <v>9273</v>
      </c>
      <c r="O2127" s="62" t="s">
        <v>44</v>
      </c>
      <c r="P2127" s="62" t="s">
        <v>9266</v>
      </c>
      <c r="Q2127" s="62" t="s">
        <v>9267</v>
      </c>
      <c r="R2127" s="53"/>
      <c r="S2127" s="53"/>
      <c r="T2127" s="82"/>
      <c r="U2127" s="42"/>
      <c r="V2127" s="62"/>
      <c r="W2127" s="64"/>
      <c r="X2127" s="223"/>
      <c r="Y2127" s="223"/>
      <c r="Z2127" s="223"/>
      <c r="AA2127" s="223"/>
    </row>
    <row r="2128">
      <c r="A2128" s="42">
        <f t="shared" si="3"/>
        <v>2127</v>
      </c>
      <c r="B2128" s="51" t="s">
        <v>41</v>
      </c>
      <c r="C2128" s="53" t="s">
        <v>9274</v>
      </c>
      <c r="D2128" s="42" t="s">
        <v>44</v>
      </c>
      <c r="E2128" s="42" t="s">
        <v>44</v>
      </c>
      <c r="F2128" s="53" t="s">
        <v>9221</v>
      </c>
      <c r="G2128" s="53" t="s">
        <v>197</v>
      </c>
      <c r="H2128" s="53" t="s">
        <v>198</v>
      </c>
      <c r="I2128" s="53" t="s">
        <v>9222</v>
      </c>
      <c r="J2128" s="53" t="s">
        <v>9223</v>
      </c>
      <c r="K2128" s="53" t="s">
        <v>927</v>
      </c>
      <c r="L2128" s="53" t="s">
        <v>52</v>
      </c>
      <c r="M2128" s="53" t="s">
        <v>52</v>
      </c>
      <c r="N2128" s="62" t="s">
        <v>9273</v>
      </c>
      <c r="O2128" s="62" t="s">
        <v>44</v>
      </c>
      <c r="P2128" s="62" t="s">
        <v>9269</v>
      </c>
      <c r="Q2128" s="62" t="s">
        <v>9267</v>
      </c>
      <c r="R2128" s="53"/>
      <c r="S2128" s="53"/>
      <c r="T2128" s="82"/>
      <c r="U2128" s="42"/>
      <c r="V2128" s="62"/>
      <c r="W2128" s="64"/>
      <c r="X2128" s="223"/>
      <c r="Y2128" s="223"/>
      <c r="Z2128" s="223"/>
      <c r="AA2128" s="223"/>
    </row>
    <row r="2129">
      <c r="A2129" s="42">
        <f t="shared" si="3"/>
        <v>2128</v>
      </c>
      <c r="B2129" s="51" t="s">
        <v>41</v>
      </c>
      <c r="C2129" s="53" t="s">
        <v>9275</v>
      </c>
      <c r="D2129" s="42" t="s">
        <v>44</v>
      </c>
      <c r="E2129" s="42" t="s">
        <v>44</v>
      </c>
      <c r="F2129" s="53" t="s">
        <v>9276</v>
      </c>
      <c r="G2129" s="53" t="s">
        <v>47</v>
      </c>
      <c r="H2129" s="53" t="s">
        <v>48</v>
      </c>
      <c r="I2129" s="53" t="s">
        <v>9222</v>
      </c>
      <c r="J2129" s="53" t="s">
        <v>9277</v>
      </c>
      <c r="K2129" s="53" t="s">
        <v>1615</v>
      </c>
      <c r="L2129" s="53" t="s">
        <v>52</v>
      </c>
      <c r="M2129" s="53" t="s">
        <v>52</v>
      </c>
      <c r="N2129" s="62" t="s">
        <v>9278</v>
      </c>
      <c r="O2129" s="62" t="s">
        <v>44</v>
      </c>
      <c r="P2129" s="62" t="s">
        <v>9279</v>
      </c>
      <c r="Q2129" s="62" t="s">
        <v>9280</v>
      </c>
      <c r="R2129" s="53"/>
      <c r="S2129" s="53"/>
      <c r="T2129" s="82"/>
      <c r="U2129" s="42"/>
      <c r="V2129" s="62"/>
      <c r="W2129" s="64"/>
      <c r="X2129" s="223"/>
      <c r="Y2129" s="223"/>
      <c r="Z2129" s="223"/>
      <c r="AA2129" s="223"/>
    </row>
    <row r="2130">
      <c r="A2130" s="42">
        <f t="shared" si="3"/>
        <v>2129</v>
      </c>
      <c r="B2130" s="51" t="s">
        <v>41</v>
      </c>
      <c r="C2130" s="53" t="s">
        <v>9281</v>
      </c>
      <c r="D2130" s="42" t="s">
        <v>44</v>
      </c>
      <c r="E2130" s="42" t="s">
        <v>44</v>
      </c>
      <c r="F2130" s="53" t="s">
        <v>9276</v>
      </c>
      <c r="G2130" s="53" t="s">
        <v>47</v>
      </c>
      <c r="H2130" s="53" t="s">
        <v>48</v>
      </c>
      <c r="I2130" s="53" t="s">
        <v>9222</v>
      </c>
      <c r="J2130" s="53" t="s">
        <v>9277</v>
      </c>
      <c r="K2130" s="53" t="s">
        <v>1615</v>
      </c>
      <c r="L2130" s="53" t="s">
        <v>52</v>
      </c>
      <c r="M2130" s="53" t="s">
        <v>52</v>
      </c>
      <c r="N2130" s="62" t="s">
        <v>9278</v>
      </c>
      <c r="O2130" s="62" t="s">
        <v>44</v>
      </c>
      <c r="P2130" s="62" t="s">
        <v>9282</v>
      </c>
      <c r="Q2130" s="62" t="s">
        <v>9283</v>
      </c>
      <c r="R2130" s="53"/>
      <c r="S2130" s="53"/>
      <c r="T2130" s="82"/>
      <c r="U2130" s="42"/>
      <c r="V2130" s="62"/>
      <c r="W2130" s="64"/>
      <c r="X2130" s="223"/>
      <c r="Y2130" s="223"/>
      <c r="Z2130" s="223"/>
      <c r="AA2130" s="223"/>
    </row>
    <row r="2131">
      <c r="A2131" s="42">
        <f t="shared" si="3"/>
        <v>2130</v>
      </c>
      <c r="B2131" s="51" t="s">
        <v>41</v>
      </c>
      <c r="C2131" s="53" t="s">
        <v>9284</v>
      </c>
      <c r="D2131" s="42" t="s">
        <v>44</v>
      </c>
      <c r="E2131" s="42" t="s">
        <v>44</v>
      </c>
      <c r="F2131" s="53" t="s">
        <v>9276</v>
      </c>
      <c r="G2131" s="53" t="s">
        <v>197</v>
      </c>
      <c r="H2131" s="53" t="s">
        <v>112</v>
      </c>
      <c r="I2131" s="53" t="s">
        <v>9222</v>
      </c>
      <c r="J2131" s="53" t="s">
        <v>9277</v>
      </c>
      <c r="K2131" s="53" t="s">
        <v>1615</v>
      </c>
      <c r="L2131" s="53" t="s">
        <v>52</v>
      </c>
      <c r="M2131" s="53" t="s">
        <v>52</v>
      </c>
      <c r="N2131" s="62" t="s">
        <v>9285</v>
      </c>
      <c r="O2131" s="62" t="s">
        <v>44</v>
      </c>
      <c r="P2131" s="62" t="s">
        <v>9286</v>
      </c>
      <c r="Q2131" s="62" t="s">
        <v>9287</v>
      </c>
      <c r="R2131" s="53"/>
      <c r="S2131" s="53"/>
      <c r="T2131" s="82"/>
      <c r="U2131" s="42"/>
      <c r="V2131" s="62"/>
      <c r="W2131" s="64"/>
      <c r="X2131" s="223"/>
      <c r="Y2131" s="223"/>
      <c r="Z2131" s="223"/>
      <c r="AA2131" s="223"/>
    </row>
    <row r="2132">
      <c r="A2132" s="42">
        <f t="shared" si="3"/>
        <v>2131</v>
      </c>
      <c r="B2132" s="51" t="s">
        <v>41</v>
      </c>
      <c r="C2132" s="53" t="s">
        <v>9288</v>
      </c>
      <c r="D2132" s="42" t="s">
        <v>44</v>
      </c>
      <c r="E2132" s="42" t="s">
        <v>44</v>
      </c>
      <c r="F2132" s="53" t="s">
        <v>9276</v>
      </c>
      <c r="G2132" s="53" t="s">
        <v>197</v>
      </c>
      <c r="H2132" s="53" t="s">
        <v>112</v>
      </c>
      <c r="I2132" s="53" t="s">
        <v>9222</v>
      </c>
      <c r="J2132" s="53" t="s">
        <v>9277</v>
      </c>
      <c r="K2132" s="53" t="s">
        <v>1615</v>
      </c>
      <c r="L2132" s="53" t="s">
        <v>52</v>
      </c>
      <c r="M2132" s="53" t="s">
        <v>52</v>
      </c>
      <c r="N2132" s="62" t="s">
        <v>9289</v>
      </c>
      <c r="O2132" s="62" t="s">
        <v>44</v>
      </c>
      <c r="P2132" s="62" t="s">
        <v>9286</v>
      </c>
      <c r="Q2132" s="62" t="s">
        <v>9290</v>
      </c>
      <c r="R2132" s="53"/>
      <c r="S2132" s="53"/>
      <c r="T2132" s="82"/>
      <c r="U2132" s="42"/>
      <c r="V2132" s="62"/>
      <c r="W2132" s="64"/>
      <c r="X2132" s="223"/>
      <c r="Y2132" s="223"/>
      <c r="Z2132" s="223"/>
      <c r="AA2132" s="223"/>
    </row>
    <row r="2133">
      <c r="A2133" s="42">
        <f t="shared" si="3"/>
        <v>2132</v>
      </c>
      <c r="B2133" s="51" t="s">
        <v>41</v>
      </c>
      <c r="C2133" s="53" t="s">
        <v>9291</v>
      </c>
      <c r="D2133" s="42" t="s">
        <v>44</v>
      </c>
      <c r="E2133" s="42" t="s">
        <v>44</v>
      </c>
      <c r="F2133" s="53" t="s">
        <v>9276</v>
      </c>
      <c r="G2133" s="53" t="s">
        <v>47</v>
      </c>
      <c r="H2133" s="53" t="s">
        <v>48</v>
      </c>
      <c r="I2133" s="53" t="s">
        <v>9222</v>
      </c>
      <c r="J2133" s="53" t="s">
        <v>9277</v>
      </c>
      <c r="K2133" s="53" t="s">
        <v>1615</v>
      </c>
      <c r="L2133" s="53" t="s">
        <v>52</v>
      </c>
      <c r="M2133" s="53" t="s">
        <v>52</v>
      </c>
      <c r="N2133" s="62" t="s">
        <v>9289</v>
      </c>
      <c r="O2133" s="62" t="s">
        <v>44</v>
      </c>
      <c r="P2133" s="62" t="s">
        <v>9292</v>
      </c>
      <c r="Q2133" s="62" t="s">
        <v>9293</v>
      </c>
      <c r="R2133" s="53"/>
      <c r="S2133" s="53"/>
      <c r="T2133" s="82"/>
      <c r="U2133" s="42"/>
      <c r="V2133" s="62"/>
      <c r="W2133" s="64"/>
      <c r="X2133" s="223"/>
      <c r="Y2133" s="223"/>
      <c r="Z2133" s="223"/>
      <c r="AA2133" s="223"/>
    </row>
    <row r="2134">
      <c r="A2134" s="42">
        <f t="shared" si="3"/>
        <v>2133</v>
      </c>
      <c r="B2134" s="51" t="s">
        <v>41</v>
      </c>
      <c r="C2134" s="53" t="s">
        <v>9294</v>
      </c>
      <c r="D2134" s="42" t="s">
        <v>44</v>
      </c>
      <c r="E2134" s="42" t="s">
        <v>44</v>
      </c>
      <c r="F2134" s="53" t="s">
        <v>9276</v>
      </c>
      <c r="G2134" s="53" t="s">
        <v>47</v>
      </c>
      <c r="H2134" s="53" t="s">
        <v>48</v>
      </c>
      <c r="I2134" s="53" t="s">
        <v>9222</v>
      </c>
      <c r="J2134" s="53" t="s">
        <v>9277</v>
      </c>
      <c r="K2134" s="53" t="s">
        <v>1615</v>
      </c>
      <c r="L2134" s="53" t="s">
        <v>52</v>
      </c>
      <c r="M2134" s="53" t="s">
        <v>52</v>
      </c>
      <c r="N2134" s="62" t="s">
        <v>9278</v>
      </c>
      <c r="O2134" s="62" t="s">
        <v>44</v>
      </c>
      <c r="P2134" s="62" t="s">
        <v>9295</v>
      </c>
      <c r="Q2134" s="62" t="s">
        <v>9296</v>
      </c>
      <c r="R2134" s="53"/>
      <c r="S2134" s="53"/>
      <c r="T2134" s="82"/>
      <c r="U2134" s="42"/>
      <c r="V2134" s="62"/>
      <c r="W2134" s="64"/>
      <c r="X2134" s="223"/>
      <c r="Y2134" s="223"/>
      <c r="Z2134" s="223"/>
      <c r="AA2134" s="223"/>
    </row>
    <row r="2135">
      <c r="A2135" s="42">
        <f t="shared" si="3"/>
        <v>2134</v>
      </c>
      <c r="B2135" s="51" t="s">
        <v>41</v>
      </c>
      <c r="C2135" s="53" t="s">
        <v>9297</v>
      </c>
      <c r="D2135" s="42" t="s">
        <v>44</v>
      </c>
      <c r="E2135" s="42" t="s">
        <v>44</v>
      </c>
      <c r="F2135" s="53" t="s">
        <v>9276</v>
      </c>
      <c r="G2135" s="53" t="s">
        <v>47</v>
      </c>
      <c r="H2135" s="53" t="s">
        <v>48</v>
      </c>
      <c r="I2135" s="53" t="s">
        <v>9222</v>
      </c>
      <c r="J2135" s="53" t="s">
        <v>9277</v>
      </c>
      <c r="K2135" s="53" t="s">
        <v>1615</v>
      </c>
      <c r="L2135" s="53" t="s">
        <v>52</v>
      </c>
      <c r="M2135" s="53" t="s">
        <v>52</v>
      </c>
      <c r="N2135" s="62" t="s">
        <v>9278</v>
      </c>
      <c r="O2135" s="62" t="s">
        <v>44</v>
      </c>
      <c r="P2135" s="62" t="s">
        <v>9298</v>
      </c>
      <c r="Q2135" s="62" t="s">
        <v>9299</v>
      </c>
      <c r="R2135" s="53"/>
      <c r="S2135" s="53"/>
      <c r="T2135" s="82"/>
      <c r="U2135" s="42"/>
      <c r="V2135" s="62"/>
      <c r="W2135" s="64"/>
      <c r="X2135" s="223"/>
      <c r="Y2135" s="223"/>
      <c r="Z2135" s="223"/>
      <c r="AA2135" s="223"/>
    </row>
    <row r="2136">
      <c r="A2136" s="42">
        <f t="shared" si="3"/>
        <v>2135</v>
      </c>
      <c r="B2136" s="51" t="s">
        <v>41</v>
      </c>
      <c r="C2136" s="53" t="s">
        <v>9300</v>
      </c>
      <c r="D2136" s="42" t="s">
        <v>44</v>
      </c>
      <c r="E2136" s="42" t="s">
        <v>44</v>
      </c>
      <c r="F2136" s="53" t="s">
        <v>9276</v>
      </c>
      <c r="G2136" s="53" t="s">
        <v>197</v>
      </c>
      <c r="H2136" s="53" t="s">
        <v>112</v>
      </c>
      <c r="I2136" s="53" t="s">
        <v>9222</v>
      </c>
      <c r="J2136" s="53" t="s">
        <v>9277</v>
      </c>
      <c r="K2136" s="53" t="s">
        <v>1615</v>
      </c>
      <c r="L2136" s="53" t="s">
        <v>52</v>
      </c>
      <c r="M2136" s="53" t="s">
        <v>52</v>
      </c>
      <c r="N2136" s="62" t="s">
        <v>9278</v>
      </c>
      <c r="O2136" s="62" t="s">
        <v>44</v>
      </c>
      <c r="P2136" s="62" t="s">
        <v>9301</v>
      </c>
      <c r="Q2136" s="62" t="s">
        <v>9302</v>
      </c>
      <c r="R2136" s="53"/>
      <c r="S2136" s="53"/>
      <c r="T2136" s="82"/>
      <c r="U2136" s="42"/>
      <c r="V2136" s="62"/>
      <c r="W2136" s="64"/>
      <c r="X2136" s="223"/>
      <c r="Y2136" s="223"/>
      <c r="Z2136" s="223"/>
      <c r="AA2136" s="223"/>
    </row>
    <row r="2137">
      <c r="A2137" s="42">
        <f t="shared" si="3"/>
        <v>2136</v>
      </c>
      <c r="B2137" s="51" t="s">
        <v>41</v>
      </c>
      <c r="C2137" s="53" t="s">
        <v>9303</v>
      </c>
      <c r="D2137" s="42" t="s">
        <v>44</v>
      </c>
      <c r="E2137" s="42" t="s">
        <v>44</v>
      </c>
      <c r="F2137" s="53" t="s">
        <v>9276</v>
      </c>
      <c r="G2137" s="53" t="s">
        <v>197</v>
      </c>
      <c r="H2137" s="53" t="s">
        <v>112</v>
      </c>
      <c r="I2137" s="53" t="s">
        <v>9222</v>
      </c>
      <c r="J2137" s="53" t="s">
        <v>9277</v>
      </c>
      <c r="K2137" s="53" t="s">
        <v>1615</v>
      </c>
      <c r="L2137" s="53" t="s">
        <v>52</v>
      </c>
      <c r="M2137" s="53" t="s">
        <v>52</v>
      </c>
      <c r="N2137" s="62" t="s">
        <v>9304</v>
      </c>
      <c r="O2137" s="62" t="s">
        <v>44</v>
      </c>
      <c r="P2137" s="62" t="s">
        <v>9305</v>
      </c>
      <c r="Q2137" s="62" t="s">
        <v>9306</v>
      </c>
      <c r="R2137" s="53"/>
      <c r="S2137" s="53"/>
      <c r="T2137" s="82"/>
      <c r="U2137" s="42"/>
      <c r="V2137" s="62"/>
      <c r="W2137" s="64"/>
      <c r="X2137" s="223"/>
      <c r="Y2137" s="223"/>
      <c r="Z2137" s="223"/>
      <c r="AA2137" s="223"/>
    </row>
    <row r="2138">
      <c r="A2138" s="42">
        <f t="shared" si="3"/>
        <v>2137</v>
      </c>
      <c r="B2138" s="51" t="s">
        <v>41</v>
      </c>
      <c r="C2138" s="53" t="s">
        <v>9307</v>
      </c>
      <c r="D2138" s="42" t="s">
        <v>44</v>
      </c>
      <c r="E2138" s="42" t="s">
        <v>44</v>
      </c>
      <c r="F2138" s="53" t="s">
        <v>9276</v>
      </c>
      <c r="G2138" s="53" t="s">
        <v>197</v>
      </c>
      <c r="H2138" s="53" t="s">
        <v>198</v>
      </c>
      <c r="I2138" s="53" t="s">
        <v>9222</v>
      </c>
      <c r="J2138" s="53" t="s">
        <v>9277</v>
      </c>
      <c r="K2138" s="53" t="s">
        <v>1615</v>
      </c>
      <c r="L2138" s="53" t="s">
        <v>52</v>
      </c>
      <c r="M2138" s="53" t="s">
        <v>52</v>
      </c>
      <c r="N2138" s="62" t="s">
        <v>9304</v>
      </c>
      <c r="O2138" s="62" t="s">
        <v>44</v>
      </c>
      <c r="P2138" s="62" t="s">
        <v>9308</v>
      </c>
      <c r="Q2138" s="62" t="s">
        <v>9309</v>
      </c>
      <c r="R2138" s="53"/>
      <c r="S2138" s="53"/>
      <c r="T2138" s="82"/>
      <c r="U2138" s="42"/>
      <c r="V2138" s="62"/>
      <c r="W2138" s="64"/>
      <c r="X2138" s="223"/>
      <c r="Y2138" s="223"/>
      <c r="Z2138" s="223"/>
      <c r="AA2138" s="223"/>
    </row>
    <row r="2139">
      <c r="A2139" s="42">
        <f t="shared" si="3"/>
        <v>2138</v>
      </c>
      <c r="B2139" s="51" t="s">
        <v>41</v>
      </c>
      <c r="C2139" s="53" t="s">
        <v>9310</v>
      </c>
      <c r="D2139" s="42" t="s">
        <v>44</v>
      </c>
      <c r="E2139" s="42" t="s">
        <v>44</v>
      </c>
      <c r="F2139" s="53" t="s">
        <v>9276</v>
      </c>
      <c r="G2139" s="53" t="s">
        <v>47</v>
      </c>
      <c r="H2139" s="53" t="s">
        <v>95</v>
      </c>
      <c r="I2139" s="53" t="s">
        <v>9222</v>
      </c>
      <c r="J2139" s="53" t="s">
        <v>9277</v>
      </c>
      <c r="K2139" s="53" t="s">
        <v>1615</v>
      </c>
      <c r="L2139" s="53" t="s">
        <v>52</v>
      </c>
      <c r="M2139" s="53" t="s">
        <v>52</v>
      </c>
      <c r="N2139" s="62" t="s">
        <v>9304</v>
      </c>
      <c r="O2139" s="62" t="s">
        <v>44</v>
      </c>
      <c r="P2139" s="62" t="s">
        <v>9311</v>
      </c>
      <c r="Q2139" s="62" t="s">
        <v>9312</v>
      </c>
      <c r="R2139" s="53"/>
      <c r="S2139" s="53"/>
      <c r="T2139" s="82"/>
      <c r="U2139" s="42"/>
      <c r="V2139" s="62"/>
      <c r="W2139" s="64"/>
      <c r="X2139" s="223"/>
      <c r="Y2139" s="223"/>
      <c r="Z2139" s="223"/>
      <c r="AA2139" s="223"/>
    </row>
    <row r="2140">
      <c r="A2140" s="42">
        <f t="shared" si="3"/>
        <v>2139</v>
      </c>
      <c r="B2140" s="51" t="s">
        <v>41</v>
      </c>
      <c r="C2140" s="53" t="s">
        <v>9313</v>
      </c>
      <c r="D2140" s="42" t="s">
        <v>44</v>
      </c>
      <c r="E2140" s="42" t="s">
        <v>44</v>
      </c>
      <c r="F2140" s="53" t="s">
        <v>9276</v>
      </c>
      <c r="G2140" s="53" t="s">
        <v>47</v>
      </c>
      <c r="H2140" s="53" t="s">
        <v>48</v>
      </c>
      <c r="I2140" s="53" t="s">
        <v>9222</v>
      </c>
      <c r="J2140" s="53" t="s">
        <v>9277</v>
      </c>
      <c r="K2140" s="53" t="s">
        <v>1615</v>
      </c>
      <c r="L2140" s="53" t="s">
        <v>52</v>
      </c>
      <c r="M2140" s="53" t="s">
        <v>52</v>
      </c>
      <c r="N2140" s="62" t="s">
        <v>9278</v>
      </c>
      <c r="O2140" s="62" t="s">
        <v>44</v>
      </c>
      <c r="P2140" s="62" t="s">
        <v>9314</v>
      </c>
      <c r="Q2140" s="62" t="s">
        <v>9315</v>
      </c>
      <c r="R2140" s="53"/>
      <c r="S2140" s="53"/>
      <c r="T2140" s="82"/>
      <c r="U2140" s="42"/>
      <c r="V2140" s="62"/>
      <c r="W2140" s="64"/>
      <c r="X2140" s="223"/>
      <c r="Y2140" s="223"/>
      <c r="Z2140" s="223"/>
      <c r="AA2140" s="223"/>
    </row>
    <row r="2141">
      <c r="A2141" s="42">
        <f t="shared" si="3"/>
        <v>2140</v>
      </c>
      <c r="B2141" s="51" t="s">
        <v>41</v>
      </c>
      <c r="C2141" s="53" t="s">
        <v>9316</v>
      </c>
      <c r="D2141" s="42" t="s">
        <v>44</v>
      </c>
      <c r="E2141" s="42" t="s">
        <v>44</v>
      </c>
      <c r="F2141" s="53" t="s">
        <v>9276</v>
      </c>
      <c r="G2141" s="53" t="s">
        <v>197</v>
      </c>
      <c r="H2141" s="53" t="s">
        <v>112</v>
      </c>
      <c r="I2141" s="53" t="s">
        <v>9222</v>
      </c>
      <c r="J2141" s="53" t="s">
        <v>9277</v>
      </c>
      <c r="K2141" s="53" t="s">
        <v>1615</v>
      </c>
      <c r="L2141" s="53" t="s">
        <v>52</v>
      </c>
      <c r="M2141" s="53" t="s">
        <v>52</v>
      </c>
      <c r="N2141" s="62" t="s">
        <v>9278</v>
      </c>
      <c r="O2141" s="62" t="s">
        <v>44</v>
      </c>
      <c r="P2141" s="62" t="s">
        <v>9317</v>
      </c>
      <c r="Q2141" s="62" t="s">
        <v>9302</v>
      </c>
      <c r="R2141" s="53"/>
      <c r="S2141" s="53"/>
      <c r="T2141" s="82"/>
      <c r="U2141" s="42"/>
      <c r="V2141" s="62"/>
      <c r="W2141" s="64"/>
      <c r="X2141" s="223"/>
      <c r="Y2141" s="223"/>
      <c r="Z2141" s="223"/>
      <c r="AA2141" s="223"/>
    </row>
    <row r="2142">
      <c r="A2142" s="42">
        <f t="shared" si="3"/>
        <v>2141</v>
      </c>
      <c r="B2142" s="51" t="s">
        <v>41</v>
      </c>
      <c r="C2142" s="53" t="s">
        <v>9318</v>
      </c>
      <c r="D2142" s="42" t="s">
        <v>44</v>
      </c>
      <c r="E2142" s="42" t="s">
        <v>44</v>
      </c>
      <c r="F2142" s="53" t="s">
        <v>9276</v>
      </c>
      <c r="G2142" s="53" t="s">
        <v>47</v>
      </c>
      <c r="H2142" s="53" t="s">
        <v>91</v>
      </c>
      <c r="I2142" s="53" t="s">
        <v>9222</v>
      </c>
      <c r="J2142" s="53" t="s">
        <v>9277</v>
      </c>
      <c r="K2142" s="53" t="s">
        <v>1615</v>
      </c>
      <c r="L2142" s="53" t="s">
        <v>52</v>
      </c>
      <c r="M2142" s="53" t="s">
        <v>52</v>
      </c>
      <c r="N2142" s="62" t="s">
        <v>9278</v>
      </c>
      <c r="O2142" s="62" t="s">
        <v>44</v>
      </c>
      <c r="P2142" s="62" t="s">
        <v>9319</v>
      </c>
      <c r="Q2142" s="62" t="s">
        <v>9320</v>
      </c>
      <c r="R2142" s="53"/>
      <c r="S2142" s="53"/>
      <c r="T2142" s="82"/>
      <c r="U2142" s="42"/>
      <c r="V2142" s="62"/>
      <c r="W2142" s="64"/>
      <c r="X2142" s="223"/>
      <c r="Y2142" s="223"/>
      <c r="Z2142" s="223"/>
      <c r="AA2142" s="223"/>
    </row>
    <row r="2143">
      <c r="A2143" s="42">
        <f t="shared" si="3"/>
        <v>2142</v>
      </c>
      <c r="B2143" s="51" t="s">
        <v>41</v>
      </c>
      <c r="C2143" s="53" t="s">
        <v>9321</v>
      </c>
      <c r="D2143" s="42" t="s">
        <v>44</v>
      </c>
      <c r="E2143" s="42" t="s">
        <v>44</v>
      </c>
      <c r="F2143" s="53" t="s">
        <v>9276</v>
      </c>
      <c r="G2143" s="53" t="s">
        <v>47</v>
      </c>
      <c r="H2143" s="53" t="s">
        <v>95</v>
      </c>
      <c r="I2143" s="53" t="s">
        <v>9222</v>
      </c>
      <c r="J2143" s="53" t="s">
        <v>9277</v>
      </c>
      <c r="K2143" s="53" t="s">
        <v>1615</v>
      </c>
      <c r="L2143" s="53" t="s">
        <v>52</v>
      </c>
      <c r="M2143" s="53" t="s">
        <v>52</v>
      </c>
      <c r="N2143" s="62" t="s">
        <v>9322</v>
      </c>
      <c r="O2143" s="62" t="s">
        <v>44</v>
      </c>
      <c r="P2143" s="62" t="s">
        <v>9323</v>
      </c>
      <c r="Q2143" s="62" t="s">
        <v>9324</v>
      </c>
      <c r="R2143" s="53"/>
      <c r="S2143" s="53"/>
      <c r="T2143" s="82"/>
      <c r="U2143" s="42"/>
      <c r="V2143" s="62"/>
      <c r="W2143" s="64"/>
      <c r="X2143" s="223"/>
      <c r="Y2143" s="223"/>
      <c r="Z2143" s="223"/>
      <c r="AA2143" s="223"/>
    </row>
    <row r="2144">
      <c r="A2144" s="42">
        <f t="shared" si="3"/>
        <v>2143</v>
      </c>
      <c r="B2144" s="51" t="s">
        <v>41</v>
      </c>
      <c r="C2144" s="53" t="s">
        <v>9325</v>
      </c>
      <c r="D2144" s="42" t="s">
        <v>44</v>
      </c>
      <c r="E2144" s="42" t="s">
        <v>44</v>
      </c>
      <c r="F2144" s="53" t="s">
        <v>9276</v>
      </c>
      <c r="G2144" s="53" t="s">
        <v>47</v>
      </c>
      <c r="H2144" s="53" t="s">
        <v>48</v>
      </c>
      <c r="I2144" s="53" t="s">
        <v>9222</v>
      </c>
      <c r="J2144" s="53" t="s">
        <v>9277</v>
      </c>
      <c r="K2144" s="53" t="s">
        <v>1615</v>
      </c>
      <c r="L2144" s="53" t="s">
        <v>52</v>
      </c>
      <c r="M2144" s="53" t="s">
        <v>52</v>
      </c>
      <c r="N2144" s="62" t="s">
        <v>9278</v>
      </c>
      <c r="O2144" s="62" t="s">
        <v>44</v>
      </c>
      <c r="P2144" s="62" t="s">
        <v>9326</v>
      </c>
      <c r="Q2144" s="62" t="s">
        <v>9327</v>
      </c>
      <c r="R2144" s="53"/>
      <c r="S2144" s="53"/>
      <c r="T2144" s="82"/>
      <c r="U2144" s="42"/>
      <c r="V2144" s="62"/>
      <c r="W2144" s="64"/>
      <c r="X2144" s="223"/>
      <c r="Y2144" s="223"/>
      <c r="Z2144" s="223"/>
      <c r="AA2144" s="223"/>
    </row>
    <row r="2145">
      <c r="A2145" s="42">
        <f t="shared" si="3"/>
        <v>2144</v>
      </c>
      <c r="B2145" s="51" t="s">
        <v>41</v>
      </c>
      <c r="C2145" s="53" t="s">
        <v>9328</v>
      </c>
      <c r="D2145" s="42" t="s">
        <v>44</v>
      </c>
      <c r="E2145" s="42" t="s">
        <v>44</v>
      </c>
      <c r="F2145" s="53" t="s">
        <v>9329</v>
      </c>
      <c r="G2145" s="53" t="s">
        <v>47</v>
      </c>
      <c r="H2145" s="53" t="s">
        <v>48</v>
      </c>
      <c r="I2145" s="53" t="s">
        <v>9222</v>
      </c>
      <c r="J2145" s="53" t="s">
        <v>9330</v>
      </c>
      <c r="K2145" s="53" t="s">
        <v>3753</v>
      </c>
      <c r="L2145" s="53" t="s">
        <v>52</v>
      </c>
      <c r="M2145" s="53" t="s">
        <v>52</v>
      </c>
      <c r="N2145" s="62" t="s">
        <v>9331</v>
      </c>
      <c r="O2145" s="62" t="s">
        <v>44</v>
      </c>
      <c r="P2145" s="62" t="s">
        <v>9279</v>
      </c>
      <c r="Q2145" s="62" t="s">
        <v>9280</v>
      </c>
      <c r="R2145" s="53"/>
      <c r="S2145" s="53"/>
      <c r="T2145" s="82"/>
      <c r="U2145" s="42"/>
      <c r="V2145" s="62"/>
      <c r="W2145" s="64"/>
      <c r="X2145" s="223"/>
      <c r="Y2145" s="223"/>
      <c r="Z2145" s="223"/>
      <c r="AA2145" s="223"/>
    </row>
    <row r="2146">
      <c r="A2146" s="42">
        <f t="shared" si="3"/>
        <v>2145</v>
      </c>
      <c r="B2146" s="51" t="s">
        <v>41</v>
      </c>
      <c r="C2146" s="53" t="s">
        <v>9332</v>
      </c>
      <c r="D2146" s="42" t="s">
        <v>44</v>
      </c>
      <c r="E2146" s="42" t="s">
        <v>44</v>
      </c>
      <c r="F2146" s="53" t="s">
        <v>9329</v>
      </c>
      <c r="G2146" s="53" t="s">
        <v>197</v>
      </c>
      <c r="H2146" s="53" t="s">
        <v>112</v>
      </c>
      <c r="I2146" s="53" t="s">
        <v>9222</v>
      </c>
      <c r="J2146" s="53" t="s">
        <v>9330</v>
      </c>
      <c r="K2146" s="53" t="s">
        <v>3753</v>
      </c>
      <c r="L2146" s="53" t="s">
        <v>52</v>
      </c>
      <c r="M2146" s="53" t="s">
        <v>52</v>
      </c>
      <c r="N2146" s="62" t="s">
        <v>9333</v>
      </c>
      <c r="O2146" s="62" t="s">
        <v>44</v>
      </c>
      <c r="P2146" s="62" t="s">
        <v>9334</v>
      </c>
      <c r="Q2146" s="62" t="s">
        <v>9335</v>
      </c>
      <c r="R2146" s="53"/>
      <c r="S2146" s="53"/>
      <c r="T2146" s="82"/>
      <c r="U2146" s="42"/>
      <c r="V2146" s="62"/>
      <c r="W2146" s="64"/>
      <c r="X2146" s="223"/>
      <c r="Y2146" s="223"/>
      <c r="Z2146" s="223"/>
      <c r="AA2146" s="223"/>
    </row>
    <row r="2147">
      <c r="A2147" s="42">
        <f t="shared" si="3"/>
        <v>2146</v>
      </c>
      <c r="B2147" s="51" t="s">
        <v>41</v>
      </c>
      <c r="C2147" s="53" t="s">
        <v>9336</v>
      </c>
      <c r="D2147" s="42" t="s">
        <v>44</v>
      </c>
      <c r="E2147" s="42" t="s">
        <v>44</v>
      </c>
      <c r="F2147" s="53" t="s">
        <v>9329</v>
      </c>
      <c r="G2147" s="53" t="s">
        <v>47</v>
      </c>
      <c r="H2147" s="53" t="s">
        <v>95</v>
      </c>
      <c r="I2147" s="53" t="s">
        <v>9222</v>
      </c>
      <c r="J2147" s="53" t="s">
        <v>9330</v>
      </c>
      <c r="K2147" s="53" t="s">
        <v>3753</v>
      </c>
      <c r="L2147" s="53" t="s">
        <v>52</v>
      </c>
      <c r="M2147" s="53" t="s">
        <v>52</v>
      </c>
      <c r="N2147" s="62" t="s">
        <v>9337</v>
      </c>
      <c r="O2147" s="62" t="s">
        <v>44</v>
      </c>
      <c r="P2147" s="62" t="s">
        <v>9338</v>
      </c>
      <c r="Q2147" s="62" t="s">
        <v>9339</v>
      </c>
      <c r="R2147" s="53"/>
      <c r="S2147" s="53"/>
      <c r="T2147" s="82"/>
      <c r="U2147" s="42"/>
      <c r="V2147" s="62"/>
      <c r="W2147" s="64"/>
      <c r="X2147" s="223"/>
      <c r="Y2147" s="223"/>
      <c r="Z2147" s="223"/>
      <c r="AA2147" s="223"/>
    </row>
    <row r="2148">
      <c r="A2148" s="42">
        <f t="shared" si="3"/>
        <v>2147</v>
      </c>
      <c r="B2148" s="51" t="s">
        <v>41</v>
      </c>
      <c r="C2148" s="53" t="s">
        <v>9340</v>
      </c>
      <c r="D2148" s="42" t="s">
        <v>44</v>
      </c>
      <c r="E2148" s="42" t="s">
        <v>44</v>
      </c>
      <c r="F2148" s="53" t="s">
        <v>9329</v>
      </c>
      <c r="G2148" s="53" t="s">
        <v>47</v>
      </c>
      <c r="H2148" s="53" t="s">
        <v>48</v>
      </c>
      <c r="I2148" s="53" t="s">
        <v>9222</v>
      </c>
      <c r="J2148" s="53" t="s">
        <v>9330</v>
      </c>
      <c r="K2148" s="53" t="s">
        <v>3753</v>
      </c>
      <c r="L2148" s="53" t="s">
        <v>52</v>
      </c>
      <c r="M2148" s="53" t="s">
        <v>52</v>
      </c>
      <c r="N2148" s="62" t="s">
        <v>9331</v>
      </c>
      <c r="O2148" s="62" t="s">
        <v>44</v>
      </c>
      <c r="P2148" s="62" t="s">
        <v>9295</v>
      </c>
      <c r="Q2148" s="62" t="s">
        <v>9341</v>
      </c>
      <c r="R2148" s="53"/>
      <c r="S2148" s="53"/>
      <c r="T2148" s="82"/>
      <c r="U2148" s="42"/>
      <c r="V2148" s="62"/>
      <c r="W2148" s="64"/>
      <c r="X2148" s="223"/>
      <c r="Y2148" s="223"/>
      <c r="Z2148" s="223"/>
      <c r="AA2148" s="223"/>
    </row>
    <row r="2149">
      <c r="A2149" s="42">
        <f t="shared" si="3"/>
        <v>2148</v>
      </c>
      <c r="B2149" s="51" t="s">
        <v>41</v>
      </c>
      <c r="C2149" s="53" t="s">
        <v>9342</v>
      </c>
      <c r="D2149" s="42" t="s">
        <v>44</v>
      </c>
      <c r="E2149" s="42" t="s">
        <v>44</v>
      </c>
      <c r="F2149" s="53" t="s">
        <v>9329</v>
      </c>
      <c r="G2149" s="53" t="s">
        <v>47</v>
      </c>
      <c r="H2149" s="53" t="s">
        <v>48</v>
      </c>
      <c r="I2149" s="53" t="s">
        <v>9222</v>
      </c>
      <c r="J2149" s="53" t="s">
        <v>9330</v>
      </c>
      <c r="K2149" s="53" t="s">
        <v>3753</v>
      </c>
      <c r="L2149" s="53" t="s">
        <v>52</v>
      </c>
      <c r="M2149" s="53" t="s">
        <v>52</v>
      </c>
      <c r="N2149" s="62" t="s">
        <v>9331</v>
      </c>
      <c r="O2149" s="62" t="s">
        <v>44</v>
      </c>
      <c r="P2149" s="62" t="s">
        <v>9343</v>
      </c>
      <c r="Q2149" s="62" t="s">
        <v>9344</v>
      </c>
      <c r="R2149" s="53"/>
      <c r="S2149" s="53"/>
      <c r="T2149" s="82"/>
      <c r="U2149" s="42"/>
      <c r="V2149" s="62"/>
      <c r="W2149" s="64"/>
      <c r="X2149" s="223"/>
      <c r="Y2149" s="223"/>
      <c r="Z2149" s="223"/>
      <c r="AA2149" s="223"/>
    </row>
    <row r="2150">
      <c r="A2150" s="42">
        <f t="shared" si="3"/>
        <v>2149</v>
      </c>
      <c r="B2150" s="51" t="s">
        <v>41</v>
      </c>
      <c r="C2150" s="53" t="s">
        <v>9345</v>
      </c>
      <c r="D2150" s="42" t="s">
        <v>44</v>
      </c>
      <c r="E2150" s="42" t="s">
        <v>44</v>
      </c>
      <c r="F2150" s="53" t="s">
        <v>9329</v>
      </c>
      <c r="G2150" s="53" t="s">
        <v>47</v>
      </c>
      <c r="H2150" s="53" t="s">
        <v>48</v>
      </c>
      <c r="I2150" s="53" t="s">
        <v>9222</v>
      </c>
      <c r="J2150" s="53" t="s">
        <v>9330</v>
      </c>
      <c r="K2150" s="53" t="s">
        <v>3753</v>
      </c>
      <c r="L2150" s="53" t="s">
        <v>52</v>
      </c>
      <c r="M2150" s="53" t="s">
        <v>52</v>
      </c>
      <c r="N2150" s="62" t="s">
        <v>9331</v>
      </c>
      <c r="O2150" s="62" t="s">
        <v>44</v>
      </c>
      <c r="P2150" s="62" t="s">
        <v>9346</v>
      </c>
      <c r="Q2150" s="62" t="s">
        <v>9347</v>
      </c>
      <c r="R2150" s="53"/>
      <c r="S2150" s="53"/>
      <c r="T2150" s="82"/>
      <c r="U2150" s="42"/>
      <c r="V2150" s="62"/>
      <c r="W2150" s="64"/>
      <c r="X2150" s="223"/>
      <c r="Y2150" s="223"/>
      <c r="Z2150" s="223"/>
      <c r="AA2150" s="223"/>
    </row>
    <row r="2151">
      <c r="A2151" s="42">
        <f t="shared" si="3"/>
        <v>2150</v>
      </c>
      <c r="B2151" s="51" t="s">
        <v>41</v>
      </c>
      <c r="C2151" s="53" t="s">
        <v>9348</v>
      </c>
      <c r="D2151" s="42" t="s">
        <v>44</v>
      </c>
      <c r="E2151" s="42" t="s">
        <v>44</v>
      </c>
      <c r="F2151" s="53" t="s">
        <v>9329</v>
      </c>
      <c r="G2151" s="53" t="s">
        <v>47</v>
      </c>
      <c r="H2151" s="53" t="s">
        <v>91</v>
      </c>
      <c r="I2151" s="53" t="s">
        <v>9222</v>
      </c>
      <c r="J2151" s="53" t="s">
        <v>9330</v>
      </c>
      <c r="K2151" s="53" t="s">
        <v>3753</v>
      </c>
      <c r="L2151" s="53" t="s">
        <v>52</v>
      </c>
      <c r="M2151" s="53" t="s">
        <v>52</v>
      </c>
      <c r="N2151" s="62" t="s">
        <v>9349</v>
      </c>
      <c r="O2151" s="62" t="s">
        <v>44</v>
      </c>
      <c r="P2151" s="62" t="s">
        <v>9350</v>
      </c>
      <c r="Q2151" s="62" t="s">
        <v>9351</v>
      </c>
      <c r="R2151" s="53"/>
      <c r="S2151" s="53"/>
      <c r="T2151" s="82"/>
      <c r="U2151" s="42"/>
      <c r="V2151" s="62"/>
      <c r="W2151" s="64"/>
      <c r="X2151" s="223"/>
      <c r="Y2151" s="223"/>
      <c r="Z2151" s="223"/>
      <c r="AA2151" s="223"/>
    </row>
    <row r="2152">
      <c r="A2152" s="42">
        <f t="shared" si="3"/>
        <v>2151</v>
      </c>
      <c r="B2152" s="51" t="s">
        <v>41</v>
      </c>
      <c r="C2152" s="53" t="s">
        <v>9352</v>
      </c>
      <c r="D2152" s="42" t="s">
        <v>44</v>
      </c>
      <c r="E2152" s="42" t="s">
        <v>44</v>
      </c>
      <c r="F2152" s="53" t="s">
        <v>9329</v>
      </c>
      <c r="G2152" s="53" t="s">
        <v>47</v>
      </c>
      <c r="H2152" s="53" t="s">
        <v>48</v>
      </c>
      <c r="I2152" s="53" t="s">
        <v>9222</v>
      </c>
      <c r="J2152" s="53" t="s">
        <v>9330</v>
      </c>
      <c r="K2152" s="53" t="s">
        <v>3753</v>
      </c>
      <c r="L2152" s="53" t="s">
        <v>52</v>
      </c>
      <c r="M2152" s="53" t="s">
        <v>52</v>
      </c>
      <c r="N2152" s="62" t="s">
        <v>9331</v>
      </c>
      <c r="O2152" s="62" t="s">
        <v>44</v>
      </c>
      <c r="P2152" s="62" t="s">
        <v>9326</v>
      </c>
      <c r="Q2152" s="62" t="s">
        <v>9327</v>
      </c>
      <c r="R2152" s="53"/>
      <c r="S2152" s="53"/>
      <c r="T2152" s="82"/>
      <c r="U2152" s="42"/>
      <c r="V2152" s="62"/>
      <c r="W2152" s="64"/>
      <c r="X2152" s="223"/>
      <c r="Y2152" s="223"/>
      <c r="Z2152" s="223"/>
      <c r="AA2152" s="223"/>
    </row>
    <row r="2153">
      <c r="A2153" s="42">
        <f t="shared" si="3"/>
        <v>2152</v>
      </c>
      <c r="B2153" s="51" t="s">
        <v>41</v>
      </c>
      <c r="C2153" s="53" t="s">
        <v>9353</v>
      </c>
      <c r="D2153" s="42" t="s">
        <v>44</v>
      </c>
      <c r="E2153" s="42" t="s">
        <v>44</v>
      </c>
      <c r="F2153" s="53" t="s">
        <v>9354</v>
      </c>
      <c r="G2153" s="53" t="s">
        <v>197</v>
      </c>
      <c r="H2153" s="53" t="s">
        <v>112</v>
      </c>
      <c r="I2153" s="53" t="s">
        <v>9222</v>
      </c>
      <c r="J2153" s="53" t="s">
        <v>9355</v>
      </c>
      <c r="K2153" s="53" t="s">
        <v>3753</v>
      </c>
      <c r="L2153" s="53" t="s">
        <v>52</v>
      </c>
      <c r="M2153" s="53" t="s">
        <v>52</v>
      </c>
      <c r="N2153" s="62" t="s">
        <v>9356</v>
      </c>
      <c r="O2153" s="62" t="s">
        <v>44</v>
      </c>
      <c r="P2153" s="62" t="s">
        <v>3893</v>
      </c>
      <c r="Q2153" s="62" t="s">
        <v>9357</v>
      </c>
      <c r="R2153" s="53"/>
      <c r="S2153" s="53"/>
      <c r="T2153" s="82"/>
      <c r="U2153" s="42"/>
      <c r="V2153" s="62"/>
      <c r="W2153" s="64"/>
      <c r="X2153" s="223"/>
      <c r="Y2153" s="223"/>
      <c r="Z2153" s="223"/>
      <c r="AA2153" s="223"/>
    </row>
    <row r="2154">
      <c r="A2154" s="42">
        <f t="shared" si="3"/>
        <v>2153</v>
      </c>
      <c r="B2154" s="51" t="s">
        <v>41</v>
      </c>
      <c r="C2154" s="53" t="s">
        <v>9358</v>
      </c>
      <c r="D2154" s="42" t="s">
        <v>44</v>
      </c>
      <c r="E2154" s="42" t="s">
        <v>44</v>
      </c>
      <c r="F2154" s="53" t="s">
        <v>9354</v>
      </c>
      <c r="G2154" s="53" t="s">
        <v>47</v>
      </c>
      <c r="H2154" s="53" t="s">
        <v>48</v>
      </c>
      <c r="I2154" s="53" t="s">
        <v>9222</v>
      </c>
      <c r="J2154" s="53" t="s">
        <v>9359</v>
      </c>
      <c r="K2154" s="53" t="s">
        <v>51</v>
      </c>
      <c r="L2154" s="53" t="s">
        <v>52</v>
      </c>
      <c r="M2154" s="53" t="s">
        <v>52</v>
      </c>
      <c r="N2154" s="62" t="s">
        <v>9360</v>
      </c>
      <c r="O2154" s="62" t="s">
        <v>44</v>
      </c>
      <c r="P2154" s="62" t="s">
        <v>9361</v>
      </c>
      <c r="Q2154" s="62" t="s">
        <v>9362</v>
      </c>
      <c r="R2154" s="53"/>
      <c r="S2154" s="53"/>
      <c r="T2154" s="82"/>
      <c r="U2154" s="42"/>
      <c r="V2154" s="62"/>
      <c r="W2154" s="64"/>
      <c r="X2154" s="223"/>
      <c r="Y2154" s="223"/>
      <c r="Z2154" s="223"/>
      <c r="AA2154" s="223"/>
    </row>
    <row r="2155">
      <c r="A2155" s="42">
        <f t="shared" si="3"/>
        <v>2154</v>
      </c>
      <c r="B2155" s="51" t="s">
        <v>41</v>
      </c>
      <c r="C2155" s="53" t="s">
        <v>9363</v>
      </c>
      <c r="D2155" s="42" t="s">
        <v>44</v>
      </c>
      <c r="E2155" s="42" t="s">
        <v>44</v>
      </c>
      <c r="F2155" s="53" t="s">
        <v>9354</v>
      </c>
      <c r="G2155" s="53" t="s">
        <v>47</v>
      </c>
      <c r="H2155" s="53" t="s">
        <v>91</v>
      </c>
      <c r="I2155" s="53" t="s">
        <v>9222</v>
      </c>
      <c r="J2155" s="53" t="s">
        <v>9359</v>
      </c>
      <c r="K2155" s="53" t="s">
        <v>51</v>
      </c>
      <c r="L2155" s="53" t="s">
        <v>52</v>
      </c>
      <c r="M2155" s="53" t="s">
        <v>52</v>
      </c>
      <c r="N2155" s="62" t="s">
        <v>9364</v>
      </c>
      <c r="O2155" s="62" t="s">
        <v>44</v>
      </c>
      <c r="P2155" s="62" t="s">
        <v>9365</v>
      </c>
      <c r="Q2155" s="62" t="s">
        <v>9366</v>
      </c>
      <c r="R2155" s="53"/>
      <c r="S2155" s="53"/>
      <c r="T2155" s="82"/>
      <c r="U2155" s="42"/>
      <c r="V2155" s="62"/>
      <c r="W2155" s="64"/>
      <c r="X2155" s="223"/>
      <c r="Y2155" s="223"/>
      <c r="Z2155" s="223"/>
      <c r="AA2155" s="223"/>
    </row>
    <row r="2156">
      <c r="A2156" s="42">
        <f t="shared" si="3"/>
        <v>2155</v>
      </c>
      <c r="B2156" s="51" t="s">
        <v>41</v>
      </c>
      <c r="C2156" s="53" t="s">
        <v>9367</v>
      </c>
      <c r="D2156" s="42" t="s">
        <v>44</v>
      </c>
      <c r="E2156" s="42" t="s">
        <v>44</v>
      </c>
      <c r="F2156" s="53" t="s">
        <v>9354</v>
      </c>
      <c r="G2156" s="53" t="s">
        <v>47</v>
      </c>
      <c r="H2156" s="53" t="s">
        <v>48</v>
      </c>
      <c r="I2156" s="53" t="s">
        <v>9222</v>
      </c>
      <c r="J2156" s="53" t="s">
        <v>9359</v>
      </c>
      <c r="K2156" s="53" t="s">
        <v>51</v>
      </c>
      <c r="L2156" s="53" t="s">
        <v>52</v>
      </c>
      <c r="M2156" s="53" t="s">
        <v>52</v>
      </c>
      <c r="N2156" s="62" t="s">
        <v>9360</v>
      </c>
      <c r="O2156" s="62" t="s">
        <v>44</v>
      </c>
      <c r="P2156" s="62" t="s">
        <v>9368</v>
      </c>
      <c r="Q2156" s="62" t="s">
        <v>9283</v>
      </c>
      <c r="R2156" s="53"/>
      <c r="S2156" s="53"/>
      <c r="T2156" s="82"/>
      <c r="U2156" s="42"/>
      <c r="V2156" s="62"/>
      <c r="W2156" s="64"/>
      <c r="X2156" s="223"/>
      <c r="Y2156" s="223"/>
      <c r="Z2156" s="223"/>
      <c r="AA2156" s="223"/>
    </row>
    <row r="2157">
      <c r="A2157" s="42">
        <f t="shared" si="3"/>
        <v>2156</v>
      </c>
      <c r="B2157" s="51" t="s">
        <v>41</v>
      </c>
      <c r="C2157" s="53" t="s">
        <v>9369</v>
      </c>
      <c r="D2157" s="42" t="s">
        <v>44</v>
      </c>
      <c r="E2157" s="42" t="s">
        <v>44</v>
      </c>
      <c r="F2157" s="53" t="s">
        <v>9354</v>
      </c>
      <c r="G2157" s="53" t="s">
        <v>47</v>
      </c>
      <c r="H2157" s="53" t="s">
        <v>48</v>
      </c>
      <c r="I2157" s="53" t="s">
        <v>9222</v>
      </c>
      <c r="J2157" s="53" t="s">
        <v>9359</v>
      </c>
      <c r="K2157" s="53" t="s">
        <v>51</v>
      </c>
      <c r="L2157" s="53" t="s">
        <v>52</v>
      </c>
      <c r="M2157" s="53" t="s">
        <v>52</v>
      </c>
      <c r="N2157" s="62" t="s">
        <v>9360</v>
      </c>
      <c r="O2157" s="62" t="s">
        <v>44</v>
      </c>
      <c r="P2157" s="62" t="s">
        <v>9370</v>
      </c>
      <c r="Q2157" s="62" t="s">
        <v>9371</v>
      </c>
      <c r="R2157" s="53"/>
      <c r="S2157" s="53"/>
      <c r="T2157" s="82"/>
      <c r="U2157" s="42"/>
      <c r="V2157" s="62"/>
      <c r="W2157" s="64"/>
      <c r="X2157" s="223"/>
      <c r="Y2157" s="223"/>
      <c r="Z2157" s="223"/>
      <c r="AA2157" s="223"/>
    </row>
    <row r="2158">
      <c r="A2158" s="42">
        <f t="shared" si="3"/>
        <v>2157</v>
      </c>
      <c r="B2158" s="51" t="s">
        <v>41</v>
      </c>
      <c r="C2158" s="53" t="s">
        <v>9372</v>
      </c>
      <c r="D2158" s="42" t="s">
        <v>44</v>
      </c>
      <c r="E2158" s="42" t="s">
        <v>44</v>
      </c>
      <c r="F2158" s="53" t="s">
        <v>9354</v>
      </c>
      <c r="G2158" s="53" t="s">
        <v>197</v>
      </c>
      <c r="H2158" s="53" t="s">
        <v>112</v>
      </c>
      <c r="I2158" s="53" t="s">
        <v>9222</v>
      </c>
      <c r="J2158" s="53" t="s">
        <v>9359</v>
      </c>
      <c r="K2158" s="53" t="s">
        <v>51</v>
      </c>
      <c r="L2158" s="53" t="s">
        <v>52</v>
      </c>
      <c r="M2158" s="53" t="s">
        <v>52</v>
      </c>
      <c r="N2158" s="62" t="s">
        <v>9360</v>
      </c>
      <c r="O2158" s="62" t="s">
        <v>44</v>
      </c>
      <c r="P2158" s="62" t="s">
        <v>9373</v>
      </c>
      <c r="Q2158" s="62" t="s">
        <v>9374</v>
      </c>
      <c r="R2158" s="53"/>
      <c r="S2158" s="53"/>
      <c r="T2158" s="82"/>
      <c r="U2158" s="42"/>
      <c r="V2158" s="62"/>
      <c r="W2158" s="64"/>
      <c r="X2158" s="223"/>
      <c r="Y2158" s="223"/>
      <c r="Z2158" s="223"/>
      <c r="AA2158" s="223"/>
    </row>
    <row r="2159">
      <c r="A2159" s="42">
        <f t="shared" si="3"/>
        <v>2158</v>
      </c>
      <c r="B2159" s="51" t="s">
        <v>41</v>
      </c>
      <c r="C2159" s="53" t="s">
        <v>9375</v>
      </c>
      <c r="D2159" s="42" t="s">
        <v>44</v>
      </c>
      <c r="E2159" s="42" t="s">
        <v>44</v>
      </c>
      <c r="F2159" s="53" t="s">
        <v>9354</v>
      </c>
      <c r="G2159" s="53" t="s">
        <v>47</v>
      </c>
      <c r="H2159" s="53" t="s">
        <v>91</v>
      </c>
      <c r="I2159" s="53" t="s">
        <v>9222</v>
      </c>
      <c r="J2159" s="53" t="s">
        <v>9359</v>
      </c>
      <c r="K2159" s="53" t="s">
        <v>51</v>
      </c>
      <c r="L2159" s="53" t="s">
        <v>52</v>
      </c>
      <c r="M2159" s="53" t="s">
        <v>52</v>
      </c>
      <c r="N2159" s="62" t="s">
        <v>9360</v>
      </c>
      <c r="O2159" s="62" t="s">
        <v>44</v>
      </c>
      <c r="P2159" s="62" t="s">
        <v>3419</v>
      </c>
      <c r="Q2159" s="62" t="s">
        <v>9376</v>
      </c>
      <c r="R2159" s="53"/>
      <c r="S2159" s="53"/>
      <c r="T2159" s="82"/>
      <c r="U2159" s="42"/>
      <c r="V2159" s="62"/>
      <c r="W2159" s="64"/>
      <c r="X2159" s="223"/>
      <c r="Y2159" s="223"/>
      <c r="Z2159" s="223"/>
      <c r="AA2159" s="223"/>
    </row>
    <row r="2160">
      <c r="A2160" s="42">
        <f t="shared" si="3"/>
        <v>2159</v>
      </c>
      <c r="B2160" s="51" t="s">
        <v>41</v>
      </c>
      <c r="C2160" s="53" t="s">
        <v>9377</v>
      </c>
      <c r="D2160" s="42" t="s">
        <v>44</v>
      </c>
      <c r="E2160" s="42" t="s">
        <v>44</v>
      </c>
      <c r="F2160" s="53" t="s">
        <v>9378</v>
      </c>
      <c r="G2160" s="53" t="s">
        <v>47</v>
      </c>
      <c r="H2160" s="53" t="s">
        <v>48</v>
      </c>
      <c r="I2160" s="53" t="s">
        <v>9222</v>
      </c>
      <c r="J2160" s="53" t="s">
        <v>9379</v>
      </c>
      <c r="K2160" s="53" t="s">
        <v>1615</v>
      </c>
      <c r="L2160" s="53" t="s">
        <v>52</v>
      </c>
      <c r="M2160" s="53" t="s">
        <v>52</v>
      </c>
      <c r="N2160" s="62" t="s">
        <v>9380</v>
      </c>
      <c r="O2160" s="62" t="s">
        <v>44</v>
      </c>
      <c r="P2160" s="62" t="s">
        <v>9381</v>
      </c>
      <c r="Q2160" s="62" t="s">
        <v>9382</v>
      </c>
      <c r="R2160" s="53"/>
      <c r="S2160" s="53"/>
      <c r="T2160" s="82"/>
      <c r="U2160" s="42"/>
      <c r="V2160" s="62"/>
      <c r="W2160" s="64"/>
      <c r="X2160" s="223"/>
      <c r="Y2160" s="223"/>
      <c r="Z2160" s="223"/>
      <c r="AA2160" s="223"/>
    </row>
    <row r="2161">
      <c r="A2161" s="42">
        <f t="shared" si="3"/>
        <v>2160</v>
      </c>
      <c r="B2161" s="51" t="s">
        <v>41</v>
      </c>
      <c r="C2161" s="53" t="s">
        <v>9383</v>
      </c>
      <c r="D2161" s="42" t="s">
        <v>44</v>
      </c>
      <c r="E2161" s="42" t="s">
        <v>44</v>
      </c>
      <c r="F2161" s="53" t="s">
        <v>9378</v>
      </c>
      <c r="G2161" s="53" t="s">
        <v>47</v>
      </c>
      <c r="H2161" s="53" t="s">
        <v>48</v>
      </c>
      <c r="I2161" s="53" t="s">
        <v>9222</v>
      </c>
      <c r="J2161" s="53" t="s">
        <v>9379</v>
      </c>
      <c r="K2161" s="53" t="s">
        <v>1615</v>
      </c>
      <c r="L2161" s="53" t="s">
        <v>52</v>
      </c>
      <c r="M2161" s="53" t="s">
        <v>52</v>
      </c>
      <c r="N2161" s="62" t="s">
        <v>9380</v>
      </c>
      <c r="O2161" s="62" t="s">
        <v>44</v>
      </c>
      <c r="P2161" s="62" t="s">
        <v>9384</v>
      </c>
      <c r="Q2161" s="62" t="s">
        <v>9385</v>
      </c>
      <c r="R2161" s="53"/>
      <c r="S2161" s="53"/>
      <c r="T2161" s="82"/>
      <c r="U2161" s="42"/>
      <c r="V2161" s="62"/>
      <c r="W2161" s="64"/>
      <c r="X2161" s="223"/>
      <c r="Y2161" s="223"/>
      <c r="Z2161" s="223"/>
      <c r="AA2161" s="223"/>
    </row>
    <row r="2162">
      <c r="A2162" s="42">
        <f t="shared" si="3"/>
        <v>2161</v>
      </c>
      <c r="B2162" s="51" t="s">
        <v>41</v>
      </c>
      <c r="C2162" s="53" t="s">
        <v>9386</v>
      </c>
      <c r="D2162" s="42" t="s">
        <v>44</v>
      </c>
      <c r="E2162" s="42" t="s">
        <v>44</v>
      </c>
      <c r="F2162" s="53" t="s">
        <v>9378</v>
      </c>
      <c r="G2162" s="53" t="s">
        <v>47</v>
      </c>
      <c r="H2162" s="53" t="s">
        <v>48</v>
      </c>
      <c r="I2162" s="53" t="s">
        <v>9222</v>
      </c>
      <c r="J2162" s="53" t="s">
        <v>9379</v>
      </c>
      <c r="K2162" s="53" t="s">
        <v>1615</v>
      </c>
      <c r="L2162" s="53" t="s">
        <v>52</v>
      </c>
      <c r="M2162" s="53" t="s">
        <v>52</v>
      </c>
      <c r="N2162" s="62" t="s">
        <v>9380</v>
      </c>
      <c r="O2162" s="62" t="s">
        <v>44</v>
      </c>
      <c r="P2162" s="62" t="s">
        <v>9387</v>
      </c>
      <c r="Q2162" s="62" t="s">
        <v>9388</v>
      </c>
      <c r="R2162" s="53"/>
      <c r="S2162" s="53"/>
      <c r="T2162" s="82"/>
      <c r="U2162" s="42"/>
      <c r="V2162" s="62"/>
      <c r="W2162" s="64"/>
      <c r="X2162" s="223"/>
      <c r="Y2162" s="223"/>
      <c r="Z2162" s="223"/>
      <c r="AA2162" s="223"/>
    </row>
    <row r="2163">
      <c r="A2163" s="42">
        <f t="shared" si="3"/>
        <v>2162</v>
      </c>
      <c r="B2163" s="51" t="s">
        <v>41</v>
      </c>
      <c r="C2163" s="53" t="s">
        <v>9389</v>
      </c>
      <c r="D2163" s="42" t="s">
        <v>44</v>
      </c>
      <c r="E2163" s="42" t="s">
        <v>44</v>
      </c>
      <c r="F2163" s="53" t="s">
        <v>9378</v>
      </c>
      <c r="G2163" s="53" t="s">
        <v>47</v>
      </c>
      <c r="H2163" s="53" t="s">
        <v>48</v>
      </c>
      <c r="I2163" s="53" t="s">
        <v>9222</v>
      </c>
      <c r="J2163" s="53" t="s">
        <v>9379</v>
      </c>
      <c r="K2163" s="53" t="s">
        <v>1615</v>
      </c>
      <c r="L2163" s="53" t="s">
        <v>52</v>
      </c>
      <c r="M2163" s="53" t="s">
        <v>52</v>
      </c>
      <c r="N2163" s="62" t="s">
        <v>9380</v>
      </c>
      <c r="O2163" s="62" t="s">
        <v>44</v>
      </c>
      <c r="P2163" s="62" t="s">
        <v>9390</v>
      </c>
      <c r="Q2163" s="62" t="s">
        <v>9391</v>
      </c>
      <c r="R2163" s="53"/>
      <c r="S2163" s="53"/>
      <c r="T2163" s="82"/>
      <c r="U2163" s="42"/>
      <c r="V2163" s="62"/>
      <c r="W2163" s="64"/>
      <c r="X2163" s="223"/>
      <c r="Y2163" s="223"/>
      <c r="Z2163" s="223"/>
      <c r="AA2163" s="223"/>
    </row>
    <row r="2164">
      <c r="A2164" s="42">
        <f t="shared" si="3"/>
        <v>2163</v>
      </c>
      <c r="B2164" s="51" t="s">
        <v>41</v>
      </c>
      <c r="C2164" s="53" t="s">
        <v>9392</v>
      </c>
      <c r="D2164" s="42" t="s">
        <v>44</v>
      </c>
      <c r="E2164" s="42" t="s">
        <v>44</v>
      </c>
      <c r="F2164" s="53" t="s">
        <v>9378</v>
      </c>
      <c r="G2164" s="53" t="s">
        <v>197</v>
      </c>
      <c r="H2164" s="53" t="s">
        <v>112</v>
      </c>
      <c r="I2164" s="53" t="s">
        <v>9222</v>
      </c>
      <c r="J2164" s="53" t="s">
        <v>9379</v>
      </c>
      <c r="K2164" s="53" t="s">
        <v>1615</v>
      </c>
      <c r="L2164" s="53" t="s">
        <v>52</v>
      </c>
      <c r="M2164" s="53" t="s">
        <v>52</v>
      </c>
      <c r="N2164" s="62" t="s">
        <v>9393</v>
      </c>
      <c r="O2164" s="62" t="s">
        <v>44</v>
      </c>
      <c r="P2164" s="62" t="s">
        <v>9394</v>
      </c>
      <c r="Q2164" s="62" t="s">
        <v>9395</v>
      </c>
      <c r="R2164" s="53"/>
      <c r="S2164" s="53"/>
      <c r="T2164" s="82"/>
      <c r="U2164" s="42"/>
      <c r="V2164" s="62"/>
      <c r="W2164" s="64"/>
      <c r="X2164" s="223"/>
      <c r="Y2164" s="223"/>
      <c r="Z2164" s="223"/>
      <c r="AA2164" s="223"/>
    </row>
    <row r="2165">
      <c r="A2165" s="42">
        <f t="shared" si="3"/>
        <v>2164</v>
      </c>
      <c r="B2165" s="51" t="s">
        <v>41</v>
      </c>
      <c r="C2165" s="53" t="s">
        <v>9396</v>
      </c>
      <c r="D2165" s="42" t="s">
        <v>44</v>
      </c>
      <c r="E2165" s="42" t="s">
        <v>44</v>
      </c>
      <c r="F2165" s="53" t="s">
        <v>9378</v>
      </c>
      <c r="G2165" s="53" t="s">
        <v>47</v>
      </c>
      <c r="H2165" s="53" t="s">
        <v>48</v>
      </c>
      <c r="I2165" s="53" t="s">
        <v>9222</v>
      </c>
      <c r="J2165" s="53" t="s">
        <v>9379</v>
      </c>
      <c r="K2165" s="53" t="s">
        <v>1615</v>
      </c>
      <c r="L2165" s="53" t="s">
        <v>52</v>
      </c>
      <c r="M2165" s="53" t="s">
        <v>52</v>
      </c>
      <c r="N2165" s="62" t="s">
        <v>9393</v>
      </c>
      <c r="O2165" s="62" t="s">
        <v>44</v>
      </c>
      <c r="P2165" s="62" t="s">
        <v>9397</v>
      </c>
      <c r="Q2165" s="62" t="s">
        <v>9398</v>
      </c>
      <c r="R2165" s="53"/>
      <c r="S2165" s="53"/>
      <c r="T2165" s="82"/>
      <c r="U2165" s="42"/>
      <c r="V2165" s="62"/>
      <c r="W2165" s="64"/>
      <c r="X2165" s="223"/>
      <c r="Y2165" s="223"/>
      <c r="Z2165" s="223"/>
      <c r="AA2165" s="223"/>
    </row>
    <row r="2166">
      <c r="A2166" s="42">
        <f t="shared" si="3"/>
        <v>2165</v>
      </c>
      <c r="B2166" s="51" t="s">
        <v>41</v>
      </c>
      <c r="C2166" s="53" t="s">
        <v>9399</v>
      </c>
      <c r="D2166" s="42" t="s">
        <v>44</v>
      </c>
      <c r="E2166" s="42" t="s">
        <v>44</v>
      </c>
      <c r="F2166" s="53" t="s">
        <v>9378</v>
      </c>
      <c r="G2166" s="53" t="s">
        <v>47</v>
      </c>
      <c r="H2166" s="53" t="s">
        <v>91</v>
      </c>
      <c r="I2166" s="53" t="s">
        <v>9222</v>
      </c>
      <c r="J2166" s="53" t="s">
        <v>9379</v>
      </c>
      <c r="K2166" s="53" t="s">
        <v>1615</v>
      </c>
      <c r="L2166" s="53" t="s">
        <v>52</v>
      </c>
      <c r="M2166" s="53" t="s">
        <v>52</v>
      </c>
      <c r="N2166" s="62" t="s">
        <v>9393</v>
      </c>
      <c r="O2166" s="62" t="s">
        <v>44</v>
      </c>
      <c r="P2166" s="62" t="s">
        <v>9400</v>
      </c>
      <c r="Q2166" s="62" t="s">
        <v>9401</v>
      </c>
      <c r="R2166" s="53"/>
      <c r="S2166" s="53"/>
      <c r="T2166" s="82"/>
      <c r="U2166" s="42"/>
      <c r="V2166" s="62"/>
      <c r="W2166" s="64"/>
      <c r="X2166" s="223"/>
      <c r="Y2166" s="223"/>
      <c r="Z2166" s="223"/>
      <c r="AA2166" s="223"/>
    </row>
    <row r="2167">
      <c r="A2167" s="42">
        <f t="shared" si="3"/>
        <v>2166</v>
      </c>
      <c r="B2167" s="51" t="s">
        <v>41</v>
      </c>
      <c r="C2167" s="53" t="s">
        <v>9402</v>
      </c>
      <c r="D2167" s="42" t="s">
        <v>44</v>
      </c>
      <c r="E2167" s="42" t="s">
        <v>44</v>
      </c>
      <c r="F2167" s="53" t="s">
        <v>9378</v>
      </c>
      <c r="G2167" s="53" t="s">
        <v>47</v>
      </c>
      <c r="H2167" s="53" t="s">
        <v>48</v>
      </c>
      <c r="I2167" s="53" t="s">
        <v>9222</v>
      </c>
      <c r="J2167" s="53" t="s">
        <v>9379</v>
      </c>
      <c r="K2167" s="53" t="s">
        <v>1615</v>
      </c>
      <c r="L2167" s="53" t="s">
        <v>52</v>
      </c>
      <c r="M2167" s="53" t="s">
        <v>52</v>
      </c>
      <c r="N2167" s="62" t="s">
        <v>9380</v>
      </c>
      <c r="O2167" s="62" t="s">
        <v>44</v>
      </c>
      <c r="P2167" s="62" t="s">
        <v>9403</v>
      </c>
      <c r="Q2167" s="62" t="s">
        <v>9404</v>
      </c>
      <c r="R2167" s="53"/>
      <c r="S2167" s="53"/>
      <c r="T2167" s="82"/>
      <c r="U2167" s="42"/>
      <c r="V2167" s="62"/>
      <c r="W2167" s="64"/>
      <c r="X2167" s="223"/>
      <c r="Y2167" s="223"/>
      <c r="Z2167" s="223"/>
      <c r="AA2167" s="223"/>
    </row>
    <row r="2168">
      <c r="A2168" s="42">
        <f t="shared" si="3"/>
        <v>2167</v>
      </c>
      <c r="B2168" s="51" t="s">
        <v>41</v>
      </c>
      <c r="C2168" s="53" t="s">
        <v>9405</v>
      </c>
      <c r="D2168" s="42" t="s">
        <v>44</v>
      </c>
      <c r="E2168" s="42" t="s">
        <v>44</v>
      </c>
      <c r="F2168" s="53" t="s">
        <v>9378</v>
      </c>
      <c r="G2168" s="53" t="s">
        <v>47</v>
      </c>
      <c r="H2168" s="53" t="s">
        <v>48</v>
      </c>
      <c r="I2168" s="53" t="s">
        <v>9222</v>
      </c>
      <c r="J2168" s="53" t="s">
        <v>9379</v>
      </c>
      <c r="K2168" s="53" t="s">
        <v>1615</v>
      </c>
      <c r="L2168" s="53" t="s">
        <v>52</v>
      </c>
      <c r="M2168" s="53" t="s">
        <v>52</v>
      </c>
      <c r="N2168" s="62" t="s">
        <v>9380</v>
      </c>
      <c r="O2168" s="62" t="s">
        <v>44</v>
      </c>
      <c r="P2168" s="62" t="s">
        <v>9406</v>
      </c>
      <c r="Q2168" s="62" t="s">
        <v>9407</v>
      </c>
      <c r="R2168" s="53"/>
      <c r="S2168" s="53"/>
      <c r="T2168" s="82"/>
      <c r="U2168" s="42"/>
      <c r="V2168" s="62"/>
      <c r="W2168" s="64"/>
      <c r="X2168" s="223"/>
      <c r="Y2168" s="223"/>
      <c r="Z2168" s="223"/>
      <c r="AA2168" s="223"/>
    </row>
    <row r="2169">
      <c r="A2169" s="42">
        <f t="shared" si="3"/>
        <v>2168</v>
      </c>
      <c r="B2169" s="51" t="s">
        <v>41</v>
      </c>
      <c r="C2169" s="53" t="s">
        <v>9408</v>
      </c>
      <c r="D2169" s="42" t="s">
        <v>44</v>
      </c>
      <c r="E2169" s="42" t="s">
        <v>44</v>
      </c>
      <c r="F2169" s="53" t="s">
        <v>9378</v>
      </c>
      <c r="G2169" s="53" t="s">
        <v>47</v>
      </c>
      <c r="H2169" s="53" t="s">
        <v>48</v>
      </c>
      <c r="I2169" s="53" t="s">
        <v>9222</v>
      </c>
      <c r="J2169" s="53" t="s">
        <v>9379</v>
      </c>
      <c r="K2169" s="53" t="s">
        <v>1615</v>
      </c>
      <c r="L2169" s="53" t="s">
        <v>52</v>
      </c>
      <c r="M2169" s="53" t="s">
        <v>52</v>
      </c>
      <c r="N2169" s="62" t="s">
        <v>9380</v>
      </c>
      <c r="O2169" s="62" t="s">
        <v>44</v>
      </c>
      <c r="P2169" s="62" t="s">
        <v>9409</v>
      </c>
      <c r="Q2169" s="62" t="s">
        <v>9385</v>
      </c>
      <c r="R2169" s="53"/>
      <c r="S2169" s="53"/>
      <c r="T2169" s="82"/>
      <c r="U2169" s="42"/>
      <c r="V2169" s="62"/>
      <c r="W2169" s="64"/>
      <c r="X2169" s="223"/>
      <c r="Y2169" s="223"/>
      <c r="Z2169" s="223"/>
      <c r="AA2169" s="223"/>
    </row>
    <row r="2170">
      <c r="A2170" s="42">
        <f t="shared" si="3"/>
        <v>2169</v>
      </c>
      <c r="B2170" s="51" t="s">
        <v>41</v>
      </c>
      <c r="C2170" s="53" t="s">
        <v>9410</v>
      </c>
      <c r="D2170" s="42" t="s">
        <v>44</v>
      </c>
      <c r="E2170" s="42" t="s">
        <v>44</v>
      </c>
      <c r="F2170" s="53" t="s">
        <v>9378</v>
      </c>
      <c r="G2170" s="53" t="s">
        <v>197</v>
      </c>
      <c r="H2170" s="53" t="s">
        <v>198</v>
      </c>
      <c r="I2170" s="53" t="s">
        <v>9222</v>
      </c>
      <c r="J2170" s="53" t="s">
        <v>9379</v>
      </c>
      <c r="K2170" s="53" t="s">
        <v>1615</v>
      </c>
      <c r="L2170" s="53" t="s">
        <v>52</v>
      </c>
      <c r="M2170" s="53" t="s">
        <v>52</v>
      </c>
      <c r="N2170" s="62" t="s">
        <v>9411</v>
      </c>
      <c r="O2170" s="62" t="s">
        <v>44</v>
      </c>
      <c r="P2170" s="62" t="s">
        <v>9412</v>
      </c>
      <c r="Q2170" s="62" t="s">
        <v>9413</v>
      </c>
      <c r="R2170" s="53"/>
      <c r="S2170" s="53"/>
      <c r="T2170" s="82"/>
      <c r="U2170" s="42"/>
      <c r="V2170" s="62"/>
      <c r="W2170" s="64"/>
      <c r="X2170" s="223"/>
      <c r="Y2170" s="223"/>
      <c r="Z2170" s="223"/>
      <c r="AA2170" s="223"/>
    </row>
    <row r="2171">
      <c r="A2171" s="42">
        <f t="shared" si="3"/>
        <v>2170</v>
      </c>
      <c r="B2171" s="51" t="s">
        <v>41</v>
      </c>
      <c r="C2171" s="53" t="s">
        <v>9414</v>
      </c>
      <c r="D2171" s="42" t="s">
        <v>44</v>
      </c>
      <c r="E2171" s="42" t="s">
        <v>44</v>
      </c>
      <c r="F2171" s="53" t="s">
        <v>9378</v>
      </c>
      <c r="G2171" s="53" t="s">
        <v>47</v>
      </c>
      <c r="H2171" s="53" t="s">
        <v>48</v>
      </c>
      <c r="I2171" s="53" t="s">
        <v>9222</v>
      </c>
      <c r="J2171" s="53" t="s">
        <v>9379</v>
      </c>
      <c r="K2171" s="53" t="s">
        <v>1615</v>
      </c>
      <c r="L2171" s="53" t="s">
        <v>52</v>
      </c>
      <c r="M2171" s="53" t="s">
        <v>52</v>
      </c>
      <c r="N2171" s="62" t="s">
        <v>9415</v>
      </c>
      <c r="O2171" s="62" t="s">
        <v>44</v>
      </c>
      <c r="P2171" s="62" t="s">
        <v>9406</v>
      </c>
      <c r="Q2171" s="62" t="s">
        <v>9416</v>
      </c>
      <c r="R2171" s="53"/>
      <c r="S2171" s="53"/>
      <c r="T2171" s="82"/>
      <c r="U2171" s="42"/>
      <c r="V2171" s="62"/>
      <c r="W2171" s="64"/>
      <c r="X2171" s="223"/>
      <c r="Y2171" s="223"/>
      <c r="Z2171" s="223"/>
      <c r="AA2171" s="223"/>
    </row>
    <row r="2172">
      <c r="A2172" s="42">
        <f t="shared" si="3"/>
        <v>2171</v>
      </c>
      <c r="B2172" s="51" t="s">
        <v>41</v>
      </c>
      <c r="C2172" s="53" t="s">
        <v>9417</v>
      </c>
      <c r="D2172" s="42" t="s">
        <v>44</v>
      </c>
      <c r="E2172" s="42" t="s">
        <v>44</v>
      </c>
      <c r="F2172" s="53" t="s">
        <v>9378</v>
      </c>
      <c r="G2172" s="53" t="s">
        <v>47</v>
      </c>
      <c r="H2172" s="53" t="s">
        <v>48</v>
      </c>
      <c r="I2172" s="53" t="s">
        <v>9222</v>
      </c>
      <c r="J2172" s="53" t="s">
        <v>9379</v>
      </c>
      <c r="K2172" s="53" t="s">
        <v>1615</v>
      </c>
      <c r="L2172" s="53" t="s">
        <v>52</v>
      </c>
      <c r="M2172" s="53" t="s">
        <v>52</v>
      </c>
      <c r="N2172" s="62" t="s">
        <v>9415</v>
      </c>
      <c r="O2172" s="62" t="s">
        <v>44</v>
      </c>
      <c r="P2172" s="62" t="s">
        <v>9418</v>
      </c>
      <c r="Q2172" s="62" t="s">
        <v>9419</v>
      </c>
      <c r="R2172" s="53"/>
      <c r="S2172" s="53"/>
      <c r="T2172" s="82"/>
      <c r="U2172" s="42"/>
      <c r="V2172" s="62"/>
      <c r="W2172" s="64"/>
      <c r="X2172" s="223"/>
      <c r="Y2172" s="223"/>
      <c r="Z2172" s="223"/>
      <c r="AA2172" s="223"/>
    </row>
    <row r="2173">
      <c r="A2173" s="42">
        <f t="shared" si="3"/>
        <v>2172</v>
      </c>
      <c r="B2173" s="51" t="s">
        <v>41</v>
      </c>
      <c r="C2173" s="53" t="s">
        <v>9420</v>
      </c>
      <c r="D2173" s="42" t="s">
        <v>44</v>
      </c>
      <c r="E2173" s="42" t="s">
        <v>44</v>
      </c>
      <c r="F2173" s="53" t="s">
        <v>9378</v>
      </c>
      <c r="G2173" s="53" t="s">
        <v>197</v>
      </c>
      <c r="H2173" s="53" t="s">
        <v>112</v>
      </c>
      <c r="I2173" s="53" t="s">
        <v>9222</v>
      </c>
      <c r="J2173" s="53" t="s">
        <v>9379</v>
      </c>
      <c r="K2173" s="53" t="s">
        <v>1615</v>
      </c>
      <c r="L2173" s="53" t="s">
        <v>52</v>
      </c>
      <c r="M2173" s="53" t="s">
        <v>52</v>
      </c>
      <c r="N2173" s="62" t="s">
        <v>9421</v>
      </c>
      <c r="O2173" s="62" t="s">
        <v>44</v>
      </c>
      <c r="P2173" s="62" t="s">
        <v>9422</v>
      </c>
      <c r="Q2173" s="62" t="s">
        <v>9423</v>
      </c>
      <c r="R2173" s="53"/>
      <c r="S2173" s="53"/>
      <c r="T2173" s="82"/>
      <c r="U2173" s="42"/>
      <c r="V2173" s="62"/>
      <c r="W2173" s="64"/>
      <c r="X2173" s="223"/>
      <c r="Y2173" s="223"/>
      <c r="Z2173" s="223"/>
      <c r="AA2173" s="223"/>
    </row>
    <row r="2174">
      <c r="A2174" s="42">
        <f t="shared" si="3"/>
        <v>2173</v>
      </c>
      <c r="B2174" s="51" t="s">
        <v>41</v>
      </c>
      <c r="C2174" s="53" t="s">
        <v>9424</v>
      </c>
      <c r="D2174" s="42" t="s">
        <v>44</v>
      </c>
      <c r="E2174" s="42" t="s">
        <v>44</v>
      </c>
      <c r="F2174" s="53" t="s">
        <v>9378</v>
      </c>
      <c r="G2174" s="53" t="s">
        <v>197</v>
      </c>
      <c r="H2174" s="53" t="s">
        <v>112</v>
      </c>
      <c r="I2174" s="53" t="s">
        <v>9222</v>
      </c>
      <c r="J2174" s="53" t="s">
        <v>9379</v>
      </c>
      <c r="K2174" s="53" t="s">
        <v>1615</v>
      </c>
      <c r="L2174" s="53" t="s">
        <v>52</v>
      </c>
      <c r="M2174" s="53" t="s">
        <v>52</v>
      </c>
      <c r="N2174" s="62" t="s">
        <v>9425</v>
      </c>
      <c r="O2174" s="62" t="s">
        <v>44</v>
      </c>
      <c r="P2174" s="62" t="s">
        <v>9422</v>
      </c>
      <c r="Q2174" s="62" t="s">
        <v>9426</v>
      </c>
      <c r="R2174" s="53"/>
      <c r="S2174" s="53"/>
      <c r="T2174" s="82"/>
      <c r="U2174" s="42"/>
      <c r="V2174" s="62"/>
      <c r="W2174" s="64"/>
      <c r="X2174" s="223"/>
      <c r="Y2174" s="223"/>
      <c r="Z2174" s="223"/>
      <c r="AA2174" s="223"/>
    </row>
    <row r="2175">
      <c r="A2175" s="42">
        <f t="shared" si="3"/>
        <v>2174</v>
      </c>
      <c r="B2175" s="51" t="s">
        <v>41</v>
      </c>
      <c r="C2175" s="53" t="s">
        <v>9427</v>
      </c>
      <c r="D2175" s="42" t="s">
        <v>44</v>
      </c>
      <c r="E2175" s="42" t="s">
        <v>44</v>
      </c>
      <c r="F2175" s="53" t="s">
        <v>9378</v>
      </c>
      <c r="G2175" s="53" t="s">
        <v>47</v>
      </c>
      <c r="H2175" s="53" t="s">
        <v>95</v>
      </c>
      <c r="I2175" s="53" t="s">
        <v>9222</v>
      </c>
      <c r="J2175" s="53" t="s">
        <v>9379</v>
      </c>
      <c r="K2175" s="53" t="s">
        <v>1615</v>
      </c>
      <c r="L2175" s="53" t="s">
        <v>52</v>
      </c>
      <c r="M2175" s="53" t="s">
        <v>52</v>
      </c>
      <c r="N2175" s="62" t="s">
        <v>9428</v>
      </c>
      <c r="O2175" s="62" t="s">
        <v>44</v>
      </c>
      <c r="P2175" s="62" t="s">
        <v>9422</v>
      </c>
      <c r="Q2175" s="62" t="s">
        <v>9429</v>
      </c>
      <c r="R2175" s="53"/>
      <c r="S2175" s="53"/>
      <c r="T2175" s="82"/>
      <c r="U2175" s="42"/>
      <c r="V2175" s="62"/>
      <c r="W2175" s="64"/>
      <c r="X2175" s="223"/>
      <c r="Y2175" s="223"/>
      <c r="Z2175" s="223"/>
      <c r="AA2175" s="223"/>
    </row>
    <row r="2176">
      <c r="A2176" s="42">
        <f t="shared" si="3"/>
        <v>2175</v>
      </c>
      <c r="B2176" s="51" t="s">
        <v>41</v>
      </c>
      <c r="C2176" s="53" t="s">
        <v>9430</v>
      </c>
      <c r="D2176" s="42" t="s">
        <v>44</v>
      </c>
      <c r="E2176" s="42" t="s">
        <v>44</v>
      </c>
      <c r="F2176" s="53" t="s">
        <v>9431</v>
      </c>
      <c r="G2176" s="53" t="s">
        <v>47</v>
      </c>
      <c r="H2176" s="53" t="s">
        <v>48</v>
      </c>
      <c r="I2176" s="53" t="s">
        <v>9222</v>
      </c>
      <c r="J2176" s="53" t="s">
        <v>9432</v>
      </c>
      <c r="K2176" s="53" t="s">
        <v>51</v>
      </c>
      <c r="L2176" s="53" t="s">
        <v>52</v>
      </c>
      <c r="M2176" s="53" t="s">
        <v>52</v>
      </c>
      <c r="N2176" s="62" t="s">
        <v>9433</v>
      </c>
      <c r="O2176" s="62" t="s">
        <v>44</v>
      </c>
      <c r="P2176" s="62" t="s">
        <v>9434</v>
      </c>
      <c r="Q2176" s="62" t="s">
        <v>9435</v>
      </c>
      <c r="R2176" s="53"/>
      <c r="S2176" s="53"/>
      <c r="T2176" s="82"/>
      <c r="U2176" s="42"/>
      <c r="V2176" s="62"/>
      <c r="W2176" s="64"/>
      <c r="X2176" s="223"/>
      <c r="Y2176" s="223"/>
      <c r="Z2176" s="223"/>
      <c r="AA2176" s="223"/>
    </row>
    <row r="2177">
      <c r="A2177" s="42">
        <f t="shared" si="3"/>
        <v>2176</v>
      </c>
      <c r="B2177" s="51" t="s">
        <v>41</v>
      </c>
      <c r="C2177" s="53" t="s">
        <v>9436</v>
      </c>
      <c r="D2177" s="42" t="s">
        <v>44</v>
      </c>
      <c r="E2177" s="42" t="s">
        <v>44</v>
      </c>
      <c r="F2177" s="53" t="s">
        <v>9431</v>
      </c>
      <c r="G2177" s="53" t="s">
        <v>47</v>
      </c>
      <c r="H2177" s="53" t="s">
        <v>48</v>
      </c>
      <c r="I2177" s="53" t="s">
        <v>9222</v>
      </c>
      <c r="J2177" s="53" t="s">
        <v>9432</v>
      </c>
      <c r="K2177" s="53" t="s">
        <v>51</v>
      </c>
      <c r="L2177" s="53" t="s">
        <v>52</v>
      </c>
      <c r="M2177" s="53" t="s">
        <v>52</v>
      </c>
      <c r="N2177" s="62" t="s">
        <v>9433</v>
      </c>
      <c r="O2177" s="62" t="s">
        <v>44</v>
      </c>
      <c r="P2177" s="62" t="s">
        <v>9437</v>
      </c>
      <c r="Q2177" s="62" t="s">
        <v>9438</v>
      </c>
      <c r="R2177" s="53"/>
      <c r="S2177" s="53"/>
      <c r="T2177" s="82"/>
      <c r="U2177" s="42"/>
      <c r="V2177" s="62"/>
      <c r="W2177" s="64"/>
      <c r="X2177" s="223"/>
      <c r="Y2177" s="223"/>
      <c r="Z2177" s="223"/>
      <c r="AA2177" s="223"/>
    </row>
    <row r="2178">
      <c r="A2178" s="42">
        <f t="shared" si="3"/>
        <v>2177</v>
      </c>
      <c r="B2178" s="51" t="s">
        <v>41</v>
      </c>
      <c r="C2178" s="53" t="s">
        <v>9439</v>
      </c>
      <c r="D2178" s="42" t="s">
        <v>44</v>
      </c>
      <c r="E2178" s="42" t="s">
        <v>44</v>
      </c>
      <c r="F2178" s="53" t="s">
        <v>9431</v>
      </c>
      <c r="G2178" s="53" t="s">
        <v>47</v>
      </c>
      <c r="H2178" s="53" t="s">
        <v>48</v>
      </c>
      <c r="I2178" s="53" t="s">
        <v>9222</v>
      </c>
      <c r="J2178" s="53" t="s">
        <v>9432</v>
      </c>
      <c r="K2178" s="53" t="s">
        <v>51</v>
      </c>
      <c r="L2178" s="53" t="s">
        <v>52</v>
      </c>
      <c r="M2178" s="53" t="s">
        <v>52</v>
      </c>
      <c r="N2178" s="62" t="s">
        <v>9433</v>
      </c>
      <c r="O2178" s="62" t="s">
        <v>44</v>
      </c>
      <c r="P2178" s="62" t="s">
        <v>9440</v>
      </c>
      <c r="Q2178" s="62" t="s">
        <v>9441</v>
      </c>
      <c r="R2178" s="53"/>
      <c r="S2178" s="53"/>
      <c r="T2178" s="82"/>
      <c r="U2178" s="42"/>
      <c r="V2178" s="62"/>
      <c r="W2178" s="64"/>
      <c r="X2178" s="223"/>
      <c r="Y2178" s="223"/>
      <c r="Z2178" s="223"/>
      <c r="AA2178" s="223"/>
    </row>
    <row r="2179">
      <c r="A2179" s="42">
        <f t="shared" si="3"/>
        <v>2178</v>
      </c>
      <c r="B2179" s="51" t="s">
        <v>41</v>
      </c>
      <c r="C2179" s="53" t="s">
        <v>9442</v>
      </c>
      <c r="D2179" s="42" t="s">
        <v>44</v>
      </c>
      <c r="E2179" s="42" t="s">
        <v>44</v>
      </c>
      <c r="F2179" s="53" t="s">
        <v>9431</v>
      </c>
      <c r="G2179" s="53" t="s">
        <v>47</v>
      </c>
      <c r="H2179" s="53" t="s">
        <v>48</v>
      </c>
      <c r="I2179" s="53" t="s">
        <v>9222</v>
      </c>
      <c r="J2179" s="53" t="s">
        <v>9432</v>
      </c>
      <c r="K2179" s="53" t="s">
        <v>51</v>
      </c>
      <c r="L2179" s="53" t="s">
        <v>52</v>
      </c>
      <c r="M2179" s="53" t="s">
        <v>52</v>
      </c>
      <c r="N2179" s="62" t="s">
        <v>9433</v>
      </c>
      <c r="O2179" s="62" t="s">
        <v>44</v>
      </c>
      <c r="P2179" s="62" t="s">
        <v>9443</v>
      </c>
      <c r="Q2179" s="62" t="s">
        <v>9444</v>
      </c>
      <c r="R2179" s="53"/>
      <c r="S2179" s="53"/>
      <c r="T2179" s="82"/>
      <c r="U2179" s="42"/>
      <c r="V2179" s="62"/>
      <c r="W2179" s="64"/>
      <c r="X2179" s="223"/>
      <c r="Y2179" s="223"/>
      <c r="Z2179" s="223"/>
      <c r="AA2179" s="223"/>
    </row>
    <row r="2180">
      <c r="A2180" s="42">
        <f t="shared" si="3"/>
        <v>2179</v>
      </c>
      <c r="B2180" s="51" t="s">
        <v>41</v>
      </c>
      <c r="C2180" s="53" t="s">
        <v>9445</v>
      </c>
      <c r="D2180" s="42" t="s">
        <v>44</v>
      </c>
      <c r="E2180" s="42" t="s">
        <v>44</v>
      </c>
      <c r="F2180" s="53" t="s">
        <v>9431</v>
      </c>
      <c r="G2180" s="53" t="s">
        <v>47</v>
      </c>
      <c r="H2180" s="53" t="s">
        <v>48</v>
      </c>
      <c r="I2180" s="53" t="s">
        <v>9222</v>
      </c>
      <c r="J2180" s="53" t="s">
        <v>9432</v>
      </c>
      <c r="K2180" s="53" t="s">
        <v>51</v>
      </c>
      <c r="L2180" s="53" t="s">
        <v>52</v>
      </c>
      <c r="M2180" s="53" t="s">
        <v>52</v>
      </c>
      <c r="N2180" s="62" t="s">
        <v>9433</v>
      </c>
      <c r="O2180" s="62" t="s">
        <v>44</v>
      </c>
      <c r="P2180" s="62" t="s">
        <v>9446</v>
      </c>
      <c r="Q2180" s="62" t="s">
        <v>9447</v>
      </c>
      <c r="R2180" s="53"/>
      <c r="S2180" s="53"/>
      <c r="T2180" s="82"/>
      <c r="U2180" s="42"/>
      <c r="V2180" s="62"/>
      <c r="W2180" s="64"/>
      <c r="X2180" s="223"/>
      <c r="Y2180" s="223"/>
      <c r="Z2180" s="223"/>
      <c r="AA2180" s="223"/>
    </row>
    <row r="2181">
      <c r="A2181" s="42">
        <f t="shared" si="3"/>
        <v>2180</v>
      </c>
      <c r="B2181" s="51" t="s">
        <v>41</v>
      </c>
      <c r="C2181" s="53" t="s">
        <v>9448</v>
      </c>
      <c r="D2181" s="42" t="s">
        <v>44</v>
      </c>
      <c r="E2181" s="42" t="s">
        <v>44</v>
      </c>
      <c r="F2181" s="53" t="s">
        <v>9449</v>
      </c>
      <c r="G2181" s="53" t="s">
        <v>47</v>
      </c>
      <c r="H2181" s="53" t="s">
        <v>48</v>
      </c>
      <c r="I2181" s="53" t="s">
        <v>9222</v>
      </c>
      <c r="J2181" s="53" t="s">
        <v>9450</v>
      </c>
      <c r="K2181" s="53" t="s">
        <v>1615</v>
      </c>
      <c r="L2181" s="53" t="s">
        <v>52</v>
      </c>
      <c r="M2181" s="53" t="s">
        <v>52</v>
      </c>
      <c r="N2181" s="62" t="s">
        <v>9451</v>
      </c>
      <c r="O2181" s="62" t="s">
        <v>44</v>
      </c>
      <c r="P2181" s="62" t="s">
        <v>9452</v>
      </c>
      <c r="Q2181" s="62" t="s">
        <v>9453</v>
      </c>
      <c r="R2181" s="53"/>
      <c r="S2181" s="53"/>
      <c r="T2181" s="82"/>
      <c r="U2181" s="42"/>
      <c r="V2181" s="62"/>
      <c r="W2181" s="64"/>
      <c r="X2181" s="223"/>
      <c r="Y2181" s="223"/>
      <c r="Z2181" s="223"/>
      <c r="AA2181" s="223"/>
    </row>
    <row r="2182">
      <c r="A2182" s="42">
        <f t="shared" si="3"/>
        <v>2181</v>
      </c>
      <c r="B2182" s="51" t="s">
        <v>41</v>
      </c>
      <c r="C2182" s="53" t="s">
        <v>9454</v>
      </c>
      <c r="D2182" s="42" t="s">
        <v>44</v>
      </c>
      <c r="E2182" s="42" t="s">
        <v>44</v>
      </c>
      <c r="F2182" s="53" t="s">
        <v>9449</v>
      </c>
      <c r="G2182" s="53" t="s">
        <v>47</v>
      </c>
      <c r="H2182" s="53" t="s">
        <v>48</v>
      </c>
      <c r="I2182" s="53" t="s">
        <v>9222</v>
      </c>
      <c r="J2182" s="53" t="s">
        <v>9450</v>
      </c>
      <c r="K2182" s="53" t="s">
        <v>1615</v>
      </c>
      <c r="L2182" s="53" t="s">
        <v>52</v>
      </c>
      <c r="M2182" s="53" t="s">
        <v>52</v>
      </c>
      <c r="N2182" s="62" t="s">
        <v>9451</v>
      </c>
      <c r="O2182" s="62" t="s">
        <v>44</v>
      </c>
      <c r="P2182" s="62" t="s">
        <v>9455</v>
      </c>
      <c r="Q2182" s="62" t="s">
        <v>9456</v>
      </c>
      <c r="R2182" s="53"/>
      <c r="S2182" s="53"/>
      <c r="T2182" s="82"/>
      <c r="U2182" s="42"/>
      <c r="V2182" s="62"/>
      <c r="W2182" s="64"/>
      <c r="X2182" s="223"/>
      <c r="Y2182" s="223"/>
      <c r="Z2182" s="223"/>
      <c r="AA2182" s="223"/>
    </row>
    <row r="2183">
      <c r="A2183" s="42">
        <f t="shared" si="3"/>
        <v>2182</v>
      </c>
      <c r="B2183" s="51" t="s">
        <v>41</v>
      </c>
      <c r="C2183" s="53" t="s">
        <v>9457</v>
      </c>
      <c r="D2183" s="42" t="s">
        <v>44</v>
      </c>
      <c r="E2183" s="42" t="s">
        <v>44</v>
      </c>
      <c r="F2183" s="53" t="s">
        <v>9449</v>
      </c>
      <c r="G2183" s="53" t="s">
        <v>47</v>
      </c>
      <c r="H2183" s="53" t="s">
        <v>48</v>
      </c>
      <c r="I2183" s="53" t="s">
        <v>9222</v>
      </c>
      <c r="J2183" s="53" t="s">
        <v>9450</v>
      </c>
      <c r="K2183" s="53" t="s">
        <v>1615</v>
      </c>
      <c r="L2183" s="53" t="s">
        <v>52</v>
      </c>
      <c r="M2183" s="53" t="s">
        <v>52</v>
      </c>
      <c r="N2183" s="62" t="s">
        <v>9451</v>
      </c>
      <c r="O2183" s="62" t="s">
        <v>44</v>
      </c>
      <c r="P2183" s="62" t="s">
        <v>9458</v>
      </c>
      <c r="Q2183" s="62" t="s">
        <v>9459</v>
      </c>
      <c r="R2183" s="53"/>
      <c r="S2183" s="53"/>
      <c r="T2183" s="82"/>
      <c r="U2183" s="42"/>
      <c r="V2183" s="62"/>
      <c r="W2183" s="64"/>
      <c r="X2183" s="223"/>
      <c r="Y2183" s="223"/>
      <c r="Z2183" s="223"/>
      <c r="AA2183" s="223"/>
    </row>
    <row r="2184">
      <c r="A2184" s="42">
        <f t="shared" si="3"/>
        <v>2183</v>
      </c>
      <c r="B2184" s="51" t="s">
        <v>41</v>
      </c>
      <c r="C2184" s="53" t="s">
        <v>9460</v>
      </c>
      <c r="D2184" s="42" t="s">
        <v>44</v>
      </c>
      <c r="E2184" s="42" t="s">
        <v>44</v>
      </c>
      <c r="F2184" s="53" t="s">
        <v>9449</v>
      </c>
      <c r="G2184" s="53" t="s">
        <v>47</v>
      </c>
      <c r="H2184" s="53" t="s">
        <v>48</v>
      </c>
      <c r="I2184" s="53" t="s">
        <v>9222</v>
      </c>
      <c r="J2184" s="53" t="s">
        <v>9450</v>
      </c>
      <c r="K2184" s="53" t="s">
        <v>1615</v>
      </c>
      <c r="L2184" s="53" t="s">
        <v>52</v>
      </c>
      <c r="M2184" s="53" t="s">
        <v>52</v>
      </c>
      <c r="N2184" s="62" t="s">
        <v>9451</v>
      </c>
      <c r="O2184" s="62" t="s">
        <v>44</v>
      </c>
      <c r="P2184" s="62" t="s">
        <v>9461</v>
      </c>
      <c r="Q2184" s="62" t="s">
        <v>9462</v>
      </c>
      <c r="R2184" s="53"/>
      <c r="S2184" s="53"/>
      <c r="T2184" s="82"/>
      <c r="U2184" s="42"/>
      <c r="V2184" s="62"/>
      <c r="W2184" s="64"/>
      <c r="X2184" s="223"/>
      <c r="Y2184" s="223"/>
      <c r="Z2184" s="223"/>
      <c r="AA2184" s="223"/>
    </row>
    <row r="2185">
      <c r="A2185" s="42">
        <f t="shared" si="3"/>
        <v>2184</v>
      </c>
      <c r="B2185" s="51" t="s">
        <v>41</v>
      </c>
      <c r="C2185" s="53" t="s">
        <v>9463</v>
      </c>
      <c r="D2185" s="42" t="s">
        <v>44</v>
      </c>
      <c r="E2185" s="42" t="s">
        <v>44</v>
      </c>
      <c r="F2185" s="53" t="s">
        <v>9449</v>
      </c>
      <c r="G2185" s="53" t="s">
        <v>47</v>
      </c>
      <c r="H2185" s="53" t="s">
        <v>48</v>
      </c>
      <c r="I2185" s="53" t="s">
        <v>9222</v>
      </c>
      <c r="J2185" s="53" t="s">
        <v>9450</v>
      </c>
      <c r="K2185" s="53" t="s">
        <v>1615</v>
      </c>
      <c r="L2185" s="53" t="s">
        <v>52</v>
      </c>
      <c r="M2185" s="53" t="s">
        <v>52</v>
      </c>
      <c r="N2185" s="62" t="s">
        <v>9451</v>
      </c>
      <c r="O2185" s="62" t="s">
        <v>44</v>
      </c>
      <c r="P2185" s="62" t="s">
        <v>9464</v>
      </c>
      <c r="Q2185" s="62" t="s">
        <v>9465</v>
      </c>
      <c r="R2185" s="53"/>
      <c r="S2185" s="53"/>
      <c r="T2185" s="82"/>
      <c r="U2185" s="42"/>
      <c r="V2185" s="62"/>
      <c r="W2185" s="64"/>
      <c r="X2185" s="223"/>
      <c r="Y2185" s="223"/>
      <c r="Z2185" s="223"/>
      <c r="AA2185" s="223"/>
    </row>
    <row r="2186">
      <c r="A2186" s="42">
        <f t="shared" si="3"/>
        <v>2185</v>
      </c>
      <c r="B2186" s="51" t="s">
        <v>41</v>
      </c>
      <c r="C2186" s="53" t="s">
        <v>9466</v>
      </c>
      <c r="D2186" s="42" t="s">
        <v>44</v>
      </c>
      <c r="E2186" s="42" t="s">
        <v>44</v>
      </c>
      <c r="F2186" s="53" t="s">
        <v>9449</v>
      </c>
      <c r="G2186" s="53" t="s">
        <v>197</v>
      </c>
      <c r="H2186" s="53" t="s">
        <v>198</v>
      </c>
      <c r="I2186" s="53" t="s">
        <v>9222</v>
      </c>
      <c r="J2186" s="53" t="s">
        <v>9450</v>
      </c>
      <c r="K2186" s="53" t="s">
        <v>1615</v>
      </c>
      <c r="L2186" s="53" t="s">
        <v>52</v>
      </c>
      <c r="M2186" s="53" t="s">
        <v>52</v>
      </c>
      <c r="N2186" s="62" t="s">
        <v>9467</v>
      </c>
      <c r="O2186" s="62" t="s">
        <v>44</v>
      </c>
      <c r="P2186" s="62" t="s">
        <v>9468</v>
      </c>
      <c r="Q2186" s="62" t="s">
        <v>9469</v>
      </c>
      <c r="R2186" s="53"/>
      <c r="S2186" s="53"/>
      <c r="T2186" s="82"/>
      <c r="U2186" s="42"/>
      <c r="V2186" s="62"/>
      <c r="W2186" s="64"/>
      <c r="X2186" s="223"/>
      <c r="Y2186" s="223"/>
      <c r="Z2186" s="223"/>
      <c r="AA2186" s="223"/>
    </row>
    <row r="2187">
      <c r="A2187" s="42">
        <f t="shared" si="3"/>
        <v>2186</v>
      </c>
      <c r="B2187" s="51" t="s">
        <v>41</v>
      </c>
      <c r="C2187" s="53" t="s">
        <v>9470</v>
      </c>
      <c r="D2187" s="42" t="s">
        <v>44</v>
      </c>
      <c r="E2187" s="42" t="s">
        <v>44</v>
      </c>
      <c r="F2187" s="53" t="s">
        <v>9449</v>
      </c>
      <c r="G2187" s="53" t="s">
        <v>197</v>
      </c>
      <c r="H2187" s="53" t="s">
        <v>112</v>
      </c>
      <c r="I2187" s="53" t="s">
        <v>9222</v>
      </c>
      <c r="J2187" s="53" t="s">
        <v>9450</v>
      </c>
      <c r="K2187" s="53" t="s">
        <v>1615</v>
      </c>
      <c r="L2187" s="53" t="s">
        <v>52</v>
      </c>
      <c r="M2187" s="53" t="s">
        <v>52</v>
      </c>
      <c r="N2187" s="62" t="s">
        <v>9451</v>
      </c>
      <c r="O2187" s="62" t="s">
        <v>44</v>
      </c>
      <c r="P2187" s="62" t="s">
        <v>9471</v>
      </c>
      <c r="Q2187" s="62" t="s">
        <v>9472</v>
      </c>
      <c r="R2187" s="53"/>
      <c r="S2187" s="53"/>
      <c r="T2187" s="82"/>
      <c r="U2187" s="42"/>
      <c r="V2187" s="62"/>
      <c r="W2187" s="64"/>
      <c r="X2187" s="223"/>
      <c r="Y2187" s="223"/>
      <c r="Z2187" s="223"/>
      <c r="AA2187" s="223"/>
    </row>
    <row r="2188">
      <c r="A2188" s="42">
        <f t="shared" si="3"/>
        <v>2187</v>
      </c>
      <c r="B2188" s="51" t="s">
        <v>41</v>
      </c>
      <c r="C2188" s="53" t="s">
        <v>9473</v>
      </c>
      <c r="D2188" s="42" t="s">
        <v>44</v>
      </c>
      <c r="E2188" s="42" t="s">
        <v>44</v>
      </c>
      <c r="F2188" s="53" t="s">
        <v>9449</v>
      </c>
      <c r="G2188" s="53" t="s">
        <v>47</v>
      </c>
      <c r="H2188" s="53" t="s">
        <v>95</v>
      </c>
      <c r="I2188" s="53" t="s">
        <v>9222</v>
      </c>
      <c r="J2188" s="53" t="s">
        <v>9450</v>
      </c>
      <c r="K2188" s="53" t="s">
        <v>1615</v>
      </c>
      <c r="L2188" s="53" t="s">
        <v>52</v>
      </c>
      <c r="M2188" s="53" t="s">
        <v>52</v>
      </c>
      <c r="N2188" s="62" t="s">
        <v>9474</v>
      </c>
      <c r="O2188" s="62" t="s">
        <v>44</v>
      </c>
      <c r="P2188" s="62" t="s">
        <v>9475</v>
      </c>
      <c r="Q2188" s="62" t="s">
        <v>9476</v>
      </c>
      <c r="R2188" s="53"/>
      <c r="S2188" s="53"/>
      <c r="T2188" s="82"/>
      <c r="U2188" s="42"/>
      <c r="V2188" s="62"/>
      <c r="W2188" s="64"/>
      <c r="X2188" s="223"/>
      <c r="Y2188" s="223"/>
      <c r="Z2188" s="223"/>
      <c r="AA2188" s="223"/>
    </row>
    <row r="2189">
      <c r="A2189" s="42">
        <f t="shared" si="3"/>
        <v>2188</v>
      </c>
      <c r="B2189" s="51" t="s">
        <v>41</v>
      </c>
      <c r="C2189" s="53" t="s">
        <v>9477</v>
      </c>
      <c r="D2189" s="42" t="s">
        <v>44</v>
      </c>
      <c r="E2189" s="42" t="s">
        <v>44</v>
      </c>
      <c r="F2189" s="53" t="s">
        <v>9478</v>
      </c>
      <c r="G2189" s="53" t="s">
        <v>47</v>
      </c>
      <c r="H2189" s="53" t="s">
        <v>48</v>
      </c>
      <c r="I2189" s="53" t="s">
        <v>9222</v>
      </c>
      <c r="J2189" s="53" t="s">
        <v>9479</v>
      </c>
      <c r="K2189" s="53" t="s">
        <v>51</v>
      </c>
      <c r="L2189" s="53" t="s">
        <v>52</v>
      </c>
      <c r="M2189" s="53" t="s">
        <v>52</v>
      </c>
      <c r="N2189" s="62" t="s">
        <v>9480</v>
      </c>
      <c r="O2189" s="62" t="s">
        <v>44</v>
      </c>
      <c r="P2189" s="62" t="s">
        <v>9434</v>
      </c>
      <c r="Q2189" s="62" t="s">
        <v>9435</v>
      </c>
      <c r="R2189" s="53"/>
      <c r="S2189" s="53"/>
      <c r="T2189" s="82"/>
      <c r="U2189" s="42"/>
      <c r="V2189" s="62"/>
      <c r="W2189" s="64"/>
      <c r="X2189" s="223"/>
      <c r="Y2189" s="223"/>
      <c r="Z2189" s="223"/>
      <c r="AA2189" s="223"/>
    </row>
    <row r="2190">
      <c r="A2190" s="42">
        <f t="shared" si="3"/>
        <v>2189</v>
      </c>
      <c r="B2190" s="51" t="s">
        <v>41</v>
      </c>
      <c r="C2190" s="53" t="s">
        <v>9481</v>
      </c>
      <c r="D2190" s="42" t="s">
        <v>44</v>
      </c>
      <c r="E2190" s="42" t="s">
        <v>44</v>
      </c>
      <c r="F2190" s="53" t="s">
        <v>9478</v>
      </c>
      <c r="G2190" s="53" t="s">
        <v>47</v>
      </c>
      <c r="H2190" s="53" t="s">
        <v>48</v>
      </c>
      <c r="I2190" s="53" t="s">
        <v>9222</v>
      </c>
      <c r="J2190" s="53" t="s">
        <v>9479</v>
      </c>
      <c r="K2190" s="53" t="s">
        <v>51</v>
      </c>
      <c r="L2190" s="53" t="s">
        <v>52</v>
      </c>
      <c r="M2190" s="53" t="s">
        <v>52</v>
      </c>
      <c r="N2190" s="62" t="s">
        <v>9480</v>
      </c>
      <c r="O2190" s="62" t="s">
        <v>44</v>
      </c>
      <c r="P2190" s="62" t="s">
        <v>9437</v>
      </c>
      <c r="Q2190" s="62" t="s">
        <v>9438</v>
      </c>
      <c r="R2190" s="53"/>
      <c r="S2190" s="53"/>
      <c r="T2190" s="82"/>
      <c r="U2190" s="42"/>
      <c r="V2190" s="62"/>
      <c r="W2190" s="64"/>
      <c r="X2190" s="223"/>
      <c r="Y2190" s="223"/>
      <c r="Z2190" s="223"/>
      <c r="AA2190" s="223"/>
    </row>
    <row r="2191">
      <c r="A2191" s="42">
        <f t="shared" si="3"/>
        <v>2190</v>
      </c>
      <c r="B2191" s="51" t="s">
        <v>41</v>
      </c>
      <c r="C2191" s="53" t="s">
        <v>9482</v>
      </c>
      <c r="D2191" s="42" t="s">
        <v>44</v>
      </c>
      <c r="E2191" s="42" t="s">
        <v>44</v>
      </c>
      <c r="F2191" s="53" t="s">
        <v>9478</v>
      </c>
      <c r="G2191" s="53" t="s">
        <v>47</v>
      </c>
      <c r="H2191" s="53" t="s">
        <v>48</v>
      </c>
      <c r="I2191" s="53" t="s">
        <v>9222</v>
      </c>
      <c r="J2191" s="53" t="s">
        <v>9479</v>
      </c>
      <c r="K2191" s="53" t="s">
        <v>51</v>
      </c>
      <c r="L2191" s="53" t="s">
        <v>52</v>
      </c>
      <c r="M2191" s="53" t="s">
        <v>52</v>
      </c>
      <c r="N2191" s="62" t="s">
        <v>9480</v>
      </c>
      <c r="O2191" s="62" t="s">
        <v>44</v>
      </c>
      <c r="P2191" s="62" t="s">
        <v>9440</v>
      </c>
      <c r="Q2191" s="62" t="s">
        <v>9441</v>
      </c>
      <c r="R2191" s="53"/>
      <c r="S2191" s="53"/>
      <c r="T2191" s="82"/>
      <c r="U2191" s="42"/>
      <c r="V2191" s="62"/>
      <c r="W2191" s="64"/>
      <c r="X2191" s="223"/>
      <c r="Y2191" s="223"/>
      <c r="Z2191" s="223"/>
      <c r="AA2191" s="223"/>
    </row>
    <row r="2192">
      <c r="A2192" s="42">
        <f t="shared" si="3"/>
        <v>2191</v>
      </c>
      <c r="B2192" s="51" t="s">
        <v>41</v>
      </c>
      <c r="C2192" s="53" t="s">
        <v>9483</v>
      </c>
      <c r="D2192" s="42" t="s">
        <v>44</v>
      </c>
      <c r="E2192" s="42" t="s">
        <v>44</v>
      </c>
      <c r="F2192" s="53" t="s">
        <v>9478</v>
      </c>
      <c r="G2192" s="53" t="s">
        <v>47</v>
      </c>
      <c r="H2192" s="53" t="s">
        <v>48</v>
      </c>
      <c r="I2192" s="53" t="s">
        <v>9222</v>
      </c>
      <c r="J2192" s="53" t="s">
        <v>9479</v>
      </c>
      <c r="K2192" s="53" t="s">
        <v>51</v>
      </c>
      <c r="L2192" s="53" t="s">
        <v>52</v>
      </c>
      <c r="M2192" s="53" t="s">
        <v>52</v>
      </c>
      <c r="N2192" s="62" t="s">
        <v>9480</v>
      </c>
      <c r="O2192" s="62" t="s">
        <v>44</v>
      </c>
      <c r="P2192" s="62" t="s">
        <v>9443</v>
      </c>
      <c r="Q2192" s="62" t="s">
        <v>9484</v>
      </c>
      <c r="R2192" s="53"/>
      <c r="S2192" s="53"/>
      <c r="T2192" s="82"/>
      <c r="U2192" s="42"/>
      <c r="V2192" s="62"/>
      <c r="W2192" s="64"/>
      <c r="X2192" s="223"/>
      <c r="Y2192" s="223"/>
      <c r="Z2192" s="223"/>
      <c r="AA2192" s="223"/>
    </row>
    <row r="2193">
      <c r="A2193" s="42">
        <f t="shared" si="3"/>
        <v>2192</v>
      </c>
      <c r="B2193" s="51" t="s">
        <v>41</v>
      </c>
      <c r="C2193" s="53" t="s">
        <v>9485</v>
      </c>
      <c r="D2193" s="42" t="s">
        <v>44</v>
      </c>
      <c r="E2193" s="42" t="s">
        <v>44</v>
      </c>
      <c r="F2193" s="53" t="s">
        <v>9478</v>
      </c>
      <c r="G2193" s="53" t="s">
        <v>47</v>
      </c>
      <c r="H2193" s="53" t="s">
        <v>48</v>
      </c>
      <c r="I2193" s="53" t="s">
        <v>9222</v>
      </c>
      <c r="J2193" s="53" t="s">
        <v>9479</v>
      </c>
      <c r="K2193" s="53" t="s">
        <v>51</v>
      </c>
      <c r="L2193" s="53" t="s">
        <v>52</v>
      </c>
      <c r="M2193" s="53" t="s">
        <v>52</v>
      </c>
      <c r="N2193" s="62" t="s">
        <v>9480</v>
      </c>
      <c r="O2193" s="62" t="s">
        <v>44</v>
      </c>
      <c r="P2193" s="62" t="s">
        <v>9446</v>
      </c>
      <c r="Q2193" s="62" t="s">
        <v>9447</v>
      </c>
      <c r="R2193" s="53"/>
      <c r="S2193" s="53"/>
      <c r="T2193" s="82"/>
      <c r="U2193" s="42"/>
      <c r="V2193" s="62"/>
      <c r="W2193" s="64"/>
      <c r="X2193" s="223"/>
      <c r="Y2193" s="223"/>
      <c r="Z2193" s="223"/>
      <c r="AA2193" s="223"/>
    </row>
    <row r="2194">
      <c r="A2194" s="42">
        <f t="shared" si="3"/>
        <v>2193</v>
      </c>
      <c r="B2194" s="51" t="s">
        <v>41</v>
      </c>
      <c r="C2194" s="53" t="s">
        <v>9486</v>
      </c>
      <c r="D2194" s="42" t="s">
        <v>44</v>
      </c>
      <c r="E2194" s="42" t="s">
        <v>44</v>
      </c>
      <c r="F2194" s="53" t="s">
        <v>9487</v>
      </c>
      <c r="G2194" s="53" t="s">
        <v>47</v>
      </c>
      <c r="H2194" s="53" t="s">
        <v>48</v>
      </c>
      <c r="I2194" s="53" t="s">
        <v>9222</v>
      </c>
      <c r="J2194" s="53" t="s">
        <v>9488</v>
      </c>
      <c r="K2194" s="53" t="s">
        <v>927</v>
      </c>
      <c r="L2194" s="53" t="s">
        <v>52</v>
      </c>
      <c r="M2194" s="53" t="s">
        <v>52</v>
      </c>
      <c r="N2194" s="62" t="s">
        <v>9489</v>
      </c>
      <c r="O2194" s="62" t="s">
        <v>44</v>
      </c>
      <c r="P2194" s="62" t="s">
        <v>9490</v>
      </c>
      <c r="Q2194" s="62" t="s">
        <v>9491</v>
      </c>
      <c r="R2194" s="53"/>
      <c r="S2194" s="53"/>
      <c r="T2194" s="82"/>
      <c r="U2194" s="42"/>
      <c r="V2194" s="62"/>
      <c r="W2194" s="64"/>
      <c r="X2194" s="223"/>
      <c r="Y2194" s="223"/>
      <c r="Z2194" s="223"/>
      <c r="AA2194" s="223"/>
    </row>
    <row r="2195">
      <c r="A2195" s="42">
        <f t="shared" si="3"/>
        <v>2194</v>
      </c>
      <c r="B2195" s="51" t="s">
        <v>41</v>
      </c>
      <c r="C2195" s="53" t="s">
        <v>9492</v>
      </c>
      <c r="D2195" s="42" t="s">
        <v>44</v>
      </c>
      <c r="E2195" s="42" t="s">
        <v>44</v>
      </c>
      <c r="F2195" s="53" t="s">
        <v>9487</v>
      </c>
      <c r="G2195" s="53" t="s">
        <v>47</v>
      </c>
      <c r="H2195" s="53" t="s">
        <v>48</v>
      </c>
      <c r="I2195" s="53" t="s">
        <v>9222</v>
      </c>
      <c r="J2195" s="53" t="s">
        <v>9488</v>
      </c>
      <c r="K2195" s="53" t="s">
        <v>927</v>
      </c>
      <c r="L2195" s="53" t="s">
        <v>52</v>
      </c>
      <c r="M2195" s="53" t="s">
        <v>52</v>
      </c>
      <c r="N2195" s="62" t="s">
        <v>9489</v>
      </c>
      <c r="O2195" s="62" t="s">
        <v>44</v>
      </c>
      <c r="P2195" s="62" t="s">
        <v>9493</v>
      </c>
      <c r="Q2195" s="62" t="s">
        <v>9494</v>
      </c>
      <c r="R2195" s="53"/>
      <c r="S2195" s="53"/>
      <c r="T2195" s="82"/>
      <c r="U2195" s="42"/>
      <c r="V2195" s="62"/>
      <c r="W2195" s="64"/>
      <c r="X2195" s="223"/>
      <c r="Y2195" s="223"/>
      <c r="Z2195" s="223"/>
      <c r="AA2195" s="223"/>
    </row>
    <row r="2196">
      <c r="A2196" s="42">
        <f t="shared" si="3"/>
        <v>2195</v>
      </c>
      <c r="B2196" s="51" t="s">
        <v>41</v>
      </c>
      <c r="C2196" s="53" t="s">
        <v>9495</v>
      </c>
      <c r="D2196" s="42" t="s">
        <v>44</v>
      </c>
      <c r="E2196" s="42" t="s">
        <v>44</v>
      </c>
      <c r="F2196" s="53" t="s">
        <v>9487</v>
      </c>
      <c r="G2196" s="53" t="s">
        <v>47</v>
      </c>
      <c r="H2196" s="53" t="s">
        <v>91</v>
      </c>
      <c r="I2196" s="53" t="s">
        <v>9222</v>
      </c>
      <c r="J2196" s="53" t="s">
        <v>9488</v>
      </c>
      <c r="K2196" s="53" t="s">
        <v>927</v>
      </c>
      <c r="L2196" s="53" t="s">
        <v>52</v>
      </c>
      <c r="M2196" s="53" t="s">
        <v>52</v>
      </c>
      <c r="N2196" s="62" t="s">
        <v>9489</v>
      </c>
      <c r="O2196" s="62" t="s">
        <v>44</v>
      </c>
      <c r="P2196" s="62" t="s">
        <v>9496</v>
      </c>
      <c r="Q2196" s="62" t="s">
        <v>9497</v>
      </c>
      <c r="R2196" s="53"/>
      <c r="S2196" s="53"/>
      <c r="T2196" s="82"/>
      <c r="U2196" s="42"/>
      <c r="V2196" s="62"/>
      <c r="W2196" s="64"/>
      <c r="X2196" s="223"/>
      <c r="Y2196" s="223"/>
      <c r="Z2196" s="223"/>
      <c r="AA2196" s="223"/>
    </row>
    <row r="2197">
      <c r="A2197" s="42">
        <f t="shared" si="3"/>
        <v>2196</v>
      </c>
      <c r="B2197" s="51" t="s">
        <v>41</v>
      </c>
      <c r="C2197" s="53" t="s">
        <v>9498</v>
      </c>
      <c r="D2197" s="42" t="s">
        <v>44</v>
      </c>
      <c r="E2197" s="42" t="s">
        <v>44</v>
      </c>
      <c r="F2197" s="53" t="s">
        <v>9487</v>
      </c>
      <c r="G2197" s="53" t="s">
        <v>47</v>
      </c>
      <c r="H2197" s="53" t="s">
        <v>48</v>
      </c>
      <c r="I2197" s="53" t="s">
        <v>9222</v>
      </c>
      <c r="J2197" s="53" t="s">
        <v>9488</v>
      </c>
      <c r="K2197" s="53" t="s">
        <v>927</v>
      </c>
      <c r="L2197" s="53" t="s">
        <v>52</v>
      </c>
      <c r="M2197" s="53" t="s">
        <v>52</v>
      </c>
      <c r="N2197" s="62" t="s">
        <v>9489</v>
      </c>
      <c r="O2197" s="62" t="s">
        <v>44</v>
      </c>
      <c r="P2197" s="62" t="s">
        <v>9499</v>
      </c>
      <c r="Q2197" s="62" t="s">
        <v>9500</v>
      </c>
      <c r="R2197" s="53"/>
      <c r="S2197" s="53"/>
      <c r="T2197" s="82"/>
      <c r="U2197" s="42"/>
      <c r="V2197" s="62"/>
      <c r="W2197" s="64"/>
      <c r="X2197" s="223"/>
      <c r="Y2197" s="223"/>
      <c r="Z2197" s="223"/>
      <c r="AA2197" s="223"/>
    </row>
    <row r="2198">
      <c r="A2198" s="42">
        <f t="shared" si="3"/>
        <v>2197</v>
      </c>
      <c r="B2198" s="51" t="s">
        <v>41</v>
      </c>
      <c r="C2198" s="53" t="s">
        <v>9501</v>
      </c>
      <c r="D2198" s="42" t="s">
        <v>44</v>
      </c>
      <c r="E2198" s="42" t="s">
        <v>44</v>
      </c>
      <c r="F2198" s="53" t="s">
        <v>9487</v>
      </c>
      <c r="G2198" s="53" t="s">
        <v>47</v>
      </c>
      <c r="H2198" s="53" t="s">
        <v>48</v>
      </c>
      <c r="I2198" s="53" t="s">
        <v>9222</v>
      </c>
      <c r="J2198" s="53" t="s">
        <v>9488</v>
      </c>
      <c r="K2198" s="53" t="s">
        <v>927</v>
      </c>
      <c r="L2198" s="53" t="s">
        <v>52</v>
      </c>
      <c r="M2198" s="53" t="s">
        <v>52</v>
      </c>
      <c r="N2198" s="62" t="s">
        <v>9489</v>
      </c>
      <c r="O2198" s="62" t="s">
        <v>44</v>
      </c>
      <c r="P2198" s="62" t="s">
        <v>9502</v>
      </c>
      <c r="Q2198" s="62" t="s">
        <v>9503</v>
      </c>
      <c r="R2198" s="53"/>
      <c r="S2198" s="53"/>
      <c r="T2198" s="82"/>
      <c r="U2198" s="42"/>
      <c r="V2198" s="62"/>
      <c r="W2198" s="64"/>
      <c r="X2198" s="223"/>
      <c r="Y2198" s="223"/>
      <c r="Z2198" s="223"/>
      <c r="AA2198" s="223"/>
    </row>
    <row r="2199">
      <c r="A2199" s="42">
        <f t="shared" si="3"/>
        <v>2198</v>
      </c>
      <c r="B2199" s="51" t="s">
        <v>41</v>
      </c>
      <c r="C2199" s="53" t="s">
        <v>9504</v>
      </c>
      <c r="D2199" s="42" t="s">
        <v>44</v>
      </c>
      <c r="E2199" s="42" t="s">
        <v>44</v>
      </c>
      <c r="F2199" s="53" t="s">
        <v>9487</v>
      </c>
      <c r="G2199" s="53" t="s">
        <v>47</v>
      </c>
      <c r="H2199" s="53" t="s">
        <v>48</v>
      </c>
      <c r="I2199" s="53" t="s">
        <v>9222</v>
      </c>
      <c r="J2199" s="53" t="s">
        <v>9488</v>
      </c>
      <c r="K2199" s="53" t="s">
        <v>927</v>
      </c>
      <c r="L2199" s="53" t="s">
        <v>52</v>
      </c>
      <c r="M2199" s="53" t="s">
        <v>52</v>
      </c>
      <c r="N2199" s="62" t="s">
        <v>9489</v>
      </c>
      <c r="O2199" s="62" t="s">
        <v>44</v>
      </c>
      <c r="P2199" s="62" t="s">
        <v>9505</v>
      </c>
      <c r="Q2199" s="62" t="s">
        <v>9506</v>
      </c>
      <c r="R2199" s="53"/>
      <c r="S2199" s="53"/>
      <c r="T2199" s="82"/>
      <c r="U2199" s="42"/>
      <c r="V2199" s="62"/>
      <c r="W2199" s="64"/>
      <c r="X2199" s="223"/>
      <c r="Y2199" s="223"/>
      <c r="Z2199" s="223"/>
      <c r="AA2199" s="223"/>
    </row>
    <row r="2200">
      <c r="A2200" s="42">
        <f t="shared" si="3"/>
        <v>2199</v>
      </c>
      <c r="B2200" s="51" t="s">
        <v>41</v>
      </c>
      <c r="C2200" s="53" t="s">
        <v>9507</v>
      </c>
      <c r="D2200" s="42" t="s">
        <v>44</v>
      </c>
      <c r="E2200" s="42" t="s">
        <v>44</v>
      </c>
      <c r="F2200" s="53" t="s">
        <v>9487</v>
      </c>
      <c r="G2200" s="53" t="s">
        <v>47</v>
      </c>
      <c r="H2200" s="53" t="s">
        <v>48</v>
      </c>
      <c r="I2200" s="53" t="s">
        <v>9222</v>
      </c>
      <c r="J2200" s="53" t="s">
        <v>9508</v>
      </c>
      <c r="K2200" s="53" t="s">
        <v>51</v>
      </c>
      <c r="L2200" s="53" t="s">
        <v>52</v>
      </c>
      <c r="M2200" s="53" t="s">
        <v>52</v>
      </c>
      <c r="N2200" s="62" t="s">
        <v>9509</v>
      </c>
      <c r="O2200" s="62" t="s">
        <v>44</v>
      </c>
      <c r="P2200" s="62" t="s">
        <v>9510</v>
      </c>
      <c r="Q2200" s="62" t="s">
        <v>9511</v>
      </c>
      <c r="R2200" s="53"/>
      <c r="S2200" s="53"/>
      <c r="T2200" s="82"/>
      <c r="U2200" s="42"/>
      <c r="V2200" s="62"/>
      <c r="W2200" s="64"/>
      <c r="X2200" s="223"/>
      <c r="Y2200" s="223"/>
      <c r="Z2200" s="223"/>
      <c r="AA2200" s="223"/>
    </row>
    <row r="2201">
      <c r="A2201" s="42">
        <f t="shared" si="3"/>
        <v>2200</v>
      </c>
      <c r="B2201" s="51" t="s">
        <v>41</v>
      </c>
      <c r="C2201" s="53" t="s">
        <v>9512</v>
      </c>
      <c r="D2201" s="42" t="s">
        <v>44</v>
      </c>
      <c r="E2201" s="42" t="s">
        <v>44</v>
      </c>
      <c r="F2201" s="53" t="s">
        <v>9487</v>
      </c>
      <c r="G2201" s="53" t="s">
        <v>47</v>
      </c>
      <c r="H2201" s="53" t="s">
        <v>91</v>
      </c>
      <c r="I2201" s="53" t="s">
        <v>9222</v>
      </c>
      <c r="J2201" s="53" t="s">
        <v>9508</v>
      </c>
      <c r="K2201" s="53" t="s">
        <v>51</v>
      </c>
      <c r="L2201" s="53" t="s">
        <v>52</v>
      </c>
      <c r="M2201" s="53" t="s">
        <v>52</v>
      </c>
      <c r="N2201" s="62" t="s">
        <v>9509</v>
      </c>
      <c r="O2201" s="62" t="s">
        <v>44</v>
      </c>
      <c r="P2201" s="62" t="s">
        <v>9513</v>
      </c>
      <c r="Q2201" s="62" t="s">
        <v>9497</v>
      </c>
      <c r="R2201" s="53"/>
      <c r="S2201" s="53"/>
      <c r="T2201" s="82"/>
      <c r="U2201" s="42"/>
      <c r="V2201" s="62"/>
      <c r="W2201" s="64"/>
      <c r="X2201" s="223"/>
      <c r="Y2201" s="223"/>
      <c r="Z2201" s="223"/>
      <c r="AA2201" s="223"/>
    </row>
    <row r="2202">
      <c r="A2202" s="42">
        <f t="shared" si="3"/>
        <v>2201</v>
      </c>
      <c r="B2202" s="51" t="s">
        <v>41</v>
      </c>
      <c r="C2202" s="53" t="s">
        <v>9514</v>
      </c>
      <c r="D2202" s="42" t="s">
        <v>44</v>
      </c>
      <c r="E2202" s="42" t="s">
        <v>44</v>
      </c>
      <c r="F2202" s="53" t="s">
        <v>9487</v>
      </c>
      <c r="G2202" s="53" t="s">
        <v>47</v>
      </c>
      <c r="H2202" s="53" t="s">
        <v>48</v>
      </c>
      <c r="I2202" s="53" t="s">
        <v>9222</v>
      </c>
      <c r="J2202" s="53" t="s">
        <v>9508</v>
      </c>
      <c r="K2202" s="53" t="s">
        <v>51</v>
      </c>
      <c r="L2202" s="53" t="s">
        <v>52</v>
      </c>
      <c r="M2202" s="53" t="s">
        <v>52</v>
      </c>
      <c r="N2202" s="62" t="s">
        <v>9509</v>
      </c>
      <c r="O2202" s="62" t="s">
        <v>44</v>
      </c>
      <c r="P2202" s="62" t="s">
        <v>9515</v>
      </c>
      <c r="Q2202" s="62" t="s">
        <v>9516</v>
      </c>
      <c r="R2202" s="53"/>
      <c r="S2202" s="53"/>
      <c r="T2202" s="82"/>
      <c r="U2202" s="42"/>
      <c r="V2202" s="62"/>
      <c r="W2202" s="64"/>
      <c r="X2202" s="223"/>
      <c r="Y2202" s="223"/>
      <c r="Z2202" s="223"/>
      <c r="AA2202" s="223"/>
    </row>
    <row r="2203">
      <c r="A2203" s="42">
        <f t="shared" si="3"/>
        <v>2202</v>
      </c>
      <c r="B2203" s="51" t="s">
        <v>41</v>
      </c>
      <c r="C2203" s="53" t="s">
        <v>9517</v>
      </c>
      <c r="D2203" s="42" t="s">
        <v>44</v>
      </c>
      <c r="E2203" s="42" t="s">
        <v>44</v>
      </c>
      <c r="F2203" s="53" t="s">
        <v>9487</v>
      </c>
      <c r="G2203" s="53" t="s">
        <v>47</v>
      </c>
      <c r="H2203" s="53" t="s">
        <v>48</v>
      </c>
      <c r="I2203" s="53" t="s">
        <v>9222</v>
      </c>
      <c r="J2203" s="53" t="s">
        <v>9508</v>
      </c>
      <c r="K2203" s="53" t="s">
        <v>51</v>
      </c>
      <c r="L2203" s="53" t="s">
        <v>52</v>
      </c>
      <c r="M2203" s="53" t="s">
        <v>52</v>
      </c>
      <c r="N2203" s="62" t="s">
        <v>9509</v>
      </c>
      <c r="O2203" s="62" t="s">
        <v>44</v>
      </c>
      <c r="P2203" s="62" t="s">
        <v>9518</v>
      </c>
      <c r="Q2203" s="62" t="s">
        <v>9519</v>
      </c>
      <c r="R2203" s="53"/>
      <c r="S2203" s="53"/>
      <c r="T2203" s="82"/>
      <c r="U2203" s="42"/>
      <c r="V2203" s="62"/>
      <c r="W2203" s="64"/>
      <c r="X2203" s="223"/>
      <c r="Y2203" s="223"/>
      <c r="Z2203" s="223"/>
      <c r="AA2203" s="223"/>
    </row>
    <row r="2204">
      <c r="A2204" s="42">
        <f t="shared" si="3"/>
        <v>2203</v>
      </c>
      <c r="B2204" s="51" t="s">
        <v>41</v>
      </c>
      <c r="C2204" s="53" t="s">
        <v>9520</v>
      </c>
      <c r="D2204" s="42" t="s">
        <v>44</v>
      </c>
      <c r="E2204" s="42" t="s">
        <v>44</v>
      </c>
      <c r="F2204" s="53" t="s">
        <v>9487</v>
      </c>
      <c r="G2204" s="53" t="s">
        <v>47</v>
      </c>
      <c r="H2204" s="53" t="s">
        <v>48</v>
      </c>
      <c r="I2204" s="53" t="s">
        <v>9222</v>
      </c>
      <c r="J2204" s="53" t="s">
        <v>9508</v>
      </c>
      <c r="K2204" s="53" t="s">
        <v>51</v>
      </c>
      <c r="L2204" s="53" t="s">
        <v>52</v>
      </c>
      <c r="M2204" s="53" t="s">
        <v>52</v>
      </c>
      <c r="N2204" s="62" t="s">
        <v>9509</v>
      </c>
      <c r="O2204" s="62" t="s">
        <v>44</v>
      </c>
      <c r="P2204" s="62" t="s">
        <v>9521</v>
      </c>
      <c r="Q2204" s="62" t="s">
        <v>9522</v>
      </c>
      <c r="R2204" s="53"/>
      <c r="S2204" s="53"/>
      <c r="T2204" s="82"/>
      <c r="U2204" s="42"/>
      <c r="V2204" s="62"/>
      <c r="W2204" s="64"/>
      <c r="X2204" s="223"/>
      <c r="Y2204" s="223"/>
      <c r="Z2204" s="223"/>
      <c r="AA2204" s="223"/>
    </row>
    <row r="2205">
      <c r="A2205" s="42">
        <f t="shared" si="3"/>
        <v>2204</v>
      </c>
      <c r="B2205" s="51" t="s">
        <v>41</v>
      </c>
      <c r="C2205" s="53" t="s">
        <v>9523</v>
      </c>
      <c r="D2205" s="42" t="s">
        <v>44</v>
      </c>
      <c r="E2205" s="42" t="s">
        <v>44</v>
      </c>
      <c r="F2205" s="53" t="s">
        <v>9487</v>
      </c>
      <c r="G2205" s="53" t="s">
        <v>197</v>
      </c>
      <c r="H2205" s="53" t="s">
        <v>198</v>
      </c>
      <c r="I2205" s="53" t="s">
        <v>9222</v>
      </c>
      <c r="J2205" s="53" t="s">
        <v>9508</v>
      </c>
      <c r="K2205" s="53" t="s">
        <v>51</v>
      </c>
      <c r="L2205" s="53" t="s">
        <v>52</v>
      </c>
      <c r="M2205" s="53" t="s">
        <v>52</v>
      </c>
      <c r="N2205" s="62" t="s">
        <v>9524</v>
      </c>
      <c r="O2205" s="62" t="s">
        <v>44</v>
      </c>
      <c r="P2205" s="62" t="s">
        <v>9468</v>
      </c>
      <c r="Q2205" s="62" t="s">
        <v>9525</v>
      </c>
      <c r="R2205" s="53"/>
      <c r="S2205" s="53"/>
      <c r="T2205" s="82"/>
      <c r="U2205" s="42"/>
      <c r="V2205" s="62"/>
      <c r="W2205" s="64"/>
      <c r="X2205" s="223"/>
      <c r="Y2205" s="223"/>
      <c r="Z2205" s="223"/>
      <c r="AA2205" s="223"/>
    </row>
    <row r="2206">
      <c r="A2206" s="42">
        <f t="shared" si="3"/>
        <v>2205</v>
      </c>
      <c r="B2206" s="51" t="s">
        <v>41</v>
      </c>
      <c r="C2206" s="53" t="s">
        <v>9526</v>
      </c>
      <c r="D2206" s="42" t="s">
        <v>44</v>
      </c>
      <c r="E2206" s="42" t="s">
        <v>44</v>
      </c>
      <c r="F2206" s="53" t="s">
        <v>9487</v>
      </c>
      <c r="G2206" s="53" t="s">
        <v>197</v>
      </c>
      <c r="H2206" s="53" t="s">
        <v>198</v>
      </c>
      <c r="I2206" s="53" t="s">
        <v>9222</v>
      </c>
      <c r="J2206" s="53" t="s">
        <v>9508</v>
      </c>
      <c r="K2206" s="53" t="s">
        <v>51</v>
      </c>
      <c r="L2206" s="53" t="s">
        <v>52</v>
      </c>
      <c r="M2206" s="53" t="s">
        <v>52</v>
      </c>
      <c r="N2206" s="62" t="s">
        <v>9524</v>
      </c>
      <c r="O2206" s="62" t="s">
        <v>44</v>
      </c>
      <c r="P2206" s="62" t="s">
        <v>9527</v>
      </c>
      <c r="Q2206" s="62" t="s">
        <v>9528</v>
      </c>
      <c r="R2206" s="53"/>
      <c r="S2206" s="53"/>
      <c r="T2206" s="82"/>
      <c r="U2206" s="42"/>
      <c r="V2206" s="62"/>
      <c r="W2206" s="64"/>
      <c r="X2206" s="223"/>
      <c r="Y2206" s="223"/>
      <c r="Z2206" s="223"/>
      <c r="AA2206" s="223"/>
    </row>
    <row r="2207">
      <c r="A2207" s="42">
        <f t="shared" si="3"/>
        <v>2206</v>
      </c>
      <c r="B2207" s="51" t="s">
        <v>41</v>
      </c>
      <c r="C2207" s="53" t="s">
        <v>9529</v>
      </c>
      <c r="D2207" s="42" t="s">
        <v>44</v>
      </c>
      <c r="E2207" s="42" t="s">
        <v>44</v>
      </c>
      <c r="F2207" s="53" t="s">
        <v>9487</v>
      </c>
      <c r="G2207" s="53" t="s">
        <v>47</v>
      </c>
      <c r="H2207" s="53" t="s">
        <v>48</v>
      </c>
      <c r="I2207" s="53" t="s">
        <v>9222</v>
      </c>
      <c r="J2207" s="53" t="s">
        <v>9508</v>
      </c>
      <c r="K2207" s="53" t="s">
        <v>51</v>
      </c>
      <c r="L2207" s="53" t="s">
        <v>52</v>
      </c>
      <c r="M2207" s="53" t="s">
        <v>52</v>
      </c>
      <c r="N2207" s="62" t="s">
        <v>9524</v>
      </c>
      <c r="O2207" s="62" t="s">
        <v>44</v>
      </c>
      <c r="P2207" s="62" t="s">
        <v>9530</v>
      </c>
      <c r="Q2207" s="62" t="s">
        <v>9531</v>
      </c>
      <c r="R2207" s="53"/>
      <c r="S2207" s="53"/>
      <c r="T2207" s="82"/>
      <c r="U2207" s="42"/>
      <c r="V2207" s="62"/>
      <c r="W2207" s="64"/>
      <c r="X2207" s="223"/>
      <c r="Y2207" s="223"/>
      <c r="Z2207" s="223"/>
      <c r="AA2207" s="223"/>
    </row>
    <row r="2208">
      <c r="A2208" s="42">
        <f t="shared" si="3"/>
        <v>2207</v>
      </c>
      <c r="B2208" s="51" t="s">
        <v>41</v>
      </c>
      <c r="C2208" s="53" t="s">
        <v>9532</v>
      </c>
      <c r="D2208" s="42" t="s">
        <v>44</v>
      </c>
      <c r="E2208" s="42" t="s">
        <v>44</v>
      </c>
      <c r="F2208" s="53" t="s">
        <v>9487</v>
      </c>
      <c r="G2208" s="53" t="s">
        <v>85</v>
      </c>
      <c r="H2208" s="53" t="s">
        <v>86</v>
      </c>
      <c r="I2208" s="53" t="s">
        <v>9222</v>
      </c>
      <c r="J2208" s="53" t="s">
        <v>9508</v>
      </c>
      <c r="K2208" s="53" t="s">
        <v>51</v>
      </c>
      <c r="L2208" s="53" t="s">
        <v>52</v>
      </c>
      <c r="M2208" s="53" t="s">
        <v>52</v>
      </c>
      <c r="N2208" s="62" t="s">
        <v>9533</v>
      </c>
      <c r="O2208" s="62" t="s">
        <v>44</v>
      </c>
      <c r="P2208" s="62" t="s">
        <v>9534</v>
      </c>
      <c r="Q2208" s="62" t="s">
        <v>9535</v>
      </c>
      <c r="R2208" s="53"/>
      <c r="S2208" s="53"/>
      <c r="T2208" s="82"/>
      <c r="U2208" s="42"/>
      <c r="V2208" s="62"/>
      <c r="W2208" s="64"/>
      <c r="X2208" s="223"/>
      <c r="Y2208" s="223"/>
      <c r="Z2208" s="223"/>
      <c r="AA2208" s="223"/>
    </row>
    <row r="2209">
      <c r="A2209" s="42">
        <f t="shared" si="3"/>
        <v>2208</v>
      </c>
      <c r="B2209" s="51" t="s">
        <v>41</v>
      </c>
      <c r="C2209" s="53" t="s">
        <v>9536</v>
      </c>
      <c r="D2209" s="42" t="s">
        <v>44</v>
      </c>
      <c r="E2209" s="42" t="s">
        <v>44</v>
      </c>
      <c r="F2209" s="53" t="s">
        <v>9487</v>
      </c>
      <c r="G2209" s="53" t="s">
        <v>47</v>
      </c>
      <c r="H2209" s="53" t="s">
        <v>95</v>
      </c>
      <c r="I2209" s="53" t="s">
        <v>9222</v>
      </c>
      <c r="J2209" s="53" t="s">
        <v>9508</v>
      </c>
      <c r="K2209" s="53" t="s">
        <v>51</v>
      </c>
      <c r="L2209" s="53" t="s">
        <v>52</v>
      </c>
      <c r="M2209" s="53" t="s">
        <v>52</v>
      </c>
      <c r="N2209" s="62" t="s">
        <v>9537</v>
      </c>
      <c r="O2209" s="62" t="s">
        <v>44</v>
      </c>
      <c r="P2209" s="62" t="s">
        <v>9534</v>
      </c>
      <c r="Q2209" s="62" t="s">
        <v>9538</v>
      </c>
      <c r="R2209" s="53"/>
      <c r="S2209" s="53"/>
      <c r="T2209" s="82"/>
      <c r="U2209" s="42"/>
      <c r="V2209" s="62"/>
      <c r="W2209" s="64"/>
      <c r="X2209" s="223"/>
      <c r="Y2209" s="223"/>
      <c r="Z2209" s="223"/>
      <c r="AA2209" s="223"/>
    </row>
    <row r="2210">
      <c r="A2210" s="42">
        <f t="shared" si="3"/>
        <v>2209</v>
      </c>
      <c r="B2210" s="51" t="s">
        <v>41</v>
      </c>
      <c r="C2210" s="53" t="s">
        <v>9539</v>
      </c>
      <c r="D2210" s="42" t="s">
        <v>44</v>
      </c>
      <c r="E2210" s="42" t="s">
        <v>44</v>
      </c>
      <c r="F2210" s="53" t="s">
        <v>9487</v>
      </c>
      <c r="G2210" s="53" t="s">
        <v>47</v>
      </c>
      <c r="H2210" s="53" t="s">
        <v>95</v>
      </c>
      <c r="I2210" s="53" t="s">
        <v>9222</v>
      </c>
      <c r="J2210" s="53" t="s">
        <v>9508</v>
      </c>
      <c r="K2210" s="53" t="s">
        <v>51</v>
      </c>
      <c r="L2210" s="53" t="s">
        <v>52</v>
      </c>
      <c r="M2210" s="53" t="s">
        <v>52</v>
      </c>
      <c r="N2210" s="62" t="s">
        <v>9540</v>
      </c>
      <c r="O2210" s="62" t="s">
        <v>44</v>
      </c>
      <c r="P2210" s="62" t="s">
        <v>9541</v>
      </c>
      <c r="Q2210" s="62" t="s">
        <v>9542</v>
      </c>
      <c r="R2210" s="53"/>
      <c r="S2210" s="53"/>
      <c r="T2210" s="82"/>
      <c r="U2210" s="42"/>
      <c r="V2210" s="62"/>
      <c r="W2210" s="64"/>
      <c r="X2210" s="223"/>
      <c r="Y2210" s="223"/>
      <c r="Z2210" s="223"/>
      <c r="AA2210" s="223"/>
    </row>
    <row r="2211">
      <c r="A2211" s="42">
        <f t="shared" si="3"/>
        <v>2210</v>
      </c>
      <c r="B2211" s="51" t="s">
        <v>41</v>
      </c>
      <c r="C2211" s="53" t="s">
        <v>9543</v>
      </c>
      <c r="D2211" s="42" t="s">
        <v>44</v>
      </c>
      <c r="E2211" s="42" t="s">
        <v>44</v>
      </c>
      <c r="F2211" s="53" t="s">
        <v>9544</v>
      </c>
      <c r="G2211" s="53" t="s">
        <v>47</v>
      </c>
      <c r="H2211" s="53" t="s">
        <v>48</v>
      </c>
      <c r="I2211" s="53" t="s">
        <v>9222</v>
      </c>
      <c r="J2211" s="53" t="s">
        <v>9545</v>
      </c>
      <c r="K2211" s="53" t="s">
        <v>51</v>
      </c>
      <c r="L2211" s="53" t="s">
        <v>52</v>
      </c>
      <c r="M2211" s="53" t="s">
        <v>52</v>
      </c>
      <c r="N2211" s="62" t="s">
        <v>9546</v>
      </c>
      <c r="O2211" s="62" t="s">
        <v>44</v>
      </c>
      <c r="P2211" s="62" t="s">
        <v>9547</v>
      </c>
      <c r="Q2211" s="62" t="s">
        <v>9435</v>
      </c>
      <c r="R2211" s="53"/>
      <c r="S2211" s="53"/>
      <c r="T2211" s="82"/>
      <c r="U2211" s="42"/>
      <c r="V2211" s="62"/>
      <c r="W2211" s="64"/>
      <c r="X2211" s="223"/>
      <c r="Y2211" s="223"/>
      <c r="Z2211" s="223"/>
      <c r="AA2211" s="223"/>
    </row>
    <row r="2212">
      <c r="A2212" s="42">
        <f t="shared" si="3"/>
        <v>2211</v>
      </c>
      <c r="B2212" s="51" t="s">
        <v>41</v>
      </c>
      <c r="C2212" s="53" t="s">
        <v>9548</v>
      </c>
      <c r="D2212" s="42" t="s">
        <v>44</v>
      </c>
      <c r="E2212" s="42" t="s">
        <v>44</v>
      </c>
      <c r="F2212" s="53" t="s">
        <v>9544</v>
      </c>
      <c r="G2212" s="53" t="s">
        <v>47</v>
      </c>
      <c r="H2212" s="53" t="s">
        <v>48</v>
      </c>
      <c r="I2212" s="53" t="s">
        <v>9222</v>
      </c>
      <c r="J2212" s="53" t="s">
        <v>9545</v>
      </c>
      <c r="K2212" s="53" t="s">
        <v>51</v>
      </c>
      <c r="L2212" s="53" t="s">
        <v>52</v>
      </c>
      <c r="M2212" s="53" t="s">
        <v>52</v>
      </c>
      <c r="N2212" s="62" t="s">
        <v>9546</v>
      </c>
      <c r="O2212" s="62" t="s">
        <v>44</v>
      </c>
      <c r="P2212" s="62" t="s">
        <v>9549</v>
      </c>
      <c r="Q2212" s="62" t="s">
        <v>9550</v>
      </c>
      <c r="R2212" s="53"/>
      <c r="S2212" s="53"/>
      <c r="T2212" s="82"/>
      <c r="U2212" s="42"/>
      <c r="V2212" s="62"/>
      <c r="W2212" s="64"/>
      <c r="X2212" s="223"/>
      <c r="Y2212" s="223"/>
      <c r="Z2212" s="223"/>
      <c r="AA2212" s="223"/>
    </row>
    <row r="2213">
      <c r="A2213" s="42">
        <f t="shared" si="3"/>
        <v>2212</v>
      </c>
      <c r="B2213" s="51" t="s">
        <v>41</v>
      </c>
      <c r="C2213" s="53" t="s">
        <v>9551</v>
      </c>
      <c r="D2213" s="42" t="s">
        <v>44</v>
      </c>
      <c r="E2213" s="42" t="s">
        <v>44</v>
      </c>
      <c r="F2213" s="53" t="s">
        <v>9544</v>
      </c>
      <c r="G2213" s="53" t="s">
        <v>47</v>
      </c>
      <c r="H2213" s="53" t="s">
        <v>48</v>
      </c>
      <c r="I2213" s="53" t="s">
        <v>9222</v>
      </c>
      <c r="J2213" s="53" t="s">
        <v>9545</v>
      </c>
      <c r="K2213" s="53" t="s">
        <v>51</v>
      </c>
      <c r="L2213" s="53" t="s">
        <v>52</v>
      </c>
      <c r="M2213" s="53" t="s">
        <v>52</v>
      </c>
      <c r="N2213" s="62" t="s">
        <v>9552</v>
      </c>
      <c r="O2213" s="62" t="s">
        <v>44</v>
      </c>
      <c r="P2213" s="62" t="s">
        <v>9553</v>
      </c>
      <c r="Q2213" s="62" t="s">
        <v>9435</v>
      </c>
      <c r="R2213" s="53"/>
      <c r="S2213" s="53"/>
      <c r="T2213" s="82"/>
      <c r="U2213" s="42"/>
      <c r="V2213" s="62"/>
      <c r="W2213" s="64"/>
      <c r="X2213" s="223"/>
      <c r="Y2213" s="223"/>
      <c r="Z2213" s="223"/>
      <c r="AA2213" s="223"/>
    </row>
    <row r="2214">
      <c r="A2214" s="42">
        <f t="shared" si="3"/>
        <v>2213</v>
      </c>
      <c r="B2214" s="51" t="s">
        <v>41</v>
      </c>
      <c r="C2214" s="53" t="s">
        <v>9554</v>
      </c>
      <c r="D2214" s="42" t="s">
        <v>44</v>
      </c>
      <c r="E2214" s="42" t="s">
        <v>44</v>
      </c>
      <c r="F2214" s="53" t="s">
        <v>9544</v>
      </c>
      <c r="G2214" s="53" t="s">
        <v>47</v>
      </c>
      <c r="H2214" s="53" t="s">
        <v>48</v>
      </c>
      <c r="I2214" s="53" t="s">
        <v>9222</v>
      </c>
      <c r="J2214" s="53" t="s">
        <v>9545</v>
      </c>
      <c r="K2214" s="53" t="s">
        <v>51</v>
      </c>
      <c r="L2214" s="53" t="s">
        <v>52</v>
      </c>
      <c r="M2214" s="53" t="s">
        <v>52</v>
      </c>
      <c r="N2214" s="62" t="s">
        <v>9552</v>
      </c>
      <c r="O2214" s="62" t="s">
        <v>44</v>
      </c>
      <c r="P2214" s="62" t="s">
        <v>9549</v>
      </c>
      <c r="Q2214" s="62" t="s">
        <v>9555</v>
      </c>
      <c r="R2214" s="53"/>
      <c r="S2214" s="53"/>
      <c r="T2214" s="82"/>
      <c r="U2214" s="42"/>
      <c r="V2214" s="62"/>
      <c r="W2214" s="64"/>
      <c r="X2214" s="223"/>
      <c r="Y2214" s="223"/>
      <c r="Z2214" s="223"/>
      <c r="AA2214" s="223"/>
    </row>
    <row r="2215">
      <c r="A2215" s="42">
        <f t="shared" si="3"/>
        <v>2214</v>
      </c>
      <c r="B2215" s="51" t="s">
        <v>41</v>
      </c>
      <c r="C2215" s="53" t="s">
        <v>9556</v>
      </c>
      <c r="D2215" s="42" t="s">
        <v>44</v>
      </c>
      <c r="E2215" s="42" t="s">
        <v>44</v>
      </c>
      <c r="F2215" s="53" t="s">
        <v>9544</v>
      </c>
      <c r="G2215" s="53" t="s">
        <v>47</v>
      </c>
      <c r="H2215" s="53" t="s">
        <v>48</v>
      </c>
      <c r="I2215" s="53" t="s">
        <v>9222</v>
      </c>
      <c r="J2215" s="53" t="s">
        <v>9545</v>
      </c>
      <c r="K2215" s="53" t="s">
        <v>51</v>
      </c>
      <c r="L2215" s="53" t="s">
        <v>52</v>
      </c>
      <c r="M2215" s="53" t="s">
        <v>52</v>
      </c>
      <c r="N2215" s="62" t="s">
        <v>9557</v>
      </c>
      <c r="O2215" s="62" t="s">
        <v>44</v>
      </c>
      <c r="P2215" s="62" t="s">
        <v>9558</v>
      </c>
      <c r="Q2215" s="62" t="s">
        <v>8877</v>
      </c>
      <c r="R2215" s="53"/>
      <c r="S2215" s="53"/>
      <c r="T2215" s="82"/>
      <c r="U2215" s="42"/>
      <c r="V2215" s="62"/>
      <c r="W2215" s="64"/>
      <c r="X2215" s="223"/>
      <c r="Y2215" s="223"/>
      <c r="Z2215" s="223"/>
      <c r="AA2215" s="223"/>
    </row>
    <row r="2216">
      <c r="A2216" s="42">
        <f t="shared" si="3"/>
        <v>2215</v>
      </c>
      <c r="B2216" s="51" t="s">
        <v>41</v>
      </c>
      <c r="C2216" s="53" t="s">
        <v>9559</v>
      </c>
      <c r="D2216" s="42" t="s">
        <v>44</v>
      </c>
      <c r="E2216" s="42" t="s">
        <v>44</v>
      </c>
      <c r="F2216" s="53" t="s">
        <v>9544</v>
      </c>
      <c r="G2216" s="53" t="s">
        <v>197</v>
      </c>
      <c r="H2216" s="53" t="s">
        <v>112</v>
      </c>
      <c r="I2216" s="53" t="s">
        <v>9222</v>
      </c>
      <c r="J2216" s="53" t="s">
        <v>9545</v>
      </c>
      <c r="K2216" s="53" t="s">
        <v>51</v>
      </c>
      <c r="L2216" s="53" t="s">
        <v>52</v>
      </c>
      <c r="M2216" s="53" t="s">
        <v>52</v>
      </c>
      <c r="N2216" s="62" t="s">
        <v>9557</v>
      </c>
      <c r="O2216" s="62" t="s">
        <v>44</v>
      </c>
      <c r="P2216" s="62" t="s">
        <v>9560</v>
      </c>
      <c r="Q2216" s="62" t="s">
        <v>9561</v>
      </c>
      <c r="R2216" s="53"/>
      <c r="S2216" s="53"/>
      <c r="T2216" s="82"/>
      <c r="U2216" s="42"/>
      <c r="V2216" s="62"/>
      <c r="W2216" s="64"/>
      <c r="X2216" s="223"/>
      <c r="Y2216" s="223"/>
      <c r="Z2216" s="223"/>
      <c r="AA2216" s="223"/>
    </row>
    <row r="2217">
      <c r="A2217" s="42">
        <f t="shared" si="3"/>
        <v>2216</v>
      </c>
      <c r="B2217" s="51" t="s">
        <v>41</v>
      </c>
      <c r="C2217" s="53" t="s">
        <v>9562</v>
      </c>
      <c r="D2217" s="42" t="s">
        <v>44</v>
      </c>
      <c r="E2217" s="42" t="s">
        <v>44</v>
      </c>
      <c r="F2217" s="53" t="s">
        <v>9544</v>
      </c>
      <c r="G2217" s="53" t="s">
        <v>47</v>
      </c>
      <c r="H2217" s="53" t="s">
        <v>48</v>
      </c>
      <c r="I2217" s="53" t="s">
        <v>9222</v>
      </c>
      <c r="J2217" s="53" t="s">
        <v>9545</v>
      </c>
      <c r="K2217" s="53" t="s">
        <v>51</v>
      </c>
      <c r="L2217" s="53" t="s">
        <v>52</v>
      </c>
      <c r="M2217" s="53" t="s">
        <v>52</v>
      </c>
      <c r="N2217" s="62" t="s">
        <v>9557</v>
      </c>
      <c r="O2217" s="62" t="s">
        <v>44</v>
      </c>
      <c r="P2217" s="62" t="s">
        <v>9563</v>
      </c>
      <c r="Q2217" s="62" t="s">
        <v>9564</v>
      </c>
      <c r="R2217" s="53"/>
      <c r="S2217" s="53"/>
      <c r="T2217" s="82"/>
      <c r="U2217" s="42"/>
      <c r="V2217" s="62"/>
      <c r="W2217" s="64"/>
      <c r="X2217" s="223"/>
      <c r="Y2217" s="223"/>
      <c r="Z2217" s="223"/>
      <c r="AA2217" s="223"/>
    </row>
    <row r="2218">
      <c r="A2218" s="42">
        <f t="shared" si="3"/>
        <v>2217</v>
      </c>
      <c r="B2218" s="51" t="s">
        <v>41</v>
      </c>
      <c r="C2218" s="53" t="s">
        <v>9565</v>
      </c>
      <c r="D2218" s="42" t="s">
        <v>44</v>
      </c>
      <c r="E2218" s="42" t="s">
        <v>44</v>
      </c>
      <c r="F2218" s="53" t="s">
        <v>9544</v>
      </c>
      <c r="G2218" s="53" t="s">
        <v>47</v>
      </c>
      <c r="H2218" s="53" t="s">
        <v>48</v>
      </c>
      <c r="I2218" s="53" t="s">
        <v>9222</v>
      </c>
      <c r="J2218" s="53" t="s">
        <v>9545</v>
      </c>
      <c r="K2218" s="53" t="s">
        <v>51</v>
      </c>
      <c r="L2218" s="53" t="s">
        <v>52</v>
      </c>
      <c r="M2218" s="53" t="s">
        <v>52</v>
      </c>
      <c r="N2218" s="62" t="s">
        <v>9566</v>
      </c>
      <c r="O2218" s="62" t="s">
        <v>44</v>
      </c>
      <c r="P2218" s="62" t="s">
        <v>9567</v>
      </c>
      <c r="Q2218" s="62" t="s">
        <v>9568</v>
      </c>
      <c r="R2218" s="53"/>
      <c r="S2218" s="53"/>
      <c r="T2218" s="82"/>
      <c r="U2218" s="42"/>
      <c r="V2218" s="62"/>
      <c r="W2218" s="64"/>
      <c r="X2218" s="223"/>
      <c r="Y2218" s="223"/>
      <c r="Z2218" s="223"/>
      <c r="AA2218" s="223"/>
    </row>
    <row r="2219">
      <c r="A2219" s="42">
        <f t="shared" si="3"/>
        <v>2218</v>
      </c>
      <c r="B2219" s="51" t="s">
        <v>41</v>
      </c>
      <c r="C2219" s="53" t="s">
        <v>9569</v>
      </c>
      <c r="D2219" s="42" t="s">
        <v>44</v>
      </c>
      <c r="E2219" s="42" t="s">
        <v>44</v>
      </c>
      <c r="F2219" s="53" t="s">
        <v>9544</v>
      </c>
      <c r="G2219" s="53" t="s">
        <v>47</v>
      </c>
      <c r="H2219" s="53" t="s">
        <v>48</v>
      </c>
      <c r="I2219" s="53" t="s">
        <v>9222</v>
      </c>
      <c r="J2219" s="53" t="s">
        <v>9545</v>
      </c>
      <c r="K2219" s="53" t="s">
        <v>51</v>
      </c>
      <c r="L2219" s="53" t="s">
        <v>52</v>
      </c>
      <c r="M2219" s="53" t="s">
        <v>52</v>
      </c>
      <c r="N2219" s="62" t="s">
        <v>9566</v>
      </c>
      <c r="O2219" s="62" t="s">
        <v>44</v>
      </c>
      <c r="P2219" s="62" t="s">
        <v>9570</v>
      </c>
      <c r="Q2219" s="62" t="s">
        <v>9571</v>
      </c>
      <c r="R2219" s="53"/>
      <c r="S2219" s="53"/>
      <c r="T2219" s="82"/>
      <c r="U2219" s="42"/>
      <c r="V2219" s="62"/>
      <c r="W2219" s="64"/>
      <c r="X2219" s="223"/>
      <c r="Y2219" s="223"/>
      <c r="Z2219" s="223"/>
      <c r="AA2219" s="223"/>
    </row>
    <row r="2220">
      <c r="A2220" s="42">
        <f t="shared" si="3"/>
        <v>2219</v>
      </c>
      <c r="B2220" s="51" t="s">
        <v>41</v>
      </c>
      <c r="C2220" s="53" t="s">
        <v>9572</v>
      </c>
      <c r="D2220" s="42" t="s">
        <v>44</v>
      </c>
      <c r="E2220" s="42" t="s">
        <v>44</v>
      </c>
      <c r="F2220" s="53" t="s">
        <v>9573</v>
      </c>
      <c r="G2220" s="53" t="s">
        <v>47</v>
      </c>
      <c r="H2220" s="53" t="s">
        <v>48</v>
      </c>
      <c r="I2220" s="53" t="s">
        <v>9222</v>
      </c>
      <c r="J2220" s="53" t="s">
        <v>9574</v>
      </c>
      <c r="K2220" s="53" t="s">
        <v>3753</v>
      </c>
      <c r="L2220" s="53" t="s">
        <v>52</v>
      </c>
      <c r="M2220" s="53" t="s">
        <v>52</v>
      </c>
      <c r="N2220" s="62" t="s">
        <v>9575</v>
      </c>
      <c r="O2220" s="62" t="s">
        <v>44</v>
      </c>
      <c r="P2220" s="62" t="s">
        <v>9452</v>
      </c>
      <c r="Q2220" s="62" t="s">
        <v>9435</v>
      </c>
      <c r="R2220" s="53"/>
      <c r="S2220" s="53"/>
      <c r="T2220" s="82"/>
      <c r="U2220" s="42"/>
      <c r="V2220" s="62"/>
      <c r="W2220" s="64"/>
      <c r="X2220" s="223"/>
      <c r="Y2220" s="223"/>
      <c r="Z2220" s="223"/>
      <c r="AA2220" s="223"/>
    </row>
    <row r="2221">
      <c r="A2221" s="42">
        <f t="shared" si="3"/>
        <v>2220</v>
      </c>
      <c r="B2221" s="51" t="s">
        <v>41</v>
      </c>
      <c r="C2221" s="53" t="s">
        <v>9576</v>
      </c>
      <c r="D2221" s="42" t="s">
        <v>44</v>
      </c>
      <c r="E2221" s="42" t="s">
        <v>44</v>
      </c>
      <c r="F2221" s="53" t="s">
        <v>9573</v>
      </c>
      <c r="G2221" s="53" t="s">
        <v>47</v>
      </c>
      <c r="H2221" s="53" t="s">
        <v>48</v>
      </c>
      <c r="I2221" s="53" t="s">
        <v>9222</v>
      </c>
      <c r="J2221" s="53" t="s">
        <v>9574</v>
      </c>
      <c r="K2221" s="53" t="s">
        <v>3753</v>
      </c>
      <c r="L2221" s="53" t="s">
        <v>52</v>
      </c>
      <c r="M2221" s="53" t="s">
        <v>52</v>
      </c>
      <c r="N2221" s="62" t="s">
        <v>9575</v>
      </c>
      <c r="O2221" s="62" t="s">
        <v>44</v>
      </c>
      <c r="P2221" s="62" t="s">
        <v>9577</v>
      </c>
      <c r="Q2221" s="62" t="s">
        <v>9578</v>
      </c>
      <c r="R2221" s="53"/>
      <c r="S2221" s="53"/>
      <c r="T2221" s="82"/>
      <c r="U2221" s="42"/>
      <c r="V2221" s="62"/>
      <c r="W2221" s="64"/>
      <c r="X2221" s="223"/>
      <c r="Y2221" s="223"/>
      <c r="Z2221" s="223"/>
      <c r="AA2221" s="223"/>
    </row>
    <row r="2222">
      <c r="A2222" s="42">
        <f t="shared" si="3"/>
        <v>2221</v>
      </c>
      <c r="B2222" s="51" t="s">
        <v>41</v>
      </c>
      <c r="C2222" s="53" t="s">
        <v>9579</v>
      </c>
      <c r="D2222" s="42" t="s">
        <v>44</v>
      </c>
      <c r="E2222" s="42" t="s">
        <v>44</v>
      </c>
      <c r="F2222" s="53" t="s">
        <v>9573</v>
      </c>
      <c r="G2222" s="53" t="s">
        <v>47</v>
      </c>
      <c r="H2222" s="53" t="s">
        <v>95</v>
      </c>
      <c r="I2222" s="53" t="s">
        <v>9222</v>
      </c>
      <c r="J2222" s="53" t="s">
        <v>9574</v>
      </c>
      <c r="K2222" s="53" t="s">
        <v>3753</v>
      </c>
      <c r="L2222" s="53" t="s">
        <v>52</v>
      </c>
      <c r="M2222" s="53" t="s">
        <v>52</v>
      </c>
      <c r="N2222" s="62" t="s">
        <v>9575</v>
      </c>
      <c r="O2222" s="62" t="s">
        <v>44</v>
      </c>
      <c r="P2222" s="62" t="s">
        <v>9580</v>
      </c>
      <c r="Q2222" s="62" t="s">
        <v>9581</v>
      </c>
      <c r="R2222" s="53"/>
      <c r="S2222" s="53"/>
      <c r="T2222" s="82"/>
      <c r="U2222" s="42"/>
      <c r="V2222" s="62"/>
      <c r="W2222" s="64"/>
      <c r="X2222" s="223"/>
      <c r="Y2222" s="223"/>
      <c r="Z2222" s="223"/>
      <c r="AA2222" s="223"/>
    </row>
    <row r="2223">
      <c r="A2223" s="42">
        <f t="shared" si="3"/>
        <v>2222</v>
      </c>
      <c r="B2223" s="51" t="s">
        <v>41</v>
      </c>
      <c r="C2223" s="53" t="s">
        <v>9582</v>
      </c>
      <c r="D2223" s="42" t="s">
        <v>44</v>
      </c>
      <c r="E2223" s="42" t="s">
        <v>44</v>
      </c>
      <c r="F2223" s="53" t="s">
        <v>9583</v>
      </c>
      <c r="G2223" s="53" t="s">
        <v>47</v>
      </c>
      <c r="H2223" s="53" t="s">
        <v>48</v>
      </c>
      <c r="I2223" s="53" t="s">
        <v>8913</v>
      </c>
      <c r="J2223" s="53" t="s">
        <v>9584</v>
      </c>
      <c r="K2223" s="53" t="s">
        <v>927</v>
      </c>
      <c r="L2223" s="53" t="s">
        <v>52</v>
      </c>
      <c r="M2223" s="53" t="s">
        <v>52</v>
      </c>
      <c r="N2223" s="62" t="s">
        <v>9585</v>
      </c>
      <c r="O2223" s="62" t="s">
        <v>44</v>
      </c>
      <c r="P2223" s="62" t="s">
        <v>9586</v>
      </c>
      <c r="Q2223" s="62" t="s">
        <v>9587</v>
      </c>
      <c r="R2223" s="53"/>
      <c r="S2223" s="53"/>
      <c r="T2223" s="82"/>
      <c r="U2223" s="42"/>
      <c r="V2223" s="62"/>
      <c r="W2223" s="64"/>
      <c r="X2223" s="223"/>
      <c r="Y2223" s="223"/>
      <c r="Z2223" s="223"/>
      <c r="AA2223" s="223"/>
    </row>
    <row r="2224">
      <c r="A2224" s="42">
        <f t="shared" si="3"/>
        <v>2223</v>
      </c>
      <c r="B2224" s="51" t="s">
        <v>41</v>
      </c>
      <c r="C2224" s="53" t="s">
        <v>9588</v>
      </c>
      <c r="D2224" s="42" t="s">
        <v>44</v>
      </c>
      <c r="E2224" s="42" t="s">
        <v>44</v>
      </c>
      <c r="F2224" s="53" t="s">
        <v>9583</v>
      </c>
      <c r="G2224" s="53" t="s">
        <v>47</v>
      </c>
      <c r="H2224" s="53" t="s">
        <v>91</v>
      </c>
      <c r="I2224" s="53" t="s">
        <v>8913</v>
      </c>
      <c r="J2224" s="53" t="s">
        <v>9584</v>
      </c>
      <c r="K2224" s="53" t="s">
        <v>927</v>
      </c>
      <c r="L2224" s="53" t="s">
        <v>52</v>
      </c>
      <c r="M2224" s="53" t="s">
        <v>52</v>
      </c>
      <c r="N2224" s="62" t="s">
        <v>9585</v>
      </c>
      <c r="O2224" s="62" t="s">
        <v>44</v>
      </c>
      <c r="P2224" s="62" t="s">
        <v>9589</v>
      </c>
      <c r="Q2224" s="62" t="s">
        <v>9590</v>
      </c>
      <c r="R2224" s="53"/>
      <c r="S2224" s="53"/>
      <c r="T2224" s="82"/>
      <c r="U2224" s="42"/>
      <c r="V2224" s="62"/>
      <c r="W2224" s="64"/>
      <c r="X2224" s="223"/>
      <c r="Y2224" s="223"/>
      <c r="Z2224" s="223"/>
      <c r="AA2224" s="223"/>
    </row>
    <row r="2225">
      <c r="A2225" s="42">
        <f t="shared" si="3"/>
        <v>2224</v>
      </c>
      <c r="B2225" s="51" t="s">
        <v>41</v>
      </c>
      <c r="C2225" s="53" t="s">
        <v>9591</v>
      </c>
      <c r="D2225" s="42" t="s">
        <v>44</v>
      </c>
      <c r="E2225" s="42" t="s">
        <v>44</v>
      </c>
      <c r="F2225" s="53" t="s">
        <v>9583</v>
      </c>
      <c r="G2225" s="53" t="s">
        <v>47</v>
      </c>
      <c r="H2225" s="53" t="s">
        <v>48</v>
      </c>
      <c r="I2225" s="53" t="s">
        <v>8913</v>
      </c>
      <c r="J2225" s="53" t="s">
        <v>9584</v>
      </c>
      <c r="K2225" s="53" t="s">
        <v>927</v>
      </c>
      <c r="L2225" s="53" t="s">
        <v>52</v>
      </c>
      <c r="M2225" s="53" t="s">
        <v>52</v>
      </c>
      <c r="N2225" s="62" t="s">
        <v>9585</v>
      </c>
      <c r="O2225" s="62" t="s">
        <v>44</v>
      </c>
      <c r="P2225" s="62" t="s">
        <v>9592</v>
      </c>
      <c r="Q2225" s="62" t="s">
        <v>9593</v>
      </c>
      <c r="R2225" s="53"/>
      <c r="S2225" s="53"/>
      <c r="T2225" s="82"/>
      <c r="U2225" s="42"/>
      <c r="V2225" s="62"/>
      <c r="W2225" s="64"/>
      <c r="X2225" s="223"/>
      <c r="Y2225" s="223"/>
      <c r="Z2225" s="223"/>
      <c r="AA2225" s="223"/>
    </row>
    <row r="2226">
      <c r="A2226" s="42">
        <f t="shared" si="3"/>
        <v>2225</v>
      </c>
      <c r="B2226" s="51" t="s">
        <v>41</v>
      </c>
      <c r="C2226" s="53" t="s">
        <v>9594</v>
      </c>
      <c r="D2226" s="42" t="s">
        <v>44</v>
      </c>
      <c r="E2226" s="42" t="s">
        <v>44</v>
      </c>
      <c r="F2226" s="53" t="s">
        <v>9595</v>
      </c>
      <c r="G2226" s="53" t="s">
        <v>47</v>
      </c>
      <c r="H2226" s="53" t="s">
        <v>48</v>
      </c>
      <c r="I2226" s="53" t="s">
        <v>8913</v>
      </c>
      <c r="J2226" s="53" t="s">
        <v>9596</v>
      </c>
      <c r="K2226" s="53" t="s">
        <v>51</v>
      </c>
      <c r="L2226" s="53" t="s">
        <v>52</v>
      </c>
      <c r="M2226" s="53" t="s">
        <v>52</v>
      </c>
      <c r="N2226" s="62" t="s">
        <v>9597</v>
      </c>
      <c r="O2226" s="62" t="s">
        <v>44</v>
      </c>
      <c r="P2226" s="62" t="s">
        <v>9598</v>
      </c>
      <c r="Q2226" s="62" t="s">
        <v>9599</v>
      </c>
      <c r="R2226" s="53"/>
      <c r="S2226" s="53"/>
      <c r="T2226" s="82"/>
      <c r="U2226" s="42"/>
      <c r="V2226" s="62"/>
      <c r="W2226" s="64"/>
      <c r="X2226" s="223"/>
      <c r="Y2226" s="223"/>
      <c r="Z2226" s="223"/>
      <c r="AA2226" s="223"/>
    </row>
    <row r="2227">
      <c r="A2227" s="42">
        <f t="shared" si="3"/>
        <v>2226</v>
      </c>
      <c r="B2227" s="51" t="s">
        <v>41</v>
      </c>
      <c r="C2227" s="53" t="s">
        <v>9600</v>
      </c>
      <c r="D2227" s="42" t="s">
        <v>44</v>
      </c>
      <c r="E2227" s="42" t="s">
        <v>44</v>
      </c>
      <c r="F2227" s="53" t="s">
        <v>9595</v>
      </c>
      <c r="G2227" s="53" t="s">
        <v>47</v>
      </c>
      <c r="H2227" s="53" t="s">
        <v>48</v>
      </c>
      <c r="I2227" s="53" t="s">
        <v>8913</v>
      </c>
      <c r="J2227" s="53" t="s">
        <v>9596</v>
      </c>
      <c r="K2227" s="53" t="s">
        <v>51</v>
      </c>
      <c r="L2227" s="53" t="s">
        <v>52</v>
      </c>
      <c r="M2227" s="53" t="s">
        <v>52</v>
      </c>
      <c r="N2227" s="62" t="s">
        <v>9597</v>
      </c>
      <c r="O2227" s="62" t="s">
        <v>44</v>
      </c>
      <c r="P2227" s="62" t="s">
        <v>9601</v>
      </c>
      <c r="Q2227" s="62" t="s">
        <v>9602</v>
      </c>
      <c r="R2227" s="53"/>
      <c r="S2227" s="53"/>
      <c r="T2227" s="82"/>
      <c r="U2227" s="42"/>
      <c r="V2227" s="62"/>
      <c r="W2227" s="64"/>
      <c r="X2227" s="223"/>
      <c r="Y2227" s="223"/>
      <c r="Z2227" s="223"/>
      <c r="AA2227" s="223"/>
    </row>
    <row r="2228">
      <c r="A2228" s="42">
        <f t="shared" si="3"/>
        <v>2227</v>
      </c>
      <c r="B2228" s="51" t="s">
        <v>41</v>
      </c>
      <c r="C2228" s="53" t="s">
        <v>9603</v>
      </c>
      <c r="D2228" s="42" t="s">
        <v>44</v>
      </c>
      <c r="E2228" s="42" t="s">
        <v>44</v>
      </c>
      <c r="F2228" s="53" t="s">
        <v>9595</v>
      </c>
      <c r="G2228" s="53" t="s">
        <v>47</v>
      </c>
      <c r="H2228" s="53" t="s">
        <v>48</v>
      </c>
      <c r="I2228" s="53" t="s">
        <v>8913</v>
      </c>
      <c r="J2228" s="53" t="s">
        <v>9596</v>
      </c>
      <c r="K2228" s="53" t="s">
        <v>51</v>
      </c>
      <c r="L2228" s="53" t="s">
        <v>52</v>
      </c>
      <c r="M2228" s="53" t="s">
        <v>52</v>
      </c>
      <c r="N2228" s="62" t="s">
        <v>9597</v>
      </c>
      <c r="O2228" s="62" t="s">
        <v>44</v>
      </c>
      <c r="P2228" s="62" t="s">
        <v>9604</v>
      </c>
      <c r="Q2228" s="62" t="s">
        <v>9605</v>
      </c>
      <c r="R2228" s="53"/>
      <c r="S2228" s="53"/>
      <c r="T2228" s="82"/>
      <c r="U2228" s="42"/>
      <c r="V2228" s="62"/>
      <c r="W2228" s="64"/>
      <c r="X2228" s="223"/>
      <c r="Y2228" s="223"/>
      <c r="Z2228" s="223"/>
      <c r="AA2228" s="223"/>
    </row>
    <row r="2229">
      <c r="A2229" s="42">
        <f t="shared" si="3"/>
        <v>2228</v>
      </c>
      <c r="B2229" s="51" t="s">
        <v>41</v>
      </c>
      <c r="C2229" s="53" t="s">
        <v>9606</v>
      </c>
      <c r="D2229" s="42" t="s">
        <v>44</v>
      </c>
      <c r="E2229" s="42" t="s">
        <v>44</v>
      </c>
      <c r="F2229" s="53" t="s">
        <v>9595</v>
      </c>
      <c r="G2229" s="53" t="s">
        <v>47</v>
      </c>
      <c r="H2229" s="53" t="s">
        <v>48</v>
      </c>
      <c r="I2229" s="53" t="s">
        <v>8913</v>
      </c>
      <c r="J2229" s="53" t="s">
        <v>9596</v>
      </c>
      <c r="K2229" s="53" t="s">
        <v>51</v>
      </c>
      <c r="L2229" s="53" t="s">
        <v>52</v>
      </c>
      <c r="M2229" s="53" t="s">
        <v>52</v>
      </c>
      <c r="N2229" s="62" t="s">
        <v>9597</v>
      </c>
      <c r="O2229" s="62" t="s">
        <v>44</v>
      </c>
      <c r="P2229" s="62" t="s">
        <v>9607</v>
      </c>
      <c r="Q2229" s="62" t="s">
        <v>9608</v>
      </c>
      <c r="R2229" s="53"/>
      <c r="S2229" s="53"/>
      <c r="T2229" s="82"/>
      <c r="U2229" s="42"/>
      <c r="V2229" s="62"/>
      <c r="W2229" s="64"/>
      <c r="X2229" s="223"/>
      <c r="Y2229" s="223"/>
      <c r="Z2229" s="223"/>
      <c r="AA2229" s="223"/>
    </row>
    <row r="2230">
      <c r="A2230" s="42">
        <f t="shared" si="3"/>
        <v>2229</v>
      </c>
      <c r="B2230" s="51" t="s">
        <v>41</v>
      </c>
      <c r="C2230" s="53" t="s">
        <v>9609</v>
      </c>
      <c r="D2230" s="42" t="s">
        <v>44</v>
      </c>
      <c r="E2230" s="42" t="s">
        <v>44</v>
      </c>
      <c r="F2230" s="53" t="s">
        <v>9595</v>
      </c>
      <c r="G2230" s="53" t="s">
        <v>47</v>
      </c>
      <c r="H2230" s="53" t="s">
        <v>48</v>
      </c>
      <c r="I2230" s="53" t="s">
        <v>8913</v>
      </c>
      <c r="J2230" s="53" t="s">
        <v>9596</v>
      </c>
      <c r="K2230" s="53" t="s">
        <v>51</v>
      </c>
      <c r="L2230" s="53" t="s">
        <v>52</v>
      </c>
      <c r="M2230" s="53" t="s">
        <v>52</v>
      </c>
      <c r="N2230" s="62" t="s">
        <v>9597</v>
      </c>
      <c r="O2230" s="62" t="s">
        <v>44</v>
      </c>
      <c r="P2230" s="62" t="s">
        <v>9610</v>
      </c>
      <c r="Q2230" s="62" t="s">
        <v>9611</v>
      </c>
      <c r="R2230" s="53"/>
      <c r="S2230" s="53"/>
      <c r="T2230" s="82"/>
      <c r="U2230" s="42"/>
      <c r="V2230" s="62"/>
      <c r="W2230" s="64"/>
      <c r="X2230" s="223"/>
      <c r="Y2230" s="223"/>
      <c r="Z2230" s="223"/>
      <c r="AA2230" s="223"/>
    </row>
    <row r="2231">
      <c r="A2231" s="42">
        <f t="shared" si="3"/>
        <v>2230</v>
      </c>
      <c r="B2231" s="51" t="s">
        <v>41</v>
      </c>
      <c r="C2231" s="53" t="s">
        <v>9612</v>
      </c>
      <c r="D2231" s="42" t="s">
        <v>44</v>
      </c>
      <c r="E2231" s="42" t="s">
        <v>44</v>
      </c>
      <c r="F2231" s="53" t="s">
        <v>9595</v>
      </c>
      <c r="G2231" s="53" t="s">
        <v>47</v>
      </c>
      <c r="H2231" s="53" t="s">
        <v>48</v>
      </c>
      <c r="I2231" s="53" t="s">
        <v>8913</v>
      </c>
      <c r="J2231" s="53" t="s">
        <v>9596</v>
      </c>
      <c r="K2231" s="53" t="s">
        <v>51</v>
      </c>
      <c r="L2231" s="53" t="s">
        <v>52</v>
      </c>
      <c r="M2231" s="53" t="s">
        <v>52</v>
      </c>
      <c r="N2231" s="62" t="s">
        <v>9597</v>
      </c>
      <c r="O2231" s="62" t="s">
        <v>44</v>
      </c>
      <c r="P2231" s="62" t="s">
        <v>9613</v>
      </c>
      <c r="Q2231" s="62" t="s">
        <v>9614</v>
      </c>
      <c r="R2231" s="53"/>
      <c r="S2231" s="53"/>
      <c r="T2231" s="82"/>
      <c r="U2231" s="42"/>
      <c r="V2231" s="62"/>
      <c r="W2231" s="64"/>
      <c r="X2231" s="223"/>
      <c r="Y2231" s="223"/>
      <c r="Z2231" s="223"/>
      <c r="AA2231" s="223"/>
    </row>
    <row r="2232">
      <c r="A2232" s="42">
        <f t="shared" si="3"/>
        <v>2231</v>
      </c>
      <c r="B2232" s="51" t="s">
        <v>41</v>
      </c>
      <c r="C2232" s="53" t="s">
        <v>9615</v>
      </c>
      <c r="D2232" s="42" t="s">
        <v>44</v>
      </c>
      <c r="E2232" s="42" t="s">
        <v>44</v>
      </c>
      <c r="F2232" s="53" t="s">
        <v>9595</v>
      </c>
      <c r="G2232" s="53" t="s">
        <v>47</v>
      </c>
      <c r="H2232" s="53" t="s">
        <v>48</v>
      </c>
      <c r="I2232" s="53" t="s">
        <v>8913</v>
      </c>
      <c r="J2232" s="53" t="s">
        <v>9596</v>
      </c>
      <c r="K2232" s="53" t="s">
        <v>51</v>
      </c>
      <c r="L2232" s="53" t="s">
        <v>52</v>
      </c>
      <c r="M2232" s="53" t="s">
        <v>52</v>
      </c>
      <c r="N2232" s="62" t="s">
        <v>9597</v>
      </c>
      <c r="O2232" s="62" t="s">
        <v>44</v>
      </c>
      <c r="P2232" s="62" t="s">
        <v>9616</v>
      </c>
      <c r="Q2232" s="62" t="s">
        <v>8877</v>
      </c>
      <c r="R2232" s="53"/>
      <c r="S2232" s="53"/>
      <c r="T2232" s="82"/>
      <c r="U2232" s="42"/>
      <c r="V2232" s="62"/>
      <c r="W2232" s="64"/>
      <c r="X2232" s="223"/>
      <c r="Y2232" s="223"/>
      <c r="Z2232" s="223"/>
      <c r="AA2232" s="223"/>
    </row>
    <row r="2233">
      <c r="A2233" s="42">
        <f t="shared" si="3"/>
        <v>2232</v>
      </c>
      <c r="B2233" s="51" t="s">
        <v>41</v>
      </c>
      <c r="C2233" s="53" t="s">
        <v>9617</v>
      </c>
      <c r="D2233" s="42" t="s">
        <v>44</v>
      </c>
      <c r="E2233" s="42" t="s">
        <v>44</v>
      </c>
      <c r="F2233" s="53" t="s">
        <v>9595</v>
      </c>
      <c r="G2233" s="53" t="s">
        <v>47</v>
      </c>
      <c r="H2233" s="53" t="s">
        <v>91</v>
      </c>
      <c r="I2233" s="53" t="s">
        <v>8913</v>
      </c>
      <c r="J2233" s="53" t="s">
        <v>9596</v>
      </c>
      <c r="K2233" s="53" t="s">
        <v>51</v>
      </c>
      <c r="L2233" s="53" t="s">
        <v>52</v>
      </c>
      <c r="M2233" s="53" t="s">
        <v>52</v>
      </c>
      <c r="N2233" s="62" t="s">
        <v>9597</v>
      </c>
      <c r="O2233" s="62" t="s">
        <v>44</v>
      </c>
      <c r="P2233" s="62" t="s">
        <v>9618</v>
      </c>
      <c r="Q2233" s="62" t="s">
        <v>9619</v>
      </c>
      <c r="R2233" s="53"/>
      <c r="S2233" s="53"/>
      <c r="T2233" s="82"/>
      <c r="U2233" s="42"/>
      <c r="V2233" s="62"/>
      <c r="W2233" s="64"/>
      <c r="X2233" s="223"/>
      <c r="Y2233" s="223"/>
      <c r="Z2233" s="223"/>
      <c r="AA2233" s="223"/>
    </row>
    <row r="2234">
      <c r="A2234" s="42">
        <f t="shared" si="3"/>
        <v>2233</v>
      </c>
      <c r="B2234" s="51" t="s">
        <v>41</v>
      </c>
      <c r="C2234" s="53" t="s">
        <v>9620</v>
      </c>
      <c r="D2234" s="42" t="s">
        <v>44</v>
      </c>
      <c r="E2234" s="42" t="s">
        <v>44</v>
      </c>
      <c r="F2234" s="53" t="s">
        <v>9595</v>
      </c>
      <c r="G2234" s="53" t="s">
        <v>47</v>
      </c>
      <c r="H2234" s="53" t="s">
        <v>48</v>
      </c>
      <c r="I2234" s="53" t="s">
        <v>8913</v>
      </c>
      <c r="J2234" s="53" t="s">
        <v>9596</v>
      </c>
      <c r="K2234" s="53" t="s">
        <v>51</v>
      </c>
      <c r="L2234" s="53" t="s">
        <v>52</v>
      </c>
      <c r="M2234" s="53" t="s">
        <v>52</v>
      </c>
      <c r="N2234" s="62" t="s">
        <v>9597</v>
      </c>
      <c r="O2234" s="62" t="s">
        <v>44</v>
      </c>
      <c r="P2234" s="62" t="s">
        <v>9610</v>
      </c>
      <c r="Q2234" s="62" t="s">
        <v>9621</v>
      </c>
      <c r="R2234" s="53"/>
      <c r="S2234" s="53"/>
      <c r="T2234" s="82"/>
      <c r="U2234" s="42"/>
      <c r="V2234" s="62"/>
      <c r="W2234" s="64"/>
      <c r="X2234" s="223"/>
      <c r="Y2234" s="223"/>
      <c r="Z2234" s="223"/>
      <c r="AA2234" s="223"/>
    </row>
    <row r="2235">
      <c r="A2235" s="42">
        <f t="shared" si="3"/>
        <v>2234</v>
      </c>
      <c r="B2235" s="51" t="s">
        <v>41</v>
      </c>
      <c r="C2235" s="53" t="s">
        <v>9622</v>
      </c>
      <c r="D2235" s="42" t="s">
        <v>44</v>
      </c>
      <c r="E2235" s="42" t="s">
        <v>44</v>
      </c>
      <c r="F2235" s="53" t="s">
        <v>9595</v>
      </c>
      <c r="G2235" s="53" t="s">
        <v>47</v>
      </c>
      <c r="H2235" s="53" t="s">
        <v>48</v>
      </c>
      <c r="I2235" s="53" t="s">
        <v>8913</v>
      </c>
      <c r="J2235" s="53" t="s">
        <v>9596</v>
      </c>
      <c r="K2235" s="53" t="s">
        <v>51</v>
      </c>
      <c r="L2235" s="53" t="s">
        <v>52</v>
      </c>
      <c r="M2235" s="53" t="s">
        <v>52</v>
      </c>
      <c r="N2235" s="62" t="s">
        <v>9597</v>
      </c>
      <c r="O2235" s="62" t="s">
        <v>44</v>
      </c>
      <c r="P2235" s="62" t="s">
        <v>9613</v>
      </c>
      <c r="Q2235" s="62" t="s">
        <v>9623</v>
      </c>
      <c r="R2235" s="53"/>
      <c r="S2235" s="53"/>
      <c r="T2235" s="82"/>
      <c r="U2235" s="42"/>
      <c r="V2235" s="62"/>
      <c r="W2235" s="64"/>
      <c r="X2235" s="223"/>
      <c r="Y2235" s="223"/>
      <c r="Z2235" s="223"/>
      <c r="AA2235" s="223"/>
    </row>
    <row r="2236">
      <c r="A2236" s="42">
        <f t="shared" si="3"/>
        <v>2235</v>
      </c>
      <c r="B2236" s="51" t="s">
        <v>41</v>
      </c>
      <c r="C2236" s="53" t="s">
        <v>9624</v>
      </c>
      <c r="D2236" s="42" t="s">
        <v>44</v>
      </c>
      <c r="E2236" s="42" t="s">
        <v>44</v>
      </c>
      <c r="F2236" s="53" t="s">
        <v>9595</v>
      </c>
      <c r="G2236" s="53" t="s">
        <v>47</v>
      </c>
      <c r="H2236" s="53" t="s">
        <v>48</v>
      </c>
      <c r="I2236" s="53" t="s">
        <v>8913</v>
      </c>
      <c r="J2236" s="53" t="s">
        <v>9596</v>
      </c>
      <c r="K2236" s="53" t="s">
        <v>51</v>
      </c>
      <c r="L2236" s="53" t="s">
        <v>52</v>
      </c>
      <c r="M2236" s="53" t="s">
        <v>52</v>
      </c>
      <c r="N2236" s="62" t="s">
        <v>9597</v>
      </c>
      <c r="O2236" s="62" t="s">
        <v>44</v>
      </c>
      <c r="P2236" s="62" t="s">
        <v>9610</v>
      </c>
      <c r="Q2236" s="62" t="s">
        <v>9625</v>
      </c>
      <c r="R2236" s="53"/>
      <c r="S2236" s="53"/>
      <c r="T2236" s="82"/>
      <c r="U2236" s="42"/>
      <c r="V2236" s="62"/>
      <c r="W2236" s="64"/>
      <c r="X2236" s="223"/>
      <c r="Y2236" s="223"/>
      <c r="Z2236" s="223"/>
      <c r="AA2236" s="223"/>
    </row>
    <row r="2237">
      <c r="A2237" s="42">
        <f t="shared" si="3"/>
        <v>2236</v>
      </c>
      <c r="B2237" s="51" t="s">
        <v>41</v>
      </c>
      <c r="C2237" s="53" t="s">
        <v>9626</v>
      </c>
      <c r="D2237" s="42" t="s">
        <v>44</v>
      </c>
      <c r="E2237" s="42" t="s">
        <v>44</v>
      </c>
      <c r="F2237" s="53" t="s">
        <v>9595</v>
      </c>
      <c r="G2237" s="53" t="s">
        <v>47</v>
      </c>
      <c r="H2237" s="53" t="s">
        <v>48</v>
      </c>
      <c r="I2237" s="53" t="s">
        <v>8913</v>
      </c>
      <c r="J2237" s="53" t="s">
        <v>9596</v>
      </c>
      <c r="K2237" s="53" t="s">
        <v>51</v>
      </c>
      <c r="L2237" s="53" t="s">
        <v>52</v>
      </c>
      <c r="M2237" s="53" t="s">
        <v>52</v>
      </c>
      <c r="N2237" s="62" t="s">
        <v>9597</v>
      </c>
      <c r="O2237" s="62" t="s">
        <v>44</v>
      </c>
      <c r="P2237" s="62" t="s">
        <v>9610</v>
      </c>
      <c r="Q2237" s="62" t="s">
        <v>9627</v>
      </c>
      <c r="R2237" s="53"/>
      <c r="S2237" s="53"/>
      <c r="T2237" s="82"/>
      <c r="U2237" s="42"/>
      <c r="V2237" s="62"/>
      <c r="W2237" s="64"/>
      <c r="X2237" s="223"/>
      <c r="Y2237" s="223"/>
      <c r="Z2237" s="223"/>
      <c r="AA2237" s="223"/>
    </row>
    <row r="2238">
      <c r="A2238" s="42">
        <f t="shared" si="3"/>
        <v>2237</v>
      </c>
      <c r="B2238" s="51" t="s">
        <v>41</v>
      </c>
      <c r="C2238" s="53" t="s">
        <v>9628</v>
      </c>
      <c r="D2238" s="42" t="s">
        <v>44</v>
      </c>
      <c r="E2238" s="42" t="s">
        <v>44</v>
      </c>
      <c r="F2238" s="53" t="s">
        <v>9595</v>
      </c>
      <c r="G2238" s="53" t="s">
        <v>47</v>
      </c>
      <c r="H2238" s="53" t="s">
        <v>48</v>
      </c>
      <c r="I2238" s="53" t="s">
        <v>8913</v>
      </c>
      <c r="J2238" s="53" t="s">
        <v>9596</v>
      </c>
      <c r="K2238" s="53" t="s">
        <v>51</v>
      </c>
      <c r="L2238" s="53" t="s">
        <v>52</v>
      </c>
      <c r="M2238" s="53" t="s">
        <v>52</v>
      </c>
      <c r="N2238" s="62" t="s">
        <v>9597</v>
      </c>
      <c r="O2238" s="62" t="s">
        <v>44</v>
      </c>
      <c r="P2238" s="62" t="s">
        <v>9613</v>
      </c>
      <c r="Q2238" s="62" t="s">
        <v>9629</v>
      </c>
      <c r="R2238" s="53"/>
      <c r="S2238" s="53"/>
      <c r="T2238" s="82"/>
      <c r="U2238" s="42"/>
      <c r="V2238" s="62"/>
      <c r="W2238" s="64"/>
      <c r="X2238" s="223"/>
      <c r="Y2238" s="223"/>
      <c r="Z2238" s="223"/>
      <c r="AA2238" s="223"/>
    </row>
    <row r="2239">
      <c r="A2239" s="42">
        <f t="shared" si="3"/>
        <v>2238</v>
      </c>
      <c r="B2239" s="51" t="s">
        <v>41</v>
      </c>
      <c r="C2239" s="53" t="s">
        <v>9630</v>
      </c>
      <c r="D2239" s="42" t="s">
        <v>44</v>
      </c>
      <c r="E2239" s="42" t="s">
        <v>44</v>
      </c>
      <c r="F2239" s="53" t="s">
        <v>9595</v>
      </c>
      <c r="G2239" s="53" t="s">
        <v>47</v>
      </c>
      <c r="H2239" s="53" t="s">
        <v>48</v>
      </c>
      <c r="I2239" s="53" t="s">
        <v>8913</v>
      </c>
      <c r="J2239" s="53" t="s">
        <v>9596</v>
      </c>
      <c r="K2239" s="53" t="s">
        <v>51</v>
      </c>
      <c r="L2239" s="53" t="s">
        <v>52</v>
      </c>
      <c r="M2239" s="53" t="s">
        <v>52</v>
      </c>
      <c r="N2239" s="62" t="s">
        <v>9597</v>
      </c>
      <c r="O2239" s="62" t="s">
        <v>44</v>
      </c>
      <c r="P2239" s="62" t="s">
        <v>9631</v>
      </c>
      <c r="Q2239" s="62" t="s">
        <v>8877</v>
      </c>
      <c r="R2239" s="53"/>
      <c r="S2239" s="53"/>
      <c r="T2239" s="82"/>
      <c r="U2239" s="42"/>
      <c r="V2239" s="62"/>
      <c r="W2239" s="64"/>
      <c r="X2239" s="223"/>
      <c r="Y2239" s="223"/>
      <c r="Z2239" s="223"/>
      <c r="AA2239" s="223"/>
    </row>
    <row r="2240">
      <c r="A2240" s="42">
        <f t="shared" si="3"/>
        <v>2239</v>
      </c>
      <c r="B2240" s="51" t="s">
        <v>41</v>
      </c>
      <c r="C2240" s="53" t="s">
        <v>9632</v>
      </c>
      <c r="D2240" s="42" t="s">
        <v>44</v>
      </c>
      <c r="E2240" s="42" t="s">
        <v>44</v>
      </c>
      <c r="F2240" s="53" t="s">
        <v>9595</v>
      </c>
      <c r="G2240" s="53" t="s">
        <v>47</v>
      </c>
      <c r="H2240" s="53" t="s">
        <v>91</v>
      </c>
      <c r="I2240" s="53" t="s">
        <v>8913</v>
      </c>
      <c r="J2240" s="53" t="s">
        <v>9596</v>
      </c>
      <c r="K2240" s="53" t="s">
        <v>51</v>
      </c>
      <c r="L2240" s="53" t="s">
        <v>52</v>
      </c>
      <c r="M2240" s="53" t="s">
        <v>52</v>
      </c>
      <c r="N2240" s="62" t="s">
        <v>9597</v>
      </c>
      <c r="O2240" s="62" t="s">
        <v>44</v>
      </c>
      <c r="P2240" s="62" t="s">
        <v>9633</v>
      </c>
      <c r="Q2240" s="62" t="s">
        <v>9619</v>
      </c>
      <c r="R2240" s="53"/>
      <c r="S2240" s="53"/>
      <c r="T2240" s="82"/>
      <c r="U2240" s="42"/>
      <c r="V2240" s="62"/>
      <c r="W2240" s="64"/>
      <c r="X2240" s="223"/>
      <c r="Y2240" s="223"/>
      <c r="Z2240" s="223"/>
      <c r="AA2240" s="223"/>
    </row>
    <row r="2241">
      <c r="A2241" s="42">
        <f t="shared" si="3"/>
        <v>2240</v>
      </c>
      <c r="B2241" s="51" t="s">
        <v>41</v>
      </c>
      <c r="C2241" s="53" t="s">
        <v>9634</v>
      </c>
      <c r="D2241" s="42" t="s">
        <v>44</v>
      </c>
      <c r="E2241" s="42" t="s">
        <v>44</v>
      </c>
      <c r="F2241" s="53" t="s">
        <v>9595</v>
      </c>
      <c r="G2241" s="53" t="s">
        <v>47</v>
      </c>
      <c r="H2241" s="53" t="s">
        <v>48</v>
      </c>
      <c r="I2241" s="53" t="s">
        <v>8913</v>
      </c>
      <c r="J2241" s="53" t="s">
        <v>9596</v>
      </c>
      <c r="K2241" s="53" t="s">
        <v>51</v>
      </c>
      <c r="L2241" s="53" t="s">
        <v>52</v>
      </c>
      <c r="M2241" s="53" t="s">
        <v>52</v>
      </c>
      <c r="N2241" s="62" t="s">
        <v>9597</v>
      </c>
      <c r="O2241" s="62" t="s">
        <v>44</v>
      </c>
      <c r="P2241" s="62" t="s">
        <v>9635</v>
      </c>
      <c r="Q2241" s="62" t="s">
        <v>9636</v>
      </c>
      <c r="R2241" s="53"/>
      <c r="S2241" s="53"/>
      <c r="T2241" s="82"/>
      <c r="U2241" s="42"/>
      <c r="V2241" s="62"/>
      <c r="W2241" s="64"/>
      <c r="X2241" s="223"/>
      <c r="Y2241" s="223"/>
      <c r="Z2241" s="223"/>
      <c r="AA2241" s="223"/>
    </row>
    <row r="2242">
      <c r="A2242" s="42">
        <f t="shared" si="3"/>
        <v>2241</v>
      </c>
      <c r="B2242" s="51" t="s">
        <v>41</v>
      </c>
      <c r="C2242" s="53" t="s">
        <v>9637</v>
      </c>
      <c r="D2242" s="42" t="s">
        <v>44</v>
      </c>
      <c r="E2242" s="42" t="s">
        <v>44</v>
      </c>
      <c r="F2242" s="53" t="s">
        <v>9595</v>
      </c>
      <c r="G2242" s="53" t="s">
        <v>47</v>
      </c>
      <c r="H2242" s="53" t="s">
        <v>48</v>
      </c>
      <c r="I2242" s="53" t="s">
        <v>8913</v>
      </c>
      <c r="J2242" s="53" t="s">
        <v>9596</v>
      </c>
      <c r="K2242" s="53" t="s">
        <v>51</v>
      </c>
      <c r="L2242" s="53" t="s">
        <v>52</v>
      </c>
      <c r="M2242" s="53" t="s">
        <v>52</v>
      </c>
      <c r="N2242" s="62" t="s">
        <v>9638</v>
      </c>
      <c r="O2242" s="62" t="s">
        <v>44</v>
      </c>
      <c r="P2242" s="62" t="s">
        <v>9639</v>
      </c>
      <c r="Q2242" s="62" t="s">
        <v>9640</v>
      </c>
      <c r="R2242" s="53"/>
      <c r="S2242" s="53"/>
      <c r="T2242" s="82"/>
      <c r="U2242" s="42"/>
      <c r="V2242" s="62"/>
      <c r="W2242" s="64"/>
      <c r="X2242" s="223"/>
      <c r="Y2242" s="223"/>
      <c r="Z2242" s="223"/>
      <c r="AA2242" s="223"/>
    </row>
    <row r="2243">
      <c r="A2243" s="42">
        <f t="shared" si="3"/>
        <v>2242</v>
      </c>
      <c r="B2243" s="51" t="s">
        <v>41</v>
      </c>
      <c r="C2243" s="53" t="s">
        <v>9641</v>
      </c>
      <c r="D2243" s="42" t="s">
        <v>44</v>
      </c>
      <c r="E2243" s="42" t="s">
        <v>44</v>
      </c>
      <c r="F2243" s="53" t="s">
        <v>9595</v>
      </c>
      <c r="G2243" s="53" t="s">
        <v>47</v>
      </c>
      <c r="H2243" s="53" t="s">
        <v>48</v>
      </c>
      <c r="I2243" s="53" t="s">
        <v>8913</v>
      </c>
      <c r="J2243" s="53" t="s">
        <v>9596</v>
      </c>
      <c r="K2243" s="53" t="s">
        <v>51</v>
      </c>
      <c r="L2243" s="53" t="s">
        <v>52</v>
      </c>
      <c r="M2243" s="53" t="s">
        <v>52</v>
      </c>
      <c r="N2243" s="62" t="s">
        <v>9642</v>
      </c>
      <c r="O2243" s="62" t="s">
        <v>44</v>
      </c>
      <c r="P2243" s="62" t="s">
        <v>9639</v>
      </c>
      <c r="Q2243" s="62" t="s">
        <v>9643</v>
      </c>
      <c r="R2243" s="53"/>
      <c r="S2243" s="53"/>
      <c r="T2243" s="82"/>
      <c r="U2243" s="42"/>
      <c r="V2243" s="62"/>
      <c r="W2243" s="64"/>
      <c r="X2243" s="223"/>
      <c r="Y2243" s="223"/>
      <c r="Z2243" s="223"/>
      <c r="AA2243" s="223"/>
    </row>
    <row r="2244">
      <c r="A2244" s="42">
        <f t="shared" si="3"/>
        <v>2243</v>
      </c>
      <c r="B2244" s="51" t="s">
        <v>41</v>
      </c>
      <c r="C2244" s="53" t="s">
        <v>9644</v>
      </c>
      <c r="D2244" s="42" t="s">
        <v>44</v>
      </c>
      <c r="E2244" s="42" t="s">
        <v>44</v>
      </c>
      <c r="F2244" s="53" t="s">
        <v>9595</v>
      </c>
      <c r="G2244" s="53" t="s">
        <v>47</v>
      </c>
      <c r="H2244" s="53" t="s">
        <v>48</v>
      </c>
      <c r="I2244" s="53" t="s">
        <v>8913</v>
      </c>
      <c r="J2244" s="53" t="s">
        <v>9596</v>
      </c>
      <c r="K2244" s="53" t="s">
        <v>51</v>
      </c>
      <c r="L2244" s="53" t="s">
        <v>52</v>
      </c>
      <c r="M2244" s="53" t="s">
        <v>52</v>
      </c>
      <c r="N2244" s="62" t="s">
        <v>9597</v>
      </c>
      <c r="O2244" s="62" t="s">
        <v>44</v>
      </c>
      <c r="P2244" s="62" t="s">
        <v>9645</v>
      </c>
      <c r="Q2244" s="62" t="s">
        <v>9646</v>
      </c>
      <c r="R2244" s="53"/>
      <c r="S2244" s="53"/>
      <c r="T2244" s="82"/>
      <c r="U2244" s="42"/>
      <c r="V2244" s="62"/>
      <c r="W2244" s="64"/>
      <c r="X2244" s="223"/>
      <c r="Y2244" s="223"/>
      <c r="Z2244" s="223"/>
      <c r="AA2244" s="223"/>
    </row>
    <row r="2245">
      <c r="A2245" s="42">
        <f t="shared" si="3"/>
        <v>2244</v>
      </c>
      <c r="B2245" s="51" t="s">
        <v>41</v>
      </c>
      <c r="C2245" s="53" t="s">
        <v>9647</v>
      </c>
      <c r="D2245" s="42" t="s">
        <v>44</v>
      </c>
      <c r="E2245" s="42" t="s">
        <v>44</v>
      </c>
      <c r="F2245" s="53" t="s">
        <v>9595</v>
      </c>
      <c r="G2245" s="53" t="s">
        <v>47</v>
      </c>
      <c r="H2245" s="53" t="s">
        <v>48</v>
      </c>
      <c r="I2245" s="53" t="s">
        <v>8913</v>
      </c>
      <c r="J2245" s="53" t="s">
        <v>9596</v>
      </c>
      <c r="K2245" s="53" t="s">
        <v>51</v>
      </c>
      <c r="L2245" s="53" t="s">
        <v>52</v>
      </c>
      <c r="M2245" s="53" t="s">
        <v>52</v>
      </c>
      <c r="N2245" s="62" t="s">
        <v>9597</v>
      </c>
      <c r="O2245" s="62" t="s">
        <v>44</v>
      </c>
      <c r="P2245" s="62" t="s">
        <v>9648</v>
      </c>
      <c r="Q2245" s="62" t="s">
        <v>9649</v>
      </c>
      <c r="R2245" s="53"/>
      <c r="S2245" s="53"/>
      <c r="T2245" s="82"/>
      <c r="U2245" s="42"/>
      <c r="V2245" s="62"/>
      <c r="W2245" s="64"/>
      <c r="X2245" s="223"/>
      <c r="Y2245" s="223"/>
      <c r="Z2245" s="223"/>
      <c r="AA2245" s="223"/>
    </row>
    <row r="2246">
      <c r="A2246" s="42">
        <f t="shared" si="3"/>
        <v>2245</v>
      </c>
      <c r="B2246" s="51" t="s">
        <v>41</v>
      </c>
      <c r="C2246" s="53" t="s">
        <v>9650</v>
      </c>
      <c r="D2246" s="42" t="s">
        <v>44</v>
      </c>
      <c r="E2246" s="42" t="s">
        <v>44</v>
      </c>
      <c r="F2246" s="53" t="s">
        <v>9595</v>
      </c>
      <c r="G2246" s="53" t="s">
        <v>47</v>
      </c>
      <c r="H2246" s="53" t="s">
        <v>48</v>
      </c>
      <c r="I2246" s="53" t="s">
        <v>8913</v>
      </c>
      <c r="J2246" s="53" t="s">
        <v>9596</v>
      </c>
      <c r="K2246" s="53" t="s">
        <v>51</v>
      </c>
      <c r="L2246" s="53" t="s">
        <v>52</v>
      </c>
      <c r="M2246" s="53" t="s">
        <v>52</v>
      </c>
      <c r="N2246" s="62" t="s">
        <v>9597</v>
      </c>
      <c r="O2246" s="62" t="s">
        <v>44</v>
      </c>
      <c r="P2246" s="62" t="s">
        <v>9651</v>
      </c>
      <c r="Q2246" s="62" t="s">
        <v>9652</v>
      </c>
      <c r="R2246" s="53"/>
      <c r="S2246" s="53"/>
      <c r="T2246" s="82"/>
      <c r="U2246" s="42"/>
      <c r="V2246" s="62"/>
      <c r="W2246" s="64"/>
      <c r="X2246" s="223"/>
      <c r="Y2246" s="223"/>
      <c r="Z2246" s="223"/>
      <c r="AA2246" s="223"/>
    </row>
    <row r="2247">
      <c r="A2247" s="42">
        <f t="shared" si="3"/>
        <v>2246</v>
      </c>
      <c r="B2247" s="51" t="s">
        <v>41</v>
      </c>
      <c r="C2247" s="53" t="s">
        <v>9653</v>
      </c>
      <c r="D2247" s="42" t="s">
        <v>44</v>
      </c>
      <c r="E2247" s="42" t="s">
        <v>44</v>
      </c>
      <c r="F2247" s="53" t="s">
        <v>9595</v>
      </c>
      <c r="G2247" s="53" t="s">
        <v>47</v>
      </c>
      <c r="H2247" s="53" t="s">
        <v>48</v>
      </c>
      <c r="I2247" s="53" t="s">
        <v>8913</v>
      </c>
      <c r="J2247" s="53" t="s">
        <v>9596</v>
      </c>
      <c r="K2247" s="53" t="s">
        <v>51</v>
      </c>
      <c r="L2247" s="53" t="s">
        <v>52</v>
      </c>
      <c r="M2247" s="53" t="s">
        <v>52</v>
      </c>
      <c r="N2247" s="62" t="s">
        <v>9597</v>
      </c>
      <c r="O2247" s="62" t="s">
        <v>44</v>
      </c>
      <c r="P2247" s="62" t="s">
        <v>9648</v>
      </c>
      <c r="Q2247" s="62" t="s">
        <v>9654</v>
      </c>
      <c r="R2247" s="53"/>
      <c r="S2247" s="53"/>
      <c r="T2247" s="82"/>
      <c r="U2247" s="42"/>
      <c r="V2247" s="62"/>
      <c r="W2247" s="64"/>
      <c r="X2247" s="223"/>
      <c r="Y2247" s="223"/>
      <c r="Z2247" s="223"/>
      <c r="AA2247" s="223"/>
    </row>
    <row r="2248">
      <c r="A2248" s="42">
        <f t="shared" si="3"/>
        <v>2247</v>
      </c>
      <c r="B2248" s="51" t="s">
        <v>41</v>
      </c>
      <c r="C2248" s="53" t="s">
        <v>9655</v>
      </c>
      <c r="D2248" s="42" t="s">
        <v>44</v>
      </c>
      <c r="E2248" s="42" t="s">
        <v>44</v>
      </c>
      <c r="F2248" s="53" t="s">
        <v>9595</v>
      </c>
      <c r="G2248" s="53" t="s">
        <v>47</v>
      </c>
      <c r="H2248" s="53" t="s">
        <v>48</v>
      </c>
      <c r="I2248" s="53" t="s">
        <v>8913</v>
      </c>
      <c r="J2248" s="53" t="s">
        <v>9596</v>
      </c>
      <c r="K2248" s="53" t="s">
        <v>51</v>
      </c>
      <c r="L2248" s="53" t="s">
        <v>52</v>
      </c>
      <c r="M2248" s="53" t="s">
        <v>52</v>
      </c>
      <c r="N2248" s="62" t="s">
        <v>9597</v>
      </c>
      <c r="O2248" s="62" t="s">
        <v>44</v>
      </c>
      <c r="P2248" s="62" t="s">
        <v>9656</v>
      </c>
      <c r="Q2248" s="62" t="s">
        <v>9657</v>
      </c>
      <c r="R2248" s="53"/>
      <c r="S2248" s="53"/>
      <c r="T2248" s="82"/>
      <c r="U2248" s="42"/>
      <c r="V2248" s="62"/>
      <c r="W2248" s="64"/>
      <c r="X2248" s="223"/>
      <c r="Y2248" s="223"/>
      <c r="Z2248" s="223"/>
      <c r="AA2248" s="223"/>
    </row>
    <row r="2249">
      <c r="A2249" s="42">
        <f t="shared" si="3"/>
        <v>2248</v>
      </c>
      <c r="B2249" s="51" t="s">
        <v>41</v>
      </c>
      <c r="C2249" s="53" t="s">
        <v>9658</v>
      </c>
      <c r="D2249" s="42" t="s">
        <v>44</v>
      </c>
      <c r="E2249" s="42" t="s">
        <v>44</v>
      </c>
      <c r="F2249" s="53" t="s">
        <v>9595</v>
      </c>
      <c r="G2249" s="53" t="s">
        <v>47</v>
      </c>
      <c r="H2249" s="53" t="s">
        <v>48</v>
      </c>
      <c r="I2249" s="53" t="s">
        <v>8913</v>
      </c>
      <c r="J2249" s="53" t="s">
        <v>9596</v>
      </c>
      <c r="K2249" s="53" t="s">
        <v>51</v>
      </c>
      <c r="L2249" s="53" t="s">
        <v>52</v>
      </c>
      <c r="M2249" s="53" t="s">
        <v>52</v>
      </c>
      <c r="N2249" s="62" t="s">
        <v>9597</v>
      </c>
      <c r="O2249" s="62" t="s">
        <v>44</v>
      </c>
      <c r="P2249" s="62" t="s">
        <v>9648</v>
      </c>
      <c r="Q2249" s="62" t="s">
        <v>9659</v>
      </c>
      <c r="R2249" s="53"/>
      <c r="S2249" s="53"/>
      <c r="T2249" s="82"/>
      <c r="U2249" s="42"/>
      <c r="V2249" s="62"/>
      <c r="W2249" s="64"/>
      <c r="X2249" s="223"/>
      <c r="Y2249" s="223"/>
      <c r="Z2249" s="223"/>
      <c r="AA2249" s="223"/>
    </row>
    <row r="2250">
      <c r="A2250" s="42">
        <f t="shared" si="3"/>
        <v>2249</v>
      </c>
      <c r="B2250" s="51" t="s">
        <v>41</v>
      </c>
      <c r="C2250" s="53" t="s">
        <v>9660</v>
      </c>
      <c r="D2250" s="42" t="s">
        <v>44</v>
      </c>
      <c r="E2250" s="42" t="s">
        <v>44</v>
      </c>
      <c r="F2250" s="53" t="s">
        <v>9595</v>
      </c>
      <c r="G2250" s="53" t="s">
        <v>47</v>
      </c>
      <c r="H2250" s="53" t="s">
        <v>95</v>
      </c>
      <c r="I2250" s="53" t="s">
        <v>8913</v>
      </c>
      <c r="J2250" s="53" t="s">
        <v>9596</v>
      </c>
      <c r="K2250" s="53" t="s">
        <v>51</v>
      </c>
      <c r="L2250" s="53" t="s">
        <v>52</v>
      </c>
      <c r="M2250" s="53" t="s">
        <v>52</v>
      </c>
      <c r="N2250" s="62" t="s">
        <v>9661</v>
      </c>
      <c r="O2250" s="62" t="s">
        <v>44</v>
      </c>
      <c r="P2250" s="62" t="s">
        <v>9662</v>
      </c>
      <c r="Q2250" s="62" t="s">
        <v>9663</v>
      </c>
      <c r="R2250" s="53"/>
      <c r="S2250" s="53"/>
      <c r="T2250" s="82"/>
      <c r="U2250" s="42"/>
      <c r="V2250" s="62"/>
      <c r="W2250" s="64"/>
      <c r="X2250" s="223"/>
      <c r="Y2250" s="223"/>
      <c r="Z2250" s="223"/>
      <c r="AA2250" s="223"/>
    </row>
    <row r="2251">
      <c r="A2251" s="42">
        <f t="shared" si="3"/>
        <v>2250</v>
      </c>
      <c r="B2251" s="51" t="s">
        <v>41</v>
      </c>
      <c r="C2251" s="53" t="s">
        <v>9664</v>
      </c>
      <c r="D2251" s="42" t="s">
        <v>44</v>
      </c>
      <c r="E2251" s="42" t="s">
        <v>44</v>
      </c>
      <c r="F2251" s="53" t="s">
        <v>9595</v>
      </c>
      <c r="G2251" s="53" t="s">
        <v>47</v>
      </c>
      <c r="H2251" s="53" t="s">
        <v>91</v>
      </c>
      <c r="I2251" s="53" t="s">
        <v>8913</v>
      </c>
      <c r="J2251" s="53" t="s">
        <v>9596</v>
      </c>
      <c r="K2251" s="53" t="s">
        <v>51</v>
      </c>
      <c r="L2251" s="53" t="s">
        <v>52</v>
      </c>
      <c r="M2251" s="53" t="s">
        <v>52</v>
      </c>
      <c r="N2251" s="62" t="s">
        <v>9597</v>
      </c>
      <c r="O2251" s="62" t="s">
        <v>44</v>
      </c>
      <c r="P2251" s="62" t="s">
        <v>8879</v>
      </c>
      <c r="Q2251" s="62" t="s">
        <v>9561</v>
      </c>
      <c r="R2251" s="53"/>
      <c r="S2251" s="53"/>
      <c r="T2251" s="82"/>
      <c r="U2251" s="42"/>
      <c r="V2251" s="62"/>
      <c r="W2251" s="64"/>
      <c r="X2251" s="223"/>
      <c r="Y2251" s="223"/>
      <c r="Z2251" s="223"/>
      <c r="AA2251" s="223"/>
    </row>
    <row r="2252">
      <c r="A2252" s="42">
        <f t="shared" si="3"/>
        <v>2251</v>
      </c>
      <c r="B2252" s="51" t="s">
        <v>41</v>
      </c>
      <c r="C2252" s="53" t="s">
        <v>9665</v>
      </c>
      <c r="D2252" s="42" t="s">
        <v>44</v>
      </c>
      <c r="E2252" s="42" t="s">
        <v>44</v>
      </c>
      <c r="F2252" s="53" t="s">
        <v>9595</v>
      </c>
      <c r="G2252" s="53" t="s">
        <v>47</v>
      </c>
      <c r="H2252" s="53" t="s">
        <v>48</v>
      </c>
      <c r="I2252" s="53" t="s">
        <v>8913</v>
      </c>
      <c r="J2252" s="53" t="s">
        <v>9596</v>
      </c>
      <c r="K2252" s="53" t="s">
        <v>51</v>
      </c>
      <c r="L2252" s="53" t="s">
        <v>52</v>
      </c>
      <c r="M2252" s="53" t="s">
        <v>52</v>
      </c>
      <c r="N2252" s="62" t="s">
        <v>9597</v>
      </c>
      <c r="O2252" s="62" t="s">
        <v>44</v>
      </c>
      <c r="P2252" s="62" t="s">
        <v>9666</v>
      </c>
      <c r="Q2252" s="62" t="s">
        <v>8883</v>
      </c>
      <c r="R2252" s="53"/>
      <c r="S2252" s="53"/>
      <c r="T2252" s="82"/>
      <c r="U2252" s="42"/>
      <c r="V2252" s="62"/>
      <c r="W2252" s="64"/>
      <c r="X2252" s="223"/>
      <c r="Y2252" s="223"/>
      <c r="Z2252" s="223"/>
      <c r="AA2252" s="223"/>
    </row>
    <row r="2253">
      <c r="A2253" s="42">
        <f t="shared" si="3"/>
        <v>2252</v>
      </c>
      <c r="B2253" s="51" t="s">
        <v>41</v>
      </c>
      <c r="C2253" s="53" t="s">
        <v>9667</v>
      </c>
      <c r="D2253" s="42" t="s">
        <v>44</v>
      </c>
      <c r="E2253" s="42" t="s">
        <v>44</v>
      </c>
      <c r="F2253" s="53" t="s">
        <v>9595</v>
      </c>
      <c r="G2253" s="53" t="s">
        <v>47</v>
      </c>
      <c r="H2253" s="53" t="s">
        <v>48</v>
      </c>
      <c r="I2253" s="53" t="s">
        <v>8913</v>
      </c>
      <c r="J2253" s="53" t="s">
        <v>9596</v>
      </c>
      <c r="K2253" s="53" t="s">
        <v>51</v>
      </c>
      <c r="L2253" s="53" t="s">
        <v>52</v>
      </c>
      <c r="M2253" s="53" t="s">
        <v>52</v>
      </c>
      <c r="N2253" s="62" t="s">
        <v>9597</v>
      </c>
      <c r="O2253" s="62" t="s">
        <v>44</v>
      </c>
      <c r="P2253" s="62" t="s">
        <v>9668</v>
      </c>
      <c r="Q2253" s="62" t="s">
        <v>9669</v>
      </c>
      <c r="R2253" s="53"/>
      <c r="S2253" s="53"/>
      <c r="T2253" s="82"/>
      <c r="U2253" s="42"/>
      <c r="V2253" s="62"/>
      <c r="W2253" s="64"/>
      <c r="X2253" s="223"/>
      <c r="Y2253" s="223"/>
      <c r="Z2253" s="223"/>
      <c r="AA2253" s="223"/>
    </row>
    <row r="2254">
      <c r="A2254" s="42">
        <f t="shared" si="3"/>
        <v>2253</v>
      </c>
      <c r="B2254" s="51" t="s">
        <v>41</v>
      </c>
      <c r="C2254" s="53" t="s">
        <v>9670</v>
      </c>
      <c r="D2254" s="42" t="s">
        <v>44</v>
      </c>
      <c r="E2254" s="42" t="s">
        <v>44</v>
      </c>
      <c r="F2254" s="53" t="s">
        <v>9595</v>
      </c>
      <c r="G2254" s="53" t="s">
        <v>47</v>
      </c>
      <c r="H2254" s="53" t="s">
        <v>48</v>
      </c>
      <c r="I2254" s="53" t="s">
        <v>8913</v>
      </c>
      <c r="J2254" s="53" t="s">
        <v>9596</v>
      </c>
      <c r="K2254" s="53" t="s">
        <v>51</v>
      </c>
      <c r="L2254" s="53" t="s">
        <v>52</v>
      </c>
      <c r="M2254" s="53" t="s">
        <v>52</v>
      </c>
      <c r="N2254" s="62" t="s">
        <v>9597</v>
      </c>
      <c r="O2254" s="62" t="s">
        <v>44</v>
      </c>
      <c r="P2254" s="62" t="s">
        <v>9671</v>
      </c>
      <c r="Q2254" s="62" t="s">
        <v>9672</v>
      </c>
      <c r="R2254" s="53"/>
      <c r="S2254" s="53"/>
      <c r="T2254" s="82"/>
      <c r="U2254" s="42"/>
      <c r="V2254" s="62"/>
      <c r="W2254" s="64"/>
      <c r="X2254" s="223"/>
      <c r="Y2254" s="223"/>
      <c r="Z2254" s="223"/>
      <c r="AA2254" s="223"/>
    </row>
    <row r="2255">
      <c r="A2255" s="42">
        <f t="shared" si="3"/>
        <v>2254</v>
      </c>
      <c r="B2255" s="51" t="s">
        <v>41</v>
      </c>
      <c r="C2255" s="53" t="s">
        <v>9673</v>
      </c>
      <c r="D2255" s="42" t="s">
        <v>44</v>
      </c>
      <c r="E2255" s="42" t="s">
        <v>44</v>
      </c>
      <c r="F2255" s="53" t="s">
        <v>9674</v>
      </c>
      <c r="G2255" s="53" t="s">
        <v>47</v>
      </c>
      <c r="H2255" s="53" t="s">
        <v>48</v>
      </c>
      <c r="I2255" s="53" t="s">
        <v>401</v>
      </c>
      <c r="J2255" s="53" t="s">
        <v>9675</v>
      </c>
      <c r="K2255" s="53" t="s">
        <v>927</v>
      </c>
      <c r="L2255" s="53" t="s">
        <v>52</v>
      </c>
      <c r="M2255" s="53" t="s">
        <v>52</v>
      </c>
      <c r="N2255" s="62" t="s">
        <v>9676</v>
      </c>
      <c r="O2255" s="62" t="s">
        <v>44</v>
      </c>
      <c r="P2255" s="62" t="s">
        <v>9677</v>
      </c>
      <c r="Q2255" s="62" t="s">
        <v>9678</v>
      </c>
      <c r="R2255" s="53"/>
      <c r="S2255" s="53"/>
      <c r="T2255" s="82"/>
      <c r="U2255" s="42"/>
      <c r="V2255" s="62"/>
      <c r="W2255" s="64"/>
      <c r="X2255" s="223"/>
      <c r="Y2255" s="223"/>
      <c r="Z2255" s="223"/>
      <c r="AA2255" s="223"/>
    </row>
    <row r="2256">
      <c r="A2256" s="42">
        <f t="shared" si="3"/>
        <v>2255</v>
      </c>
      <c r="B2256" s="51" t="s">
        <v>41</v>
      </c>
      <c r="C2256" s="53" t="s">
        <v>9679</v>
      </c>
      <c r="D2256" s="42" t="s">
        <v>44</v>
      </c>
      <c r="E2256" s="42" t="s">
        <v>44</v>
      </c>
      <c r="F2256" s="53" t="s">
        <v>9674</v>
      </c>
      <c r="G2256" s="53" t="s">
        <v>47</v>
      </c>
      <c r="H2256" s="53" t="s">
        <v>48</v>
      </c>
      <c r="I2256" s="53" t="s">
        <v>401</v>
      </c>
      <c r="J2256" s="53" t="s">
        <v>9675</v>
      </c>
      <c r="K2256" s="53" t="s">
        <v>927</v>
      </c>
      <c r="L2256" s="53" t="s">
        <v>52</v>
      </c>
      <c r="M2256" s="53" t="s">
        <v>52</v>
      </c>
      <c r="N2256" s="62" t="s">
        <v>9676</v>
      </c>
      <c r="O2256" s="62" t="s">
        <v>44</v>
      </c>
      <c r="P2256" s="62" t="s">
        <v>9680</v>
      </c>
      <c r="Q2256" s="62" t="s">
        <v>9681</v>
      </c>
      <c r="R2256" s="53"/>
      <c r="S2256" s="53"/>
      <c r="T2256" s="82"/>
      <c r="U2256" s="42"/>
      <c r="V2256" s="62"/>
      <c r="W2256" s="64"/>
      <c r="X2256" s="223"/>
      <c r="Y2256" s="223"/>
      <c r="Z2256" s="223"/>
      <c r="AA2256" s="223"/>
    </row>
    <row r="2257">
      <c r="A2257" s="42">
        <f t="shared" si="3"/>
        <v>2256</v>
      </c>
      <c r="B2257" s="51" t="s">
        <v>41</v>
      </c>
      <c r="C2257" s="53" t="s">
        <v>9682</v>
      </c>
      <c r="D2257" s="42" t="s">
        <v>44</v>
      </c>
      <c r="E2257" s="42" t="s">
        <v>44</v>
      </c>
      <c r="F2257" s="53" t="s">
        <v>9674</v>
      </c>
      <c r="G2257" s="53" t="s">
        <v>47</v>
      </c>
      <c r="H2257" s="53" t="s">
        <v>48</v>
      </c>
      <c r="I2257" s="53" t="s">
        <v>401</v>
      </c>
      <c r="J2257" s="53" t="s">
        <v>9675</v>
      </c>
      <c r="K2257" s="53" t="s">
        <v>927</v>
      </c>
      <c r="L2257" s="53" t="s">
        <v>52</v>
      </c>
      <c r="M2257" s="53" t="s">
        <v>52</v>
      </c>
      <c r="N2257" s="62" t="s">
        <v>9683</v>
      </c>
      <c r="O2257" s="62" t="s">
        <v>44</v>
      </c>
      <c r="P2257" s="62" t="s">
        <v>9684</v>
      </c>
      <c r="Q2257" s="62" t="s">
        <v>9685</v>
      </c>
      <c r="R2257" s="53"/>
      <c r="S2257" s="53"/>
      <c r="T2257" s="82"/>
      <c r="U2257" s="42"/>
      <c r="V2257" s="62"/>
      <c r="W2257" s="64"/>
      <c r="X2257" s="223"/>
      <c r="Y2257" s="223"/>
      <c r="Z2257" s="223"/>
      <c r="AA2257" s="223"/>
    </row>
    <row r="2258">
      <c r="A2258" s="42">
        <f t="shared" si="3"/>
        <v>2257</v>
      </c>
      <c r="B2258" s="51" t="s">
        <v>41</v>
      </c>
      <c r="C2258" s="53" t="s">
        <v>9686</v>
      </c>
      <c r="D2258" s="42" t="s">
        <v>44</v>
      </c>
      <c r="E2258" s="42" t="s">
        <v>44</v>
      </c>
      <c r="F2258" s="53" t="s">
        <v>9674</v>
      </c>
      <c r="G2258" s="53" t="s">
        <v>47</v>
      </c>
      <c r="H2258" s="53" t="s">
        <v>91</v>
      </c>
      <c r="I2258" s="53" t="s">
        <v>401</v>
      </c>
      <c r="J2258" s="53" t="s">
        <v>9675</v>
      </c>
      <c r="K2258" s="53" t="s">
        <v>927</v>
      </c>
      <c r="L2258" s="53" t="s">
        <v>52</v>
      </c>
      <c r="M2258" s="53" t="s">
        <v>52</v>
      </c>
      <c r="N2258" s="62" t="s">
        <v>9687</v>
      </c>
      <c r="O2258" s="62" t="s">
        <v>44</v>
      </c>
      <c r="P2258" s="62" t="s">
        <v>9688</v>
      </c>
      <c r="Q2258" s="62" t="s">
        <v>9689</v>
      </c>
      <c r="R2258" s="53"/>
      <c r="S2258" s="53"/>
      <c r="T2258" s="82"/>
      <c r="U2258" s="42"/>
      <c r="V2258" s="62"/>
      <c r="W2258" s="64"/>
      <c r="X2258" s="223"/>
      <c r="Y2258" s="223"/>
      <c r="Z2258" s="223"/>
      <c r="AA2258" s="223"/>
    </row>
    <row r="2259">
      <c r="A2259" s="42">
        <f t="shared" si="3"/>
        <v>2258</v>
      </c>
      <c r="B2259" s="51" t="s">
        <v>41</v>
      </c>
      <c r="C2259" s="53" t="s">
        <v>9690</v>
      </c>
      <c r="D2259" s="42" t="s">
        <v>44</v>
      </c>
      <c r="E2259" s="42" t="s">
        <v>44</v>
      </c>
      <c r="F2259" s="53" t="s">
        <v>9674</v>
      </c>
      <c r="G2259" s="53" t="s">
        <v>47</v>
      </c>
      <c r="H2259" s="53" t="s">
        <v>48</v>
      </c>
      <c r="I2259" s="53" t="s">
        <v>401</v>
      </c>
      <c r="J2259" s="53" t="s">
        <v>9691</v>
      </c>
      <c r="K2259" s="53" t="s">
        <v>51</v>
      </c>
      <c r="L2259" s="53" t="s">
        <v>52</v>
      </c>
      <c r="M2259" s="53" t="s">
        <v>52</v>
      </c>
      <c r="N2259" s="62" t="s">
        <v>9692</v>
      </c>
      <c r="O2259" s="62" t="s">
        <v>44</v>
      </c>
      <c r="P2259" s="62" t="s">
        <v>6371</v>
      </c>
      <c r="Q2259" s="62" t="s">
        <v>9693</v>
      </c>
      <c r="R2259" s="53"/>
      <c r="S2259" s="53"/>
      <c r="T2259" s="82"/>
      <c r="U2259" s="42"/>
      <c r="V2259" s="62"/>
      <c r="W2259" s="64"/>
      <c r="X2259" s="223"/>
      <c r="Y2259" s="223"/>
      <c r="Z2259" s="223"/>
      <c r="AA2259" s="223"/>
    </row>
    <row r="2260">
      <c r="A2260" s="42">
        <f t="shared" si="3"/>
        <v>2259</v>
      </c>
      <c r="B2260" s="51" t="s">
        <v>41</v>
      </c>
      <c r="C2260" s="53" t="s">
        <v>9694</v>
      </c>
      <c r="D2260" s="42" t="s">
        <v>44</v>
      </c>
      <c r="E2260" s="42" t="s">
        <v>44</v>
      </c>
      <c r="F2260" s="53" t="s">
        <v>9674</v>
      </c>
      <c r="G2260" s="53" t="s">
        <v>47</v>
      </c>
      <c r="H2260" s="53" t="s">
        <v>48</v>
      </c>
      <c r="I2260" s="53" t="s">
        <v>401</v>
      </c>
      <c r="J2260" s="53" t="s">
        <v>9691</v>
      </c>
      <c r="K2260" s="53" t="s">
        <v>51</v>
      </c>
      <c r="L2260" s="53" t="s">
        <v>52</v>
      </c>
      <c r="M2260" s="53" t="s">
        <v>52</v>
      </c>
      <c r="N2260" s="62" t="s">
        <v>9695</v>
      </c>
      <c r="O2260" s="62" t="s">
        <v>44</v>
      </c>
      <c r="P2260" s="62" t="s">
        <v>9696</v>
      </c>
      <c r="Q2260" s="62" t="s">
        <v>9697</v>
      </c>
      <c r="R2260" s="53"/>
      <c r="S2260" s="53"/>
      <c r="T2260" s="82"/>
      <c r="U2260" s="42"/>
      <c r="V2260" s="62"/>
      <c r="W2260" s="64"/>
      <c r="X2260" s="223"/>
      <c r="Y2260" s="223"/>
      <c r="Z2260" s="223"/>
      <c r="AA2260" s="223"/>
    </row>
    <row r="2261">
      <c r="A2261" s="42">
        <f t="shared" si="3"/>
        <v>2260</v>
      </c>
      <c r="B2261" s="51" t="s">
        <v>41</v>
      </c>
      <c r="C2261" s="53" t="s">
        <v>9698</v>
      </c>
      <c r="D2261" s="42" t="s">
        <v>44</v>
      </c>
      <c r="E2261" s="42" t="s">
        <v>44</v>
      </c>
      <c r="F2261" s="53" t="s">
        <v>9674</v>
      </c>
      <c r="G2261" s="53" t="s">
        <v>47</v>
      </c>
      <c r="H2261" s="53" t="s">
        <v>91</v>
      </c>
      <c r="I2261" s="53" t="s">
        <v>401</v>
      </c>
      <c r="J2261" s="53" t="s">
        <v>9691</v>
      </c>
      <c r="K2261" s="53" t="s">
        <v>51</v>
      </c>
      <c r="L2261" s="53" t="s">
        <v>52</v>
      </c>
      <c r="M2261" s="53" t="s">
        <v>52</v>
      </c>
      <c r="N2261" s="62" t="s">
        <v>9699</v>
      </c>
      <c r="O2261" s="62" t="s">
        <v>44</v>
      </c>
      <c r="P2261" s="62" t="s">
        <v>9700</v>
      </c>
      <c r="Q2261" s="62" t="s">
        <v>9701</v>
      </c>
      <c r="R2261" s="53"/>
      <c r="S2261" s="53"/>
      <c r="T2261" s="82"/>
      <c r="U2261" s="42"/>
      <c r="V2261" s="62"/>
      <c r="W2261" s="64"/>
      <c r="X2261" s="223"/>
      <c r="Y2261" s="223"/>
      <c r="Z2261" s="223"/>
      <c r="AA2261" s="223"/>
    </row>
    <row r="2262">
      <c r="A2262" s="42">
        <f t="shared" si="3"/>
        <v>2261</v>
      </c>
      <c r="B2262" s="51" t="s">
        <v>41</v>
      </c>
      <c r="C2262" s="53" t="s">
        <v>9702</v>
      </c>
      <c r="D2262" s="42" t="s">
        <v>44</v>
      </c>
      <c r="E2262" s="42" t="s">
        <v>44</v>
      </c>
      <c r="F2262" s="53" t="s">
        <v>9674</v>
      </c>
      <c r="G2262" s="53" t="s">
        <v>47</v>
      </c>
      <c r="H2262" s="53" t="s">
        <v>95</v>
      </c>
      <c r="I2262" s="53" t="s">
        <v>401</v>
      </c>
      <c r="J2262" s="53" t="s">
        <v>9691</v>
      </c>
      <c r="K2262" s="53" t="s">
        <v>51</v>
      </c>
      <c r="L2262" s="53" t="s">
        <v>52</v>
      </c>
      <c r="M2262" s="53" t="s">
        <v>52</v>
      </c>
      <c r="N2262" s="62" t="s">
        <v>9695</v>
      </c>
      <c r="O2262" s="62" t="s">
        <v>44</v>
      </c>
      <c r="P2262" s="62" t="s">
        <v>9703</v>
      </c>
      <c r="Q2262" s="62" t="s">
        <v>9704</v>
      </c>
      <c r="R2262" s="53"/>
      <c r="S2262" s="53"/>
      <c r="T2262" s="82"/>
      <c r="U2262" s="42"/>
      <c r="V2262" s="62"/>
      <c r="W2262" s="64"/>
      <c r="X2262" s="223"/>
      <c r="Y2262" s="223"/>
      <c r="Z2262" s="223"/>
      <c r="AA2262" s="223"/>
    </row>
    <row r="2263">
      <c r="A2263" s="42">
        <f t="shared" si="3"/>
        <v>2262</v>
      </c>
      <c r="B2263" s="51" t="s">
        <v>41</v>
      </c>
      <c r="C2263" s="53" t="s">
        <v>9705</v>
      </c>
      <c r="D2263" s="42" t="s">
        <v>44</v>
      </c>
      <c r="E2263" s="42" t="s">
        <v>44</v>
      </c>
      <c r="F2263" s="53" t="s">
        <v>9674</v>
      </c>
      <c r="G2263" s="53" t="s">
        <v>197</v>
      </c>
      <c r="H2263" s="53" t="s">
        <v>112</v>
      </c>
      <c r="I2263" s="53" t="s">
        <v>401</v>
      </c>
      <c r="J2263" s="53" t="s">
        <v>9691</v>
      </c>
      <c r="K2263" s="53" t="s">
        <v>51</v>
      </c>
      <c r="L2263" s="53" t="s">
        <v>52</v>
      </c>
      <c r="M2263" s="53" t="s">
        <v>52</v>
      </c>
      <c r="N2263" s="62" t="s">
        <v>9695</v>
      </c>
      <c r="O2263" s="62" t="s">
        <v>44</v>
      </c>
      <c r="P2263" s="62" t="s">
        <v>9706</v>
      </c>
      <c r="Q2263" s="62" t="s">
        <v>9707</v>
      </c>
      <c r="R2263" s="53"/>
      <c r="S2263" s="53"/>
      <c r="T2263" s="82"/>
      <c r="U2263" s="42"/>
      <c r="V2263" s="62"/>
      <c r="W2263" s="64"/>
      <c r="X2263" s="223"/>
      <c r="Y2263" s="223"/>
      <c r="Z2263" s="223"/>
      <c r="AA2263" s="223"/>
    </row>
    <row r="2264">
      <c r="A2264" s="42">
        <f t="shared" si="3"/>
        <v>2263</v>
      </c>
      <c r="B2264" s="51" t="s">
        <v>41</v>
      </c>
      <c r="C2264" s="53" t="s">
        <v>9708</v>
      </c>
      <c r="D2264" s="42" t="s">
        <v>44</v>
      </c>
      <c r="E2264" s="42" t="s">
        <v>44</v>
      </c>
      <c r="F2264" s="53" t="s">
        <v>9674</v>
      </c>
      <c r="G2264" s="53" t="s">
        <v>47</v>
      </c>
      <c r="H2264" s="53" t="s">
        <v>48</v>
      </c>
      <c r="I2264" s="53" t="s">
        <v>401</v>
      </c>
      <c r="J2264" s="53" t="s">
        <v>9691</v>
      </c>
      <c r="K2264" s="53" t="s">
        <v>51</v>
      </c>
      <c r="L2264" s="53" t="s">
        <v>52</v>
      </c>
      <c r="M2264" s="53" t="s">
        <v>52</v>
      </c>
      <c r="N2264" s="62" t="s">
        <v>9709</v>
      </c>
      <c r="O2264" s="62" t="s">
        <v>44</v>
      </c>
      <c r="P2264" s="62" t="s">
        <v>9710</v>
      </c>
      <c r="Q2264" s="62" t="s">
        <v>9711</v>
      </c>
      <c r="R2264" s="53"/>
      <c r="S2264" s="53"/>
      <c r="T2264" s="82"/>
      <c r="U2264" s="42"/>
      <c r="V2264" s="62"/>
      <c r="W2264" s="64"/>
      <c r="X2264" s="223"/>
      <c r="Y2264" s="223"/>
      <c r="Z2264" s="223"/>
      <c r="AA2264" s="223"/>
    </row>
    <row r="2265">
      <c r="A2265" s="42">
        <f t="shared" si="3"/>
        <v>2264</v>
      </c>
      <c r="B2265" s="51" t="s">
        <v>41</v>
      </c>
      <c r="C2265" s="53" t="s">
        <v>9712</v>
      </c>
      <c r="D2265" s="42" t="s">
        <v>44</v>
      </c>
      <c r="E2265" s="42" t="s">
        <v>44</v>
      </c>
      <c r="F2265" s="53" t="s">
        <v>9674</v>
      </c>
      <c r="G2265" s="53" t="s">
        <v>85</v>
      </c>
      <c r="H2265" s="53" t="s">
        <v>86</v>
      </c>
      <c r="I2265" s="53" t="s">
        <v>401</v>
      </c>
      <c r="J2265" s="53" t="s">
        <v>9691</v>
      </c>
      <c r="K2265" s="53" t="s">
        <v>51</v>
      </c>
      <c r="L2265" s="53" t="s">
        <v>52</v>
      </c>
      <c r="M2265" s="53" t="s">
        <v>52</v>
      </c>
      <c r="N2265" s="62" t="s">
        <v>9695</v>
      </c>
      <c r="O2265" s="62" t="s">
        <v>44</v>
      </c>
      <c r="P2265" s="62" t="s">
        <v>3419</v>
      </c>
      <c r="Q2265" s="62" t="s">
        <v>9713</v>
      </c>
      <c r="R2265" s="53"/>
      <c r="S2265" s="53"/>
      <c r="T2265" s="82"/>
      <c r="U2265" s="42"/>
      <c r="V2265" s="62"/>
      <c r="W2265" s="64"/>
      <c r="X2265" s="223"/>
      <c r="Y2265" s="223"/>
      <c r="Z2265" s="223"/>
      <c r="AA2265" s="223"/>
    </row>
    <row r="2266">
      <c r="A2266" s="42">
        <f t="shared" si="3"/>
        <v>2265</v>
      </c>
      <c r="B2266" s="51" t="s">
        <v>41</v>
      </c>
      <c r="C2266" s="53" t="s">
        <v>9714</v>
      </c>
      <c r="D2266" s="42" t="s">
        <v>44</v>
      </c>
      <c r="E2266" s="42" t="s">
        <v>44</v>
      </c>
      <c r="F2266" s="53" t="s">
        <v>9674</v>
      </c>
      <c r="G2266" s="53" t="s">
        <v>85</v>
      </c>
      <c r="H2266" s="53" t="s">
        <v>86</v>
      </c>
      <c r="I2266" s="53" t="s">
        <v>401</v>
      </c>
      <c r="J2266" s="53" t="s">
        <v>9691</v>
      </c>
      <c r="K2266" s="53" t="s">
        <v>51</v>
      </c>
      <c r="L2266" s="53" t="s">
        <v>52</v>
      </c>
      <c r="M2266" s="53" t="s">
        <v>52</v>
      </c>
      <c r="N2266" s="62" t="s">
        <v>9715</v>
      </c>
      <c r="O2266" s="62" t="s">
        <v>44</v>
      </c>
      <c r="P2266" s="62" t="s">
        <v>9534</v>
      </c>
      <c r="Q2266" s="62" t="s">
        <v>9716</v>
      </c>
      <c r="R2266" s="53"/>
      <c r="S2266" s="53"/>
      <c r="T2266" s="82"/>
      <c r="U2266" s="42"/>
      <c r="V2266" s="62"/>
      <c r="W2266" s="64"/>
      <c r="X2266" s="223"/>
      <c r="Y2266" s="223"/>
      <c r="Z2266" s="223"/>
      <c r="AA2266" s="223"/>
    </row>
    <row r="2267">
      <c r="A2267" s="42">
        <f t="shared" si="3"/>
        <v>2266</v>
      </c>
      <c r="B2267" s="51" t="s">
        <v>41</v>
      </c>
      <c r="C2267" s="53" t="s">
        <v>9717</v>
      </c>
      <c r="D2267" s="42" t="s">
        <v>44</v>
      </c>
      <c r="E2267" s="42" t="s">
        <v>44</v>
      </c>
      <c r="F2267" s="53" t="s">
        <v>9674</v>
      </c>
      <c r="G2267" s="53" t="s">
        <v>47</v>
      </c>
      <c r="H2267" s="53" t="s">
        <v>91</v>
      </c>
      <c r="I2267" s="53" t="s">
        <v>401</v>
      </c>
      <c r="J2267" s="53" t="s">
        <v>9691</v>
      </c>
      <c r="K2267" s="53" t="s">
        <v>51</v>
      </c>
      <c r="L2267" s="53" t="s">
        <v>52</v>
      </c>
      <c r="M2267" s="53" t="s">
        <v>52</v>
      </c>
      <c r="N2267" s="62" t="s">
        <v>9718</v>
      </c>
      <c r="O2267" s="62" t="s">
        <v>44</v>
      </c>
      <c r="P2267" s="62" t="s">
        <v>9534</v>
      </c>
      <c r="Q2267" s="62" t="s">
        <v>9719</v>
      </c>
      <c r="R2267" s="53"/>
      <c r="S2267" s="53"/>
      <c r="T2267" s="82"/>
      <c r="U2267" s="42"/>
      <c r="V2267" s="62"/>
      <c r="W2267" s="64"/>
      <c r="X2267" s="223"/>
      <c r="Y2267" s="223"/>
      <c r="Z2267" s="223"/>
      <c r="AA2267" s="223"/>
    </row>
    <row r="2268">
      <c r="A2268" s="42">
        <f t="shared" si="3"/>
        <v>2267</v>
      </c>
      <c r="B2268" s="51" t="s">
        <v>41</v>
      </c>
      <c r="C2268" s="53" t="s">
        <v>9720</v>
      </c>
      <c r="D2268" s="42" t="s">
        <v>44</v>
      </c>
      <c r="E2268" s="42" t="s">
        <v>44</v>
      </c>
      <c r="F2268" s="53" t="s">
        <v>9674</v>
      </c>
      <c r="G2268" s="53" t="s">
        <v>111</v>
      </c>
      <c r="H2268" s="53" t="s">
        <v>112</v>
      </c>
      <c r="I2268" s="53" t="s">
        <v>401</v>
      </c>
      <c r="J2268" s="53" t="s">
        <v>9691</v>
      </c>
      <c r="K2268" s="53" t="s">
        <v>51</v>
      </c>
      <c r="L2268" s="53" t="s">
        <v>52</v>
      </c>
      <c r="M2268" s="53" t="s">
        <v>52</v>
      </c>
      <c r="N2268" s="62" t="s">
        <v>9721</v>
      </c>
      <c r="O2268" s="62" t="s">
        <v>44</v>
      </c>
      <c r="P2268" s="62" t="s">
        <v>9722</v>
      </c>
      <c r="Q2268" s="62" t="s">
        <v>9723</v>
      </c>
      <c r="R2268" s="53"/>
      <c r="S2268" s="53"/>
      <c r="T2268" s="82"/>
      <c r="U2268" s="42"/>
      <c r="V2268" s="62"/>
      <c r="W2268" s="64"/>
      <c r="X2268" s="223"/>
      <c r="Y2268" s="223"/>
      <c r="Z2268" s="223"/>
      <c r="AA2268" s="223"/>
    </row>
    <row r="2269">
      <c r="A2269" s="42">
        <f t="shared" si="3"/>
        <v>2268</v>
      </c>
      <c r="B2269" s="51" t="s">
        <v>41</v>
      </c>
      <c r="C2269" s="53" t="s">
        <v>9724</v>
      </c>
      <c r="D2269" s="42" t="s">
        <v>44</v>
      </c>
      <c r="E2269" s="42" t="s">
        <v>44</v>
      </c>
      <c r="F2269" s="53" t="s">
        <v>9725</v>
      </c>
      <c r="G2269" s="53" t="s">
        <v>47</v>
      </c>
      <c r="H2269" s="53" t="s">
        <v>48</v>
      </c>
      <c r="I2269" s="53" t="s">
        <v>401</v>
      </c>
      <c r="J2269" s="53" t="s">
        <v>9726</v>
      </c>
      <c r="K2269" s="53" t="s">
        <v>51</v>
      </c>
      <c r="L2269" s="53" t="s">
        <v>52</v>
      </c>
      <c r="M2269" s="53" t="s">
        <v>52</v>
      </c>
      <c r="N2269" s="62" t="s">
        <v>9727</v>
      </c>
      <c r="O2269" s="62" t="s">
        <v>44</v>
      </c>
      <c r="P2269" s="62" t="s">
        <v>9728</v>
      </c>
      <c r="Q2269" s="62" t="s">
        <v>9729</v>
      </c>
      <c r="R2269" s="53"/>
      <c r="S2269" s="53"/>
      <c r="T2269" s="82"/>
      <c r="U2269" s="42"/>
      <c r="V2269" s="62"/>
      <c r="W2269" s="64"/>
      <c r="X2269" s="223"/>
      <c r="Y2269" s="223"/>
      <c r="Z2269" s="223"/>
      <c r="AA2269" s="223"/>
    </row>
    <row r="2270">
      <c r="A2270" s="42">
        <f t="shared" si="3"/>
        <v>2269</v>
      </c>
      <c r="B2270" s="51" t="s">
        <v>41</v>
      </c>
      <c r="C2270" s="53" t="s">
        <v>9730</v>
      </c>
      <c r="D2270" s="42" t="s">
        <v>44</v>
      </c>
      <c r="E2270" s="42" t="s">
        <v>44</v>
      </c>
      <c r="F2270" s="53" t="s">
        <v>9725</v>
      </c>
      <c r="G2270" s="53" t="s">
        <v>47</v>
      </c>
      <c r="H2270" s="53" t="s">
        <v>91</v>
      </c>
      <c r="I2270" s="53" t="s">
        <v>401</v>
      </c>
      <c r="J2270" s="53" t="s">
        <v>9726</v>
      </c>
      <c r="K2270" s="53" t="s">
        <v>51</v>
      </c>
      <c r="L2270" s="53" t="s">
        <v>52</v>
      </c>
      <c r="M2270" s="53" t="s">
        <v>52</v>
      </c>
      <c r="N2270" s="62" t="s">
        <v>9727</v>
      </c>
      <c r="O2270" s="62" t="s">
        <v>44</v>
      </c>
      <c r="P2270" s="62" t="s">
        <v>9731</v>
      </c>
      <c r="Q2270" s="62" t="s">
        <v>9732</v>
      </c>
      <c r="R2270" s="53"/>
      <c r="S2270" s="53"/>
      <c r="T2270" s="82"/>
      <c r="U2270" s="42"/>
      <c r="V2270" s="62"/>
      <c r="W2270" s="64"/>
      <c r="X2270" s="223"/>
      <c r="Y2270" s="223"/>
      <c r="Z2270" s="223"/>
      <c r="AA2270" s="223"/>
    </row>
    <row r="2271">
      <c r="A2271" s="42">
        <f t="shared" si="3"/>
        <v>2270</v>
      </c>
      <c r="B2271" s="51" t="s">
        <v>41</v>
      </c>
      <c r="C2271" s="53" t="s">
        <v>9733</v>
      </c>
      <c r="D2271" s="42" t="s">
        <v>44</v>
      </c>
      <c r="E2271" s="42" t="s">
        <v>44</v>
      </c>
      <c r="F2271" s="53" t="s">
        <v>9725</v>
      </c>
      <c r="G2271" s="53" t="s">
        <v>47</v>
      </c>
      <c r="H2271" s="53" t="s">
        <v>48</v>
      </c>
      <c r="I2271" s="53" t="s">
        <v>401</v>
      </c>
      <c r="J2271" s="53" t="s">
        <v>9726</v>
      </c>
      <c r="K2271" s="53" t="s">
        <v>51</v>
      </c>
      <c r="L2271" s="53" t="s">
        <v>52</v>
      </c>
      <c r="M2271" s="53" t="s">
        <v>52</v>
      </c>
      <c r="N2271" s="62" t="s">
        <v>9734</v>
      </c>
      <c r="O2271" s="62" t="s">
        <v>44</v>
      </c>
      <c r="P2271" s="62" t="s">
        <v>9735</v>
      </c>
      <c r="Q2271" s="62" t="s">
        <v>9736</v>
      </c>
      <c r="R2271" s="53"/>
      <c r="S2271" s="53"/>
      <c r="T2271" s="82"/>
      <c r="U2271" s="42"/>
      <c r="V2271" s="62"/>
      <c r="W2271" s="64"/>
      <c r="X2271" s="223"/>
      <c r="Y2271" s="223"/>
      <c r="Z2271" s="223"/>
      <c r="AA2271" s="223"/>
    </row>
    <row r="2272">
      <c r="A2272" s="42">
        <f t="shared" si="3"/>
        <v>2271</v>
      </c>
      <c r="B2272" s="51" t="s">
        <v>41</v>
      </c>
      <c r="C2272" s="53" t="s">
        <v>9737</v>
      </c>
      <c r="D2272" s="42" t="s">
        <v>44</v>
      </c>
      <c r="E2272" s="42" t="s">
        <v>44</v>
      </c>
      <c r="F2272" s="53" t="s">
        <v>9725</v>
      </c>
      <c r="G2272" s="53" t="s">
        <v>47</v>
      </c>
      <c r="H2272" s="53" t="s">
        <v>48</v>
      </c>
      <c r="I2272" s="53" t="s">
        <v>401</v>
      </c>
      <c r="J2272" s="53" t="s">
        <v>9726</v>
      </c>
      <c r="K2272" s="53" t="s">
        <v>51</v>
      </c>
      <c r="L2272" s="53" t="s">
        <v>52</v>
      </c>
      <c r="M2272" s="53" t="s">
        <v>52</v>
      </c>
      <c r="N2272" s="62" t="s">
        <v>9738</v>
      </c>
      <c r="O2272" s="62" t="s">
        <v>44</v>
      </c>
      <c r="P2272" s="62" t="s">
        <v>9739</v>
      </c>
      <c r="Q2272" s="62" t="s">
        <v>9740</v>
      </c>
      <c r="R2272" s="53"/>
      <c r="S2272" s="53"/>
      <c r="T2272" s="82"/>
      <c r="U2272" s="42"/>
      <c r="V2272" s="62"/>
      <c r="W2272" s="64"/>
      <c r="X2272" s="223"/>
      <c r="Y2272" s="223"/>
      <c r="Z2272" s="223"/>
      <c r="AA2272" s="223"/>
    </row>
    <row r="2273">
      <c r="A2273" s="42">
        <f t="shared" si="3"/>
        <v>2272</v>
      </c>
      <c r="B2273" s="51" t="s">
        <v>41</v>
      </c>
      <c r="C2273" s="53" t="s">
        <v>9741</v>
      </c>
      <c r="D2273" s="42" t="s">
        <v>44</v>
      </c>
      <c r="E2273" s="42" t="s">
        <v>44</v>
      </c>
      <c r="F2273" s="53" t="s">
        <v>9725</v>
      </c>
      <c r="G2273" s="53" t="s">
        <v>47</v>
      </c>
      <c r="H2273" s="53" t="s">
        <v>95</v>
      </c>
      <c r="I2273" s="53" t="s">
        <v>401</v>
      </c>
      <c r="J2273" s="53" t="s">
        <v>9726</v>
      </c>
      <c r="K2273" s="53" t="s">
        <v>51</v>
      </c>
      <c r="L2273" s="53" t="s">
        <v>52</v>
      </c>
      <c r="M2273" s="53" t="s">
        <v>52</v>
      </c>
      <c r="N2273" s="62" t="s">
        <v>9742</v>
      </c>
      <c r="O2273" s="62" t="s">
        <v>44</v>
      </c>
      <c r="P2273" s="62" t="s">
        <v>9743</v>
      </c>
      <c r="Q2273" s="62" t="s">
        <v>9744</v>
      </c>
      <c r="R2273" s="53"/>
      <c r="S2273" s="53"/>
      <c r="T2273" s="82"/>
      <c r="U2273" s="42"/>
      <c r="V2273" s="62"/>
      <c r="W2273" s="64"/>
      <c r="X2273" s="223"/>
      <c r="Y2273" s="223"/>
      <c r="Z2273" s="223"/>
      <c r="AA2273" s="223"/>
    </row>
    <row r="2274">
      <c r="A2274" s="42">
        <f t="shared" si="3"/>
        <v>2273</v>
      </c>
      <c r="B2274" s="51" t="s">
        <v>41</v>
      </c>
      <c r="C2274" s="53" t="s">
        <v>9745</v>
      </c>
      <c r="D2274" s="42" t="s">
        <v>44</v>
      </c>
      <c r="E2274" s="42" t="s">
        <v>44</v>
      </c>
      <c r="F2274" s="53" t="s">
        <v>9725</v>
      </c>
      <c r="G2274" s="53" t="s">
        <v>47</v>
      </c>
      <c r="H2274" s="53" t="s">
        <v>48</v>
      </c>
      <c r="I2274" s="53" t="s">
        <v>401</v>
      </c>
      <c r="J2274" s="53" t="s">
        <v>9726</v>
      </c>
      <c r="K2274" s="53" t="s">
        <v>51</v>
      </c>
      <c r="L2274" s="53" t="s">
        <v>52</v>
      </c>
      <c r="M2274" s="53" t="s">
        <v>52</v>
      </c>
      <c r="N2274" s="62" t="s">
        <v>9746</v>
      </c>
      <c r="O2274" s="62" t="s">
        <v>44</v>
      </c>
      <c r="P2274" s="62" t="s">
        <v>9747</v>
      </c>
      <c r="Q2274" s="62" t="s">
        <v>9748</v>
      </c>
      <c r="R2274" s="53"/>
      <c r="S2274" s="53"/>
      <c r="T2274" s="82"/>
      <c r="U2274" s="42"/>
      <c r="V2274" s="62"/>
      <c r="W2274" s="64"/>
      <c r="X2274" s="223"/>
      <c r="Y2274" s="223"/>
      <c r="Z2274" s="223"/>
      <c r="AA2274" s="223"/>
    </row>
    <row r="2275">
      <c r="A2275" s="42">
        <f t="shared" si="3"/>
        <v>2274</v>
      </c>
      <c r="B2275" s="51" t="s">
        <v>41</v>
      </c>
      <c r="C2275" s="53" t="s">
        <v>9749</v>
      </c>
      <c r="D2275" s="42" t="s">
        <v>44</v>
      </c>
      <c r="E2275" s="42" t="s">
        <v>44</v>
      </c>
      <c r="F2275" s="53" t="s">
        <v>9725</v>
      </c>
      <c r="G2275" s="53" t="s">
        <v>85</v>
      </c>
      <c r="H2275" s="53" t="s">
        <v>86</v>
      </c>
      <c r="I2275" s="53" t="s">
        <v>401</v>
      </c>
      <c r="J2275" s="53" t="s">
        <v>9726</v>
      </c>
      <c r="K2275" s="53" t="s">
        <v>51</v>
      </c>
      <c r="L2275" s="53" t="s">
        <v>52</v>
      </c>
      <c r="M2275" s="53" t="s">
        <v>52</v>
      </c>
      <c r="N2275" s="62" t="s">
        <v>9750</v>
      </c>
      <c r="O2275" s="62" t="s">
        <v>44</v>
      </c>
      <c r="P2275" s="62" t="s">
        <v>9751</v>
      </c>
      <c r="Q2275" s="62" t="s">
        <v>9752</v>
      </c>
      <c r="R2275" s="53"/>
      <c r="S2275" s="53"/>
      <c r="T2275" s="82"/>
      <c r="U2275" s="42"/>
      <c r="V2275" s="62"/>
      <c r="W2275" s="64"/>
      <c r="X2275" s="223"/>
      <c r="Y2275" s="223"/>
      <c r="Z2275" s="223"/>
      <c r="AA2275" s="223"/>
    </row>
    <row r="2276">
      <c r="A2276" s="42">
        <f t="shared" si="3"/>
        <v>2275</v>
      </c>
      <c r="B2276" s="51" t="s">
        <v>41</v>
      </c>
      <c r="C2276" s="53" t="s">
        <v>9753</v>
      </c>
      <c r="D2276" s="42" t="s">
        <v>44</v>
      </c>
      <c r="E2276" s="42" t="s">
        <v>44</v>
      </c>
      <c r="F2276" s="53" t="s">
        <v>9725</v>
      </c>
      <c r="G2276" s="53" t="s">
        <v>47</v>
      </c>
      <c r="H2276" s="53" t="s">
        <v>91</v>
      </c>
      <c r="I2276" s="53" t="s">
        <v>401</v>
      </c>
      <c r="J2276" s="53" t="s">
        <v>9726</v>
      </c>
      <c r="K2276" s="53" t="s">
        <v>51</v>
      </c>
      <c r="L2276" s="53" t="s">
        <v>52</v>
      </c>
      <c r="M2276" s="53" t="s">
        <v>52</v>
      </c>
      <c r="N2276" s="62" t="s">
        <v>9754</v>
      </c>
      <c r="O2276" s="62" t="s">
        <v>44</v>
      </c>
      <c r="P2276" s="62" t="s">
        <v>9755</v>
      </c>
      <c r="Q2276" s="62" t="s">
        <v>5978</v>
      </c>
      <c r="R2276" s="53"/>
      <c r="S2276" s="53"/>
      <c r="T2276" s="82"/>
      <c r="U2276" s="42"/>
      <c r="V2276" s="62"/>
      <c r="W2276" s="64"/>
      <c r="X2276" s="223"/>
      <c r="Y2276" s="223"/>
      <c r="Z2276" s="223"/>
      <c r="AA2276" s="223"/>
    </row>
    <row r="2277">
      <c r="A2277" s="42">
        <f t="shared" si="3"/>
        <v>2276</v>
      </c>
      <c r="B2277" s="51" t="s">
        <v>41</v>
      </c>
      <c r="C2277" s="53" t="s">
        <v>9756</v>
      </c>
      <c r="D2277" s="42" t="s">
        <v>44</v>
      </c>
      <c r="E2277" s="42" t="s">
        <v>44</v>
      </c>
      <c r="F2277" s="53" t="s">
        <v>9757</v>
      </c>
      <c r="G2277" s="53" t="s">
        <v>197</v>
      </c>
      <c r="H2277" s="53" t="s">
        <v>198</v>
      </c>
      <c r="I2277" s="53" t="s">
        <v>49</v>
      </c>
      <c r="J2277" s="53" t="s">
        <v>9758</v>
      </c>
      <c r="K2277" s="53" t="s">
        <v>1615</v>
      </c>
      <c r="L2277" s="53" t="s">
        <v>52</v>
      </c>
      <c r="M2277" s="53" t="s">
        <v>52</v>
      </c>
      <c r="N2277" s="62" t="s">
        <v>9759</v>
      </c>
      <c r="O2277" s="62" t="s">
        <v>44</v>
      </c>
      <c r="P2277" s="62" t="s">
        <v>9760</v>
      </c>
      <c r="Q2277" s="62" t="s">
        <v>9761</v>
      </c>
      <c r="R2277" s="53"/>
      <c r="S2277" s="53"/>
      <c r="T2277" s="82"/>
      <c r="U2277" s="42"/>
      <c r="V2277" s="62"/>
      <c r="W2277" s="64"/>
      <c r="X2277" s="223"/>
      <c r="Y2277" s="223"/>
      <c r="Z2277" s="223"/>
      <c r="AA2277" s="223"/>
    </row>
    <row r="2278">
      <c r="A2278" s="42">
        <f t="shared" si="3"/>
        <v>2277</v>
      </c>
      <c r="B2278" s="51" t="s">
        <v>41</v>
      </c>
      <c r="C2278" s="53" t="s">
        <v>9762</v>
      </c>
      <c r="D2278" s="42" t="s">
        <v>44</v>
      </c>
      <c r="E2278" s="42" t="s">
        <v>44</v>
      </c>
      <c r="F2278" s="53" t="s">
        <v>9757</v>
      </c>
      <c r="G2278" s="53" t="s">
        <v>197</v>
      </c>
      <c r="H2278" s="53" t="s">
        <v>112</v>
      </c>
      <c r="I2278" s="53" t="s">
        <v>49</v>
      </c>
      <c r="J2278" s="53" t="s">
        <v>9758</v>
      </c>
      <c r="K2278" s="53" t="s">
        <v>1615</v>
      </c>
      <c r="L2278" s="53" t="s">
        <v>52</v>
      </c>
      <c r="M2278" s="53" t="s">
        <v>52</v>
      </c>
      <c r="N2278" s="62" t="s">
        <v>9763</v>
      </c>
      <c r="O2278" s="62" t="s">
        <v>44</v>
      </c>
      <c r="P2278" s="62" t="s">
        <v>9760</v>
      </c>
      <c r="Q2278" s="62" t="s">
        <v>9761</v>
      </c>
      <c r="R2278" s="53"/>
      <c r="S2278" s="53"/>
      <c r="T2278" s="82"/>
      <c r="U2278" s="42"/>
      <c r="V2278" s="62"/>
      <c r="W2278" s="64"/>
      <c r="X2278" s="223"/>
      <c r="Y2278" s="223"/>
      <c r="Z2278" s="223"/>
      <c r="AA2278" s="223"/>
    </row>
    <row r="2279">
      <c r="A2279" s="42">
        <f t="shared" si="3"/>
        <v>2278</v>
      </c>
      <c r="B2279" s="51" t="s">
        <v>41</v>
      </c>
      <c r="C2279" s="53" t="s">
        <v>9764</v>
      </c>
      <c r="D2279" s="42" t="s">
        <v>44</v>
      </c>
      <c r="E2279" s="42" t="s">
        <v>44</v>
      </c>
      <c r="F2279" s="53" t="s">
        <v>9765</v>
      </c>
      <c r="G2279" s="53" t="s">
        <v>47</v>
      </c>
      <c r="H2279" s="53" t="s">
        <v>48</v>
      </c>
      <c r="I2279" s="53" t="s">
        <v>49</v>
      </c>
      <c r="J2279" s="53" t="s">
        <v>9766</v>
      </c>
      <c r="K2279" s="53" t="s">
        <v>1615</v>
      </c>
      <c r="L2279" s="53" t="s">
        <v>52</v>
      </c>
      <c r="M2279" s="53" t="s">
        <v>52</v>
      </c>
      <c r="N2279" s="62" t="s">
        <v>9767</v>
      </c>
      <c r="O2279" s="62" t="s">
        <v>44</v>
      </c>
      <c r="P2279" s="62" t="s">
        <v>9768</v>
      </c>
      <c r="Q2279" s="62" t="s">
        <v>9769</v>
      </c>
      <c r="R2279" s="53"/>
      <c r="S2279" s="53"/>
      <c r="T2279" s="82"/>
      <c r="U2279" s="42"/>
      <c r="V2279" s="62"/>
      <c r="W2279" s="64"/>
      <c r="X2279" s="223"/>
      <c r="Y2279" s="223"/>
      <c r="Z2279" s="223"/>
      <c r="AA2279" s="223"/>
    </row>
    <row r="2280">
      <c r="A2280" s="42">
        <f t="shared" si="3"/>
        <v>2279</v>
      </c>
      <c r="B2280" s="51" t="s">
        <v>41</v>
      </c>
      <c r="C2280" s="53" t="s">
        <v>9770</v>
      </c>
      <c r="D2280" s="42" t="s">
        <v>44</v>
      </c>
      <c r="E2280" s="42" t="s">
        <v>44</v>
      </c>
      <c r="F2280" s="53" t="s">
        <v>9765</v>
      </c>
      <c r="G2280" s="53" t="s">
        <v>47</v>
      </c>
      <c r="H2280" s="53" t="s">
        <v>48</v>
      </c>
      <c r="I2280" s="53" t="s">
        <v>49</v>
      </c>
      <c r="J2280" s="53" t="s">
        <v>9766</v>
      </c>
      <c r="K2280" s="53" t="s">
        <v>1615</v>
      </c>
      <c r="L2280" s="53" t="s">
        <v>52</v>
      </c>
      <c r="M2280" s="53" t="s">
        <v>52</v>
      </c>
      <c r="N2280" s="62" t="s">
        <v>9767</v>
      </c>
      <c r="O2280" s="62" t="s">
        <v>44</v>
      </c>
      <c r="P2280" s="62" t="s">
        <v>9771</v>
      </c>
      <c r="Q2280" s="62" t="s">
        <v>9772</v>
      </c>
      <c r="R2280" s="53"/>
      <c r="S2280" s="53"/>
      <c r="T2280" s="82"/>
      <c r="U2280" s="42"/>
      <c r="V2280" s="62"/>
      <c r="W2280" s="64"/>
      <c r="X2280" s="223"/>
      <c r="Y2280" s="223"/>
      <c r="Z2280" s="223"/>
      <c r="AA2280" s="223"/>
    </row>
    <row r="2281">
      <c r="A2281" s="42">
        <f t="shared" si="3"/>
        <v>2280</v>
      </c>
      <c r="B2281" s="51" t="s">
        <v>41</v>
      </c>
      <c r="C2281" s="53" t="s">
        <v>9773</v>
      </c>
      <c r="D2281" s="42" t="s">
        <v>44</v>
      </c>
      <c r="E2281" s="42" t="s">
        <v>44</v>
      </c>
      <c r="F2281" s="53" t="s">
        <v>9774</v>
      </c>
      <c r="G2281" s="53" t="s">
        <v>197</v>
      </c>
      <c r="H2281" s="53" t="s">
        <v>112</v>
      </c>
      <c r="I2281" s="53" t="s">
        <v>8913</v>
      </c>
      <c r="J2281" s="53" t="s">
        <v>9775</v>
      </c>
      <c r="K2281" s="53" t="s">
        <v>51</v>
      </c>
      <c r="L2281" s="53" t="s">
        <v>52</v>
      </c>
      <c r="M2281" s="53" t="s">
        <v>52</v>
      </c>
      <c r="N2281" s="62" t="s">
        <v>9776</v>
      </c>
      <c r="O2281" s="62" t="s">
        <v>44</v>
      </c>
      <c r="P2281" s="62" t="s">
        <v>9777</v>
      </c>
      <c r="Q2281" s="62" t="s">
        <v>9778</v>
      </c>
      <c r="R2281" s="53"/>
      <c r="S2281" s="53"/>
      <c r="T2281" s="82"/>
      <c r="U2281" s="42"/>
      <c r="V2281" s="62"/>
      <c r="W2281" s="64"/>
      <c r="X2281" s="223"/>
      <c r="Y2281" s="223"/>
      <c r="Z2281" s="223"/>
      <c r="AA2281" s="223"/>
    </row>
    <row r="2282">
      <c r="A2282" s="42">
        <f t="shared" si="3"/>
        <v>2281</v>
      </c>
      <c r="B2282" s="51" t="s">
        <v>41</v>
      </c>
      <c r="C2282" s="53" t="s">
        <v>9779</v>
      </c>
      <c r="D2282" s="42" t="s">
        <v>44</v>
      </c>
      <c r="E2282" s="42" t="s">
        <v>44</v>
      </c>
      <c r="F2282" s="53" t="s">
        <v>9780</v>
      </c>
      <c r="G2282" s="53" t="s">
        <v>47</v>
      </c>
      <c r="H2282" s="53" t="s">
        <v>48</v>
      </c>
      <c r="I2282" s="53" t="s">
        <v>8913</v>
      </c>
      <c r="J2282" s="53" t="s">
        <v>9781</v>
      </c>
      <c r="K2282" s="53" t="s">
        <v>927</v>
      </c>
      <c r="L2282" s="53" t="s">
        <v>52</v>
      </c>
      <c r="M2282" s="53" t="s">
        <v>52</v>
      </c>
      <c r="N2282" s="62" t="s">
        <v>9782</v>
      </c>
      <c r="O2282" s="62" t="s">
        <v>44</v>
      </c>
      <c r="P2282" s="62" t="s">
        <v>9783</v>
      </c>
      <c r="Q2282" s="62" t="s">
        <v>9784</v>
      </c>
      <c r="R2282" s="53"/>
      <c r="S2282" s="53"/>
      <c r="T2282" s="82"/>
      <c r="U2282" s="42"/>
      <c r="V2282" s="62"/>
      <c r="W2282" s="64"/>
      <c r="X2282" s="223"/>
      <c r="Y2282" s="223"/>
      <c r="Z2282" s="223"/>
      <c r="AA2282" s="223"/>
    </row>
    <row r="2283">
      <c r="A2283" s="42">
        <f t="shared" si="3"/>
        <v>2282</v>
      </c>
      <c r="B2283" s="51" t="s">
        <v>41</v>
      </c>
      <c r="C2283" s="53" t="s">
        <v>9785</v>
      </c>
      <c r="D2283" s="42" t="s">
        <v>44</v>
      </c>
      <c r="E2283" s="42" t="s">
        <v>44</v>
      </c>
      <c r="F2283" s="53" t="s">
        <v>9780</v>
      </c>
      <c r="G2283" s="53" t="s">
        <v>47</v>
      </c>
      <c r="H2283" s="53" t="s">
        <v>48</v>
      </c>
      <c r="I2283" s="53" t="s">
        <v>8913</v>
      </c>
      <c r="J2283" s="53" t="s">
        <v>9781</v>
      </c>
      <c r="K2283" s="53" t="s">
        <v>927</v>
      </c>
      <c r="L2283" s="53" t="s">
        <v>52</v>
      </c>
      <c r="M2283" s="53" t="s">
        <v>52</v>
      </c>
      <c r="N2283" s="62" t="s">
        <v>9786</v>
      </c>
      <c r="O2283" s="62" t="s">
        <v>44</v>
      </c>
      <c r="P2283" s="62" t="s">
        <v>9783</v>
      </c>
      <c r="Q2283" s="62" t="s">
        <v>9787</v>
      </c>
      <c r="R2283" s="53"/>
      <c r="S2283" s="53"/>
      <c r="T2283" s="82"/>
      <c r="U2283" s="42"/>
      <c r="V2283" s="62"/>
      <c r="W2283" s="64"/>
      <c r="X2283" s="223"/>
      <c r="Y2283" s="223"/>
      <c r="Z2283" s="223"/>
      <c r="AA2283" s="223"/>
    </row>
    <row r="2284">
      <c r="A2284" s="42">
        <f t="shared" si="3"/>
        <v>2283</v>
      </c>
      <c r="B2284" s="51" t="s">
        <v>41</v>
      </c>
      <c r="C2284" s="53" t="s">
        <v>9788</v>
      </c>
      <c r="D2284" s="42" t="s">
        <v>44</v>
      </c>
      <c r="E2284" s="42" t="s">
        <v>44</v>
      </c>
      <c r="F2284" s="53" t="s">
        <v>9780</v>
      </c>
      <c r="G2284" s="53" t="s">
        <v>197</v>
      </c>
      <c r="H2284" s="53" t="s">
        <v>112</v>
      </c>
      <c r="I2284" s="53" t="s">
        <v>8913</v>
      </c>
      <c r="J2284" s="53" t="s">
        <v>9781</v>
      </c>
      <c r="K2284" s="53" t="s">
        <v>927</v>
      </c>
      <c r="L2284" s="53" t="s">
        <v>52</v>
      </c>
      <c r="M2284" s="53" t="s">
        <v>52</v>
      </c>
      <c r="N2284" s="62" t="s">
        <v>9789</v>
      </c>
      <c r="O2284" s="62" t="s">
        <v>44</v>
      </c>
      <c r="P2284" s="62" t="s">
        <v>9790</v>
      </c>
      <c r="Q2284" s="62" t="s">
        <v>9791</v>
      </c>
      <c r="R2284" s="53"/>
      <c r="S2284" s="53"/>
      <c r="T2284" s="82"/>
      <c r="U2284" s="42"/>
      <c r="V2284" s="62"/>
      <c r="W2284" s="64"/>
      <c r="X2284" s="223"/>
      <c r="Y2284" s="223"/>
      <c r="Z2284" s="223"/>
      <c r="AA2284" s="223"/>
    </row>
    <row r="2285">
      <c r="A2285" s="42">
        <f t="shared" si="3"/>
        <v>2284</v>
      </c>
      <c r="B2285" s="51" t="s">
        <v>41</v>
      </c>
      <c r="C2285" s="53" t="s">
        <v>9792</v>
      </c>
      <c r="D2285" s="42" t="s">
        <v>44</v>
      </c>
      <c r="E2285" s="42" t="s">
        <v>44</v>
      </c>
      <c r="F2285" s="53" t="s">
        <v>9780</v>
      </c>
      <c r="G2285" s="53" t="s">
        <v>47</v>
      </c>
      <c r="H2285" s="53" t="s">
        <v>48</v>
      </c>
      <c r="I2285" s="53" t="s">
        <v>8913</v>
      </c>
      <c r="J2285" s="53" t="s">
        <v>9781</v>
      </c>
      <c r="K2285" s="53" t="s">
        <v>51</v>
      </c>
      <c r="L2285" s="53" t="s">
        <v>52</v>
      </c>
      <c r="M2285" s="53" t="s">
        <v>52</v>
      </c>
      <c r="N2285" s="62" t="s">
        <v>9793</v>
      </c>
      <c r="O2285" s="62" t="s">
        <v>44</v>
      </c>
      <c r="P2285" s="62" t="s">
        <v>9794</v>
      </c>
      <c r="Q2285" s="62" t="s">
        <v>9795</v>
      </c>
      <c r="R2285" s="53"/>
      <c r="S2285" s="53"/>
      <c r="T2285" s="82"/>
      <c r="U2285" s="42"/>
      <c r="V2285" s="62"/>
      <c r="W2285" s="64"/>
      <c r="X2285" s="223"/>
      <c r="Y2285" s="223"/>
      <c r="Z2285" s="223"/>
      <c r="AA2285" s="223"/>
    </row>
    <row r="2286">
      <c r="A2286" s="42">
        <f t="shared" si="3"/>
        <v>2285</v>
      </c>
      <c r="B2286" s="51" t="s">
        <v>41</v>
      </c>
      <c r="C2286" s="53" t="s">
        <v>9796</v>
      </c>
      <c r="D2286" s="42" t="s">
        <v>44</v>
      </c>
      <c r="E2286" s="42" t="s">
        <v>44</v>
      </c>
      <c r="F2286" s="53" t="s">
        <v>9780</v>
      </c>
      <c r="G2286" s="53" t="s">
        <v>85</v>
      </c>
      <c r="H2286" s="53" t="s">
        <v>86</v>
      </c>
      <c r="I2286" s="53" t="s">
        <v>8913</v>
      </c>
      <c r="J2286" s="53" t="s">
        <v>9781</v>
      </c>
      <c r="K2286" s="53" t="s">
        <v>51</v>
      </c>
      <c r="L2286" s="53" t="s">
        <v>52</v>
      </c>
      <c r="M2286" s="53" t="s">
        <v>52</v>
      </c>
      <c r="N2286" s="62" t="s">
        <v>9797</v>
      </c>
      <c r="O2286" s="62" t="s">
        <v>44</v>
      </c>
      <c r="P2286" s="62" t="s">
        <v>9798</v>
      </c>
      <c r="Q2286" s="62" t="s">
        <v>9799</v>
      </c>
      <c r="R2286" s="53"/>
      <c r="S2286" s="53"/>
      <c r="T2286" s="82"/>
      <c r="U2286" s="42"/>
      <c r="V2286" s="62"/>
      <c r="W2286" s="64"/>
      <c r="X2286" s="223"/>
      <c r="Y2286" s="223"/>
      <c r="Z2286" s="223"/>
      <c r="AA2286" s="223"/>
    </row>
    <row r="2287">
      <c r="A2287" s="42">
        <f t="shared" si="3"/>
        <v>2286</v>
      </c>
      <c r="B2287" s="51" t="s">
        <v>41</v>
      </c>
      <c r="C2287" s="53" t="s">
        <v>9800</v>
      </c>
      <c r="D2287" s="42" t="s">
        <v>44</v>
      </c>
      <c r="E2287" s="42" t="s">
        <v>44</v>
      </c>
      <c r="F2287" s="53" t="s">
        <v>9780</v>
      </c>
      <c r="G2287" s="53" t="s">
        <v>47</v>
      </c>
      <c r="H2287" s="53" t="s">
        <v>91</v>
      </c>
      <c r="I2287" s="53" t="s">
        <v>8913</v>
      </c>
      <c r="J2287" s="53" t="s">
        <v>9781</v>
      </c>
      <c r="K2287" s="53" t="s">
        <v>51</v>
      </c>
      <c r="L2287" s="53" t="s">
        <v>52</v>
      </c>
      <c r="M2287" s="53" t="s">
        <v>52</v>
      </c>
      <c r="N2287" s="62" t="s">
        <v>9801</v>
      </c>
      <c r="O2287" s="62" t="s">
        <v>44</v>
      </c>
      <c r="P2287" s="62" t="s">
        <v>9802</v>
      </c>
      <c r="Q2287" s="62" t="s">
        <v>9803</v>
      </c>
      <c r="R2287" s="53"/>
      <c r="S2287" s="53"/>
      <c r="T2287" s="82"/>
      <c r="U2287" s="42"/>
      <c r="V2287" s="62"/>
      <c r="W2287" s="64"/>
      <c r="X2287" s="223"/>
      <c r="Y2287" s="223"/>
      <c r="Z2287" s="223"/>
      <c r="AA2287" s="223"/>
    </row>
    <row r="2288">
      <c r="A2288" s="42">
        <f t="shared" si="3"/>
        <v>2287</v>
      </c>
      <c r="B2288" s="51" t="s">
        <v>41</v>
      </c>
      <c r="C2288" s="53" t="s">
        <v>9804</v>
      </c>
      <c r="D2288" s="42" t="s">
        <v>44</v>
      </c>
      <c r="E2288" s="42" t="s">
        <v>44</v>
      </c>
      <c r="F2288" s="53" t="s">
        <v>9780</v>
      </c>
      <c r="G2288" s="53" t="s">
        <v>47</v>
      </c>
      <c r="H2288" s="53" t="s">
        <v>48</v>
      </c>
      <c r="I2288" s="53" t="s">
        <v>8913</v>
      </c>
      <c r="J2288" s="53" t="s">
        <v>9781</v>
      </c>
      <c r="K2288" s="53" t="s">
        <v>927</v>
      </c>
      <c r="L2288" s="53" t="s">
        <v>52</v>
      </c>
      <c r="M2288" s="53" t="s">
        <v>52</v>
      </c>
      <c r="N2288" s="62" t="s">
        <v>9805</v>
      </c>
      <c r="O2288" s="62" t="s">
        <v>44</v>
      </c>
      <c r="P2288" s="62" t="s">
        <v>9806</v>
      </c>
      <c r="Q2288" s="62" t="s">
        <v>9807</v>
      </c>
      <c r="R2288" s="53"/>
      <c r="S2288" s="53"/>
      <c r="T2288" s="82"/>
      <c r="U2288" s="42"/>
      <c r="V2288" s="62"/>
      <c r="W2288" s="64"/>
      <c r="X2288" s="223"/>
      <c r="Y2288" s="223"/>
      <c r="Z2288" s="223"/>
      <c r="AA2288" s="223"/>
    </row>
    <row r="2289">
      <c r="A2289" s="42">
        <f t="shared" si="3"/>
        <v>2288</v>
      </c>
      <c r="B2289" s="51" t="s">
        <v>41</v>
      </c>
      <c r="C2289" s="53" t="s">
        <v>9808</v>
      </c>
      <c r="D2289" s="42" t="s">
        <v>44</v>
      </c>
      <c r="E2289" s="42" t="s">
        <v>44</v>
      </c>
      <c r="F2289" s="53" t="s">
        <v>9809</v>
      </c>
      <c r="G2289" s="53" t="s">
        <v>47</v>
      </c>
      <c r="H2289" s="53" t="s">
        <v>48</v>
      </c>
      <c r="I2289" s="53" t="s">
        <v>9222</v>
      </c>
      <c r="J2289" s="53" t="s">
        <v>9810</v>
      </c>
      <c r="K2289" s="53" t="s">
        <v>1615</v>
      </c>
      <c r="L2289" s="53" t="s">
        <v>52</v>
      </c>
      <c r="M2289" s="53" t="s">
        <v>52</v>
      </c>
      <c r="N2289" s="62" t="s">
        <v>9811</v>
      </c>
      <c r="O2289" s="62" t="s">
        <v>44</v>
      </c>
      <c r="P2289" s="62" t="s">
        <v>9812</v>
      </c>
      <c r="Q2289" s="62" t="s">
        <v>9813</v>
      </c>
      <c r="R2289" s="53"/>
      <c r="S2289" s="53"/>
      <c r="T2289" s="82"/>
      <c r="U2289" s="42"/>
      <c r="V2289" s="62"/>
      <c r="W2289" s="64"/>
      <c r="X2289" s="223"/>
      <c r="Y2289" s="223"/>
      <c r="Z2289" s="223"/>
      <c r="AA2289" s="223"/>
    </row>
    <row r="2290">
      <c r="A2290" s="42">
        <f t="shared" si="3"/>
        <v>2289</v>
      </c>
      <c r="B2290" s="51" t="s">
        <v>41</v>
      </c>
      <c r="C2290" s="53" t="s">
        <v>9814</v>
      </c>
      <c r="D2290" s="42" t="s">
        <v>44</v>
      </c>
      <c r="E2290" s="42" t="s">
        <v>44</v>
      </c>
      <c r="F2290" s="53" t="s">
        <v>9809</v>
      </c>
      <c r="G2290" s="53" t="s">
        <v>47</v>
      </c>
      <c r="H2290" s="53" t="s">
        <v>91</v>
      </c>
      <c r="I2290" s="53" t="s">
        <v>9222</v>
      </c>
      <c r="J2290" s="53" t="s">
        <v>9810</v>
      </c>
      <c r="K2290" s="53" t="s">
        <v>1615</v>
      </c>
      <c r="L2290" s="53" t="s">
        <v>52</v>
      </c>
      <c r="M2290" s="53" t="s">
        <v>52</v>
      </c>
      <c r="N2290" s="62" t="s">
        <v>9811</v>
      </c>
      <c r="O2290" s="62" t="s">
        <v>44</v>
      </c>
      <c r="P2290" s="62" t="s">
        <v>9815</v>
      </c>
      <c r="Q2290" s="62" t="s">
        <v>9816</v>
      </c>
      <c r="R2290" s="53"/>
      <c r="S2290" s="53"/>
      <c r="T2290" s="82"/>
      <c r="U2290" s="42"/>
      <c r="V2290" s="62"/>
      <c r="W2290" s="64"/>
      <c r="X2290" s="223"/>
      <c r="Y2290" s="223"/>
      <c r="Z2290" s="223"/>
      <c r="AA2290" s="223"/>
    </row>
    <row r="2291">
      <c r="A2291" s="42">
        <f t="shared" si="3"/>
        <v>2290</v>
      </c>
      <c r="B2291" s="51" t="s">
        <v>41</v>
      </c>
      <c r="C2291" s="53" t="s">
        <v>9817</v>
      </c>
      <c r="D2291" s="42" t="s">
        <v>44</v>
      </c>
      <c r="E2291" s="42" t="s">
        <v>44</v>
      </c>
      <c r="F2291" s="53" t="s">
        <v>9809</v>
      </c>
      <c r="G2291" s="53" t="s">
        <v>47</v>
      </c>
      <c r="H2291" s="53" t="s">
        <v>48</v>
      </c>
      <c r="I2291" s="53" t="s">
        <v>9222</v>
      </c>
      <c r="J2291" s="53" t="s">
        <v>9810</v>
      </c>
      <c r="K2291" s="53" t="s">
        <v>1615</v>
      </c>
      <c r="L2291" s="53" t="s">
        <v>52</v>
      </c>
      <c r="M2291" s="53" t="s">
        <v>52</v>
      </c>
      <c r="N2291" s="62" t="s">
        <v>9811</v>
      </c>
      <c r="O2291" s="62" t="s">
        <v>44</v>
      </c>
      <c r="P2291" s="62" t="s">
        <v>9818</v>
      </c>
      <c r="Q2291" s="62" t="s">
        <v>9819</v>
      </c>
      <c r="R2291" s="53"/>
      <c r="S2291" s="53"/>
      <c r="T2291" s="82"/>
      <c r="U2291" s="42"/>
      <c r="V2291" s="62"/>
      <c r="W2291" s="64"/>
      <c r="X2291" s="223"/>
      <c r="Y2291" s="223"/>
      <c r="Z2291" s="223"/>
      <c r="AA2291" s="223"/>
    </row>
    <row r="2292">
      <c r="A2292" s="42">
        <f t="shared" si="3"/>
        <v>2291</v>
      </c>
      <c r="B2292" s="51" t="s">
        <v>41</v>
      </c>
      <c r="C2292" s="53" t="s">
        <v>9820</v>
      </c>
      <c r="D2292" s="42" t="s">
        <v>44</v>
      </c>
      <c r="E2292" s="42" t="s">
        <v>44</v>
      </c>
      <c r="F2292" s="53" t="s">
        <v>9809</v>
      </c>
      <c r="G2292" s="53" t="s">
        <v>47</v>
      </c>
      <c r="H2292" s="53" t="s">
        <v>95</v>
      </c>
      <c r="I2292" s="53" t="s">
        <v>9222</v>
      </c>
      <c r="J2292" s="53" t="s">
        <v>9810</v>
      </c>
      <c r="K2292" s="53" t="s">
        <v>1615</v>
      </c>
      <c r="L2292" s="53" t="s">
        <v>52</v>
      </c>
      <c r="M2292" s="53" t="s">
        <v>52</v>
      </c>
      <c r="N2292" s="62" t="s">
        <v>9811</v>
      </c>
      <c r="O2292" s="62" t="s">
        <v>44</v>
      </c>
      <c r="P2292" s="62" t="s">
        <v>9821</v>
      </c>
      <c r="Q2292" s="62" t="s">
        <v>9822</v>
      </c>
      <c r="R2292" s="53"/>
      <c r="S2292" s="53"/>
      <c r="T2292" s="82"/>
      <c r="U2292" s="42"/>
      <c r="V2292" s="62"/>
      <c r="W2292" s="64"/>
      <c r="X2292" s="223"/>
      <c r="Y2292" s="223"/>
      <c r="Z2292" s="223"/>
      <c r="AA2292" s="223"/>
    </row>
    <row r="2293">
      <c r="A2293" s="42">
        <f t="shared" si="3"/>
        <v>2292</v>
      </c>
      <c r="B2293" s="51" t="s">
        <v>41</v>
      </c>
      <c r="C2293" s="53" t="s">
        <v>9823</v>
      </c>
      <c r="D2293" s="42" t="s">
        <v>44</v>
      </c>
      <c r="E2293" s="42" t="s">
        <v>44</v>
      </c>
      <c r="F2293" s="53" t="s">
        <v>9809</v>
      </c>
      <c r="G2293" s="53" t="s">
        <v>47</v>
      </c>
      <c r="H2293" s="53" t="s">
        <v>48</v>
      </c>
      <c r="I2293" s="53" t="s">
        <v>9222</v>
      </c>
      <c r="J2293" s="53" t="s">
        <v>9810</v>
      </c>
      <c r="K2293" s="53" t="s">
        <v>1615</v>
      </c>
      <c r="L2293" s="53" t="s">
        <v>52</v>
      </c>
      <c r="M2293" s="53" t="s">
        <v>52</v>
      </c>
      <c r="N2293" s="62" t="s">
        <v>9811</v>
      </c>
      <c r="O2293" s="62" t="s">
        <v>44</v>
      </c>
      <c r="P2293" s="62" t="s">
        <v>9824</v>
      </c>
      <c r="Q2293" s="62" t="s">
        <v>9825</v>
      </c>
      <c r="R2293" s="53"/>
      <c r="S2293" s="53"/>
      <c r="T2293" s="82"/>
      <c r="U2293" s="42"/>
      <c r="V2293" s="62"/>
      <c r="W2293" s="64"/>
      <c r="X2293" s="223"/>
      <c r="Y2293" s="223"/>
      <c r="Z2293" s="223"/>
      <c r="AA2293" s="223"/>
    </row>
    <row r="2294">
      <c r="A2294" s="42">
        <f t="shared" si="3"/>
        <v>2293</v>
      </c>
      <c r="B2294" s="51" t="s">
        <v>41</v>
      </c>
      <c r="C2294" s="53" t="s">
        <v>9826</v>
      </c>
      <c r="D2294" s="42" t="s">
        <v>44</v>
      </c>
      <c r="E2294" s="42" t="s">
        <v>44</v>
      </c>
      <c r="F2294" s="53" t="s">
        <v>9827</v>
      </c>
      <c r="G2294" s="53" t="s">
        <v>47</v>
      </c>
      <c r="H2294" s="53" t="s">
        <v>48</v>
      </c>
      <c r="I2294" s="53" t="s">
        <v>9222</v>
      </c>
      <c r="J2294" s="53" t="s">
        <v>9828</v>
      </c>
      <c r="K2294" s="53" t="s">
        <v>1615</v>
      </c>
      <c r="L2294" s="53" t="s">
        <v>52</v>
      </c>
      <c r="M2294" s="53" t="s">
        <v>52</v>
      </c>
      <c r="N2294" s="62" t="s">
        <v>9829</v>
      </c>
      <c r="O2294" s="62" t="s">
        <v>44</v>
      </c>
      <c r="P2294" s="62" t="s">
        <v>9830</v>
      </c>
      <c r="Q2294" s="62" t="s">
        <v>9831</v>
      </c>
      <c r="R2294" s="53"/>
      <c r="S2294" s="53"/>
      <c r="T2294" s="82"/>
      <c r="U2294" s="42"/>
      <c r="V2294" s="62"/>
      <c r="W2294" s="64"/>
      <c r="X2294" s="223"/>
      <c r="Y2294" s="223"/>
      <c r="Z2294" s="223"/>
      <c r="AA2294" s="223"/>
    </row>
    <row r="2295">
      <c r="A2295" s="42">
        <f t="shared" si="3"/>
        <v>2294</v>
      </c>
      <c r="B2295" s="51" t="s">
        <v>41</v>
      </c>
      <c r="C2295" s="53" t="s">
        <v>9832</v>
      </c>
      <c r="D2295" s="42" t="s">
        <v>44</v>
      </c>
      <c r="E2295" s="42" t="s">
        <v>44</v>
      </c>
      <c r="F2295" s="53" t="s">
        <v>9827</v>
      </c>
      <c r="G2295" s="53" t="s">
        <v>47</v>
      </c>
      <c r="H2295" s="53" t="s">
        <v>48</v>
      </c>
      <c r="I2295" s="53" t="s">
        <v>9222</v>
      </c>
      <c r="J2295" s="53" t="s">
        <v>9828</v>
      </c>
      <c r="K2295" s="53" t="s">
        <v>1615</v>
      </c>
      <c r="L2295" s="53" t="s">
        <v>52</v>
      </c>
      <c r="M2295" s="53" t="s">
        <v>52</v>
      </c>
      <c r="N2295" s="62" t="s">
        <v>9829</v>
      </c>
      <c r="O2295" s="62" t="s">
        <v>44</v>
      </c>
      <c r="P2295" s="62" t="s">
        <v>9830</v>
      </c>
      <c r="Q2295" s="62" t="s">
        <v>9833</v>
      </c>
      <c r="R2295" s="53"/>
      <c r="S2295" s="53"/>
      <c r="T2295" s="82"/>
      <c r="U2295" s="42"/>
      <c r="V2295" s="62"/>
      <c r="W2295" s="64"/>
      <c r="X2295" s="223"/>
      <c r="Y2295" s="223"/>
      <c r="Z2295" s="223"/>
      <c r="AA2295" s="223"/>
    </row>
    <row r="2296">
      <c r="A2296" s="42">
        <f t="shared" si="3"/>
        <v>2295</v>
      </c>
      <c r="B2296" s="51" t="s">
        <v>41</v>
      </c>
      <c r="C2296" s="53" t="s">
        <v>9834</v>
      </c>
      <c r="D2296" s="42" t="s">
        <v>44</v>
      </c>
      <c r="E2296" s="42" t="s">
        <v>44</v>
      </c>
      <c r="F2296" s="53" t="s">
        <v>9835</v>
      </c>
      <c r="G2296" s="53" t="s">
        <v>47</v>
      </c>
      <c r="H2296" s="53" t="s">
        <v>48</v>
      </c>
      <c r="I2296" s="53" t="s">
        <v>9222</v>
      </c>
      <c r="J2296" s="53" t="s">
        <v>9836</v>
      </c>
      <c r="K2296" s="53" t="s">
        <v>3753</v>
      </c>
      <c r="L2296" s="53" t="s">
        <v>52</v>
      </c>
      <c r="M2296" s="53" t="s">
        <v>52</v>
      </c>
      <c r="N2296" s="62" t="s">
        <v>9837</v>
      </c>
      <c r="O2296" s="62" t="s">
        <v>44</v>
      </c>
      <c r="P2296" s="62" t="s">
        <v>9812</v>
      </c>
      <c r="Q2296" s="62" t="s">
        <v>9813</v>
      </c>
      <c r="R2296" s="53"/>
      <c r="S2296" s="53"/>
      <c r="T2296" s="82"/>
      <c r="U2296" s="42"/>
      <c r="V2296" s="62"/>
      <c r="W2296" s="64"/>
      <c r="X2296" s="223"/>
      <c r="Y2296" s="223"/>
      <c r="Z2296" s="223"/>
      <c r="AA2296" s="223"/>
    </row>
    <row r="2297">
      <c r="A2297" s="42">
        <f t="shared" si="3"/>
        <v>2296</v>
      </c>
      <c r="B2297" s="51" t="s">
        <v>41</v>
      </c>
      <c r="C2297" s="53" t="s">
        <v>9838</v>
      </c>
      <c r="D2297" s="42" t="s">
        <v>44</v>
      </c>
      <c r="E2297" s="42" t="s">
        <v>44</v>
      </c>
      <c r="F2297" s="53" t="s">
        <v>9835</v>
      </c>
      <c r="G2297" s="53" t="s">
        <v>47</v>
      </c>
      <c r="H2297" s="53" t="s">
        <v>91</v>
      </c>
      <c r="I2297" s="53" t="s">
        <v>9222</v>
      </c>
      <c r="J2297" s="53" t="s">
        <v>9836</v>
      </c>
      <c r="K2297" s="53" t="s">
        <v>3753</v>
      </c>
      <c r="L2297" s="53" t="s">
        <v>52</v>
      </c>
      <c r="M2297" s="53" t="s">
        <v>52</v>
      </c>
      <c r="N2297" s="62" t="s">
        <v>9837</v>
      </c>
      <c r="O2297" s="62" t="s">
        <v>44</v>
      </c>
      <c r="P2297" s="62" t="s">
        <v>9815</v>
      </c>
      <c r="Q2297" s="62" t="s">
        <v>9839</v>
      </c>
      <c r="R2297" s="53"/>
      <c r="S2297" s="53"/>
      <c r="T2297" s="82"/>
      <c r="U2297" s="42"/>
      <c r="V2297" s="62"/>
      <c r="W2297" s="64"/>
      <c r="X2297" s="223"/>
      <c r="Y2297" s="223"/>
      <c r="Z2297" s="223"/>
      <c r="AA2297" s="223"/>
    </row>
    <row r="2298">
      <c r="A2298" s="42">
        <f t="shared" si="3"/>
        <v>2297</v>
      </c>
      <c r="B2298" s="51" t="s">
        <v>41</v>
      </c>
      <c r="C2298" s="53" t="s">
        <v>9840</v>
      </c>
      <c r="D2298" s="42" t="s">
        <v>44</v>
      </c>
      <c r="E2298" s="42" t="s">
        <v>44</v>
      </c>
      <c r="F2298" s="53" t="s">
        <v>9835</v>
      </c>
      <c r="G2298" s="53" t="s">
        <v>47</v>
      </c>
      <c r="H2298" s="53" t="s">
        <v>48</v>
      </c>
      <c r="I2298" s="53" t="s">
        <v>9222</v>
      </c>
      <c r="J2298" s="53" t="s">
        <v>9836</v>
      </c>
      <c r="K2298" s="53" t="s">
        <v>3753</v>
      </c>
      <c r="L2298" s="53" t="s">
        <v>52</v>
      </c>
      <c r="M2298" s="53" t="s">
        <v>52</v>
      </c>
      <c r="N2298" s="62" t="s">
        <v>9837</v>
      </c>
      <c r="O2298" s="62" t="s">
        <v>44</v>
      </c>
      <c r="P2298" s="62" t="s">
        <v>9818</v>
      </c>
      <c r="Q2298" s="62" t="s">
        <v>9841</v>
      </c>
      <c r="R2298" s="53"/>
      <c r="S2298" s="53"/>
      <c r="T2298" s="82"/>
      <c r="U2298" s="42"/>
      <c r="V2298" s="62"/>
      <c r="W2298" s="64"/>
      <c r="X2298" s="223"/>
      <c r="Y2298" s="223"/>
      <c r="Z2298" s="223"/>
      <c r="AA2298" s="223"/>
    </row>
    <row r="2299">
      <c r="A2299" s="42">
        <f t="shared" si="3"/>
        <v>2298</v>
      </c>
      <c r="B2299" s="51" t="s">
        <v>41</v>
      </c>
      <c r="C2299" s="53" t="s">
        <v>9842</v>
      </c>
      <c r="D2299" s="42" t="s">
        <v>44</v>
      </c>
      <c r="E2299" s="42" t="s">
        <v>44</v>
      </c>
      <c r="F2299" s="53" t="s">
        <v>9835</v>
      </c>
      <c r="G2299" s="53" t="s">
        <v>47</v>
      </c>
      <c r="H2299" s="53" t="s">
        <v>48</v>
      </c>
      <c r="I2299" s="53" t="s">
        <v>9222</v>
      </c>
      <c r="J2299" s="53" t="s">
        <v>9836</v>
      </c>
      <c r="K2299" s="53" t="s">
        <v>3753</v>
      </c>
      <c r="L2299" s="53" t="s">
        <v>52</v>
      </c>
      <c r="M2299" s="53" t="s">
        <v>52</v>
      </c>
      <c r="N2299" s="62" t="s">
        <v>9843</v>
      </c>
      <c r="O2299" s="62" t="s">
        <v>44</v>
      </c>
      <c r="P2299" s="62" t="s">
        <v>9844</v>
      </c>
      <c r="Q2299" s="62" t="s">
        <v>9845</v>
      </c>
      <c r="R2299" s="53"/>
      <c r="S2299" s="53"/>
      <c r="T2299" s="82"/>
      <c r="U2299" s="42"/>
      <c r="V2299" s="62"/>
      <c r="W2299" s="64"/>
      <c r="X2299" s="223"/>
      <c r="Y2299" s="223"/>
      <c r="Z2299" s="223"/>
      <c r="AA2299" s="223"/>
    </row>
    <row r="2300">
      <c r="A2300" s="42">
        <f t="shared" si="3"/>
        <v>2299</v>
      </c>
      <c r="B2300" s="51" t="s">
        <v>41</v>
      </c>
      <c r="C2300" s="53" t="s">
        <v>9846</v>
      </c>
      <c r="D2300" s="42" t="s">
        <v>44</v>
      </c>
      <c r="E2300" s="42" t="s">
        <v>44</v>
      </c>
      <c r="F2300" s="53" t="s">
        <v>9835</v>
      </c>
      <c r="G2300" s="53" t="s">
        <v>47</v>
      </c>
      <c r="H2300" s="53" t="s">
        <v>95</v>
      </c>
      <c r="I2300" s="53" t="s">
        <v>9222</v>
      </c>
      <c r="J2300" s="53" t="s">
        <v>9836</v>
      </c>
      <c r="K2300" s="53" t="s">
        <v>3753</v>
      </c>
      <c r="L2300" s="53" t="s">
        <v>52</v>
      </c>
      <c r="M2300" s="53" t="s">
        <v>52</v>
      </c>
      <c r="N2300" s="62" t="s">
        <v>9837</v>
      </c>
      <c r="O2300" s="62" t="s">
        <v>44</v>
      </c>
      <c r="P2300" s="62" t="s">
        <v>9821</v>
      </c>
      <c r="Q2300" s="62" t="s">
        <v>9822</v>
      </c>
      <c r="R2300" s="53"/>
      <c r="S2300" s="53"/>
      <c r="T2300" s="82"/>
      <c r="U2300" s="42"/>
      <c r="V2300" s="62"/>
      <c r="W2300" s="64"/>
      <c r="X2300" s="223"/>
      <c r="Y2300" s="223"/>
      <c r="Z2300" s="223"/>
      <c r="AA2300" s="223"/>
    </row>
    <row r="2301">
      <c r="A2301" s="42">
        <f t="shared" si="3"/>
        <v>2300</v>
      </c>
      <c r="B2301" s="51" t="s">
        <v>41</v>
      </c>
      <c r="C2301" s="53" t="s">
        <v>9847</v>
      </c>
      <c r="D2301" s="42" t="s">
        <v>44</v>
      </c>
      <c r="E2301" s="42" t="s">
        <v>44</v>
      </c>
      <c r="F2301" s="53" t="s">
        <v>9835</v>
      </c>
      <c r="G2301" s="53" t="s">
        <v>47</v>
      </c>
      <c r="H2301" s="53" t="s">
        <v>48</v>
      </c>
      <c r="I2301" s="53" t="s">
        <v>9222</v>
      </c>
      <c r="J2301" s="53" t="s">
        <v>9836</v>
      </c>
      <c r="K2301" s="53" t="s">
        <v>3753</v>
      </c>
      <c r="L2301" s="53" t="s">
        <v>52</v>
      </c>
      <c r="M2301" s="53" t="s">
        <v>52</v>
      </c>
      <c r="N2301" s="62" t="s">
        <v>9837</v>
      </c>
      <c r="O2301" s="62" t="s">
        <v>44</v>
      </c>
      <c r="P2301" s="62" t="s">
        <v>9824</v>
      </c>
      <c r="Q2301" s="62" t="s">
        <v>9825</v>
      </c>
      <c r="R2301" s="53"/>
      <c r="S2301" s="53"/>
      <c r="T2301" s="82"/>
      <c r="U2301" s="42"/>
      <c r="V2301" s="62"/>
      <c r="W2301" s="64"/>
      <c r="X2301" s="223"/>
      <c r="Y2301" s="223"/>
      <c r="Z2301" s="223"/>
      <c r="AA2301" s="223"/>
    </row>
    <row r="2302">
      <c r="A2302" s="42">
        <f t="shared" si="3"/>
        <v>2301</v>
      </c>
      <c r="B2302" s="51" t="s">
        <v>41</v>
      </c>
      <c r="C2302" s="53" t="s">
        <v>9848</v>
      </c>
      <c r="D2302" s="42" t="s">
        <v>44</v>
      </c>
      <c r="E2302" s="42" t="s">
        <v>44</v>
      </c>
      <c r="F2302" s="53" t="s">
        <v>9849</v>
      </c>
      <c r="G2302" s="53" t="s">
        <v>47</v>
      </c>
      <c r="H2302" s="53" t="s">
        <v>48</v>
      </c>
      <c r="I2302" s="53" t="s">
        <v>9222</v>
      </c>
      <c r="J2302" s="53" t="s">
        <v>9850</v>
      </c>
      <c r="K2302" s="53" t="s">
        <v>3753</v>
      </c>
      <c r="L2302" s="53" t="s">
        <v>52</v>
      </c>
      <c r="M2302" s="53" t="s">
        <v>52</v>
      </c>
      <c r="N2302" s="62" t="s">
        <v>9851</v>
      </c>
      <c r="O2302" s="62" t="s">
        <v>44</v>
      </c>
      <c r="P2302" s="62" t="s">
        <v>9830</v>
      </c>
      <c r="Q2302" s="62" t="s">
        <v>9852</v>
      </c>
      <c r="R2302" s="53"/>
      <c r="S2302" s="53"/>
      <c r="T2302" s="82"/>
      <c r="U2302" s="42"/>
      <c r="V2302" s="62"/>
      <c r="W2302" s="64"/>
      <c r="X2302" s="223"/>
      <c r="Y2302" s="223"/>
      <c r="Z2302" s="223"/>
      <c r="AA2302" s="223"/>
    </row>
    <row r="2303">
      <c r="A2303" s="42">
        <f t="shared" si="3"/>
        <v>2302</v>
      </c>
      <c r="B2303" s="51" t="s">
        <v>41</v>
      </c>
      <c r="C2303" s="53" t="s">
        <v>9853</v>
      </c>
      <c r="D2303" s="42" t="s">
        <v>44</v>
      </c>
      <c r="E2303" s="42" t="s">
        <v>44</v>
      </c>
      <c r="F2303" s="53" t="s">
        <v>9849</v>
      </c>
      <c r="G2303" s="53" t="s">
        <v>47</v>
      </c>
      <c r="H2303" s="53" t="s">
        <v>48</v>
      </c>
      <c r="I2303" s="53" t="s">
        <v>9222</v>
      </c>
      <c r="J2303" s="53" t="s">
        <v>9850</v>
      </c>
      <c r="K2303" s="53" t="s">
        <v>3753</v>
      </c>
      <c r="L2303" s="53" t="s">
        <v>52</v>
      </c>
      <c r="M2303" s="53" t="s">
        <v>52</v>
      </c>
      <c r="N2303" s="62" t="s">
        <v>9851</v>
      </c>
      <c r="O2303" s="62" t="s">
        <v>44</v>
      </c>
      <c r="P2303" s="62" t="s">
        <v>9830</v>
      </c>
      <c r="Q2303" s="62" t="s">
        <v>9854</v>
      </c>
      <c r="R2303" s="53"/>
      <c r="S2303" s="53"/>
      <c r="T2303" s="82"/>
      <c r="U2303" s="42"/>
      <c r="V2303" s="62"/>
      <c r="W2303" s="64"/>
      <c r="X2303" s="223"/>
      <c r="Y2303" s="223"/>
      <c r="Z2303" s="223"/>
      <c r="AA2303" s="223"/>
    </row>
    <row r="2304">
      <c r="A2304" s="42">
        <f t="shared" si="3"/>
        <v>2303</v>
      </c>
      <c r="B2304" s="51" t="s">
        <v>41</v>
      </c>
      <c r="C2304" s="53" t="s">
        <v>9855</v>
      </c>
      <c r="D2304" s="42" t="s">
        <v>44</v>
      </c>
      <c r="E2304" s="42" t="s">
        <v>44</v>
      </c>
      <c r="F2304" s="53" t="s">
        <v>9856</v>
      </c>
      <c r="G2304" s="53" t="s">
        <v>47</v>
      </c>
      <c r="H2304" s="53" t="s">
        <v>48</v>
      </c>
      <c r="I2304" s="53" t="s">
        <v>8913</v>
      </c>
      <c r="J2304" s="53" t="s">
        <v>9857</v>
      </c>
      <c r="K2304" s="53" t="s">
        <v>1615</v>
      </c>
      <c r="L2304" s="53" t="s">
        <v>52</v>
      </c>
      <c r="M2304" s="53" t="s">
        <v>52</v>
      </c>
      <c r="N2304" s="62" t="s">
        <v>9858</v>
      </c>
      <c r="O2304" s="62" t="s">
        <v>44</v>
      </c>
      <c r="P2304" s="62" t="s">
        <v>9859</v>
      </c>
      <c r="Q2304" s="62" t="s">
        <v>9860</v>
      </c>
      <c r="R2304" s="53"/>
      <c r="S2304" s="53"/>
      <c r="T2304" s="82"/>
      <c r="U2304" s="42"/>
      <c r="V2304" s="62"/>
      <c r="W2304" s="64"/>
      <c r="X2304" s="223"/>
      <c r="Y2304" s="223"/>
      <c r="Z2304" s="223"/>
      <c r="AA2304" s="223"/>
    </row>
    <row r="2305">
      <c r="A2305" s="42">
        <f t="shared" si="3"/>
        <v>2304</v>
      </c>
      <c r="B2305" s="51" t="s">
        <v>41</v>
      </c>
      <c r="C2305" s="53" t="s">
        <v>9861</v>
      </c>
      <c r="D2305" s="42" t="s">
        <v>44</v>
      </c>
      <c r="E2305" s="42" t="s">
        <v>44</v>
      </c>
      <c r="F2305" s="53" t="s">
        <v>9856</v>
      </c>
      <c r="G2305" s="53" t="s">
        <v>47</v>
      </c>
      <c r="H2305" s="53" t="s">
        <v>48</v>
      </c>
      <c r="I2305" s="53" t="s">
        <v>8913</v>
      </c>
      <c r="J2305" s="53" t="s">
        <v>9857</v>
      </c>
      <c r="K2305" s="53" t="s">
        <v>1615</v>
      </c>
      <c r="L2305" s="53" t="s">
        <v>52</v>
      </c>
      <c r="M2305" s="53" t="s">
        <v>52</v>
      </c>
      <c r="N2305" s="62" t="s">
        <v>9858</v>
      </c>
      <c r="O2305" s="62" t="s">
        <v>44</v>
      </c>
      <c r="P2305" s="62" t="s">
        <v>9862</v>
      </c>
      <c r="Q2305" s="62" t="s">
        <v>9863</v>
      </c>
      <c r="R2305" s="53"/>
      <c r="S2305" s="53"/>
      <c r="T2305" s="82"/>
      <c r="U2305" s="42"/>
      <c r="V2305" s="62"/>
      <c r="W2305" s="64"/>
      <c r="X2305" s="223"/>
      <c r="Y2305" s="223"/>
      <c r="Z2305" s="223"/>
      <c r="AA2305" s="223"/>
    </row>
    <row r="2306">
      <c r="A2306" s="42">
        <f t="shared" si="3"/>
        <v>2305</v>
      </c>
      <c r="B2306" s="51" t="s">
        <v>41</v>
      </c>
      <c r="C2306" s="53" t="s">
        <v>9864</v>
      </c>
      <c r="D2306" s="42" t="s">
        <v>44</v>
      </c>
      <c r="E2306" s="42" t="s">
        <v>44</v>
      </c>
      <c r="F2306" s="53" t="s">
        <v>9856</v>
      </c>
      <c r="G2306" s="53" t="s">
        <v>47</v>
      </c>
      <c r="H2306" s="53" t="s">
        <v>91</v>
      </c>
      <c r="I2306" s="53" t="s">
        <v>8913</v>
      </c>
      <c r="J2306" s="53" t="s">
        <v>9857</v>
      </c>
      <c r="K2306" s="53" t="s">
        <v>1615</v>
      </c>
      <c r="L2306" s="53" t="s">
        <v>52</v>
      </c>
      <c r="M2306" s="53" t="s">
        <v>52</v>
      </c>
      <c r="N2306" s="62" t="s">
        <v>9858</v>
      </c>
      <c r="O2306" s="62" t="s">
        <v>44</v>
      </c>
      <c r="P2306" s="62" t="s">
        <v>9865</v>
      </c>
      <c r="Q2306" s="62" t="s">
        <v>9866</v>
      </c>
      <c r="R2306" s="53"/>
      <c r="S2306" s="53"/>
      <c r="T2306" s="82"/>
      <c r="U2306" s="42"/>
      <c r="V2306" s="62"/>
      <c r="W2306" s="64"/>
      <c r="X2306" s="223"/>
      <c r="Y2306" s="223"/>
      <c r="Z2306" s="223"/>
      <c r="AA2306" s="223"/>
    </row>
    <row r="2307">
      <c r="A2307" s="42">
        <f t="shared" si="3"/>
        <v>2306</v>
      </c>
      <c r="B2307" s="51" t="s">
        <v>41</v>
      </c>
      <c r="C2307" s="53" t="s">
        <v>9867</v>
      </c>
      <c r="D2307" s="42" t="s">
        <v>44</v>
      </c>
      <c r="E2307" s="42" t="s">
        <v>44</v>
      </c>
      <c r="F2307" s="53" t="s">
        <v>9856</v>
      </c>
      <c r="G2307" s="53" t="s">
        <v>47</v>
      </c>
      <c r="H2307" s="53" t="s">
        <v>48</v>
      </c>
      <c r="I2307" s="53" t="s">
        <v>8913</v>
      </c>
      <c r="J2307" s="53" t="s">
        <v>9857</v>
      </c>
      <c r="K2307" s="53" t="s">
        <v>1615</v>
      </c>
      <c r="L2307" s="53" t="s">
        <v>52</v>
      </c>
      <c r="M2307" s="53" t="s">
        <v>52</v>
      </c>
      <c r="N2307" s="62" t="s">
        <v>9868</v>
      </c>
      <c r="O2307" s="62" t="s">
        <v>44</v>
      </c>
      <c r="P2307" s="62" t="s">
        <v>9869</v>
      </c>
      <c r="Q2307" s="62" t="s">
        <v>9870</v>
      </c>
      <c r="R2307" s="53"/>
      <c r="S2307" s="53"/>
      <c r="T2307" s="82"/>
      <c r="U2307" s="42"/>
      <c r="V2307" s="62"/>
      <c r="W2307" s="64"/>
      <c r="X2307" s="223"/>
      <c r="Y2307" s="223"/>
      <c r="Z2307" s="223"/>
      <c r="AA2307" s="223"/>
    </row>
    <row r="2308">
      <c r="A2308" s="42">
        <f t="shared" si="3"/>
        <v>2307</v>
      </c>
      <c r="B2308" s="51" t="s">
        <v>41</v>
      </c>
      <c r="C2308" s="53" t="s">
        <v>9871</v>
      </c>
      <c r="D2308" s="42" t="s">
        <v>44</v>
      </c>
      <c r="E2308" s="42" t="s">
        <v>44</v>
      </c>
      <c r="F2308" s="53" t="s">
        <v>9872</v>
      </c>
      <c r="G2308" s="53" t="s">
        <v>47</v>
      </c>
      <c r="H2308" s="53" t="s">
        <v>48</v>
      </c>
      <c r="I2308" s="53" t="s">
        <v>401</v>
      </c>
      <c r="J2308" s="53" t="s">
        <v>9873</v>
      </c>
      <c r="K2308" s="53" t="s">
        <v>1615</v>
      </c>
      <c r="L2308" s="53" t="s">
        <v>52</v>
      </c>
      <c r="M2308" s="53" t="s">
        <v>52</v>
      </c>
      <c r="N2308" s="62" t="s">
        <v>9874</v>
      </c>
      <c r="O2308" s="62" t="s">
        <v>44</v>
      </c>
      <c r="P2308" s="62" t="s">
        <v>9875</v>
      </c>
      <c r="Q2308" s="62" t="s">
        <v>9876</v>
      </c>
      <c r="R2308" s="53"/>
      <c r="S2308" s="53"/>
      <c r="T2308" s="82"/>
      <c r="U2308" s="42"/>
      <c r="V2308" s="62"/>
      <c r="W2308" s="64"/>
      <c r="X2308" s="223"/>
      <c r="Y2308" s="223"/>
      <c r="Z2308" s="223"/>
      <c r="AA2308" s="223"/>
    </row>
    <row r="2309">
      <c r="A2309" s="42">
        <f t="shared" si="3"/>
        <v>2308</v>
      </c>
      <c r="B2309" s="51" t="s">
        <v>41</v>
      </c>
      <c r="C2309" s="53" t="s">
        <v>9877</v>
      </c>
      <c r="D2309" s="42" t="s">
        <v>44</v>
      </c>
      <c r="E2309" s="42" t="s">
        <v>44</v>
      </c>
      <c r="F2309" s="53" t="s">
        <v>9872</v>
      </c>
      <c r="G2309" s="53" t="s">
        <v>47</v>
      </c>
      <c r="H2309" s="53" t="s">
        <v>48</v>
      </c>
      <c r="I2309" s="53" t="s">
        <v>401</v>
      </c>
      <c r="J2309" s="53" t="s">
        <v>9873</v>
      </c>
      <c r="K2309" s="53" t="s">
        <v>1615</v>
      </c>
      <c r="L2309" s="53" t="s">
        <v>52</v>
      </c>
      <c r="M2309" s="53" t="s">
        <v>52</v>
      </c>
      <c r="N2309" s="62" t="s">
        <v>9874</v>
      </c>
      <c r="O2309" s="62" t="s">
        <v>44</v>
      </c>
      <c r="P2309" s="62" t="s">
        <v>9878</v>
      </c>
      <c r="Q2309" s="62" t="s">
        <v>9879</v>
      </c>
      <c r="R2309" s="53"/>
      <c r="S2309" s="53"/>
      <c r="T2309" s="82"/>
      <c r="U2309" s="42"/>
      <c r="V2309" s="62"/>
      <c r="W2309" s="64"/>
      <c r="X2309" s="223"/>
      <c r="Y2309" s="223"/>
      <c r="Z2309" s="223"/>
      <c r="AA2309" s="223"/>
    </row>
    <row r="2310">
      <c r="A2310" s="42">
        <f t="shared" si="3"/>
        <v>2309</v>
      </c>
      <c r="B2310" s="51" t="s">
        <v>41</v>
      </c>
      <c r="C2310" s="53" t="s">
        <v>9880</v>
      </c>
      <c r="D2310" s="42" t="s">
        <v>44</v>
      </c>
      <c r="E2310" s="42" t="s">
        <v>44</v>
      </c>
      <c r="F2310" s="53" t="s">
        <v>9872</v>
      </c>
      <c r="G2310" s="53" t="s">
        <v>47</v>
      </c>
      <c r="H2310" s="53" t="s">
        <v>48</v>
      </c>
      <c r="I2310" s="53" t="s">
        <v>401</v>
      </c>
      <c r="J2310" s="53" t="s">
        <v>9873</v>
      </c>
      <c r="K2310" s="53" t="s">
        <v>1615</v>
      </c>
      <c r="L2310" s="53" t="s">
        <v>52</v>
      </c>
      <c r="M2310" s="53" t="s">
        <v>52</v>
      </c>
      <c r="N2310" s="62" t="s">
        <v>9874</v>
      </c>
      <c r="O2310" s="62" t="s">
        <v>44</v>
      </c>
      <c r="P2310" s="62" t="s">
        <v>9881</v>
      </c>
      <c r="Q2310" s="62" t="s">
        <v>9882</v>
      </c>
      <c r="R2310" s="53"/>
      <c r="S2310" s="53"/>
      <c r="T2310" s="82"/>
      <c r="U2310" s="42"/>
      <c r="V2310" s="62"/>
      <c r="W2310" s="64"/>
      <c r="X2310" s="223"/>
      <c r="Y2310" s="223"/>
      <c r="Z2310" s="223"/>
      <c r="AA2310" s="223"/>
    </row>
    <row r="2311">
      <c r="A2311" s="42">
        <f t="shared" si="3"/>
        <v>2310</v>
      </c>
      <c r="B2311" s="51" t="s">
        <v>41</v>
      </c>
      <c r="C2311" s="53" t="s">
        <v>9883</v>
      </c>
      <c r="D2311" s="42" t="s">
        <v>44</v>
      </c>
      <c r="E2311" s="42" t="s">
        <v>44</v>
      </c>
      <c r="F2311" s="53" t="s">
        <v>9872</v>
      </c>
      <c r="G2311" s="53" t="s">
        <v>47</v>
      </c>
      <c r="H2311" s="53" t="s">
        <v>48</v>
      </c>
      <c r="I2311" s="53" t="s">
        <v>401</v>
      </c>
      <c r="J2311" s="53" t="s">
        <v>9873</v>
      </c>
      <c r="K2311" s="53" t="s">
        <v>1615</v>
      </c>
      <c r="L2311" s="53" t="s">
        <v>52</v>
      </c>
      <c r="M2311" s="53" t="s">
        <v>52</v>
      </c>
      <c r="N2311" s="62" t="s">
        <v>9874</v>
      </c>
      <c r="O2311" s="62" t="s">
        <v>44</v>
      </c>
      <c r="P2311" s="62" t="s">
        <v>9884</v>
      </c>
      <c r="Q2311" s="62" t="s">
        <v>9885</v>
      </c>
      <c r="R2311" s="53"/>
      <c r="S2311" s="53"/>
      <c r="T2311" s="82"/>
      <c r="U2311" s="42"/>
      <c r="V2311" s="62"/>
      <c r="W2311" s="64"/>
      <c r="X2311" s="223"/>
      <c r="Y2311" s="223"/>
      <c r="Z2311" s="223"/>
      <c r="AA2311" s="223"/>
    </row>
    <row r="2312">
      <c r="A2312" s="42">
        <f t="shared" si="3"/>
        <v>2311</v>
      </c>
      <c r="B2312" s="51" t="s">
        <v>41</v>
      </c>
      <c r="C2312" s="53" t="s">
        <v>9886</v>
      </c>
      <c r="D2312" s="42" t="s">
        <v>44</v>
      </c>
      <c r="E2312" s="42" t="s">
        <v>44</v>
      </c>
      <c r="F2312" s="53" t="s">
        <v>9887</v>
      </c>
      <c r="G2312" s="53" t="s">
        <v>47</v>
      </c>
      <c r="H2312" s="53" t="s">
        <v>48</v>
      </c>
      <c r="I2312" s="53" t="s">
        <v>401</v>
      </c>
      <c r="J2312" s="53" t="s">
        <v>9888</v>
      </c>
      <c r="K2312" s="53" t="s">
        <v>927</v>
      </c>
      <c r="L2312" s="53" t="s">
        <v>52</v>
      </c>
      <c r="M2312" s="53" t="s">
        <v>52</v>
      </c>
      <c r="N2312" s="62" t="s">
        <v>9889</v>
      </c>
      <c r="O2312" s="62" t="s">
        <v>44</v>
      </c>
      <c r="P2312" s="62" t="s">
        <v>9890</v>
      </c>
      <c r="Q2312" s="62" t="s">
        <v>9891</v>
      </c>
      <c r="R2312" s="53"/>
      <c r="S2312" s="53"/>
      <c r="T2312" s="82"/>
      <c r="U2312" s="42"/>
      <c r="V2312" s="62"/>
      <c r="W2312" s="64"/>
      <c r="X2312" s="223"/>
      <c r="Y2312" s="223"/>
      <c r="Z2312" s="223"/>
      <c r="AA2312" s="223"/>
    </row>
    <row r="2313">
      <c r="A2313" s="42">
        <f t="shared" si="3"/>
        <v>2312</v>
      </c>
      <c r="B2313" s="51" t="s">
        <v>41</v>
      </c>
      <c r="C2313" s="53" t="s">
        <v>9892</v>
      </c>
      <c r="D2313" s="42" t="s">
        <v>44</v>
      </c>
      <c r="E2313" s="42" t="s">
        <v>44</v>
      </c>
      <c r="F2313" s="53" t="s">
        <v>9887</v>
      </c>
      <c r="G2313" s="53" t="s">
        <v>47</v>
      </c>
      <c r="H2313" s="53" t="s">
        <v>48</v>
      </c>
      <c r="I2313" s="53" t="s">
        <v>401</v>
      </c>
      <c r="J2313" s="53" t="s">
        <v>9888</v>
      </c>
      <c r="K2313" s="53" t="s">
        <v>927</v>
      </c>
      <c r="L2313" s="53" t="s">
        <v>52</v>
      </c>
      <c r="M2313" s="53" t="s">
        <v>52</v>
      </c>
      <c r="N2313" s="62" t="s">
        <v>9889</v>
      </c>
      <c r="O2313" s="62" t="s">
        <v>44</v>
      </c>
      <c r="P2313" s="62" t="s">
        <v>9890</v>
      </c>
      <c r="Q2313" s="62" t="s">
        <v>9893</v>
      </c>
      <c r="R2313" s="53"/>
      <c r="S2313" s="53"/>
      <c r="T2313" s="82"/>
      <c r="U2313" s="42"/>
      <c r="V2313" s="62"/>
      <c r="W2313" s="64"/>
      <c r="X2313" s="223"/>
      <c r="Y2313" s="223"/>
      <c r="Z2313" s="223"/>
      <c r="AA2313" s="223"/>
    </row>
    <row r="2314">
      <c r="A2314" s="42">
        <f t="shared" si="3"/>
        <v>2313</v>
      </c>
      <c r="B2314" s="51" t="s">
        <v>41</v>
      </c>
      <c r="C2314" s="53" t="s">
        <v>9894</v>
      </c>
      <c r="D2314" s="42" t="s">
        <v>44</v>
      </c>
      <c r="E2314" s="42" t="s">
        <v>44</v>
      </c>
      <c r="F2314" s="53" t="s">
        <v>9887</v>
      </c>
      <c r="G2314" s="53" t="s">
        <v>47</v>
      </c>
      <c r="H2314" s="53" t="s">
        <v>48</v>
      </c>
      <c r="I2314" s="53" t="s">
        <v>401</v>
      </c>
      <c r="J2314" s="53" t="s">
        <v>9888</v>
      </c>
      <c r="K2314" s="53" t="s">
        <v>927</v>
      </c>
      <c r="L2314" s="53" t="s">
        <v>52</v>
      </c>
      <c r="M2314" s="53" t="s">
        <v>52</v>
      </c>
      <c r="N2314" s="62" t="s">
        <v>9889</v>
      </c>
      <c r="O2314" s="62" t="s">
        <v>44</v>
      </c>
      <c r="P2314" s="62" t="s">
        <v>9895</v>
      </c>
      <c r="Q2314" s="62" t="s">
        <v>9896</v>
      </c>
      <c r="R2314" s="53"/>
      <c r="S2314" s="53"/>
      <c r="T2314" s="82"/>
      <c r="U2314" s="42"/>
      <c r="V2314" s="62"/>
      <c r="W2314" s="64"/>
      <c r="X2314" s="223"/>
      <c r="Y2314" s="223"/>
      <c r="Z2314" s="223"/>
      <c r="AA2314" s="223"/>
    </row>
    <row r="2315">
      <c r="A2315" s="42">
        <f t="shared" si="3"/>
        <v>2314</v>
      </c>
      <c r="B2315" s="51" t="s">
        <v>41</v>
      </c>
      <c r="C2315" s="53" t="s">
        <v>9897</v>
      </c>
      <c r="D2315" s="42" t="s">
        <v>44</v>
      </c>
      <c r="E2315" s="42" t="s">
        <v>44</v>
      </c>
      <c r="F2315" s="53" t="s">
        <v>9887</v>
      </c>
      <c r="G2315" s="53" t="s">
        <v>47</v>
      </c>
      <c r="H2315" s="53" t="s">
        <v>48</v>
      </c>
      <c r="I2315" s="53" t="s">
        <v>401</v>
      </c>
      <c r="J2315" s="53" t="s">
        <v>9888</v>
      </c>
      <c r="K2315" s="53" t="s">
        <v>927</v>
      </c>
      <c r="L2315" s="53" t="s">
        <v>52</v>
      </c>
      <c r="M2315" s="53" t="s">
        <v>52</v>
      </c>
      <c r="N2315" s="62" t="s">
        <v>9889</v>
      </c>
      <c r="O2315" s="62" t="s">
        <v>44</v>
      </c>
      <c r="P2315" s="62" t="s">
        <v>9898</v>
      </c>
      <c r="Q2315" s="62" t="s">
        <v>9896</v>
      </c>
      <c r="R2315" s="53"/>
      <c r="S2315" s="53"/>
      <c r="T2315" s="82"/>
      <c r="U2315" s="42"/>
      <c r="V2315" s="62"/>
      <c r="W2315" s="64"/>
      <c r="X2315" s="223"/>
      <c r="Y2315" s="223"/>
      <c r="Z2315" s="223"/>
      <c r="AA2315" s="223"/>
    </row>
    <row r="2316">
      <c r="A2316" s="42">
        <f t="shared" si="3"/>
        <v>2315</v>
      </c>
      <c r="B2316" s="51" t="s">
        <v>41</v>
      </c>
      <c r="C2316" s="53" t="s">
        <v>9899</v>
      </c>
      <c r="D2316" s="42" t="s">
        <v>44</v>
      </c>
      <c r="E2316" s="42" t="s">
        <v>44</v>
      </c>
      <c r="F2316" s="53" t="s">
        <v>9900</v>
      </c>
      <c r="G2316" s="53" t="s">
        <v>47</v>
      </c>
      <c r="H2316" s="53" t="s">
        <v>48</v>
      </c>
      <c r="I2316" s="53" t="s">
        <v>401</v>
      </c>
      <c r="J2316" s="53" t="s">
        <v>9901</v>
      </c>
      <c r="K2316" s="53" t="s">
        <v>1615</v>
      </c>
      <c r="L2316" s="53" t="s">
        <v>52</v>
      </c>
      <c r="M2316" s="53" t="s">
        <v>52</v>
      </c>
      <c r="N2316" s="62" t="s">
        <v>9902</v>
      </c>
      <c r="O2316" s="62" t="s">
        <v>44</v>
      </c>
      <c r="P2316" s="62" t="s">
        <v>9903</v>
      </c>
      <c r="Q2316" s="62" t="s">
        <v>9904</v>
      </c>
      <c r="R2316" s="53"/>
      <c r="S2316" s="53"/>
      <c r="T2316" s="82"/>
      <c r="U2316" s="42"/>
      <c r="V2316" s="62"/>
      <c r="W2316" s="64"/>
      <c r="X2316" s="223"/>
      <c r="Y2316" s="223"/>
      <c r="Z2316" s="223"/>
      <c r="AA2316" s="223"/>
    </row>
    <row r="2317">
      <c r="A2317" s="42">
        <f t="shared" si="3"/>
        <v>2316</v>
      </c>
      <c r="B2317" s="51" t="s">
        <v>41</v>
      </c>
      <c r="C2317" s="53" t="s">
        <v>9905</v>
      </c>
      <c r="D2317" s="42" t="s">
        <v>44</v>
      </c>
      <c r="E2317" s="42" t="s">
        <v>44</v>
      </c>
      <c r="F2317" s="53" t="s">
        <v>9900</v>
      </c>
      <c r="G2317" s="53" t="s">
        <v>47</v>
      </c>
      <c r="H2317" s="53" t="s">
        <v>48</v>
      </c>
      <c r="I2317" s="53" t="s">
        <v>401</v>
      </c>
      <c r="J2317" s="53" t="s">
        <v>9901</v>
      </c>
      <c r="K2317" s="53" t="s">
        <v>1615</v>
      </c>
      <c r="L2317" s="53" t="s">
        <v>52</v>
      </c>
      <c r="M2317" s="53" t="s">
        <v>52</v>
      </c>
      <c r="N2317" s="62" t="s">
        <v>9902</v>
      </c>
      <c r="O2317" s="62" t="s">
        <v>44</v>
      </c>
      <c r="P2317" s="62" t="s">
        <v>9906</v>
      </c>
      <c r="Q2317" s="62" t="s">
        <v>9907</v>
      </c>
      <c r="R2317" s="53"/>
      <c r="S2317" s="53"/>
      <c r="T2317" s="82"/>
      <c r="U2317" s="42"/>
      <c r="V2317" s="62"/>
      <c r="W2317" s="64"/>
      <c r="X2317" s="223"/>
      <c r="Y2317" s="223"/>
      <c r="Z2317" s="223"/>
      <c r="AA2317" s="223"/>
    </row>
    <row r="2318">
      <c r="A2318" s="42">
        <f t="shared" si="3"/>
        <v>2317</v>
      </c>
      <c r="B2318" s="51" t="s">
        <v>41</v>
      </c>
      <c r="C2318" s="53" t="s">
        <v>9908</v>
      </c>
      <c r="D2318" s="42" t="s">
        <v>44</v>
      </c>
      <c r="E2318" s="42" t="s">
        <v>44</v>
      </c>
      <c r="F2318" s="53" t="s">
        <v>9909</v>
      </c>
      <c r="G2318" s="53" t="s">
        <v>47</v>
      </c>
      <c r="H2318" s="53" t="s">
        <v>48</v>
      </c>
      <c r="I2318" s="53" t="s">
        <v>401</v>
      </c>
      <c r="J2318" s="53" t="s">
        <v>9910</v>
      </c>
      <c r="K2318" s="53" t="s">
        <v>51</v>
      </c>
      <c r="L2318" s="53" t="s">
        <v>52</v>
      </c>
      <c r="M2318" s="53" t="s">
        <v>52</v>
      </c>
      <c r="N2318" s="62" t="s">
        <v>9911</v>
      </c>
      <c r="O2318" s="62" t="s">
        <v>44</v>
      </c>
      <c r="P2318" s="62" t="s">
        <v>9912</v>
      </c>
      <c r="Q2318" s="62" t="s">
        <v>9913</v>
      </c>
      <c r="R2318" s="53"/>
      <c r="S2318" s="53"/>
      <c r="T2318" s="82"/>
      <c r="U2318" s="42"/>
      <c r="V2318" s="62"/>
      <c r="W2318" s="64"/>
      <c r="X2318" s="223"/>
      <c r="Y2318" s="223"/>
      <c r="Z2318" s="223"/>
      <c r="AA2318" s="223"/>
    </row>
    <row r="2319">
      <c r="A2319" s="42">
        <f t="shared" si="3"/>
        <v>2318</v>
      </c>
      <c r="B2319" s="51" t="s">
        <v>41</v>
      </c>
      <c r="C2319" s="53" t="s">
        <v>9914</v>
      </c>
      <c r="D2319" s="42" t="s">
        <v>44</v>
      </c>
      <c r="E2319" s="42" t="s">
        <v>44</v>
      </c>
      <c r="F2319" s="53" t="s">
        <v>9909</v>
      </c>
      <c r="G2319" s="53" t="s">
        <v>47</v>
      </c>
      <c r="H2319" s="53" t="s">
        <v>48</v>
      </c>
      <c r="I2319" s="53" t="s">
        <v>401</v>
      </c>
      <c r="J2319" s="53" t="s">
        <v>9910</v>
      </c>
      <c r="K2319" s="53" t="s">
        <v>51</v>
      </c>
      <c r="L2319" s="53" t="s">
        <v>52</v>
      </c>
      <c r="M2319" s="53" t="s">
        <v>52</v>
      </c>
      <c r="N2319" s="62" t="s">
        <v>9911</v>
      </c>
      <c r="O2319" s="62" t="s">
        <v>44</v>
      </c>
      <c r="P2319" s="62" t="s">
        <v>9915</v>
      </c>
      <c r="Q2319" s="62" t="s">
        <v>9916</v>
      </c>
      <c r="R2319" s="53"/>
      <c r="S2319" s="53"/>
      <c r="T2319" s="82"/>
      <c r="U2319" s="42"/>
      <c r="V2319" s="62"/>
      <c r="W2319" s="64"/>
      <c r="X2319" s="223"/>
      <c r="Y2319" s="223"/>
      <c r="Z2319" s="223"/>
      <c r="AA2319" s="223"/>
    </row>
    <row r="2320">
      <c r="A2320" s="42">
        <f t="shared" si="3"/>
        <v>2319</v>
      </c>
      <c r="B2320" s="51" t="s">
        <v>41</v>
      </c>
      <c r="C2320" s="53" t="s">
        <v>9917</v>
      </c>
      <c r="D2320" s="42" t="s">
        <v>44</v>
      </c>
      <c r="E2320" s="42" t="s">
        <v>44</v>
      </c>
      <c r="F2320" s="53" t="s">
        <v>9909</v>
      </c>
      <c r="G2320" s="53" t="s">
        <v>47</v>
      </c>
      <c r="H2320" s="53" t="s">
        <v>48</v>
      </c>
      <c r="I2320" s="53" t="s">
        <v>401</v>
      </c>
      <c r="J2320" s="53" t="s">
        <v>9910</v>
      </c>
      <c r="K2320" s="53" t="s">
        <v>51</v>
      </c>
      <c r="L2320" s="53" t="s">
        <v>52</v>
      </c>
      <c r="M2320" s="53" t="s">
        <v>52</v>
      </c>
      <c r="N2320" s="62" t="s">
        <v>9911</v>
      </c>
      <c r="O2320" s="62" t="s">
        <v>44</v>
      </c>
      <c r="P2320" s="62" t="s">
        <v>9918</v>
      </c>
      <c r="Q2320" s="62" t="s">
        <v>9896</v>
      </c>
      <c r="R2320" s="53"/>
      <c r="S2320" s="53"/>
      <c r="T2320" s="82"/>
      <c r="U2320" s="42"/>
      <c r="V2320" s="62"/>
      <c r="W2320" s="64"/>
      <c r="X2320" s="223"/>
      <c r="Y2320" s="223"/>
      <c r="Z2320" s="223"/>
      <c r="AA2320" s="223"/>
    </row>
    <row r="2321">
      <c r="A2321" s="42">
        <f t="shared" si="3"/>
        <v>2320</v>
      </c>
      <c r="B2321" s="51" t="s">
        <v>41</v>
      </c>
      <c r="C2321" s="53" t="s">
        <v>9919</v>
      </c>
      <c r="D2321" s="42" t="s">
        <v>44</v>
      </c>
      <c r="E2321" s="42" t="s">
        <v>44</v>
      </c>
      <c r="F2321" s="53" t="s">
        <v>9909</v>
      </c>
      <c r="G2321" s="53" t="s">
        <v>47</v>
      </c>
      <c r="H2321" s="53" t="s">
        <v>48</v>
      </c>
      <c r="I2321" s="53" t="s">
        <v>401</v>
      </c>
      <c r="J2321" s="53" t="s">
        <v>9910</v>
      </c>
      <c r="K2321" s="53" t="s">
        <v>51</v>
      </c>
      <c r="L2321" s="53" t="s">
        <v>52</v>
      </c>
      <c r="M2321" s="53" t="s">
        <v>52</v>
      </c>
      <c r="N2321" s="62" t="s">
        <v>9911</v>
      </c>
      <c r="O2321" s="62" t="s">
        <v>44</v>
      </c>
      <c r="P2321" s="62" t="s">
        <v>9920</v>
      </c>
      <c r="Q2321" s="62" t="s">
        <v>9921</v>
      </c>
      <c r="R2321" s="53"/>
      <c r="S2321" s="53"/>
      <c r="T2321" s="82"/>
      <c r="U2321" s="42"/>
      <c r="V2321" s="62"/>
      <c r="W2321" s="64"/>
      <c r="X2321" s="223"/>
      <c r="Y2321" s="223"/>
      <c r="Z2321" s="223"/>
      <c r="AA2321" s="223"/>
    </row>
    <row r="2322">
      <c r="A2322" s="42">
        <f t="shared" si="3"/>
        <v>2321</v>
      </c>
      <c r="B2322" s="51" t="s">
        <v>41</v>
      </c>
      <c r="C2322" s="53" t="s">
        <v>9922</v>
      </c>
      <c r="D2322" s="42" t="s">
        <v>44</v>
      </c>
      <c r="E2322" s="42" t="s">
        <v>44</v>
      </c>
      <c r="F2322" s="53" t="s">
        <v>9909</v>
      </c>
      <c r="G2322" s="53" t="s">
        <v>47</v>
      </c>
      <c r="H2322" s="53" t="s">
        <v>48</v>
      </c>
      <c r="I2322" s="53" t="s">
        <v>401</v>
      </c>
      <c r="J2322" s="53" t="s">
        <v>9910</v>
      </c>
      <c r="K2322" s="53" t="s">
        <v>51</v>
      </c>
      <c r="L2322" s="53" t="s">
        <v>52</v>
      </c>
      <c r="M2322" s="53" t="s">
        <v>52</v>
      </c>
      <c r="N2322" s="62" t="s">
        <v>9911</v>
      </c>
      <c r="O2322" s="62" t="s">
        <v>44</v>
      </c>
      <c r="P2322" s="62" t="s">
        <v>9923</v>
      </c>
      <c r="Q2322" s="62" t="s">
        <v>9924</v>
      </c>
      <c r="R2322" s="53"/>
      <c r="S2322" s="53"/>
      <c r="T2322" s="82"/>
      <c r="U2322" s="42"/>
      <c r="V2322" s="62"/>
      <c r="W2322" s="64"/>
      <c r="X2322" s="223"/>
      <c r="Y2322" s="223"/>
      <c r="Z2322" s="223"/>
      <c r="AA2322" s="223"/>
    </row>
    <row r="2323">
      <c r="A2323" s="42">
        <f t="shared" si="3"/>
        <v>2322</v>
      </c>
      <c r="B2323" s="51" t="s">
        <v>41</v>
      </c>
      <c r="C2323" s="53" t="s">
        <v>9925</v>
      </c>
      <c r="D2323" s="42" t="s">
        <v>44</v>
      </c>
      <c r="E2323" s="42" t="s">
        <v>44</v>
      </c>
      <c r="F2323" s="53" t="s">
        <v>9909</v>
      </c>
      <c r="G2323" s="53" t="s">
        <v>47</v>
      </c>
      <c r="H2323" s="53" t="s">
        <v>48</v>
      </c>
      <c r="I2323" s="53" t="s">
        <v>401</v>
      </c>
      <c r="J2323" s="53" t="s">
        <v>9910</v>
      </c>
      <c r="K2323" s="53" t="s">
        <v>51</v>
      </c>
      <c r="L2323" s="53" t="s">
        <v>52</v>
      </c>
      <c r="M2323" s="53" t="s">
        <v>52</v>
      </c>
      <c r="N2323" s="62" t="s">
        <v>9911</v>
      </c>
      <c r="O2323" s="62" t="s">
        <v>44</v>
      </c>
      <c r="P2323" s="62" t="s">
        <v>9926</v>
      </c>
      <c r="Q2323" s="62" t="s">
        <v>9927</v>
      </c>
      <c r="R2323" s="53"/>
      <c r="S2323" s="53"/>
      <c r="T2323" s="82"/>
      <c r="U2323" s="42"/>
      <c r="V2323" s="62"/>
      <c r="W2323" s="64"/>
      <c r="X2323" s="223"/>
      <c r="Y2323" s="223"/>
      <c r="Z2323" s="223"/>
      <c r="AA2323" s="223"/>
    </row>
    <row r="2324">
      <c r="A2324" s="42">
        <f t="shared" si="3"/>
        <v>2323</v>
      </c>
      <c r="B2324" s="51" t="s">
        <v>41</v>
      </c>
      <c r="C2324" s="53" t="s">
        <v>9928</v>
      </c>
      <c r="D2324" s="42" t="s">
        <v>44</v>
      </c>
      <c r="E2324" s="42" t="s">
        <v>44</v>
      </c>
      <c r="F2324" s="53" t="s">
        <v>9929</v>
      </c>
      <c r="G2324" s="53" t="s">
        <v>47</v>
      </c>
      <c r="H2324" s="53" t="s">
        <v>48</v>
      </c>
      <c r="I2324" s="53" t="s">
        <v>8913</v>
      </c>
      <c r="J2324" s="53" t="s">
        <v>9930</v>
      </c>
      <c r="K2324" s="53" t="s">
        <v>927</v>
      </c>
      <c r="L2324" s="53" t="s">
        <v>52</v>
      </c>
      <c r="M2324" s="53" t="s">
        <v>52</v>
      </c>
      <c r="N2324" s="62" t="s">
        <v>9931</v>
      </c>
      <c r="O2324" s="62" t="s">
        <v>44</v>
      </c>
      <c r="P2324" s="62" t="s">
        <v>9932</v>
      </c>
      <c r="Q2324" s="62" t="s">
        <v>9933</v>
      </c>
      <c r="R2324" s="53"/>
      <c r="S2324" s="53"/>
      <c r="T2324" s="82"/>
      <c r="U2324" s="42"/>
      <c r="V2324" s="62"/>
      <c r="W2324" s="64"/>
      <c r="X2324" s="223"/>
      <c r="Y2324" s="223"/>
      <c r="Z2324" s="223"/>
      <c r="AA2324" s="223"/>
    </row>
    <row r="2325">
      <c r="A2325" s="42">
        <f t="shared" si="3"/>
        <v>2324</v>
      </c>
      <c r="B2325" s="51" t="s">
        <v>41</v>
      </c>
      <c r="C2325" s="53" t="s">
        <v>9934</v>
      </c>
      <c r="D2325" s="42" t="s">
        <v>44</v>
      </c>
      <c r="E2325" s="42" t="s">
        <v>44</v>
      </c>
      <c r="F2325" s="53" t="s">
        <v>9929</v>
      </c>
      <c r="G2325" s="53" t="s">
        <v>47</v>
      </c>
      <c r="H2325" s="53" t="s">
        <v>48</v>
      </c>
      <c r="I2325" s="53" t="s">
        <v>8913</v>
      </c>
      <c r="J2325" s="53" t="s">
        <v>9930</v>
      </c>
      <c r="K2325" s="53" t="s">
        <v>927</v>
      </c>
      <c r="L2325" s="53" t="s">
        <v>52</v>
      </c>
      <c r="M2325" s="53" t="s">
        <v>52</v>
      </c>
      <c r="N2325" s="62" t="s">
        <v>9931</v>
      </c>
      <c r="O2325" s="62" t="s">
        <v>44</v>
      </c>
      <c r="P2325" s="62" t="s">
        <v>9935</v>
      </c>
      <c r="Q2325" s="62" t="s">
        <v>9936</v>
      </c>
      <c r="R2325" s="53"/>
      <c r="S2325" s="53"/>
      <c r="T2325" s="82"/>
      <c r="U2325" s="42"/>
      <c r="V2325" s="62"/>
      <c r="W2325" s="64"/>
      <c r="X2325" s="223"/>
      <c r="Y2325" s="223"/>
      <c r="Z2325" s="223"/>
      <c r="AA2325" s="223"/>
    </row>
    <row r="2326">
      <c r="A2326" s="42">
        <f t="shared" si="3"/>
        <v>2325</v>
      </c>
      <c r="B2326" s="51" t="s">
        <v>41</v>
      </c>
      <c r="C2326" s="53" t="s">
        <v>9937</v>
      </c>
      <c r="D2326" s="42" t="s">
        <v>44</v>
      </c>
      <c r="E2326" s="42" t="s">
        <v>44</v>
      </c>
      <c r="F2326" s="53" t="s">
        <v>9929</v>
      </c>
      <c r="G2326" s="53" t="s">
        <v>47</v>
      </c>
      <c r="H2326" s="53" t="s">
        <v>48</v>
      </c>
      <c r="I2326" s="53" t="s">
        <v>8913</v>
      </c>
      <c r="J2326" s="53" t="s">
        <v>9930</v>
      </c>
      <c r="K2326" s="53" t="s">
        <v>927</v>
      </c>
      <c r="L2326" s="53" t="s">
        <v>52</v>
      </c>
      <c r="M2326" s="53" t="s">
        <v>52</v>
      </c>
      <c r="N2326" s="62" t="s">
        <v>9931</v>
      </c>
      <c r="O2326" s="62" t="s">
        <v>44</v>
      </c>
      <c r="P2326" s="62" t="s">
        <v>9938</v>
      </c>
      <c r="Q2326" s="62" t="s">
        <v>9939</v>
      </c>
      <c r="R2326" s="53"/>
      <c r="S2326" s="53"/>
      <c r="T2326" s="82"/>
      <c r="U2326" s="42"/>
      <c r="V2326" s="62"/>
      <c r="W2326" s="64"/>
      <c r="X2326" s="223"/>
      <c r="Y2326" s="223"/>
      <c r="Z2326" s="223"/>
      <c r="AA2326" s="223"/>
    </row>
    <row r="2327">
      <c r="A2327" s="42">
        <f t="shared" si="3"/>
        <v>2326</v>
      </c>
      <c r="B2327" s="51" t="s">
        <v>41</v>
      </c>
      <c r="C2327" s="53" t="s">
        <v>9940</v>
      </c>
      <c r="D2327" s="42" t="s">
        <v>44</v>
      </c>
      <c r="E2327" s="42" t="s">
        <v>44</v>
      </c>
      <c r="F2327" s="53" t="s">
        <v>9941</v>
      </c>
      <c r="G2327" s="53" t="s">
        <v>47</v>
      </c>
      <c r="H2327" s="53" t="s">
        <v>48</v>
      </c>
      <c r="I2327" s="53" t="s">
        <v>8913</v>
      </c>
      <c r="J2327" s="53" t="s">
        <v>9942</v>
      </c>
      <c r="K2327" s="53" t="s">
        <v>927</v>
      </c>
      <c r="L2327" s="53" t="s">
        <v>52</v>
      </c>
      <c r="M2327" s="53" t="s">
        <v>52</v>
      </c>
      <c r="N2327" s="62" t="s">
        <v>9943</v>
      </c>
      <c r="O2327" s="62" t="s">
        <v>44</v>
      </c>
      <c r="P2327" s="62" t="s">
        <v>9932</v>
      </c>
      <c r="Q2327" s="62" t="s">
        <v>9933</v>
      </c>
      <c r="R2327" s="53"/>
      <c r="S2327" s="53"/>
      <c r="T2327" s="82"/>
      <c r="U2327" s="42"/>
      <c r="V2327" s="62"/>
      <c r="W2327" s="64"/>
      <c r="X2327" s="223"/>
      <c r="Y2327" s="223"/>
      <c r="Z2327" s="223"/>
      <c r="AA2327" s="223"/>
    </row>
    <row r="2328">
      <c r="A2328" s="42">
        <f t="shared" si="3"/>
        <v>2327</v>
      </c>
      <c r="B2328" s="51" t="s">
        <v>41</v>
      </c>
      <c r="C2328" s="53" t="s">
        <v>9944</v>
      </c>
      <c r="D2328" s="42" t="s">
        <v>44</v>
      </c>
      <c r="E2328" s="42" t="s">
        <v>44</v>
      </c>
      <c r="F2328" s="53" t="s">
        <v>9941</v>
      </c>
      <c r="G2328" s="53" t="s">
        <v>47</v>
      </c>
      <c r="H2328" s="53" t="s">
        <v>48</v>
      </c>
      <c r="I2328" s="53" t="s">
        <v>8913</v>
      </c>
      <c r="J2328" s="53" t="s">
        <v>9942</v>
      </c>
      <c r="K2328" s="53" t="s">
        <v>927</v>
      </c>
      <c r="L2328" s="53" t="s">
        <v>52</v>
      </c>
      <c r="M2328" s="53" t="s">
        <v>52</v>
      </c>
      <c r="N2328" s="62" t="s">
        <v>9943</v>
      </c>
      <c r="O2328" s="62" t="s">
        <v>44</v>
      </c>
      <c r="P2328" s="62" t="s">
        <v>9935</v>
      </c>
      <c r="Q2328" s="62" t="s">
        <v>9936</v>
      </c>
      <c r="R2328" s="53"/>
      <c r="S2328" s="53"/>
      <c r="T2328" s="82"/>
      <c r="U2328" s="42"/>
      <c r="V2328" s="62"/>
      <c r="W2328" s="64"/>
      <c r="X2328" s="223"/>
      <c r="Y2328" s="223"/>
      <c r="Z2328" s="223"/>
      <c r="AA2328" s="223"/>
    </row>
    <row r="2329">
      <c r="A2329" s="42">
        <f t="shared" si="3"/>
        <v>2328</v>
      </c>
      <c r="B2329" s="51" t="s">
        <v>41</v>
      </c>
      <c r="C2329" s="53" t="s">
        <v>9945</v>
      </c>
      <c r="D2329" s="42" t="s">
        <v>44</v>
      </c>
      <c r="E2329" s="42" t="s">
        <v>44</v>
      </c>
      <c r="F2329" s="53" t="s">
        <v>9941</v>
      </c>
      <c r="G2329" s="53" t="s">
        <v>47</v>
      </c>
      <c r="H2329" s="53" t="s">
        <v>48</v>
      </c>
      <c r="I2329" s="53" t="s">
        <v>8913</v>
      </c>
      <c r="J2329" s="53" t="s">
        <v>9942</v>
      </c>
      <c r="K2329" s="53" t="s">
        <v>927</v>
      </c>
      <c r="L2329" s="53" t="s">
        <v>52</v>
      </c>
      <c r="M2329" s="53" t="s">
        <v>52</v>
      </c>
      <c r="N2329" s="62" t="s">
        <v>9943</v>
      </c>
      <c r="O2329" s="62" t="s">
        <v>44</v>
      </c>
      <c r="P2329" s="62" t="s">
        <v>9938</v>
      </c>
      <c r="Q2329" s="62" t="s">
        <v>9946</v>
      </c>
      <c r="R2329" s="53"/>
      <c r="S2329" s="53"/>
      <c r="T2329" s="82"/>
      <c r="U2329" s="42"/>
      <c r="V2329" s="62"/>
      <c r="W2329" s="64"/>
      <c r="X2329" s="223"/>
      <c r="Y2329" s="223"/>
      <c r="Z2329" s="223"/>
      <c r="AA2329" s="223"/>
    </row>
    <row r="2330">
      <c r="A2330" s="42">
        <f t="shared" si="3"/>
        <v>2329</v>
      </c>
      <c r="B2330" s="51" t="s">
        <v>41</v>
      </c>
      <c r="C2330" s="53" t="s">
        <v>9947</v>
      </c>
      <c r="D2330" s="42" t="s">
        <v>44</v>
      </c>
      <c r="E2330" s="42" t="s">
        <v>44</v>
      </c>
      <c r="F2330" s="53" t="s">
        <v>9948</v>
      </c>
      <c r="G2330" s="53" t="s">
        <v>47</v>
      </c>
      <c r="H2330" s="53" t="s">
        <v>48</v>
      </c>
      <c r="I2330" s="53" t="s">
        <v>485</v>
      </c>
      <c r="J2330" s="53" t="s">
        <v>495</v>
      </c>
      <c r="K2330" s="53" t="s">
        <v>927</v>
      </c>
      <c r="L2330" s="53" t="s">
        <v>52</v>
      </c>
      <c r="M2330" s="53" t="s">
        <v>52</v>
      </c>
      <c r="N2330" s="62" t="s">
        <v>9949</v>
      </c>
      <c r="O2330" s="62" t="s">
        <v>44</v>
      </c>
      <c r="P2330" s="62" t="s">
        <v>9950</v>
      </c>
      <c r="Q2330" s="62" t="s">
        <v>9951</v>
      </c>
      <c r="R2330" s="53"/>
      <c r="S2330" s="53"/>
      <c r="T2330" s="82"/>
      <c r="U2330" s="42"/>
      <c r="V2330" s="62"/>
      <c r="W2330" s="64"/>
      <c r="X2330" s="223"/>
      <c r="Y2330" s="223"/>
      <c r="Z2330" s="223"/>
      <c r="AA2330" s="223"/>
    </row>
    <row r="2331">
      <c r="A2331" s="42">
        <f t="shared" si="3"/>
        <v>2330</v>
      </c>
      <c r="B2331" s="51" t="s">
        <v>41</v>
      </c>
      <c r="C2331" s="53" t="s">
        <v>9952</v>
      </c>
      <c r="D2331" s="42" t="s">
        <v>44</v>
      </c>
      <c r="E2331" s="42" t="s">
        <v>44</v>
      </c>
      <c r="F2331" s="53" t="s">
        <v>9948</v>
      </c>
      <c r="G2331" s="53" t="s">
        <v>47</v>
      </c>
      <c r="H2331" s="53" t="s">
        <v>48</v>
      </c>
      <c r="I2331" s="53" t="s">
        <v>485</v>
      </c>
      <c r="J2331" s="53" t="s">
        <v>495</v>
      </c>
      <c r="K2331" s="53" t="s">
        <v>927</v>
      </c>
      <c r="L2331" s="53" t="s">
        <v>52</v>
      </c>
      <c r="M2331" s="53" t="s">
        <v>52</v>
      </c>
      <c r="N2331" s="62" t="s">
        <v>9949</v>
      </c>
      <c r="O2331" s="62" t="s">
        <v>44</v>
      </c>
      <c r="P2331" s="62" t="s">
        <v>9953</v>
      </c>
      <c r="Q2331" s="62" t="s">
        <v>9954</v>
      </c>
      <c r="R2331" s="53"/>
      <c r="S2331" s="53"/>
      <c r="T2331" s="82"/>
      <c r="U2331" s="42"/>
      <c r="V2331" s="62"/>
      <c r="W2331" s="64"/>
      <c r="X2331" s="223"/>
      <c r="Y2331" s="223"/>
      <c r="Z2331" s="223"/>
      <c r="AA2331" s="223"/>
    </row>
    <row r="2332">
      <c r="A2332" s="42">
        <f t="shared" si="3"/>
        <v>2331</v>
      </c>
      <c r="B2332" s="51" t="s">
        <v>41</v>
      </c>
      <c r="C2332" s="53" t="s">
        <v>9955</v>
      </c>
      <c r="D2332" s="42" t="s">
        <v>44</v>
      </c>
      <c r="E2332" s="42" t="s">
        <v>44</v>
      </c>
      <c r="F2332" s="53" t="s">
        <v>9948</v>
      </c>
      <c r="G2332" s="53" t="s">
        <v>47</v>
      </c>
      <c r="H2332" s="53" t="s">
        <v>48</v>
      </c>
      <c r="I2332" s="53" t="s">
        <v>485</v>
      </c>
      <c r="J2332" s="53" t="s">
        <v>495</v>
      </c>
      <c r="K2332" s="53" t="s">
        <v>927</v>
      </c>
      <c r="L2332" s="53" t="s">
        <v>52</v>
      </c>
      <c r="M2332" s="53" t="s">
        <v>52</v>
      </c>
      <c r="N2332" s="62" t="s">
        <v>9949</v>
      </c>
      <c r="O2332" s="62" t="s">
        <v>44</v>
      </c>
      <c r="P2332" s="62" t="s">
        <v>9938</v>
      </c>
      <c r="Q2332" s="62" t="s">
        <v>9956</v>
      </c>
      <c r="R2332" s="53"/>
      <c r="S2332" s="53"/>
      <c r="T2332" s="82"/>
      <c r="U2332" s="42"/>
      <c r="V2332" s="62"/>
      <c r="W2332" s="64"/>
      <c r="X2332" s="223"/>
      <c r="Y2332" s="223"/>
      <c r="Z2332" s="223"/>
      <c r="AA2332" s="223"/>
    </row>
    <row r="2333">
      <c r="A2333" s="42">
        <f t="shared" si="3"/>
        <v>2332</v>
      </c>
      <c r="B2333" s="51" t="s">
        <v>41</v>
      </c>
      <c r="C2333" s="53" t="s">
        <v>9957</v>
      </c>
      <c r="D2333" s="42" t="s">
        <v>44</v>
      </c>
      <c r="E2333" s="42" t="s">
        <v>44</v>
      </c>
      <c r="F2333" s="53" t="s">
        <v>9948</v>
      </c>
      <c r="G2333" s="53" t="s">
        <v>47</v>
      </c>
      <c r="H2333" s="53" t="s">
        <v>48</v>
      </c>
      <c r="I2333" s="53" t="s">
        <v>485</v>
      </c>
      <c r="J2333" s="53" t="s">
        <v>495</v>
      </c>
      <c r="K2333" s="53" t="s">
        <v>927</v>
      </c>
      <c r="L2333" s="53" t="s">
        <v>52</v>
      </c>
      <c r="M2333" s="53" t="s">
        <v>52</v>
      </c>
      <c r="N2333" s="62" t="s">
        <v>9958</v>
      </c>
      <c r="O2333" s="62" t="s">
        <v>44</v>
      </c>
      <c r="P2333" s="62" t="s">
        <v>9959</v>
      </c>
      <c r="Q2333" s="62" t="s">
        <v>9960</v>
      </c>
      <c r="R2333" s="53"/>
      <c r="S2333" s="53"/>
      <c r="T2333" s="82"/>
      <c r="U2333" s="42"/>
      <c r="V2333" s="62"/>
      <c r="W2333" s="64"/>
      <c r="X2333" s="223"/>
      <c r="Y2333" s="223"/>
      <c r="Z2333" s="223"/>
      <c r="AA2333" s="223"/>
    </row>
    <row r="2334">
      <c r="A2334" s="42">
        <f t="shared" si="3"/>
        <v>2333</v>
      </c>
      <c r="B2334" s="51" t="s">
        <v>41</v>
      </c>
      <c r="C2334" s="53" t="s">
        <v>9961</v>
      </c>
      <c r="D2334" s="42" t="s">
        <v>44</v>
      </c>
      <c r="E2334" s="42" t="s">
        <v>44</v>
      </c>
      <c r="F2334" s="53" t="s">
        <v>9948</v>
      </c>
      <c r="G2334" s="53" t="s">
        <v>47</v>
      </c>
      <c r="H2334" s="53" t="s">
        <v>95</v>
      </c>
      <c r="I2334" s="53" t="s">
        <v>485</v>
      </c>
      <c r="J2334" s="53" t="s">
        <v>495</v>
      </c>
      <c r="K2334" s="53" t="s">
        <v>927</v>
      </c>
      <c r="L2334" s="53" t="s">
        <v>52</v>
      </c>
      <c r="M2334" s="53" t="s">
        <v>52</v>
      </c>
      <c r="N2334" s="62" t="s">
        <v>9962</v>
      </c>
      <c r="O2334" s="62" t="s">
        <v>44</v>
      </c>
      <c r="P2334" s="62" t="s">
        <v>9959</v>
      </c>
      <c r="Q2334" s="62" t="s">
        <v>9963</v>
      </c>
      <c r="R2334" s="53"/>
      <c r="S2334" s="53"/>
      <c r="T2334" s="82"/>
      <c r="U2334" s="42"/>
      <c r="V2334" s="62"/>
      <c r="W2334" s="64"/>
      <c r="X2334" s="223"/>
      <c r="Y2334" s="223"/>
      <c r="Z2334" s="223"/>
      <c r="AA2334" s="223"/>
    </row>
    <row r="2335">
      <c r="A2335" s="42">
        <f t="shared" si="3"/>
        <v>2334</v>
      </c>
      <c r="B2335" s="51" t="s">
        <v>41</v>
      </c>
      <c r="C2335" s="53" t="s">
        <v>9964</v>
      </c>
      <c r="D2335" s="42" t="s">
        <v>44</v>
      </c>
      <c r="E2335" s="42" t="s">
        <v>44</v>
      </c>
      <c r="F2335" s="53" t="s">
        <v>9948</v>
      </c>
      <c r="G2335" s="53" t="s">
        <v>47</v>
      </c>
      <c r="H2335" s="53" t="s">
        <v>48</v>
      </c>
      <c r="I2335" s="53" t="s">
        <v>485</v>
      </c>
      <c r="J2335" s="53" t="s">
        <v>495</v>
      </c>
      <c r="K2335" s="53" t="s">
        <v>927</v>
      </c>
      <c r="L2335" s="53" t="s">
        <v>52</v>
      </c>
      <c r="M2335" s="53" t="s">
        <v>52</v>
      </c>
      <c r="N2335" s="62" t="s">
        <v>9958</v>
      </c>
      <c r="O2335" s="62" t="s">
        <v>44</v>
      </c>
      <c r="P2335" s="62" t="s">
        <v>9965</v>
      </c>
      <c r="Q2335" s="62" t="s">
        <v>9966</v>
      </c>
      <c r="R2335" s="53"/>
      <c r="S2335" s="53"/>
      <c r="T2335" s="82"/>
      <c r="U2335" s="42"/>
      <c r="V2335" s="62"/>
      <c r="W2335" s="64"/>
      <c r="X2335" s="223"/>
      <c r="Y2335" s="223"/>
      <c r="Z2335" s="223"/>
      <c r="AA2335" s="223"/>
    </row>
    <row r="2336">
      <c r="A2336" s="42">
        <f t="shared" si="3"/>
        <v>2335</v>
      </c>
      <c r="B2336" s="51" t="s">
        <v>41</v>
      </c>
      <c r="C2336" s="53" t="s">
        <v>9967</v>
      </c>
      <c r="D2336" s="42" t="s">
        <v>44</v>
      </c>
      <c r="E2336" s="42" t="s">
        <v>44</v>
      </c>
      <c r="F2336" s="53" t="s">
        <v>9948</v>
      </c>
      <c r="G2336" s="53" t="s">
        <v>47</v>
      </c>
      <c r="H2336" s="53" t="s">
        <v>91</v>
      </c>
      <c r="I2336" s="53" t="s">
        <v>485</v>
      </c>
      <c r="J2336" s="53" t="s">
        <v>495</v>
      </c>
      <c r="K2336" s="53" t="s">
        <v>927</v>
      </c>
      <c r="L2336" s="53" t="s">
        <v>52</v>
      </c>
      <c r="M2336" s="53" t="s">
        <v>52</v>
      </c>
      <c r="N2336" s="62" t="s">
        <v>9958</v>
      </c>
      <c r="O2336" s="62" t="s">
        <v>44</v>
      </c>
      <c r="P2336" s="62" t="s">
        <v>9968</v>
      </c>
      <c r="Q2336" s="62" t="s">
        <v>9969</v>
      </c>
      <c r="R2336" s="53"/>
      <c r="S2336" s="53"/>
      <c r="T2336" s="82"/>
      <c r="U2336" s="42"/>
      <c r="V2336" s="62"/>
      <c r="W2336" s="64"/>
      <c r="X2336" s="223"/>
      <c r="Y2336" s="223"/>
      <c r="Z2336" s="223"/>
      <c r="AA2336" s="223"/>
    </row>
    <row r="2337">
      <c r="A2337" s="42">
        <f t="shared" si="3"/>
        <v>2336</v>
      </c>
      <c r="B2337" s="51" t="s">
        <v>41</v>
      </c>
      <c r="C2337" s="53" t="s">
        <v>9970</v>
      </c>
      <c r="D2337" s="42" t="s">
        <v>44</v>
      </c>
      <c r="E2337" s="42" t="s">
        <v>44</v>
      </c>
      <c r="F2337" s="53" t="s">
        <v>9948</v>
      </c>
      <c r="G2337" s="53" t="s">
        <v>47</v>
      </c>
      <c r="H2337" s="53" t="s">
        <v>48</v>
      </c>
      <c r="I2337" s="53" t="s">
        <v>485</v>
      </c>
      <c r="J2337" s="53" t="s">
        <v>495</v>
      </c>
      <c r="K2337" s="53" t="s">
        <v>927</v>
      </c>
      <c r="L2337" s="53" t="s">
        <v>52</v>
      </c>
      <c r="M2337" s="53" t="s">
        <v>52</v>
      </c>
      <c r="N2337" s="62" t="s">
        <v>9958</v>
      </c>
      <c r="O2337" s="62" t="s">
        <v>44</v>
      </c>
      <c r="P2337" s="62" t="s">
        <v>9971</v>
      </c>
      <c r="Q2337" s="62" t="s">
        <v>9972</v>
      </c>
      <c r="R2337" s="53"/>
      <c r="S2337" s="53"/>
      <c r="T2337" s="82"/>
      <c r="U2337" s="42"/>
      <c r="V2337" s="62"/>
      <c r="W2337" s="64"/>
      <c r="X2337" s="223"/>
      <c r="Y2337" s="223"/>
      <c r="Z2337" s="223"/>
      <c r="AA2337" s="223"/>
    </row>
    <row r="2338">
      <c r="A2338" s="42">
        <f t="shared" si="3"/>
        <v>2337</v>
      </c>
      <c r="B2338" s="51" t="s">
        <v>41</v>
      </c>
      <c r="C2338" s="53" t="s">
        <v>9973</v>
      </c>
      <c r="D2338" s="42" t="s">
        <v>44</v>
      </c>
      <c r="E2338" s="42" t="s">
        <v>44</v>
      </c>
      <c r="F2338" s="53" t="s">
        <v>9948</v>
      </c>
      <c r="G2338" s="53" t="s">
        <v>47</v>
      </c>
      <c r="H2338" s="53" t="s">
        <v>48</v>
      </c>
      <c r="I2338" s="53" t="s">
        <v>485</v>
      </c>
      <c r="J2338" s="53" t="s">
        <v>495</v>
      </c>
      <c r="K2338" s="53" t="s">
        <v>51</v>
      </c>
      <c r="L2338" s="53" t="s">
        <v>52</v>
      </c>
      <c r="M2338" s="53" t="s">
        <v>52</v>
      </c>
      <c r="N2338" s="62" t="s">
        <v>9958</v>
      </c>
      <c r="O2338" s="62" t="s">
        <v>44</v>
      </c>
      <c r="P2338" s="62" t="s">
        <v>9974</v>
      </c>
      <c r="Q2338" s="62" t="s">
        <v>9975</v>
      </c>
      <c r="R2338" s="53"/>
      <c r="S2338" s="53"/>
      <c r="T2338" s="82"/>
      <c r="U2338" s="42"/>
      <c r="V2338" s="62"/>
      <c r="W2338" s="64"/>
      <c r="X2338" s="223"/>
      <c r="Y2338" s="223"/>
      <c r="Z2338" s="223"/>
      <c r="AA2338" s="223"/>
    </row>
    <row r="2339">
      <c r="A2339" s="42">
        <f t="shared" si="3"/>
        <v>2338</v>
      </c>
      <c r="B2339" s="51" t="s">
        <v>41</v>
      </c>
      <c r="C2339" s="53" t="s">
        <v>9976</v>
      </c>
      <c r="D2339" s="42" t="s">
        <v>44</v>
      </c>
      <c r="E2339" s="42" t="s">
        <v>44</v>
      </c>
      <c r="F2339" s="53" t="s">
        <v>9948</v>
      </c>
      <c r="G2339" s="53" t="s">
        <v>47</v>
      </c>
      <c r="H2339" s="53" t="s">
        <v>48</v>
      </c>
      <c r="I2339" s="53" t="s">
        <v>485</v>
      </c>
      <c r="J2339" s="53" t="s">
        <v>495</v>
      </c>
      <c r="K2339" s="53" t="s">
        <v>51</v>
      </c>
      <c r="L2339" s="53" t="s">
        <v>52</v>
      </c>
      <c r="M2339" s="53" t="s">
        <v>52</v>
      </c>
      <c r="N2339" s="62" t="s">
        <v>9958</v>
      </c>
      <c r="O2339" s="62" t="s">
        <v>44</v>
      </c>
      <c r="P2339" s="62" t="s">
        <v>9977</v>
      </c>
      <c r="Q2339" s="62" t="s">
        <v>9978</v>
      </c>
      <c r="R2339" s="53"/>
      <c r="S2339" s="53"/>
      <c r="T2339" s="82"/>
      <c r="U2339" s="42"/>
      <c r="V2339" s="62"/>
      <c r="W2339" s="64"/>
      <c r="X2339" s="223"/>
      <c r="Y2339" s="223"/>
      <c r="Z2339" s="223"/>
      <c r="AA2339" s="223"/>
    </row>
    <row r="2340">
      <c r="A2340" s="42">
        <f t="shared" si="3"/>
        <v>2339</v>
      </c>
      <c r="B2340" s="51" t="s">
        <v>41</v>
      </c>
      <c r="C2340" s="53" t="s">
        <v>9979</v>
      </c>
      <c r="D2340" s="42" t="s">
        <v>44</v>
      </c>
      <c r="E2340" s="42" t="s">
        <v>44</v>
      </c>
      <c r="F2340" s="53" t="s">
        <v>9980</v>
      </c>
      <c r="G2340" s="53" t="s">
        <v>47</v>
      </c>
      <c r="H2340" s="53" t="s">
        <v>48</v>
      </c>
      <c r="I2340" s="53" t="s">
        <v>8913</v>
      </c>
      <c r="J2340" s="53" t="s">
        <v>9981</v>
      </c>
      <c r="K2340" s="53" t="s">
        <v>51</v>
      </c>
      <c r="L2340" s="53" t="s">
        <v>52</v>
      </c>
      <c r="M2340" s="53" t="s">
        <v>52</v>
      </c>
      <c r="N2340" s="62" t="s">
        <v>9982</v>
      </c>
      <c r="O2340" s="62" t="s">
        <v>44</v>
      </c>
      <c r="P2340" s="62" t="s">
        <v>9983</v>
      </c>
      <c r="Q2340" s="62" t="s">
        <v>9984</v>
      </c>
      <c r="R2340" s="53"/>
      <c r="S2340" s="53"/>
      <c r="T2340" s="82"/>
      <c r="U2340" s="42"/>
      <c r="V2340" s="62"/>
      <c r="W2340" s="64"/>
      <c r="X2340" s="223"/>
      <c r="Y2340" s="223"/>
      <c r="Z2340" s="223"/>
      <c r="AA2340" s="223"/>
    </row>
    <row r="2341">
      <c r="A2341" s="42">
        <f t="shared" si="3"/>
        <v>2340</v>
      </c>
      <c r="B2341" s="51" t="s">
        <v>41</v>
      </c>
      <c r="C2341" s="53" t="s">
        <v>9985</v>
      </c>
      <c r="D2341" s="42" t="s">
        <v>44</v>
      </c>
      <c r="E2341" s="42" t="s">
        <v>44</v>
      </c>
      <c r="F2341" s="53" t="s">
        <v>9980</v>
      </c>
      <c r="G2341" s="53" t="s">
        <v>47</v>
      </c>
      <c r="H2341" s="53" t="s">
        <v>48</v>
      </c>
      <c r="I2341" s="53" t="s">
        <v>8913</v>
      </c>
      <c r="J2341" s="53" t="s">
        <v>9981</v>
      </c>
      <c r="K2341" s="53" t="s">
        <v>51</v>
      </c>
      <c r="L2341" s="53" t="s">
        <v>52</v>
      </c>
      <c r="M2341" s="53" t="s">
        <v>52</v>
      </c>
      <c r="N2341" s="62" t="s">
        <v>9982</v>
      </c>
      <c r="O2341" s="62" t="s">
        <v>44</v>
      </c>
      <c r="P2341" s="62" t="s">
        <v>9986</v>
      </c>
      <c r="Q2341" s="62" t="s">
        <v>9987</v>
      </c>
      <c r="R2341" s="53"/>
      <c r="S2341" s="53"/>
      <c r="T2341" s="82"/>
      <c r="U2341" s="42"/>
      <c r="V2341" s="62"/>
      <c r="W2341" s="64"/>
      <c r="X2341" s="223"/>
      <c r="Y2341" s="223"/>
      <c r="Z2341" s="223"/>
      <c r="AA2341" s="223"/>
    </row>
    <row r="2342">
      <c r="A2342" s="42">
        <f t="shared" si="3"/>
        <v>2341</v>
      </c>
      <c r="B2342" s="51" t="s">
        <v>41</v>
      </c>
      <c r="C2342" s="53" t="s">
        <v>9988</v>
      </c>
      <c r="D2342" s="42" t="s">
        <v>44</v>
      </c>
      <c r="E2342" s="42" t="s">
        <v>44</v>
      </c>
      <c r="F2342" s="53" t="s">
        <v>9980</v>
      </c>
      <c r="G2342" s="53" t="s">
        <v>47</v>
      </c>
      <c r="H2342" s="53" t="s">
        <v>48</v>
      </c>
      <c r="I2342" s="53" t="s">
        <v>8913</v>
      </c>
      <c r="J2342" s="53" t="s">
        <v>9981</v>
      </c>
      <c r="K2342" s="53" t="s">
        <v>51</v>
      </c>
      <c r="L2342" s="53" t="s">
        <v>52</v>
      </c>
      <c r="M2342" s="53" t="s">
        <v>52</v>
      </c>
      <c r="N2342" s="62" t="s">
        <v>9982</v>
      </c>
      <c r="O2342" s="62" t="s">
        <v>44</v>
      </c>
      <c r="P2342" s="62" t="s">
        <v>9989</v>
      </c>
      <c r="Q2342" s="62" t="s">
        <v>9990</v>
      </c>
      <c r="R2342" s="53"/>
      <c r="S2342" s="53"/>
      <c r="T2342" s="82"/>
      <c r="U2342" s="42"/>
      <c r="V2342" s="62"/>
      <c r="W2342" s="64"/>
      <c r="X2342" s="223"/>
      <c r="Y2342" s="223"/>
      <c r="Z2342" s="223"/>
      <c r="AA2342" s="223"/>
    </row>
    <row r="2343">
      <c r="A2343" s="42">
        <f t="shared" si="3"/>
        <v>2342</v>
      </c>
      <c r="B2343" s="51" t="s">
        <v>41</v>
      </c>
      <c r="C2343" s="53" t="s">
        <v>9991</v>
      </c>
      <c r="D2343" s="42" t="s">
        <v>44</v>
      </c>
      <c r="E2343" s="42" t="s">
        <v>44</v>
      </c>
      <c r="F2343" s="53" t="s">
        <v>9980</v>
      </c>
      <c r="G2343" s="53" t="s">
        <v>47</v>
      </c>
      <c r="H2343" s="53" t="s">
        <v>48</v>
      </c>
      <c r="I2343" s="53" t="s">
        <v>8913</v>
      </c>
      <c r="J2343" s="53" t="s">
        <v>9981</v>
      </c>
      <c r="K2343" s="53" t="s">
        <v>51</v>
      </c>
      <c r="L2343" s="53" t="s">
        <v>52</v>
      </c>
      <c r="M2343" s="53" t="s">
        <v>52</v>
      </c>
      <c r="N2343" s="62" t="s">
        <v>9982</v>
      </c>
      <c r="O2343" s="62" t="s">
        <v>44</v>
      </c>
      <c r="P2343" s="62" t="s">
        <v>9989</v>
      </c>
      <c r="Q2343" s="62" t="s">
        <v>9992</v>
      </c>
      <c r="R2343" s="53"/>
      <c r="S2343" s="53"/>
      <c r="T2343" s="82"/>
      <c r="U2343" s="42"/>
      <c r="V2343" s="62"/>
      <c r="W2343" s="64"/>
      <c r="X2343" s="223"/>
      <c r="Y2343" s="223"/>
      <c r="Z2343" s="223"/>
      <c r="AA2343" s="223"/>
    </row>
    <row r="2344">
      <c r="A2344" s="42">
        <f t="shared" si="3"/>
        <v>2343</v>
      </c>
      <c r="B2344" s="51" t="s">
        <v>41</v>
      </c>
      <c r="C2344" s="53" t="s">
        <v>9993</v>
      </c>
      <c r="D2344" s="42" t="s">
        <v>44</v>
      </c>
      <c r="E2344" s="42" t="s">
        <v>44</v>
      </c>
      <c r="F2344" s="53" t="s">
        <v>9980</v>
      </c>
      <c r="G2344" s="53" t="s">
        <v>47</v>
      </c>
      <c r="H2344" s="53" t="s">
        <v>48</v>
      </c>
      <c r="I2344" s="53" t="s">
        <v>8913</v>
      </c>
      <c r="J2344" s="53" t="s">
        <v>9981</v>
      </c>
      <c r="K2344" s="53" t="s">
        <v>51</v>
      </c>
      <c r="L2344" s="53" t="s">
        <v>52</v>
      </c>
      <c r="M2344" s="53" t="s">
        <v>52</v>
      </c>
      <c r="N2344" s="62" t="s">
        <v>9982</v>
      </c>
      <c r="O2344" s="62" t="s">
        <v>44</v>
      </c>
      <c r="P2344" s="62" t="s">
        <v>9994</v>
      </c>
      <c r="Q2344" s="62" t="s">
        <v>9995</v>
      </c>
      <c r="R2344" s="53"/>
      <c r="S2344" s="53"/>
      <c r="T2344" s="82"/>
      <c r="U2344" s="42"/>
      <c r="V2344" s="62"/>
      <c r="W2344" s="64"/>
      <c r="X2344" s="223"/>
      <c r="Y2344" s="223"/>
      <c r="Z2344" s="223"/>
      <c r="AA2344" s="223"/>
    </row>
    <row r="2345">
      <c r="A2345" s="42">
        <f t="shared" si="3"/>
        <v>2344</v>
      </c>
      <c r="B2345" s="51" t="s">
        <v>41</v>
      </c>
      <c r="C2345" s="53" t="s">
        <v>9996</v>
      </c>
      <c r="D2345" s="42" t="s">
        <v>44</v>
      </c>
      <c r="E2345" s="42" t="s">
        <v>44</v>
      </c>
      <c r="F2345" s="53" t="s">
        <v>9980</v>
      </c>
      <c r="G2345" s="53" t="s">
        <v>47</v>
      </c>
      <c r="H2345" s="53" t="s">
        <v>48</v>
      </c>
      <c r="I2345" s="53" t="s">
        <v>8913</v>
      </c>
      <c r="J2345" s="53" t="s">
        <v>9981</v>
      </c>
      <c r="K2345" s="53" t="s">
        <v>51</v>
      </c>
      <c r="L2345" s="53" t="s">
        <v>52</v>
      </c>
      <c r="M2345" s="53" t="s">
        <v>52</v>
      </c>
      <c r="N2345" s="62" t="s">
        <v>9982</v>
      </c>
      <c r="O2345" s="62" t="s">
        <v>44</v>
      </c>
      <c r="P2345" s="62" t="s">
        <v>9997</v>
      </c>
      <c r="Q2345" s="62" t="s">
        <v>9998</v>
      </c>
      <c r="R2345" s="53"/>
      <c r="S2345" s="53"/>
      <c r="T2345" s="82"/>
      <c r="U2345" s="42"/>
      <c r="V2345" s="62"/>
      <c r="W2345" s="64"/>
      <c r="X2345" s="223"/>
      <c r="Y2345" s="223"/>
      <c r="Z2345" s="223"/>
      <c r="AA2345" s="223"/>
    </row>
    <row r="2346">
      <c r="A2346" s="42">
        <f t="shared" si="3"/>
        <v>2345</v>
      </c>
      <c r="B2346" s="51" t="s">
        <v>41</v>
      </c>
      <c r="C2346" s="53" t="s">
        <v>9999</v>
      </c>
      <c r="D2346" s="42" t="s">
        <v>44</v>
      </c>
      <c r="E2346" s="42" t="s">
        <v>44</v>
      </c>
      <c r="F2346" s="53" t="s">
        <v>9980</v>
      </c>
      <c r="G2346" s="53" t="s">
        <v>47</v>
      </c>
      <c r="H2346" s="53" t="s">
        <v>48</v>
      </c>
      <c r="I2346" s="53" t="s">
        <v>8913</v>
      </c>
      <c r="J2346" s="53" t="s">
        <v>9981</v>
      </c>
      <c r="K2346" s="53" t="s">
        <v>51</v>
      </c>
      <c r="L2346" s="53" t="s">
        <v>52</v>
      </c>
      <c r="M2346" s="53" t="s">
        <v>52</v>
      </c>
      <c r="N2346" s="62" t="s">
        <v>9982</v>
      </c>
      <c r="O2346" s="62" t="s">
        <v>44</v>
      </c>
      <c r="P2346" s="62" t="s">
        <v>10000</v>
      </c>
      <c r="Q2346" s="62" t="s">
        <v>10001</v>
      </c>
      <c r="R2346" s="53"/>
      <c r="S2346" s="53"/>
      <c r="T2346" s="82"/>
      <c r="U2346" s="42"/>
      <c r="V2346" s="62"/>
      <c r="W2346" s="64"/>
      <c r="X2346" s="223"/>
      <c r="Y2346" s="223"/>
      <c r="Z2346" s="223"/>
      <c r="AA2346" s="223"/>
    </row>
    <row r="2347">
      <c r="A2347" s="42">
        <f t="shared" si="3"/>
        <v>2346</v>
      </c>
      <c r="B2347" s="51" t="s">
        <v>41</v>
      </c>
      <c r="C2347" s="53" t="s">
        <v>10002</v>
      </c>
      <c r="D2347" s="42" t="s">
        <v>44</v>
      </c>
      <c r="E2347" s="42" t="s">
        <v>44</v>
      </c>
      <c r="F2347" s="53" t="s">
        <v>9980</v>
      </c>
      <c r="G2347" s="53" t="s">
        <v>47</v>
      </c>
      <c r="H2347" s="53" t="s">
        <v>48</v>
      </c>
      <c r="I2347" s="53" t="s">
        <v>8913</v>
      </c>
      <c r="J2347" s="53" t="s">
        <v>9981</v>
      </c>
      <c r="K2347" s="53" t="s">
        <v>51</v>
      </c>
      <c r="L2347" s="53" t="s">
        <v>52</v>
      </c>
      <c r="M2347" s="53" t="s">
        <v>52</v>
      </c>
      <c r="N2347" s="62" t="s">
        <v>9982</v>
      </c>
      <c r="O2347" s="62" t="s">
        <v>44</v>
      </c>
      <c r="P2347" s="62" t="s">
        <v>10003</v>
      </c>
      <c r="Q2347" s="62" t="s">
        <v>10004</v>
      </c>
      <c r="R2347" s="53"/>
      <c r="S2347" s="53"/>
      <c r="T2347" s="82"/>
      <c r="U2347" s="42"/>
      <c r="V2347" s="62"/>
      <c r="W2347" s="64"/>
      <c r="X2347" s="223"/>
      <c r="Y2347" s="223"/>
      <c r="Z2347" s="223"/>
      <c r="AA2347" s="223"/>
    </row>
    <row r="2348">
      <c r="A2348" s="42">
        <f t="shared" si="3"/>
        <v>2347</v>
      </c>
      <c r="B2348" s="51" t="s">
        <v>41</v>
      </c>
      <c r="C2348" s="53" t="s">
        <v>10005</v>
      </c>
      <c r="D2348" s="42" t="s">
        <v>44</v>
      </c>
      <c r="E2348" s="42" t="s">
        <v>44</v>
      </c>
      <c r="F2348" s="53" t="s">
        <v>9980</v>
      </c>
      <c r="G2348" s="53" t="s">
        <v>47</v>
      </c>
      <c r="H2348" s="53" t="s">
        <v>48</v>
      </c>
      <c r="I2348" s="53" t="s">
        <v>8913</v>
      </c>
      <c r="J2348" s="53" t="s">
        <v>9981</v>
      </c>
      <c r="K2348" s="53" t="s">
        <v>51</v>
      </c>
      <c r="L2348" s="53" t="s">
        <v>52</v>
      </c>
      <c r="M2348" s="53" t="s">
        <v>52</v>
      </c>
      <c r="N2348" s="62" t="s">
        <v>9982</v>
      </c>
      <c r="O2348" s="62" t="s">
        <v>44</v>
      </c>
      <c r="P2348" s="62" t="s">
        <v>10006</v>
      </c>
      <c r="Q2348" s="62" t="s">
        <v>10007</v>
      </c>
      <c r="R2348" s="53"/>
      <c r="S2348" s="53"/>
      <c r="T2348" s="82"/>
      <c r="U2348" s="42"/>
      <c r="V2348" s="62"/>
      <c r="W2348" s="64"/>
      <c r="X2348" s="223"/>
      <c r="Y2348" s="223"/>
      <c r="Z2348" s="223"/>
      <c r="AA2348" s="223"/>
    </row>
    <row r="2349">
      <c r="A2349" s="42">
        <f t="shared" si="3"/>
        <v>2348</v>
      </c>
      <c r="B2349" s="51" t="s">
        <v>41</v>
      </c>
      <c r="C2349" s="53" t="s">
        <v>10008</v>
      </c>
      <c r="D2349" s="42" t="s">
        <v>44</v>
      </c>
      <c r="E2349" s="42" t="s">
        <v>44</v>
      </c>
      <c r="F2349" s="53" t="s">
        <v>10009</v>
      </c>
      <c r="G2349" s="53" t="s">
        <v>47</v>
      </c>
      <c r="H2349" s="53" t="s">
        <v>95</v>
      </c>
      <c r="I2349" s="53" t="s">
        <v>401</v>
      </c>
      <c r="J2349" s="53" t="s">
        <v>10010</v>
      </c>
      <c r="K2349" s="53" t="s">
        <v>51</v>
      </c>
      <c r="L2349" s="53" t="s">
        <v>52</v>
      </c>
      <c r="M2349" s="53" t="s">
        <v>52</v>
      </c>
      <c r="N2349" s="62" t="s">
        <v>10011</v>
      </c>
      <c r="O2349" s="62" t="s">
        <v>44</v>
      </c>
      <c r="P2349" s="62" t="s">
        <v>10012</v>
      </c>
      <c r="Q2349" s="62" t="s">
        <v>10013</v>
      </c>
      <c r="R2349" s="53"/>
      <c r="S2349" s="53"/>
      <c r="T2349" s="82"/>
      <c r="U2349" s="42"/>
      <c r="V2349" s="62"/>
      <c r="W2349" s="64"/>
      <c r="X2349" s="223"/>
      <c r="Y2349" s="223"/>
      <c r="Z2349" s="223"/>
      <c r="AA2349" s="223"/>
    </row>
    <row r="2350">
      <c r="A2350" s="42">
        <f t="shared" si="3"/>
        <v>2349</v>
      </c>
      <c r="B2350" s="51" t="s">
        <v>41</v>
      </c>
      <c r="C2350" s="53" t="s">
        <v>10014</v>
      </c>
      <c r="D2350" s="42" t="s">
        <v>44</v>
      </c>
      <c r="E2350" s="42" t="s">
        <v>44</v>
      </c>
      <c r="F2350" s="53" t="s">
        <v>10009</v>
      </c>
      <c r="G2350" s="53" t="s">
        <v>47</v>
      </c>
      <c r="H2350" s="53" t="s">
        <v>95</v>
      </c>
      <c r="I2350" s="53" t="s">
        <v>401</v>
      </c>
      <c r="J2350" s="53" t="s">
        <v>10010</v>
      </c>
      <c r="K2350" s="53" t="s">
        <v>51</v>
      </c>
      <c r="L2350" s="53" t="s">
        <v>52</v>
      </c>
      <c r="M2350" s="53" t="s">
        <v>52</v>
      </c>
      <c r="N2350" s="62" t="s">
        <v>10011</v>
      </c>
      <c r="O2350" s="62" t="s">
        <v>44</v>
      </c>
      <c r="P2350" s="62" t="s">
        <v>10015</v>
      </c>
      <c r="Q2350" s="62" t="s">
        <v>10016</v>
      </c>
      <c r="R2350" s="53"/>
      <c r="S2350" s="53"/>
      <c r="T2350" s="82"/>
      <c r="U2350" s="42"/>
      <c r="V2350" s="62"/>
      <c r="W2350" s="64"/>
      <c r="X2350" s="223"/>
      <c r="Y2350" s="223"/>
      <c r="Z2350" s="223"/>
      <c r="AA2350" s="223"/>
    </row>
    <row r="2351">
      <c r="A2351" s="42">
        <f t="shared" si="3"/>
        <v>2350</v>
      </c>
      <c r="B2351" s="51" t="s">
        <v>41</v>
      </c>
      <c r="C2351" s="53" t="s">
        <v>10017</v>
      </c>
      <c r="D2351" s="42" t="s">
        <v>44</v>
      </c>
      <c r="E2351" s="42" t="s">
        <v>44</v>
      </c>
      <c r="F2351" s="53" t="s">
        <v>10009</v>
      </c>
      <c r="G2351" s="53" t="s">
        <v>47</v>
      </c>
      <c r="H2351" s="53" t="s">
        <v>48</v>
      </c>
      <c r="I2351" s="53" t="s">
        <v>401</v>
      </c>
      <c r="J2351" s="53" t="s">
        <v>10010</v>
      </c>
      <c r="K2351" s="53" t="s">
        <v>51</v>
      </c>
      <c r="L2351" s="53" t="s">
        <v>52</v>
      </c>
      <c r="M2351" s="53" t="s">
        <v>52</v>
      </c>
      <c r="N2351" s="62" t="s">
        <v>10011</v>
      </c>
      <c r="O2351" s="62" t="s">
        <v>44</v>
      </c>
      <c r="P2351" s="62" t="s">
        <v>9986</v>
      </c>
      <c r="Q2351" s="62" t="s">
        <v>10018</v>
      </c>
      <c r="R2351" s="53"/>
      <c r="S2351" s="53"/>
      <c r="T2351" s="82"/>
      <c r="U2351" s="42"/>
      <c r="V2351" s="62"/>
      <c r="W2351" s="64"/>
      <c r="X2351" s="223"/>
      <c r="Y2351" s="223"/>
      <c r="Z2351" s="223"/>
      <c r="AA2351" s="223"/>
    </row>
    <row r="2352">
      <c r="A2352" s="42">
        <f t="shared" si="3"/>
        <v>2351</v>
      </c>
      <c r="B2352" s="51" t="s">
        <v>41</v>
      </c>
      <c r="C2352" s="53" t="s">
        <v>10019</v>
      </c>
      <c r="D2352" s="42" t="s">
        <v>44</v>
      </c>
      <c r="E2352" s="42" t="s">
        <v>44</v>
      </c>
      <c r="F2352" s="53" t="s">
        <v>10009</v>
      </c>
      <c r="G2352" s="53" t="s">
        <v>47</v>
      </c>
      <c r="H2352" s="53" t="s">
        <v>48</v>
      </c>
      <c r="I2352" s="53" t="s">
        <v>401</v>
      </c>
      <c r="J2352" s="53" t="s">
        <v>10010</v>
      </c>
      <c r="K2352" s="53" t="s">
        <v>51</v>
      </c>
      <c r="L2352" s="53" t="s">
        <v>52</v>
      </c>
      <c r="M2352" s="53" t="s">
        <v>52</v>
      </c>
      <c r="N2352" s="62" t="s">
        <v>10011</v>
      </c>
      <c r="O2352" s="62" t="s">
        <v>44</v>
      </c>
      <c r="P2352" s="62" t="s">
        <v>10020</v>
      </c>
      <c r="Q2352" s="62" t="s">
        <v>10021</v>
      </c>
      <c r="R2352" s="53"/>
      <c r="S2352" s="53"/>
      <c r="T2352" s="82"/>
      <c r="U2352" s="42"/>
      <c r="V2352" s="62"/>
      <c r="W2352" s="64"/>
      <c r="X2352" s="223"/>
      <c r="Y2352" s="223"/>
      <c r="Z2352" s="223"/>
      <c r="AA2352" s="223"/>
    </row>
    <row r="2353">
      <c r="A2353" s="42">
        <f t="shared" si="3"/>
        <v>2352</v>
      </c>
      <c r="B2353" s="51" t="s">
        <v>41</v>
      </c>
      <c r="C2353" s="53" t="s">
        <v>10022</v>
      </c>
      <c r="D2353" s="42" t="s">
        <v>44</v>
      </c>
      <c r="E2353" s="42" t="s">
        <v>44</v>
      </c>
      <c r="F2353" s="53" t="s">
        <v>10009</v>
      </c>
      <c r="G2353" s="53" t="s">
        <v>47</v>
      </c>
      <c r="H2353" s="53" t="s">
        <v>91</v>
      </c>
      <c r="I2353" s="53" t="s">
        <v>401</v>
      </c>
      <c r="J2353" s="53" t="s">
        <v>10010</v>
      </c>
      <c r="K2353" s="53" t="s">
        <v>51</v>
      </c>
      <c r="L2353" s="53" t="s">
        <v>52</v>
      </c>
      <c r="M2353" s="53" t="s">
        <v>52</v>
      </c>
      <c r="N2353" s="62" t="s">
        <v>10011</v>
      </c>
      <c r="O2353" s="62" t="s">
        <v>44</v>
      </c>
      <c r="P2353" s="62" t="s">
        <v>9731</v>
      </c>
      <c r="Q2353" s="62" t="s">
        <v>10023</v>
      </c>
      <c r="R2353" s="53"/>
      <c r="S2353" s="53"/>
      <c r="T2353" s="82"/>
      <c r="U2353" s="42"/>
      <c r="V2353" s="62"/>
      <c r="W2353" s="64"/>
      <c r="X2353" s="223"/>
      <c r="Y2353" s="223"/>
      <c r="Z2353" s="223"/>
      <c r="AA2353" s="223"/>
    </row>
    <row r="2354">
      <c r="A2354" s="42">
        <f t="shared" si="3"/>
        <v>2353</v>
      </c>
      <c r="B2354" s="51" t="s">
        <v>41</v>
      </c>
      <c r="C2354" s="53" t="s">
        <v>10024</v>
      </c>
      <c r="D2354" s="42" t="s">
        <v>44</v>
      </c>
      <c r="E2354" s="42" t="s">
        <v>44</v>
      </c>
      <c r="F2354" s="53" t="s">
        <v>10009</v>
      </c>
      <c r="G2354" s="53" t="s">
        <v>47</v>
      </c>
      <c r="H2354" s="53" t="s">
        <v>48</v>
      </c>
      <c r="I2354" s="53" t="s">
        <v>401</v>
      </c>
      <c r="J2354" s="53" t="s">
        <v>10010</v>
      </c>
      <c r="K2354" s="53" t="s">
        <v>51</v>
      </c>
      <c r="L2354" s="53" t="s">
        <v>52</v>
      </c>
      <c r="M2354" s="53" t="s">
        <v>52</v>
      </c>
      <c r="N2354" s="62" t="s">
        <v>10011</v>
      </c>
      <c r="O2354" s="62" t="s">
        <v>44</v>
      </c>
      <c r="P2354" s="62" t="s">
        <v>9989</v>
      </c>
      <c r="Q2354" s="62" t="s">
        <v>9990</v>
      </c>
      <c r="R2354" s="53"/>
      <c r="S2354" s="53"/>
      <c r="T2354" s="82"/>
      <c r="U2354" s="42"/>
      <c r="V2354" s="62"/>
      <c r="W2354" s="64"/>
      <c r="X2354" s="223"/>
      <c r="Y2354" s="223"/>
      <c r="Z2354" s="223"/>
      <c r="AA2354" s="223"/>
    </row>
    <row r="2355">
      <c r="A2355" s="42">
        <f t="shared" si="3"/>
        <v>2354</v>
      </c>
      <c r="B2355" s="51" t="s">
        <v>41</v>
      </c>
      <c r="C2355" s="53" t="s">
        <v>10025</v>
      </c>
      <c r="D2355" s="42" t="s">
        <v>44</v>
      </c>
      <c r="E2355" s="42" t="s">
        <v>44</v>
      </c>
      <c r="F2355" s="53" t="s">
        <v>10009</v>
      </c>
      <c r="G2355" s="53" t="s">
        <v>47</v>
      </c>
      <c r="H2355" s="53" t="s">
        <v>48</v>
      </c>
      <c r="I2355" s="53" t="s">
        <v>401</v>
      </c>
      <c r="J2355" s="53" t="s">
        <v>10010</v>
      </c>
      <c r="K2355" s="53" t="s">
        <v>51</v>
      </c>
      <c r="L2355" s="53" t="s">
        <v>52</v>
      </c>
      <c r="M2355" s="53" t="s">
        <v>52</v>
      </c>
      <c r="N2355" s="62" t="s">
        <v>10011</v>
      </c>
      <c r="O2355" s="62" t="s">
        <v>44</v>
      </c>
      <c r="P2355" s="62" t="s">
        <v>9989</v>
      </c>
      <c r="Q2355" s="62" t="s">
        <v>9992</v>
      </c>
      <c r="R2355" s="53"/>
      <c r="S2355" s="53"/>
      <c r="T2355" s="82"/>
      <c r="U2355" s="42"/>
      <c r="V2355" s="62"/>
      <c r="W2355" s="64"/>
      <c r="X2355" s="223"/>
      <c r="Y2355" s="223"/>
      <c r="Z2355" s="223"/>
      <c r="AA2355" s="223"/>
    </row>
    <row r="2356">
      <c r="A2356" s="42">
        <f t="shared" si="3"/>
        <v>2355</v>
      </c>
      <c r="B2356" s="51" t="s">
        <v>41</v>
      </c>
      <c r="C2356" s="53" t="s">
        <v>10026</v>
      </c>
      <c r="D2356" s="42" t="s">
        <v>44</v>
      </c>
      <c r="E2356" s="42" t="s">
        <v>44</v>
      </c>
      <c r="F2356" s="53" t="s">
        <v>10009</v>
      </c>
      <c r="G2356" s="53" t="s">
        <v>47</v>
      </c>
      <c r="H2356" s="53" t="s">
        <v>48</v>
      </c>
      <c r="I2356" s="53" t="s">
        <v>401</v>
      </c>
      <c r="J2356" s="53" t="s">
        <v>10010</v>
      </c>
      <c r="K2356" s="53" t="s">
        <v>51</v>
      </c>
      <c r="L2356" s="53" t="s">
        <v>52</v>
      </c>
      <c r="M2356" s="53" t="s">
        <v>52</v>
      </c>
      <c r="N2356" s="62" t="s">
        <v>10011</v>
      </c>
      <c r="O2356" s="62" t="s">
        <v>44</v>
      </c>
      <c r="P2356" s="62" t="s">
        <v>10003</v>
      </c>
      <c r="Q2356" s="62" t="s">
        <v>10004</v>
      </c>
      <c r="R2356" s="53"/>
      <c r="S2356" s="53"/>
      <c r="T2356" s="82"/>
      <c r="U2356" s="42"/>
      <c r="V2356" s="62"/>
      <c r="W2356" s="64"/>
      <c r="X2356" s="223"/>
      <c r="Y2356" s="223"/>
      <c r="Z2356" s="223"/>
      <c r="AA2356" s="223"/>
    </row>
    <row r="2357">
      <c r="A2357" s="42">
        <f t="shared" si="3"/>
        <v>2356</v>
      </c>
      <c r="B2357" s="51" t="s">
        <v>41</v>
      </c>
      <c r="C2357" s="53" t="s">
        <v>10027</v>
      </c>
      <c r="D2357" s="42" t="s">
        <v>44</v>
      </c>
      <c r="E2357" s="42" t="s">
        <v>44</v>
      </c>
      <c r="F2357" s="53" t="s">
        <v>10009</v>
      </c>
      <c r="G2357" s="53" t="s">
        <v>47</v>
      </c>
      <c r="H2357" s="53" t="s">
        <v>48</v>
      </c>
      <c r="I2357" s="53" t="s">
        <v>401</v>
      </c>
      <c r="J2357" s="53" t="s">
        <v>10010</v>
      </c>
      <c r="K2357" s="53" t="s">
        <v>51</v>
      </c>
      <c r="L2357" s="53" t="s">
        <v>52</v>
      </c>
      <c r="M2357" s="53" t="s">
        <v>52</v>
      </c>
      <c r="N2357" s="62" t="s">
        <v>10028</v>
      </c>
      <c r="O2357" s="62" t="s">
        <v>44</v>
      </c>
      <c r="P2357" s="62" t="s">
        <v>10029</v>
      </c>
      <c r="Q2357" s="62" t="s">
        <v>9663</v>
      </c>
      <c r="R2357" s="53"/>
      <c r="S2357" s="53"/>
      <c r="T2357" s="82"/>
      <c r="U2357" s="42"/>
      <c r="V2357" s="62"/>
      <c r="W2357" s="64"/>
      <c r="X2357" s="223"/>
      <c r="Y2357" s="223"/>
      <c r="Z2357" s="223"/>
      <c r="AA2357" s="223"/>
    </row>
    <row r="2358">
      <c r="A2358" s="42">
        <f t="shared" si="3"/>
        <v>2357</v>
      </c>
      <c r="B2358" s="51" t="s">
        <v>41</v>
      </c>
      <c r="C2358" s="53" t="s">
        <v>10030</v>
      </c>
      <c r="D2358" s="42" t="s">
        <v>44</v>
      </c>
      <c r="E2358" s="42" t="s">
        <v>44</v>
      </c>
      <c r="F2358" s="53" t="s">
        <v>10009</v>
      </c>
      <c r="G2358" s="53" t="s">
        <v>47</v>
      </c>
      <c r="H2358" s="53" t="s">
        <v>48</v>
      </c>
      <c r="I2358" s="53" t="s">
        <v>401</v>
      </c>
      <c r="J2358" s="53" t="s">
        <v>10010</v>
      </c>
      <c r="K2358" s="53" t="s">
        <v>51</v>
      </c>
      <c r="L2358" s="53" t="s">
        <v>52</v>
      </c>
      <c r="M2358" s="53" t="s">
        <v>52</v>
      </c>
      <c r="N2358" s="62" t="s">
        <v>10011</v>
      </c>
      <c r="O2358" s="62" t="s">
        <v>44</v>
      </c>
      <c r="P2358" s="62" t="s">
        <v>10029</v>
      </c>
      <c r="Q2358" s="62" t="s">
        <v>8877</v>
      </c>
      <c r="R2358" s="53"/>
      <c r="S2358" s="53"/>
      <c r="T2358" s="82"/>
      <c r="U2358" s="42"/>
      <c r="V2358" s="62"/>
      <c r="W2358" s="64"/>
      <c r="X2358" s="223"/>
      <c r="Y2358" s="223"/>
      <c r="Z2358" s="223"/>
      <c r="AA2358" s="223"/>
    </row>
    <row r="2359">
      <c r="A2359" s="42">
        <f t="shared" si="3"/>
        <v>2358</v>
      </c>
      <c r="B2359" s="51" t="s">
        <v>41</v>
      </c>
      <c r="C2359" s="53" t="s">
        <v>10031</v>
      </c>
      <c r="D2359" s="42" t="s">
        <v>44</v>
      </c>
      <c r="E2359" s="42" t="s">
        <v>44</v>
      </c>
      <c r="F2359" s="53" t="s">
        <v>10009</v>
      </c>
      <c r="G2359" s="53" t="s">
        <v>47</v>
      </c>
      <c r="H2359" s="53" t="s">
        <v>91</v>
      </c>
      <c r="I2359" s="53" t="s">
        <v>401</v>
      </c>
      <c r="J2359" s="53" t="s">
        <v>10010</v>
      </c>
      <c r="K2359" s="53" t="s">
        <v>51</v>
      </c>
      <c r="L2359" s="53" t="s">
        <v>52</v>
      </c>
      <c r="M2359" s="53" t="s">
        <v>52</v>
      </c>
      <c r="N2359" s="62" t="s">
        <v>10011</v>
      </c>
      <c r="O2359" s="62" t="s">
        <v>44</v>
      </c>
      <c r="P2359" s="62" t="s">
        <v>10032</v>
      </c>
      <c r="Q2359" s="62" t="s">
        <v>9561</v>
      </c>
      <c r="R2359" s="53"/>
      <c r="S2359" s="53"/>
      <c r="T2359" s="82"/>
      <c r="U2359" s="42"/>
      <c r="V2359" s="62"/>
      <c r="W2359" s="64"/>
      <c r="X2359" s="223"/>
      <c r="Y2359" s="223"/>
      <c r="Z2359" s="223"/>
      <c r="AA2359" s="223"/>
    </row>
    <row r="2360">
      <c r="A2360" s="42">
        <f t="shared" si="3"/>
        <v>2359</v>
      </c>
      <c r="B2360" s="51" t="s">
        <v>41</v>
      </c>
      <c r="C2360" s="53" t="s">
        <v>10033</v>
      </c>
      <c r="D2360" s="42" t="s">
        <v>44</v>
      </c>
      <c r="E2360" s="42" t="s">
        <v>44</v>
      </c>
      <c r="F2360" s="53" t="s">
        <v>10009</v>
      </c>
      <c r="G2360" s="53" t="s">
        <v>47</v>
      </c>
      <c r="H2360" s="53" t="s">
        <v>48</v>
      </c>
      <c r="I2360" s="53" t="s">
        <v>401</v>
      </c>
      <c r="J2360" s="53" t="s">
        <v>10010</v>
      </c>
      <c r="K2360" s="53" t="s">
        <v>51</v>
      </c>
      <c r="L2360" s="53" t="s">
        <v>52</v>
      </c>
      <c r="M2360" s="53" t="s">
        <v>52</v>
      </c>
      <c r="N2360" s="62" t="s">
        <v>10011</v>
      </c>
      <c r="O2360" s="62" t="s">
        <v>44</v>
      </c>
      <c r="P2360" s="62" t="s">
        <v>10032</v>
      </c>
      <c r="Q2360" s="62" t="s">
        <v>10034</v>
      </c>
      <c r="R2360" s="53"/>
      <c r="S2360" s="53"/>
      <c r="T2360" s="82"/>
      <c r="U2360" s="42"/>
      <c r="V2360" s="62"/>
      <c r="W2360" s="64"/>
      <c r="X2360" s="223"/>
      <c r="Y2360" s="223"/>
      <c r="Z2360" s="223"/>
      <c r="AA2360" s="223"/>
    </row>
    <row r="2361">
      <c r="A2361" s="42">
        <f t="shared" si="3"/>
        <v>2360</v>
      </c>
      <c r="B2361" s="51" t="s">
        <v>41</v>
      </c>
      <c r="C2361" s="53" t="s">
        <v>10035</v>
      </c>
      <c r="D2361" s="42" t="s">
        <v>44</v>
      </c>
      <c r="E2361" s="42" t="s">
        <v>44</v>
      </c>
      <c r="F2361" s="53" t="s">
        <v>10009</v>
      </c>
      <c r="G2361" s="53" t="s">
        <v>47</v>
      </c>
      <c r="H2361" s="53" t="s">
        <v>48</v>
      </c>
      <c r="I2361" s="53" t="s">
        <v>401</v>
      </c>
      <c r="J2361" s="53" t="s">
        <v>10010</v>
      </c>
      <c r="K2361" s="53" t="s">
        <v>51</v>
      </c>
      <c r="L2361" s="53" t="s">
        <v>52</v>
      </c>
      <c r="M2361" s="53" t="s">
        <v>52</v>
      </c>
      <c r="N2361" s="62" t="s">
        <v>10011</v>
      </c>
      <c r="O2361" s="62" t="s">
        <v>44</v>
      </c>
      <c r="P2361" s="62" t="s">
        <v>10036</v>
      </c>
      <c r="Q2361" s="62" t="s">
        <v>10037</v>
      </c>
      <c r="R2361" s="53"/>
      <c r="S2361" s="53"/>
      <c r="T2361" s="82"/>
      <c r="U2361" s="42"/>
      <c r="V2361" s="62"/>
      <c r="W2361" s="64"/>
      <c r="X2361" s="223"/>
      <c r="Y2361" s="223"/>
      <c r="Z2361" s="223"/>
      <c r="AA2361" s="223"/>
    </row>
    <row r="2362">
      <c r="A2362" s="42">
        <f t="shared" si="3"/>
        <v>2361</v>
      </c>
      <c r="B2362" s="51" t="s">
        <v>41</v>
      </c>
      <c r="C2362" s="53" t="s">
        <v>10038</v>
      </c>
      <c r="D2362" s="42" t="s">
        <v>44</v>
      </c>
      <c r="E2362" s="42" t="s">
        <v>44</v>
      </c>
      <c r="F2362" s="53" t="s">
        <v>10039</v>
      </c>
      <c r="G2362" s="53" t="s">
        <v>47</v>
      </c>
      <c r="H2362" s="53" t="s">
        <v>95</v>
      </c>
      <c r="I2362" s="53" t="s">
        <v>401</v>
      </c>
      <c r="J2362" s="53" t="s">
        <v>10040</v>
      </c>
      <c r="K2362" s="53" t="s">
        <v>51</v>
      </c>
      <c r="L2362" s="53" t="s">
        <v>52</v>
      </c>
      <c r="M2362" s="53" t="s">
        <v>52</v>
      </c>
      <c r="N2362" s="62" t="s">
        <v>10041</v>
      </c>
      <c r="O2362" s="62" t="s">
        <v>44</v>
      </c>
      <c r="P2362" s="62" t="s">
        <v>10012</v>
      </c>
      <c r="Q2362" s="62" t="s">
        <v>10013</v>
      </c>
      <c r="R2362" s="53"/>
      <c r="S2362" s="53"/>
      <c r="T2362" s="82"/>
      <c r="U2362" s="42"/>
      <c r="V2362" s="62"/>
      <c r="W2362" s="64"/>
      <c r="X2362" s="223"/>
      <c r="Y2362" s="223"/>
      <c r="Z2362" s="223"/>
      <c r="AA2362" s="223"/>
    </row>
    <row r="2363">
      <c r="A2363" s="42">
        <f t="shared" si="3"/>
        <v>2362</v>
      </c>
      <c r="B2363" s="51" t="s">
        <v>41</v>
      </c>
      <c r="C2363" s="53" t="s">
        <v>10042</v>
      </c>
      <c r="D2363" s="42" t="s">
        <v>44</v>
      </c>
      <c r="E2363" s="42" t="s">
        <v>44</v>
      </c>
      <c r="F2363" s="53" t="s">
        <v>10039</v>
      </c>
      <c r="G2363" s="53" t="s">
        <v>47</v>
      </c>
      <c r="H2363" s="53" t="s">
        <v>48</v>
      </c>
      <c r="I2363" s="53" t="s">
        <v>401</v>
      </c>
      <c r="J2363" s="53" t="s">
        <v>10040</v>
      </c>
      <c r="K2363" s="53" t="s">
        <v>51</v>
      </c>
      <c r="L2363" s="53" t="s">
        <v>52</v>
      </c>
      <c r="M2363" s="53" t="s">
        <v>52</v>
      </c>
      <c r="N2363" s="62" t="s">
        <v>10041</v>
      </c>
      <c r="O2363" s="62" t="s">
        <v>44</v>
      </c>
      <c r="P2363" s="62" t="s">
        <v>10043</v>
      </c>
      <c r="Q2363" s="62" t="s">
        <v>10044</v>
      </c>
      <c r="R2363" s="53"/>
      <c r="S2363" s="53"/>
      <c r="T2363" s="82"/>
      <c r="U2363" s="42"/>
      <c r="V2363" s="62"/>
      <c r="W2363" s="64"/>
      <c r="X2363" s="223"/>
      <c r="Y2363" s="223"/>
      <c r="Z2363" s="223"/>
      <c r="AA2363" s="223"/>
    </row>
    <row r="2364">
      <c r="A2364" s="42">
        <f t="shared" si="3"/>
        <v>2363</v>
      </c>
      <c r="B2364" s="51" t="s">
        <v>41</v>
      </c>
      <c r="C2364" s="53" t="s">
        <v>10045</v>
      </c>
      <c r="D2364" s="42" t="s">
        <v>44</v>
      </c>
      <c r="E2364" s="42" t="s">
        <v>44</v>
      </c>
      <c r="F2364" s="53" t="s">
        <v>10039</v>
      </c>
      <c r="G2364" s="53" t="s">
        <v>47</v>
      </c>
      <c r="H2364" s="53" t="s">
        <v>48</v>
      </c>
      <c r="I2364" s="53" t="s">
        <v>401</v>
      </c>
      <c r="J2364" s="53" t="s">
        <v>10040</v>
      </c>
      <c r="K2364" s="53" t="s">
        <v>51</v>
      </c>
      <c r="L2364" s="53" t="s">
        <v>52</v>
      </c>
      <c r="M2364" s="53" t="s">
        <v>52</v>
      </c>
      <c r="N2364" s="62" t="s">
        <v>10041</v>
      </c>
      <c r="O2364" s="62" t="s">
        <v>44</v>
      </c>
      <c r="P2364" s="62" t="s">
        <v>9989</v>
      </c>
      <c r="Q2364" s="62" t="s">
        <v>9990</v>
      </c>
      <c r="R2364" s="53"/>
      <c r="S2364" s="53"/>
      <c r="T2364" s="82"/>
      <c r="U2364" s="42"/>
      <c r="V2364" s="62"/>
      <c r="W2364" s="64"/>
      <c r="X2364" s="223"/>
      <c r="Y2364" s="223"/>
      <c r="Z2364" s="223"/>
      <c r="AA2364" s="223"/>
    </row>
    <row r="2365">
      <c r="A2365" s="42">
        <f t="shared" si="3"/>
        <v>2364</v>
      </c>
      <c r="B2365" s="51" t="s">
        <v>41</v>
      </c>
      <c r="C2365" s="53" t="s">
        <v>10046</v>
      </c>
      <c r="D2365" s="42" t="s">
        <v>44</v>
      </c>
      <c r="E2365" s="42" t="s">
        <v>44</v>
      </c>
      <c r="F2365" s="53" t="s">
        <v>10039</v>
      </c>
      <c r="G2365" s="53" t="s">
        <v>47</v>
      </c>
      <c r="H2365" s="53" t="s">
        <v>48</v>
      </c>
      <c r="I2365" s="53" t="s">
        <v>401</v>
      </c>
      <c r="J2365" s="53" t="s">
        <v>10040</v>
      </c>
      <c r="K2365" s="53" t="s">
        <v>51</v>
      </c>
      <c r="L2365" s="53" t="s">
        <v>52</v>
      </c>
      <c r="M2365" s="53" t="s">
        <v>52</v>
      </c>
      <c r="N2365" s="62" t="s">
        <v>10041</v>
      </c>
      <c r="O2365" s="62" t="s">
        <v>44</v>
      </c>
      <c r="P2365" s="62" t="s">
        <v>9989</v>
      </c>
      <c r="Q2365" s="62" t="s">
        <v>9992</v>
      </c>
      <c r="R2365" s="53"/>
      <c r="S2365" s="53"/>
      <c r="T2365" s="82"/>
      <c r="U2365" s="42"/>
      <c r="V2365" s="62"/>
      <c r="W2365" s="64"/>
      <c r="X2365" s="223"/>
      <c r="Y2365" s="223"/>
      <c r="Z2365" s="223"/>
      <c r="AA2365" s="223"/>
    </row>
    <row r="2366">
      <c r="A2366" s="42">
        <f t="shared" si="3"/>
        <v>2365</v>
      </c>
      <c r="B2366" s="51" t="s">
        <v>41</v>
      </c>
      <c r="C2366" s="53" t="s">
        <v>10047</v>
      </c>
      <c r="D2366" s="42" t="s">
        <v>44</v>
      </c>
      <c r="E2366" s="42" t="s">
        <v>44</v>
      </c>
      <c r="F2366" s="53" t="s">
        <v>10048</v>
      </c>
      <c r="G2366" s="53" t="s">
        <v>47</v>
      </c>
      <c r="H2366" s="53" t="s">
        <v>95</v>
      </c>
      <c r="I2366" s="53" t="s">
        <v>401</v>
      </c>
      <c r="J2366" s="53" t="s">
        <v>10049</v>
      </c>
      <c r="K2366" s="53" t="s">
        <v>51</v>
      </c>
      <c r="L2366" s="53" t="s">
        <v>52</v>
      </c>
      <c r="M2366" s="53" t="s">
        <v>52</v>
      </c>
      <c r="N2366" s="62" t="s">
        <v>10050</v>
      </c>
      <c r="O2366" s="62" t="s">
        <v>44</v>
      </c>
      <c r="P2366" s="62" t="s">
        <v>10012</v>
      </c>
      <c r="Q2366" s="62" t="s">
        <v>10013</v>
      </c>
      <c r="R2366" s="53"/>
      <c r="S2366" s="53"/>
      <c r="T2366" s="82"/>
      <c r="U2366" s="42"/>
      <c r="V2366" s="62"/>
      <c r="W2366" s="64"/>
      <c r="X2366" s="223"/>
      <c r="Y2366" s="223"/>
      <c r="Z2366" s="223"/>
      <c r="AA2366" s="223"/>
    </row>
    <row r="2367">
      <c r="A2367" s="42">
        <f t="shared" si="3"/>
        <v>2366</v>
      </c>
      <c r="B2367" s="51" t="s">
        <v>41</v>
      </c>
      <c r="C2367" s="53" t="s">
        <v>10051</v>
      </c>
      <c r="D2367" s="42" t="s">
        <v>44</v>
      </c>
      <c r="E2367" s="42" t="s">
        <v>44</v>
      </c>
      <c r="F2367" s="53" t="s">
        <v>10048</v>
      </c>
      <c r="G2367" s="53" t="s">
        <v>47</v>
      </c>
      <c r="H2367" s="53" t="s">
        <v>48</v>
      </c>
      <c r="I2367" s="53" t="s">
        <v>401</v>
      </c>
      <c r="J2367" s="53" t="s">
        <v>10049</v>
      </c>
      <c r="K2367" s="53" t="s">
        <v>51</v>
      </c>
      <c r="L2367" s="53" t="s">
        <v>52</v>
      </c>
      <c r="M2367" s="53" t="s">
        <v>52</v>
      </c>
      <c r="N2367" s="62" t="s">
        <v>10050</v>
      </c>
      <c r="O2367" s="62" t="s">
        <v>44</v>
      </c>
      <c r="P2367" s="62" t="s">
        <v>10043</v>
      </c>
      <c r="Q2367" s="62" t="s">
        <v>10044</v>
      </c>
      <c r="R2367" s="53"/>
      <c r="S2367" s="53"/>
      <c r="T2367" s="82"/>
      <c r="U2367" s="42"/>
      <c r="V2367" s="62"/>
      <c r="W2367" s="64"/>
      <c r="X2367" s="223"/>
      <c r="Y2367" s="223"/>
      <c r="Z2367" s="223"/>
      <c r="AA2367" s="223"/>
    </row>
    <row r="2368">
      <c r="A2368" s="42">
        <f t="shared" si="3"/>
        <v>2367</v>
      </c>
      <c r="B2368" s="51" t="s">
        <v>41</v>
      </c>
      <c r="C2368" s="53" t="s">
        <v>10052</v>
      </c>
      <c r="D2368" s="42" t="s">
        <v>44</v>
      </c>
      <c r="E2368" s="42" t="s">
        <v>44</v>
      </c>
      <c r="F2368" s="53" t="s">
        <v>10048</v>
      </c>
      <c r="G2368" s="53" t="s">
        <v>47</v>
      </c>
      <c r="H2368" s="53" t="s">
        <v>48</v>
      </c>
      <c r="I2368" s="53" t="s">
        <v>401</v>
      </c>
      <c r="J2368" s="53" t="s">
        <v>10049</v>
      </c>
      <c r="K2368" s="53" t="s">
        <v>51</v>
      </c>
      <c r="L2368" s="53" t="s">
        <v>52</v>
      </c>
      <c r="M2368" s="53" t="s">
        <v>52</v>
      </c>
      <c r="N2368" s="62" t="s">
        <v>10050</v>
      </c>
      <c r="O2368" s="62" t="s">
        <v>44</v>
      </c>
      <c r="P2368" s="62" t="s">
        <v>9989</v>
      </c>
      <c r="Q2368" s="62" t="s">
        <v>9990</v>
      </c>
      <c r="R2368" s="53"/>
      <c r="S2368" s="53"/>
      <c r="T2368" s="82"/>
      <c r="U2368" s="42"/>
      <c r="V2368" s="62"/>
      <c r="W2368" s="64"/>
      <c r="X2368" s="223"/>
      <c r="Y2368" s="223"/>
      <c r="Z2368" s="223"/>
      <c r="AA2368" s="223"/>
    </row>
    <row r="2369">
      <c r="A2369" s="42">
        <f t="shared" si="3"/>
        <v>2368</v>
      </c>
      <c r="B2369" s="51" t="s">
        <v>41</v>
      </c>
      <c r="C2369" s="53" t="s">
        <v>10053</v>
      </c>
      <c r="D2369" s="42" t="s">
        <v>44</v>
      </c>
      <c r="E2369" s="42" t="s">
        <v>44</v>
      </c>
      <c r="F2369" s="53" t="s">
        <v>10048</v>
      </c>
      <c r="G2369" s="53" t="s">
        <v>47</v>
      </c>
      <c r="H2369" s="53" t="s">
        <v>48</v>
      </c>
      <c r="I2369" s="53" t="s">
        <v>401</v>
      </c>
      <c r="J2369" s="53" t="s">
        <v>10049</v>
      </c>
      <c r="K2369" s="53" t="s">
        <v>51</v>
      </c>
      <c r="L2369" s="53" t="s">
        <v>52</v>
      </c>
      <c r="M2369" s="53" t="s">
        <v>52</v>
      </c>
      <c r="N2369" s="62" t="s">
        <v>10050</v>
      </c>
      <c r="O2369" s="62" t="s">
        <v>44</v>
      </c>
      <c r="P2369" s="62" t="s">
        <v>9989</v>
      </c>
      <c r="Q2369" s="62" t="s">
        <v>9992</v>
      </c>
      <c r="R2369" s="53"/>
      <c r="S2369" s="53"/>
      <c r="T2369" s="82"/>
      <c r="U2369" s="42"/>
      <c r="V2369" s="62"/>
      <c r="W2369" s="64"/>
      <c r="X2369" s="223"/>
      <c r="Y2369" s="223"/>
      <c r="Z2369" s="223"/>
      <c r="AA2369" s="223"/>
    </row>
    <row r="2370">
      <c r="A2370" s="42">
        <f t="shared" si="3"/>
        <v>2369</v>
      </c>
      <c r="B2370" s="51" t="s">
        <v>41</v>
      </c>
      <c r="C2370" s="53" t="s">
        <v>10054</v>
      </c>
      <c r="D2370" s="42" t="s">
        <v>44</v>
      </c>
      <c r="E2370" s="42" t="s">
        <v>44</v>
      </c>
      <c r="F2370" s="53" t="s">
        <v>10055</v>
      </c>
      <c r="G2370" s="53" t="s">
        <v>47</v>
      </c>
      <c r="H2370" s="53" t="s">
        <v>48</v>
      </c>
      <c r="I2370" s="53" t="s">
        <v>401</v>
      </c>
      <c r="J2370" s="53" t="s">
        <v>10056</v>
      </c>
      <c r="K2370" s="53" t="s">
        <v>51</v>
      </c>
      <c r="L2370" s="53" t="s">
        <v>52</v>
      </c>
      <c r="M2370" s="53" t="s">
        <v>52</v>
      </c>
      <c r="N2370" s="62" t="s">
        <v>10057</v>
      </c>
      <c r="O2370" s="62" t="s">
        <v>44</v>
      </c>
      <c r="P2370" s="62" t="s">
        <v>10043</v>
      </c>
      <c r="Q2370" s="62" t="s">
        <v>10058</v>
      </c>
      <c r="R2370" s="53"/>
      <c r="S2370" s="53"/>
      <c r="T2370" s="82"/>
      <c r="U2370" s="42"/>
      <c r="V2370" s="62"/>
      <c r="W2370" s="64"/>
      <c r="X2370" s="223"/>
      <c r="Y2370" s="223"/>
      <c r="Z2370" s="223"/>
      <c r="AA2370" s="223"/>
    </row>
    <row r="2371">
      <c r="A2371" s="42">
        <f t="shared" si="3"/>
        <v>2370</v>
      </c>
      <c r="B2371" s="51" t="s">
        <v>41</v>
      </c>
      <c r="C2371" s="53" t="s">
        <v>10059</v>
      </c>
      <c r="D2371" s="42" t="s">
        <v>44</v>
      </c>
      <c r="E2371" s="42" t="s">
        <v>44</v>
      </c>
      <c r="F2371" s="53" t="s">
        <v>10055</v>
      </c>
      <c r="G2371" s="53" t="s">
        <v>47</v>
      </c>
      <c r="H2371" s="53" t="s">
        <v>48</v>
      </c>
      <c r="I2371" s="53" t="s">
        <v>401</v>
      </c>
      <c r="J2371" s="53" t="s">
        <v>10056</v>
      </c>
      <c r="K2371" s="53" t="s">
        <v>51</v>
      </c>
      <c r="L2371" s="53" t="s">
        <v>52</v>
      </c>
      <c r="M2371" s="53" t="s">
        <v>52</v>
      </c>
      <c r="N2371" s="62" t="s">
        <v>10057</v>
      </c>
      <c r="O2371" s="62" t="s">
        <v>44</v>
      </c>
      <c r="P2371" s="62" t="s">
        <v>9989</v>
      </c>
      <c r="Q2371" s="62" t="s">
        <v>9990</v>
      </c>
      <c r="R2371" s="53"/>
      <c r="S2371" s="53"/>
      <c r="T2371" s="82"/>
      <c r="U2371" s="42"/>
      <c r="V2371" s="62"/>
      <c r="W2371" s="64"/>
      <c r="X2371" s="223"/>
      <c r="Y2371" s="223"/>
      <c r="Z2371" s="223"/>
      <c r="AA2371" s="223"/>
    </row>
    <row r="2372">
      <c r="A2372" s="42">
        <f t="shared" si="3"/>
        <v>2371</v>
      </c>
      <c r="B2372" s="51" t="s">
        <v>41</v>
      </c>
      <c r="C2372" s="53" t="s">
        <v>10060</v>
      </c>
      <c r="D2372" s="42" t="s">
        <v>44</v>
      </c>
      <c r="E2372" s="42" t="s">
        <v>44</v>
      </c>
      <c r="F2372" s="53" t="s">
        <v>10055</v>
      </c>
      <c r="G2372" s="53" t="s">
        <v>47</v>
      </c>
      <c r="H2372" s="53" t="s">
        <v>48</v>
      </c>
      <c r="I2372" s="53" t="s">
        <v>401</v>
      </c>
      <c r="J2372" s="53" t="s">
        <v>10056</v>
      </c>
      <c r="K2372" s="53" t="s">
        <v>51</v>
      </c>
      <c r="L2372" s="53" t="s">
        <v>52</v>
      </c>
      <c r="M2372" s="53" t="s">
        <v>52</v>
      </c>
      <c r="N2372" s="62" t="s">
        <v>10057</v>
      </c>
      <c r="O2372" s="62" t="s">
        <v>44</v>
      </c>
      <c r="P2372" s="62" t="s">
        <v>9989</v>
      </c>
      <c r="Q2372" s="62" t="s">
        <v>9992</v>
      </c>
      <c r="R2372" s="53"/>
      <c r="S2372" s="53"/>
      <c r="T2372" s="82"/>
      <c r="U2372" s="42"/>
      <c r="V2372" s="62"/>
      <c r="W2372" s="64"/>
      <c r="X2372" s="223"/>
      <c r="Y2372" s="223"/>
      <c r="Z2372" s="223"/>
      <c r="AA2372" s="223"/>
    </row>
    <row r="2373">
      <c r="A2373" s="42">
        <f t="shared" si="3"/>
        <v>2372</v>
      </c>
      <c r="B2373" s="51" t="s">
        <v>41</v>
      </c>
      <c r="C2373" s="53" t="s">
        <v>10061</v>
      </c>
      <c r="D2373" s="42" t="s">
        <v>44</v>
      </c>
      <c r="E2373" s="42" t="s">
        <v>44</v>
      </c>
      <c r="F2373" s="53" t="s">
        <v>10062</v>
      </c>
      <c r="G2373" s="53" t="s">
        <v>47</v>
      </c>
      <c r="H2373" s="53" t="s">
        <v>48</v>
      </c>
      <c r="I2373" s="53" t="s">
        <v>401</v>
      </c>
      <c r="J2373" s="53" t="s">
        <v>10063</v>
      </c>
      <c r="K2373" s="53" t="s">
        <v>51</v>
      </c>
      <c r="L2373" s="53" t="s">
        <v>52</v>
      </c>
      <c r="M2373" s="53" t="s">
        <v>52</v>
      </c>
      <c r="N2373" s="62" t="s">
        <v>10064</v>
      </c>
      <c r="O2373" s="62" t="s">
        <v>44</v>
      </c>
      <c r="P2373" s="62" t="s">
        <v>9983</v>
      </c>
      <c r="Q2373" s="62" t="s">
        <v>9984</v>
      </c>
      <c r="R2373" s="53"/>
      <c r="S2373" s="53"/>
      <c r="T2373" s="82"/>
      <c r="U2373" s="42"/>
      <c r="V2373" s="62"/>
      <c r="W2373" s="64"/>
      <c r="X2373" s="223"/>
      <c r="Y2373" s="223"/>
      <c r="Z2373" s="223"/>
      <c r="AA2373" s="223"/>
    </row>
    <row r="2374">
      <c r="A2374" s="42">
        <f t="shared" si="3"/>
        <v>2373</v>
      </c>
      <c r="B2374" s="51" t="s">
        <v>41</v>
      </c>
      <c r="C2374" s="53" t="s">
        <v>10065</v>
      </c>
      <c r="D2374" s="42" t="s">
        <v>44</v>
      </c>
      <c r="E2374" s="42" t="s">
        <v>44</v>
      </c>
      <c r="F2374" s="53" t="s">
        <v>10062</v>
      </c>
      <c r="G2374" s="53" t="s">
        <v>47</v>
      </c>
      <c r="H2374" s="53" t="s">
        <v>48</v>
      </c>
      <c r="I2374" s="53" t="s">
        <v>401</v>
      </c>
      <c r="J2374" s="53" t="s">
        <v>10063</v>
      </c>
      <c r="K2374" s="53" t="s">
        <v>51</v>
      </c>
      <c r="L2374" s="53" t="s">
        <v>52</v>
      </c>
      <c r="M2374" s="53" t="s">
        <v>52</v>
      </c>
      <c r="N2374" s="62" t="s">
        <v>10064</v>
      </c>
      <c r="O2374" s="62" t="s">
        <v>44</v>
      </c>
      <c r="P2374" s="62" t="s">
        <v>9986</v>
      </c>
      <c r="Q2374" s="62" t="s">
        <v>9987</v>
      </c>
      <c r="R2374" s="53"/>
      <c r="S2374" s="53"/>
      <c r="T2374" s="82"/>
      <c r="U2374" s="42"/>
      <c r="V2374" s="62"/>
      <c r="W2374" s="64"/>
      <c r="X2374" s="223"/>
      <c r="Y2374" s="223"/>
      <c r="Z2374" s="223"/>
      <c r="AA2374" s="223"/>
    </row>
    <row r="2375">
      <c r="A2375" s="42">
        <f t="shared" si="3"/>
        <v>2374</v>
      </c>
      <c r="B2375" s="51" t="s">
        <v>41</v>
      </c>
      <c r="C2375" s="53" t="s">
        <v>10066</v>
      </c>
      <c r="D2375" s="42" t="s">
        <v>44</v>
      </c>
      <c r="E2375" s="42" t="s">
        <v>44</v>
      </c>
      <c r="F2375" s="53" t="s">
        <v>10062</v>
      </c>
      <c r="G2375" s="53" t="s">
        <v>47</v>
      </c>
      <c r="H2375" s="53" t="s">
        <v>48</v>
      </c>
      <c r="I2375" s="53" t="s">
        <v>401</v>
      </c>
      <c r="J2375" s="53" t="s">
        <v>10063</v>
      </c>
      <c r="K2375" s="53" t="s">
        <v>51</v>
      </c>
      <c r="L2375" s="53" t="s">
        <v>52</v>
      </c>
      <c r="M2375" s="53" t="s">
        <v>52</v>
      </c>
      <c r="N2375" s="62" t="s">
        <v>10064</v>
      </c>
      <c r="O2375" s="62" t="s">
        <v>44</v>
      </c>
      <c r="P2375" s="62" t="s">
        <v>10067</v>
      </c>
      <c r="Q2375" s="62" t="s">
        <v>10068</v>
      </c>
      <c r="R2375" s="53"/>
      <c r="S2375" s="53"/>
      <c r="T2375" s="82"/>
      <c r="U2375" s="42"/>
      <c r="V2375" s="62"/>
      <c r="W2375" s="64"/>
      <c r="X2375" s="223"/>
      <c r="Y2375" s="223"/>
      <c r="Z2375" s="223"/>
      <c r="AA2375" s="223"/>
    </row>
    <row r="2376">
      <c r="A2376" s="42">
        <f t="shared" si="3"/>
        <v>2375</v>
      </c>
      <c r="B2376" s="51" t="s">
        <v>41</v>
      </c>
      <c r="C2376" s="53" t="s">
        <v>10069</v>
      </c>
      <c r="D2376" s="42" t="s">
        <v>44</v>
      </c>
      <c r="E2376" s="42" t="s">
        <v>44</v>
      </c>
      <c r="F2376" s="53" t="s">
        <v>10062</v>
      </c>
      <c r="G2376" s="53" t="s">
        <v>47</v>
      </c>
      <c r="H2376" s="53" t="s">
        <v>48</v>
      </c>
      <c r="I2376" s="53" t="s">
        <v>401</v>
      </c>
      <c r="J2376" s="53" t="s">
        <v>10063</v>
      </c>
      <c r="K2376" s="53" t="s">
        <v>51</v>
      </c>
      <c r="L2376" s="53" t="s">
        <v>52</v>
      </c>
      <c r="M2376" s="53" t="s">
        <v>52</v>
      </c>
      <c r="N2376" s="62" t="s">
        <v>10064</v>
      </c>
      <c r="O2376" s="62" t="s">
        <v>44</v>
      </c>
      <c r="P2376" s="62" t="s">
        <v>10070</v>
      </c>
      <c r="Q2376" s="62" t="s">
        <v>10071</v>
      </c>
      <c r="R2376" s="53"/>
      <c r="S2376" s="53"/>
      <c r="T2376" s="82"/>
      <c r="U2376" s="42"/>
      <c r="V2376" s="62"/>
      <c r="W2376" s="64"/>
      <c r="X2376" s="223"/>
      <c r="Y2376" s="223"/>
      <c r="Z2376" s="223"/>
      <c r="AA2376" s="223"/>
    </row>
    <row r="2377">
      <c r="A2377" s="42">
        <f t="shared" si="3"/>
        <v>2376</v>
      </c>
      <c r="B2377" s="51" t="s">
        <v>41</v>
      </c>
      <c r="C2377" s="53" t="s">
        <v>10072</v>
      </c>
      <c r="D2377" s="42" t="s">
        <v>44</v>
      </c>
      <c r="E2377" s="42" t="s">
        <v>44</v>
      </c>
      <c r="F2377" s="53" t="s">
        <v>10062</v>
      </c>
      <c r="G2377" s="53" t="s">
        <v>47</v>
      </c>
      <c r="H2377" s="53" t="s">
        <v>48</v>
      </c>
      <c r="I2377" s="53" t="s">
        <v>401</v>
      </c>
      <c r="J2377" s="53" t="s">
        <v>10063</v>
      </c>
      <c r="K2377" s="53" t="s">
        <v>51</v>
      </c>
      <c r="L2377" s="53" t="s">
        <v>52</v>
      </c>
      <c r="M2377" s="53" t="s">
        <v>52</v>
      </c>
      <c r="N2377" s="62" t="s">
        <v>10064</v>
      </c>
      <c r="O2377" s="62" t="s">
        <v>44</v>
      </c>
      <c r="P2377" s="62" t="s">
        <v>10073</v>
      </c>
      <c r="Q2377" s="62" t="s">
        <v>10074</v>
      </c>
      <c r="R2377" s="53"/>
      <c r="S2377" s="53"/>
      <c r="T2377" s="82"/>
      <c r="U2377" s="42"/>
      <c r="V2377" s="62"/>
      <c r="W2377" s="64"/>
      <c r="X2377" s="223"/>
      <c r="Y2377" s="223"/>
      <c r="Z2377" s="223"/>
      <c r="AA2377" s="223"/>
    </row>
    <row r="2378">
      <c r="A2378" s="42">
        <f t="shared" si="3"/>
        <v>2377</v>
      </c>
      <c r="B2378" s="51" t="s">
        <v>41</v>
      </c>
      <c r="C2378" s="53" t="s">
        <v>10075</v>
      </c>
      <c r="D2378" s="42" t="s">
        <v>44</v>
      </c>
      <c r="E2378" s="42" t="s">
        <v>44</v>
      </c>
      <c r="F2378" s="53" t="s">
        <v>10062</v>
      </c>
      <c r="G2378" s="53" t="s">
        <v>47</v>
      </c>
      <c r="H2378" s="53" t="s">
        <v>48</v>
      </c>
      <c r="I2378" s="53" t="s">
        <v>401</v>
      </c>
      <c r="J2378" s="53" t="s">
        <v>10063</v>
      </c>
      <c r="K2378" s="53" t="s">
        <v>51</v>
      </c>
      <c r="L2378" s="53" t="s">
        <v>52</v>
      </c>
      <c r="M2378" s="53" t="s">
        <v>52</v>
      </c>
      <c r="N2378" s="62" t="s">
        <v>10064</v>
      </c>
      <c r="O2378" s="62" t="s">
        <v>44</v>
      </c>
      <c r="P2378" s="62" t="s">
        <v>10076</v>
      </c>
      <c r="Q2378" s="62" t="s">
        <v>10077</v>
      </c>
      <c r="R2378" s="53"/>
      <c r="S2378" s="53"/>
      <c r="T2378" s="82"/>
      <c r="U2378" s="42"/>
      <c r="V2378" s="62"/>
      <c r="W2378" s="64"/>
      <c r="X2378" s="223"/>
      <c r="Y2378" s="223"/>
      <c r="Z2378" s="223"/>
      <c r="AA2378" s="223"/>
    </row>
    <row r="2379">
      <c r="A2379" s="42">
        <f t="shared" si="3"/>
        <v>2378</v>
      </c>
      <c r="B2379" s="51" t="s">
        <v>41</v>
      </c>
      <c r="C2379" s="53" t="s">
        <v>10078</v>
      </c>
      <c r="D2379" s="42" t="s">
        <v>44</v>
      </c>
      <c r="E2379" s="42" t="s">
        <v>44</v>
      </c>
      <c r="F2379" s="53" t="s">
        <v>10062</v>
      </c>
      <c r="G2379" s="53" t="s">
        <v>47</v>
      </c>
      <c r="H2379" s="53" t="s">
        <v>48</v>
      </c>
      <c r="I2379" s="53" t="s">
        <v>401</v>
      </c>
      <c r="J2379" s="53" t="s">
        <v>10063</v>
      </c>
      <c r="K2379" s="53" t="s">
        <v>51</v>
      </c>
      <c r="L2379" s="53" t="s">
        <v>52</v>
      </c>
      <c r="M2379" s="53" t="s">
        <v>52</v>
      </c>
      <c r="N2379" s="62" t="s">
        <v>10064</v>
      </c>
      <c r="O2379" s="62" t="s">
        <v>44</v>
      </c>
      <c r="P2379" s="62" t="s">
        <v>10079</v>
      </c>
      <c r="Q2379" s="62" t="s">
        <v>10080</v>
      </c>
      <c r="R2379" s="53"/>
      <c r="S2379" s="53"/>
      <c r="T2379" s="82"/>
      <c r="U2379" s="42"/>
      <c r="V2379" s="62"/>
      <c r="W2379" s="64"/>
      <c r="X2379" s="223"/>
      <c r="Y2379" s="223"/>
      <c r="Z2379" s="223"/>
      <c r="AA2379" s="223"/>
    </row>
    <row r="2380">
      <c r="A2380" s="42">
        <f t="shared" si="3"/>
        <v>2379</v>
      </c>
      <c r="B2380" s="51" t="s">
        <v>41</v>
      </c>
      <c r="C2380" s="53" t="s">
        <v>10081</v>
      </c>
      <c r="D2380" s="42" t="s">
        <v>44</v>
      </c>
      <c r="E2380" s="42" t="s">
        <v>44</v>
      </c>
      <c r="F2380" s="53" t="s">
        <v>10062</v>
      </c>
      <c r="G2380" s="53" t="s">
        <v>47</v>
      </c>
      <c r="H2380" s="53" t="s">
        <v>48</v>
      </c>
      <c r="I2380" s="53" t="s">
        <v>401</v>
      </c>
      <c r="J2380" s="53" t="s">
        <v>10063</v>
      </c>
      <c r="K2380" s="53" t="s">
        <v>51</v>
      </c>
      <c r="L2380" s="53" t="s">
        <v>52</v>
      </c>
      <c r="M2380" s="53" t="s">
        <v>52</v>
      </c>
      <c r="N2380" s="62" t="s">
        <v>10064</v>
      </c>
      <c r="O2380" s="62" t="s">
        <v>44</v>
      </c>
      <c r="P2380" s="62" t="s">
        <v>10082</v>
      </c>
      <c r="Q2380" s="62" t="s">
        <v>10083</v>
      </c>
      <c r="R2380" s="53"/>
      <c r="S2380" s="53"/>
      <c r="T2380" s="82"/>
      <c r="U2380" s="42"/>
      <c r="V2380" s="62"/>
      <c r="W2380" s="64"/>
      <c r="X2380" s="223"/>
      <c r="Y2380" s="223"/>
      <c r="Z2380" s="223"/>
      <c r="AA2380" s="223"/>
    </row>
    <row r="2381">
      <c r="A2381" s="42">
        <f t="shared" si="3"/>
        <v>2380</v>
      </c>
      <c r="B2381" s="51" t="s">
        <v>41</v>
      </c>
      <c r="C2381" s="53" t="s">
        <v>10084</v>
      </c>
      <c r="D2381" s="42" t="s">
        <v>44</v>
      </c>
      <c r="E2381" s="42" t="s">
        <v>44</v>
      </c>
      <c r="F2381" s="53" t="s">
        <v>10062</v>
      </c>
      <c r="G2381" s="53" t="s">
        <v>47</v>
      </c>
      <c r="H2381" s="53" t="s">
        <v>95</v>
      </c>
      <c r="I2381" s="53" t="s">
        <v>401</v>
      </c>
      <c r="J2381" s="53" t="s">
        <v>10063</v>
      </c>
      <c r="K2381" s="53" t="s">
        <v>51</v>
      </c>
      <c r="L2381" s="53" t="s">
        <v>52</v>
      </c>
      <c r="M2381" s="53" t="s">
        <v>52</v>
      </c>
      <c r="N2381" s="62" t="s">
        <v>10085</v>
      </c>
      <c r="O2381" s="62" t="s">
        <v>44</v>
      </c>
      <c r="P2381" s="62" t="s">
        <v>10086</v>
      </c>
      <c r="Q2381" s="62" t="s">
        <v>10087</v>
      </c>
      <c r="R2381" s="53"/>
      <c r="S2381" s="53"/>
      <c r="T2381" s="82"/>
      <c r="U2381" s="42"/>
      <c r="V2381" s="62"/>
      <c r="W2381" s="64"/>
      <c r="X2381" s="223"/>
      <c r="Y2381" s="223"/>
      <c r="Z2381" s="223"/>
      <c r="AA2381" s="223"/>
    </row>
    <row r="2382">
      <c r="A2382" s="42">
        <f t="shared" si="3"/>
        <v>2381</v>
      </c>
      <c r="B2382" s="51" t="s">
        <v>41</v>
      </c>
      <c r="C2382" s="53" t="s">
        <v>10088</v>
      </c>
      <c r="D2382" s="42" t="s">
        <v>44</v>
      </c>
      <c r="E2382" s="42" t="s">
        <v>44</v>
      </c>
      <c r="F2382" s="53" t="s">
        <v>10062</v>
      </c>
      <c r="G2382" s="53" t="s">
        <v>47</v>
      </c>
      <c r="H2382" s="53" t="s">
        <v>48</v>
      </c>
      <c r="I2382" s="53" t="s">
        <v>401</v>
      </c>
      <c r="J2382" s="53" t="s">
        <v>10063</v>
      </c>
      <c r="K2382" s="53" t="s">
        <v>51</v>
      </c>
      <c r="L2382" s="53" t="s">
        <v>52</v>
      </c>
      <c r="M2382" s="53" t="s">
        <v>52</v>
      </c>
      <c r="N2382" s="62" t="s">
        <v>10064</v>
      </c>
      <c r="O2382" s="62" t="s">
        <v>44</v>
      </c>
      <c r="P2382" s="62" t="s">
        <v>10089</v>
      </c>
      <c r="Q2382" s="62" t="s">
        <v>10090</v>
      </c>
      <c r="R2382" s="53"/>
      <c r="S2382" s="53"/>
      <c r="T2382" s="82"/>
      <c r="U2382" s="42"/>
      <c r="V2382" s="62"/>
      <c r="W2382" s="64"/>
      <c r="X2382" s="223"/>
      <c r="Y2382" s="223"/>
      <c r="Z2382" s="223"/>
      <c r="AA2382" s="223"/>
    </row>
    <row r="2383">
      <c r="A2383" s="42">
        <f t="shared" si="3"/>
        <v>2382</v>
      </c>
      <c r="B2383" s="51" t="s">
        <v>41</v>
      </c>
      <c r="C2383" s="53" t="s">
        <v>10091</v>
      </c>
      <c r="D2383" s="42" t="s">
        <v>44</v>
      </c>
      <c r="E2383" s="42" t="s">
        <v>44</v>
      </c>
      <c r="F2383" s="53" t="s">
        <v>10062</v>
      </c>
      <c r="G2383" s="53" t="s">
        <v>47</v>
      </c>
      <c r="H2383" s="53" t="s">
        <v>48</v>
      </c>
      <c r="I2383" s="53" t="s">
        <v>401</v>
      </c>
      <c r="J2383" s="53" t="s">
        <v>10063</v>
      </c>
      <c r="K2383" s="53" t="s">
        <v>51</v>
      </c>
      <c r="L2383" s="53" t="s">
        <v>52</v>
      </c>
      <c r="M2383" s="53" t="s">
        <v>52</v>
      </c>
      <c r="N2383" s="62" t="s">
        <v>10064</v>
      </c>
      <c r="O2383" s="62" t="s">
        <v>44</v>
      </c>
      <c r="P2383" s="62" t="s">
        <v>10089</v>
      </c>
      <c r="Q2383" s="62" t="s">
        <v>10092</v>
      </c>
      <c r="R2383" s="53"/>
      <c r="S2383" s="53"/>
      <c r="T2383" s="82"/>
      <c r="U2383" s="42"/>
      <c r="V2383" s="62"/>
      <c r="W2383" s="64"/>
      <c r="X2383" s="223"/>
      <c r="Y2383" s="223"/>
      <c r="Z2383" s="223"/>
      <c r="AA2383" s="223"/>
    </row>
    <row r="2384">
      <c r="A2384" s="42">
        <f t="shared" si="3"/>
        <v>2383</v>
      </c>
      <c r="B2384" s="51" t="s">
        <v>41</v>
      </c>
      <c r="C2384" s="53" t="s">
        <v>10093</v>
      </c>
      <c r="D2384" s="42" t="s">
        <v>44</v>
      </c>
      <c r="E2384" s="42" t="s">
        <v>44</v>
      </c>
      <c r="F2384" s="53" t="s">
        <v>10062</v>
      </c>
      <c r="G2384" s="53" t="s">
        <v>47</v>
      </c>
      <c r="H2384" s="53" t="s">
        <v>48</v>
      </c>
      <c r="I2384" s="53" t="s">
        <v>401</v>
      </c>
      <c r="J2384" s="53" t="s">
        <v>10063</v>
      </c>
      <c r="K2384" s="53" t="s">
        <v>51</v>
      </c>
      <c r="L2384" s="53" t="s">
        <v>52</v>
      </c>
      <c r="M2384" s="53" t="s">
        <v>52</v>
      </c>
      <c r="N2384" s="62" t="s">
        <v>10064</v>
      </c>
      <c r="O2384" s="62" t="s">
        <v>44</v>
      </c>
      <c r="P2384" s="62" t="s">
        <v>10094</v>
      </c>
      <c r="Q2384" s="62" t="s">
        <v>9990</v>
      </c>
      <c r="R2384" s="53"/>
      <c r="S2384" s="53"/>
      <c r="T2384" s="82"/>
      <c r="U2384" s="42"/>
      <c r="V2384" s="62"/>
      <c r="W2384" s="64"/>
      <c r="X2384" s="223"/>
      <c r="Y2384" s="223"/>
      <c r="Z2384" s="223"/>
      <c r="AA2384" s="223"/>
    </row>
    <row r="2385">
      <c r="A2385" s="42">
        <f t="shared" si="3"/>
        <v>2384</v>
      </c>
      <c r="B2385" s="51" t="s">
        <v>41</v>
      </c>
      <c r="C2385" s="53" t="s">
        <v>10095</v>
      </c>
      <c r="D2385" s="42" t="s">
        <v>44</v>
      </c>
      <c r="E2385" s="42" t="s">
        <v>44</v>
      </c>
      <c r="F2385" s="53" t="s">
        <v>10062</v>
      </c>
      <c r="G2385" s="53" t="s">
        <v>47</v>
      </c>
      <c r="H2385" s="53" t="s">
        <v>48</v>
      </c>
      <c r="I2385" s="53" t="s">
        <v>401</v>
      </c>
      <c r="J2385" s="53" t="s">
        <v>10063</v>
      </c>
      <c r="K2385" s="53" t="s">
        <v>51</v>
      </c>
      <c r="L2385" s="53" t="s">
        <v>52</v>
      </c>
      <c r="M2385" s="53" t="s">
        <v>52</v>
      </c>
      <c r="N2385" s="62" t="s">
        <v>10064</v>
      </c>
      <c r="O2385" s="62" t="s">
        <v>44</v>
      </c>
      <c r="P2385" s="62" t="s">
        <v>10094</v>
      </c>
      <c r="Q2385" s="62" t="s">
        <v>9992</v>
      </c>
      <c r="R2385" s="53"/>
      <c r="S2385" s="53"/>
      <c r="T2385" s="82"/>
      <c r="U2385" s="42"/>
      <c r="V2385" s="62"/>
      <c r="W2385" s="64"/>
      <c r="X2385" s="223"/>
      <c r="Y2385" s="223"/>
      <c r="Z2385" s="223"/>
      <c r="AA2385" s="223"/>
    </row>
    <row r="2386">
      <c r="A2386" s="42">
        <f t="shared" si="3"/>
        <v>2385</v>
      </c>
      <c r="B2386" s="51" t="s">
        <v>41</v>
      </c>
      <c r="C2386" s="53" t="s">
        <v>10096</v>
      </c>
      <c r="D2386" s="42" t="s">
        <v>44</v>
      </c>
      <c r="E2386" s="42" t="s">
        <v>44</v>
      </c>
      <c r="F2386" s="53" t="s">
        <v>10062</v>
      </c>
      <c r="G2386" s="53" t="s">
        <v>47</v>
      </c>
      <c r="H2386" s="53" t="s">
        <v>48</v>
      </c>
      <c r="I2386" s="53" t="s">
        <v>401</v>
      </c>
      <c r="J2386" s="53" t="s">
        <v>10063</v>
      </c>
      <c r="K2386" s="53" t="s">
        <v>51</v>
      </c>
      <c r="L2386" s="53" t="s">
        <v>52</v>
      </c>
      <c r="M2386" s="53" t="s">
        <v>52</v>
      </c>
      <c r="N2386" s="62" t="s">
        <v>10064</v>
      </c>
      <c r="O2386" s="62" t="s">
        <v>44</v>
      </c>
      <c r="P2386" s="62" t="s">
        <v>10097</v>
      </c>
      <c r="Q2386" s="62" t="s">
        <v>10004</v>
      </c>
      <c r="R2386" s="53"/>
      <c r="S2386" s="53"/>
      <c r="T2386" s="82"/>
      <c r="U2386" s="42"/>
      <c r="V2386" s="62"/>
      <c r="W2386" s="64"/>
      <c r="X2386" s="223"/>
      <c r="Y2386" s="223"/>
      <c r="Z2386" s="223"/>
      <c r="AA2386" s="223"/>
    </row>
    <row r="2387">
      <c r="A2387" s="42">
        <f t="shared" si="3"/>
        <v>2386</v>
      </c>
      <c r="B2387" s="51" t="s">
        <v>41</v>
      </c>
      <c r="C2387" s="53" t="s">
        <v>10098</v>
      </c>
      <c r="D2387" s="42" t="s">
        <v>44</v>
      </c>
      <c r="E2387" s="42" t="s">
        <v>44</v>
      </c>
      <c r="F2387" s="53" t="s">
        <v>10099</v>
      </c>
      <c r="G2387" s="53" t="s">
        <v>47</v>
      </c>
      <c r="H2387" s="53" t="s">
        <v>48</v>
      </c>
      <c r="I2387" s="53" t="s">
        <v>401</v>
      </c>
      <c r="J2387" s="53" t="s">
        <v>10100</v>
      </c>
      <c r="K2387" s="53" t="s">
        <v>927</v>
      </c>
      <c r="L2387" s="53" t="s">
        <v>52</v>
      </c>
      <c r="M2387" s="53" t="s">
        <v>52</v>
      </c>
      <c r="N2387" s="62" t="s">
        <v>10101</v>
      </c>
      <c r="O2387" s="62" t="s">
        <v>44</v>
      </c>
      <c r="P2387" s="62" t="s">
        <v>10102</v>
      </c>
      <c r="Q2387" s="62" t="s">
        <v>10103</v>
      </c>
      <c r="R2387" s="53"/>
      <c r="S2387" s="53"/>
      <c r="T2387" s="82"/>
      <c r="U2387" s="42"/>
      <c r="V2387" s="62"/>
      <c r="W2387" s="64"/>
      <c r="X2387" s="223"/>
      <c r="Y2387" s="223"/>
      <c r="Z2387" s="223"/>
      <c r="AA2387" s="223"/>
    </row>
    <row r="2388">
      <c r="A2388" s="42">
        <f t="shared" si="3"/>
        <v>2387</v>
      </c>
      <c r="B2388" s="51" t="s">
        <v>41</v>
      </c>
      <c r="C2388" s="53" t="s">
        <v>10104</v>
      </c>
      <c r="D2388" s="42" t="s">
        <v>44</v>
      </c>
      <c r="E2388" s="42" t="s">
        <v>44</v>
      </c>
      <c r="F2388" s="53" t="s">
        <v>10099</v>
      </c>
      <c r="G2388" s="53" t="s">
        <v>47</v>
      </c>
      <c r="H2388" s="53" t="s">
        <v>48</v>
      </c>
      <c r="I2388" s="53" t="s">
        <v>401</v>
      </c>
      <c r="J2388" s="53" t="s">
        <v>10100</v>
      </c>
      <c r="K2388" s="53" t="s">
        <v>927</v>
      </c>
      <c r="L2388" s="53" t="s">
        <v>52</v>
      </c>
      <c r="M2388" s="53" t="s">
        <v>52</v>
      </c>
      <c r="N2388" s="62" t="s">
        <v>10101</v>
      </c>
      <c r="O2388" s="62" t="s">
        <v>44</v>
      </c>
      <c r="P2388" s="62" t="s">
        <v>10105</v>
      </c>
      <c r="Q2388" s="62" t="s">
        <v>10106</v>
      </c>
      <c r="R2388" s="53"/>
      <c r="S2388" s="53"/>
      <c r="T2388" s="82"/>
      <c r="U2388" s="42"/>
      <c r="V2388" s="62"/>
      <c r="W2388" s="64"/>
      <c r="X2388" s="223"/>
      <c r="Y2388" s="223"/>
      <c r="Z2388" s="223"/>
      <c r="AA2388" s="223"/>
    </row>
    <row r="2389">
      <c r="A2389" s="42">
        <f t="shared" si="3"/>
        <v>2388</v>
      </c>
      <c r="B2389" s="51" t="s">
        <v>41</v>
      </c>
      <c r="C2389" s="53" t="s">
        <v>10107</v>
      </c>
      <c r="D2389" s="42" t="s">
        <v>44</v>
      </c>
      <c r="E2389" s="42" t="s">
        <v>44</v>
      </c>
      <c r="F2389" s="53" t="s">
        <v>10099</v>
      </c>
      <c r="G2389" s="53" t="s">
        <v>47</v>
      </c>
      <c r="H2389" s="53" t="s">
        <v>48</v>
      </c>
      <c r="I2389" s="53" t="s">
        <v>401</v>
      </c>
      <c r="J2389" s="53" t="s">
        <v>10100</v>
      </c>
      <c r="K2389" s="53" t="s">
        <v>927</v>
      </c>
      <c r="L2389" s="53" t="s">
        <v>52</v>
      </c>
      <c r="M2389" s="53" t="s">
        <v>52</v>
      </c>
      <c r="N2389" s="62" t="s">
        <v>10101</v>
      </c>
      <c r="O2389" s="62" t="s">
        <v>44</v>
      </c>
      <c r="P2389" s="62" t="s">
        <v>10108</v>
      </c>
      <c r="Q2389" s="62" t="s">
        <v>10109</v>
      </c>
      <c r="R2389" s="53"/>
      <c r="S2389" s="53"/>
      <c r="T2389" s="82"/>
      <c r="U2389" s="42"/>
      <c r="V2389" s="62"/>
      <c r="W2389" s="64"/>
      <c r="X2389" s="223"/>
      <c r="Y2389" s="223"/>
      <c r="Z2389" s="223"/>
      <c r="AA2389" s="223"/>
    </row>
    <row r="2390">
      <c r="A2390" s="42">
        <f t="shared" si="3"/>
        <v>2389</v>
      </c>
      <c r="B2390" s="51" t="s">
        <v>41</v>
      </c>
      <c r="C2390" s="53" t="s">
        <v>10110</v>
      </c>
      <c r="D2390" s="42" t="s">
        <v>44</v>
      </c>
      <c r="E2390" s="42" t="s">
        <v>44</v>
      </c>
      <c r="F2390" s="53" t="s">
        <v>10099</v>
      </c>
      <c r="G2390" s="53" t="s">
        <v>47</v>
      </c>
      <c r="H2390" s="53" t="s">
        <v>48</v>
      </c>
      <c r="I2390" s="53" t="s">
        <v>401</v>
      </c>
      <c r="J2390" s="53" t="s">
        <v>10100</v>
      </c>
      <c r="K2390" s="53" t="s">
        <v>927</v>
      </c>
      <c r="L2390" s="53" t="s">
        <v>52</v>
      </c>
      <c r="M2390" s="53" t="s">
        <v>52</v>
      </c>
      <c r="N2390" s="62" t="s">
        <v>10111</v>
      </c>
      <c r="O2390" s="62" t="s">
        <v>44</v>
      </c>
      <c r="P2390" s="62" t="s">
        <v>9926</v>
      </c>
      <c r="Q2390" s="62" t="s">
        <v>10112</v>
      </c>
      <c r="R2390" s="53"/>
      <c r="S2390" s="53"/>
      <c r="T2390" s="82"/>
      <c r="U2390" s="42"/>
      <c r="V2390" s="62"/>
      <c r="W2390" s="64"/>
      <c r="X2390" s="223"/>
      <c r="Y2390" s="223"/>
      <c r="Z2390" s="223"/>
      <c r="AA2390" s="223"/>
    </row>
    <row r="2391">
      <c r="A2391" s="42">
        <f t="shared" si="3"/>
        <v>2390</v>
      </c>
      <c r="B2391" s="51" t="s">
        <v>41</v>
      </c>
      <c r="C2391" s="53" t="s">
        <v>10113</v>
      </c>
      <c r="D2391" s="42" t="s">
        <v>44</v>
      </c>
      <c r="E2391" s="42" t="s">
        <v>44</v>
      </c>
      <c r="F2391" s="53" t="s">
        <v>10099</v>
      </c>
      <c r="G2391" s="53" t="s">
        <v>47</v>
      </c>
      <c r="H2391" s="53" t="s">
        <v>95</v>
      </c>
      <c r="I2391" s="53" t="s">
        <v>401</v>
      </c>
      <c r="J2391" s="53" t="s">
        <v>10100</v>
      </c>
      <c r="K2391" s="53" t="s">
        <v>927</v>
      </c>
      <c r="L2391" s="53" t="s">
        <v>52</v>
      </c>
      <c r="M2391" s="53" t="s">
        <v>52</v>
      </c>
      <c r="N2391" s="62" t="s">
        <v>10114</v>
      </c>
      <c r="O2391" s="62" t="s">
        <v>44</v>
      </c>
      <c r="P2391" s="62" t="s">
        <v>9926</v>
      </c>
      <c r="Q2391" s="62" t="s">
        <v>10115</v>
      </c>
      <c r="R2391" s="53"/>
      <c r="S2391" s="53"/>
      <c r="T2391" s="82"/>
      <c r="U2391" s="42"/>
      <c r="V2391" s="62"/>
      <c r="W2391" s="64"/>
      <c r="X2391" s="223"/>
      <c r="Y2391" s="223"/>
      <c r="Z2391" s="223"/>
      <c r="AA2391" s="223"/>
    </row>
    <row r="2392">
      <c r="A2392" s="42">
        <f t="shared" si="3"/>
        <v>2391</v>
      </c>
      <c r="B2392" s="51" t="s">
        <v>41</v>
      </c>
      <c r="C2392" s="53" t="s">
        <v>10116</v>
      </c>
      <c r="D2392" s="42" t="s">
        <v>44</v>
      </c>
      <c r="E2392" s="42" t="s">
        <v>44</v>
      </c>
      <c r="F2392" s="53" t="s">
        <v>10117</v>
      </c>
      <c r="G2392" s="53" t="s">
        <v>47</v>
      </c>
      <c r="H2392" s="53" t="s">
        <v>48</v>
      </c>
      <c r="I2392" s="53" t="s">
        <v>401</v>
      </c>
      <c r="J2392" s="53" t="s">
        <v>10118</v>
      </c>
      <c r="K2392" s="53" t="s">
        <v>51</v>
      </c>
      <c r="L2392" s="53" t="s">
        <v>52</v>
      </c>
      <c r="M2392" s="53" t="s">
        <v>52</v>
      </c>
      <c r="N2392" s="62" t="s">
        <v>10119</v>
      </c>
      <c r="O2392" s="62" t="s">
        <v>44</v>
      </c>
      <c r="P2392" s="62" t="s">
        <v>10120</v>
      </c>
      <c r="Q2392" s="62" t="s">
        <v>10121</v>
      </c>
      <c r="R2392" s="53"/>
      <c r="S2392" s="53"/>
      <c r="T2392" s="82"/>
      <c r="U2392" s="42"/>
      <c r="V2392" s="62"/>
      <c r="W2392" s="64"/>
      <c r="X2392" s="223"/>
      <c r="Y2392" s="223"/>
      <c r="Z2392" s="223"/>
      <c r="AA2392" s="223"/>
    </row>
    <row r="2393">
      <c r="A2393" s="42">
        <f t="shared" si="3"/>
        <v>2392</v>
      </c>
      <c r="B2393" s="51" t="s">
        <v>41</v>
      </c>
      <c r="C2393" s="53" t="s">
        <v>10122</v>
      </c>
      <c r="D2393" s="42" t="s">
        <v>44</v>
      </c>
      <c r="E2393" s="42" t="s">
        <v>44</v>
      </c>
      <c r="F2393" s="53" t="s">
        <v>10117</v>
      </c>
      <c r="G2393" s="53" t="s">
        <v>47</v>
      </c>
      <c r="H2393" s="53" t="s">
        <v>95</v>
      </c>
      <c r="I2393" s="53" t="s">
        <v>401</v>
      </c>
      <c r="J2393" s="53" t="s">
        <v>10118</v>
      </c>
      <c r="K2393" s="53" t="s">
        <v>51</v>
      </c>
      <c r="L2393" s="53" t="s">
        <v>52</v>
      </c>
      <c r="M2393" s="53" t="s">
        <v>52</v>
      </c>
      <c r="N2393" s="62" t="s">
        <v>10123</v>
      </c>
      <c r="O2393" s="62" t="s">
        <v>44</v>
      </c>
      <c r="P2393" s="62" t="s">
        <v>10120</v>
      </c>
      <c r="Q2393" s="62" t="s">
        <v>10124</v>
      </c>
      <c r="R2393" s="53"/>
      <c r="S2393" s="53"/>
      <c r="T2393" s="82"/>
      <c r="U2393" s="42"/>
      <c r="V2393" s="62"/>
      <c r="W2393" s="64"/>
      <c r="X2393" s="223"/>
      <c r="Y2393" s="223"/>
      <c r="Z2393" s="223"/>
      <c r="AA2393" s="223"/>
    </row>
    <row r="2394">
      <c r="A2394" s="42">
        <f t="shared" si="3"/>
        <v>2393</v>
      </c>
      <c r="B2394" s="51" t="s">
        <v>41</v>
      </c>
      <c r="C2394" s="53" t="s">
        <v>10125</v>
      </c>
      <c r="D2394" s="42" t="s">
        <v>44</v>
      </c>
      <c r="E2394" s="42" t="s">
        <v>44</v>
      </c>
      <c r="F2394" s="53" t="s">
        <v>10117</v>
      </c>
      <c r="G2394" s="53" t="s">
        <v>47</v>
      </c>
      <c r="H2394" s="53" t="s">
        <v>48</v>
      </c>
      <c r="I2394" s="53" t="s">
        <v>401</v>
      </c>
      <c r="J2394" s="53" t="s">
        <v>10118</v>
      </c>
      <c r="K2394" s="53" t="s">
        <v>51</v>
      </c>
      <c r="L2394" s="53" t="s">
        <v>52</v>
      </c>
      <c r="M2394" s="53" t="s">
        <v>52</v>
      </c>
      <c r="N2394" s="62" t="s">
        <v>10126</v>
      </c>
      <c r="O2394" s="62" t="s">
        <v>44</v>
      </c>
      <c r="P2394" s="62" t="s">
        <v>10127</v>
      </c>
      <c r="Q2394" s="62" t="s">
        <v>10128</v>
      </c>
      <c r="R2394" s="53"/>
      <c r="S2394" s="53"/>
      <c r="T2394" s="82"/>
      <c r="U2394" s="42"/>
      <c r="V2394" s="62"/>
      <c r="W2394" s="64"/>
      <c r="X2394" s="223"/>
      <c r="Y2394" s="223"/>
      <c r="Z2394" s="223"/>
      <c r="AA2394" s="223"/>
    </row>
    <row r="2395">
      <c r="A2395" s="42">
        <f t="shared" si="3"/>
        <v>2394</v>
      </c>
      <c r="B2395" s="51" t="s">
        <v>41</v>
      </c>
      <c r="C2395" s="53" t="s">
        <v>10129</v>
      </c>
      <c r="D2395" s="42" t="s">
        <v>44</v>
      </c>
      <c r="E2395" s="42" t="s">
        <v>44</v>
      </c>
      <c r="F2395" s="53" t="s">
        <v>10117</v>
      </c>
      <c r="G2395" s="53" t="s">
        <v>47</v>
      </c>
      <c r="H2395" s="53" t="s">
        <v>48</v>
      </c>
      <c r="I2395" s="53" t="s">
        <v>401</v>
      </c>
      <c r="J2395" s="53" t="s">
        <v>10118</v>
      </c>
      <c r="K2395" s="53" t="s">
        <v>51</v>
      </c>
      <c r="L2395" s="53" t="s">
        <v>52</v>
      </c>
      <c r="M2395" s="53" t="s">
        <v>52</v>
      </c>
      <c r="N2395" s="62" t="s">
        <v>10126</v>
      </c>
      <c r="O2395" s="62" t="s">
        <v>44</v>
      </c>
      <c r="P2395" s="62" t="s">
        <v>10130</v>
      </c>
      <c r="Q2395" s="62" t="s">
        <v>10131</v>
      </c>
      <c r="R2395" s="53"/>
      <c r="S2395" s="53"/>
      <c r="T2395" s="82"/>
      <c r="U2395" s="42"/>
      <c r="V2395" s="62"/>
      <c r="W2395" s="64"/>
      <c r="X2395" s="223"/>
      <c r="Y2395" s="223"/>
      <c r="Z2395" s="223"/>
      <c r="AA2395" s="223"/>
    </row>
    <row r="2396">
      <c r="A2396" s="42">
        <f t="shared" si="3"/>
        <v>2395</v>
      </c>
      <c r="B2396" s="51" t="s">
        <v>41</v>
      </c>
      <c r="C2396" s="53" t="s">
        <v>10132</v>
      </c>
      <c r="D2396" s="42" t="s">
        <v>44</v>
      </c>
      <c r="E2396" s="42" t="s">
        <v>44</v>
      </c>
      <c r="F2396" s="53" t="s">
        <v>10117</v>
      </c>
      <c r="G2396" s="53" t="s">
        <v>47</v>
      </c>
      <c r="H2396" s="53" t="s">
        <v>48</v>
      </c>
      <c r="I2396" s="53" t="s">
        <v>401</v>
      </c>
      <c r="J2396" s="53" t="s">
        <v>10118</v>
      </c>
      <c r="K2396" s="53" t="s">
        <v>51</v>
      </c>
      <c r="L2396" s="53" t="s">
        <v>52</v>
      </c>
      <c r="M2396" s="53" t="s">
        <v>52</v>
      </c>
      <c r="N2396" s="62" t="s">
        <v>10126</v>
      </c>
      <c r="O2396" s="62" t="s">
        <v>44</v>
      </c>
      <c r="P2396" s="62" t="s">
        <v>10133</v>
      </c>
      <c r="Q2396" s="62" t="s">
        <v>10109</v>
      </c>
      <c r="R2396" s="53"/>
      <c r="S2396" s="53"/>
      <c r="T2396" s="82"/>
      <c r="U2396" s="42"/>
      <c r="V2396" s="62"/>
      <c r="W2396" s="64"/>
      <c r="X2396" s="223"/>
      <c r="Y2396" s="223"/>
      <c r="Z2396" s="223"/>
      <c r="AA2396" s="223"/>
    </row>
    <row r="2397">
      <c r="A2397" s="42">
        <f t="shared" si="3"/>
        <v>2396</v>
      </c>
      <c r="B2397" s="51" t="s">
        <v>41</v>
      </c>
      <c r="C2397" s="53" t="s">
        <v>10134</v>
      </c>
      <c r="D2397" s="42" t="s">
        <v>44</v>
      </c>
      <c r="E2397" s="42" t="s">
        <v>44</v>
      </c>
      <c r="F2397" s="53" t="s">
        <v>10117</v>
      </c>
      <c r="G2397" s="53" t="s">
        <v>47</v>
      </c>
      <c r="H2397" s="53" t="s">
        <v>48</v>
      </c>
      <c r="I2397" s="53" t="s">
        <v>401</v>
      </c>
      <c r="J2397" s="53" t="s">
        <v>10118</v>
      </c>
      <c r="K2397" s="53" t="s">
        <v>51</v>
      </c>
      <c r="L2397" s="53" t="s">
        <v>52</v>
      </c>
      <c r="M2397" s="53" t="s">
        <v>52</v>
      </c>
      <c r="N2397" s="62" t="s">
        <v>10135</v>
      </c>
      <c r="O2397" s="62" t="s">
        <v>44</v>
      </c>
      <c r="P2397" s="62" t="s">
        <v>10136</v>
      </c>
      <c r="Q2397" s="62" t="s">
        <v>10137</v>
      </c>
      <c r="R2397" s="53"/>
      <c r="S2397" s="53"/>
      <c r="T2397" s="82"/>
      <c r="U2397" s="42"/>
      <c r="V2397" s="62"/>
      <c r="W2397" s="64"/>
      <c r="X2397" s="223"/>
      <c r="Y2397" s="223"/>
      <c r="Z2397" s="223"/>
      <c r="AA2397" s="223"/>
    </row>
    <row r="2398">
      <c r="A2398" s="42">
        <f t="shared" si="3"/>
        <v>2397</v>
      </c>
      <c r="B2398" s="51" t="s">
        <v>41</v>
      </c>
      <c r="C2398" s="53" t="s">
        <v>10138</v>
      </c>
      <c r="D2398" s="42" t="s">
        <v>44</v>
      </c>
      <c r="E2398" s="42" t="s">
        <v>44</v>
      </c>
      <c r="F2398" s="53" t="s">
        <v>10117</v>
      </c>
      <c r="G2398" s="53" t="s">
        <v>47</v>
      </c>
      <c r="H2398" s="53" t="s">
        <v>48</v>
      </c>
      <c r="I2398" s="53" t="s">
        <v>401</v>
      </c>
      <c r="J2398" s="53" t="s">
        <v>10118</v>
      </c>
      <c r="K2398" s="53" t="s">
        <v>51</v>
      </c>
      <c r="L2398" s="53" t="s">
        <v>52</v>
      </c>
      <c r="M2398" s="53" t="s">
        <v>52</v>
      </c>
      <c r="N2398" s="62" t="s">
        <v>10135</v>
      </c>
      <c r="O2398" s="62" t="s">
        <v>44</v>
      </c>
      <c r="P2398" s="62" t="s">
        <v>10136</v>
      </c>
      <c r="Q2398" s="62" t="s">
        <v>10139</v>
      </c>
      <c r="R2398" s="53"/>
      <c r="S2398" s="53"/>
      <c r="T2398" s="82"/>
      <c r="U2398" s="42"/>
      <c r="V2398" s="62"/>
      <c r="W2398" s="64"/>
      <c r="X2398" s="223"/>
      <c r="Y2398" s="223"/>
      <c r="Z2398" s="223"/>
      <c r="AA2398" s="223"/>
    </row>
    <row r="2399">
      <c r="A2399" s="42">
        <f t="shared" si="3"/>
        <v>2398</v>
      </c>
      <c r="B2399" s="51" t="s">
        <v>41</v>
      </c>
      <c r="C2399" s="53" t="s">
        <v>10140</v>
      </c>
      <c r="D2399" s="42" t="s">
        <v>44</v>
      </c>
      <c r="E2399" s="42" t="s">
        <v>44</v>
      </c>
      <c r="F2399" s="53" t="s">
        <v>10117</v>
      </c>
      <c r="G2399" s="53" t="s">
        <v>47</v>
      </c>
      <c r="H2399" s="53" t="s">
        <v>48</v>
      </c>
      <c r="I2399" s="53" t="s">
        <v>401</v>
      </c>
      <c r="J2399" s="53" t="s">
        <v>10118</v>
      </c>
      <c r="K2399" s="53" t="s">
        <v>51</v>
      </c>
      <c r="L2399" s="53" t="s">
        <v>52</v>
      </c>
      <c r="M2399" s="53" t="s">
        <v>52</v>
      </c>
      <c r="N2399" s="62" t="s">
        <v>10135</v>
      </c>
      <c r="O2399" s="62" t="s">
        <v>44</v>
      </c>
      <c r="P2399" s="62" t="s">
        <v>10141</v>
      </c>
      <c r="Q2399" s="62" t="s">
        <v>10128</v>
      </c>
      <c r="R2399" s="53"/>
      <c r="S2399" s="53"/>
      <c r="T2399" s="82"/>
      <c r="U2399" s="42"/>
      <c r="V2399" s="62"/>
      <c r="W2399" s="64"/>
      <c r="X2399" s="223"/>
      <c r="Y2399" s="223"/>
      <c r="Z2399" s="223"/>
      <c r="AA2399" s="223"/>
    </row>
    <row r="2400">
      <c r="A2400" s="42">
        <f t="shared" si="3"/>
        <v>2399</v>
      </c>
      <c r="B2400" s="51" t="s">
        <v>41</v>
      </c>
      <c r="C2400" s="53" t="s">
        <v>10142</v>
      </c>
      <c r="D2400" s="42" t="s">
        <v>44</v>
      </c>
      <c r="E2400" s="42" t="s">
        <v>44</v>
      </c>
      <c r="F2400" s="53" t="s">
        <v>10117</v>
      </c>
      <c r="G2400" s="53" t="s">
        <v>47</v>
      </c>
      <c r="H2400" s="53" t="s">
        <v>48</v>
      </c>
      <c r="I2400" s="53" t="s">
        <v>401</v>
      </c>
      <c r="J2400" s="53" t="s">
        <v>10118</v>
      </c>
      <c r="K2400" s="53" t="s">
        <v>51</v>
      </c>
      <c r="L2400" s="53" t="s">
        <v>52</v>
      </c>
      <c r="M2400" s="53" t="s">
        <v>52</v>
      </c>
      <c r="N2400" s="62" t="s">
        <v>10135</v>
      </c>
      <c r="O2400" s="62" t="s">
        <v>44</v>
      </c>
      <c r="P2400" s="62" t="s">
        <v>10143</v>
      </c>
      <c r="Q2400" s="62" t="s">
        <v>10131</v>
      </c>
      <c r="R2400" s="53"/>
      <c r="S2400" s="53"/>
      <c r="T2400" s="82"/>
      <c r="U2400" s="42"/>
      <c r="V2400" s="62"/>
      <c r="W2400" s="64"/>
      <c r="X2400" s="223"/>
      <c r="Y2400" s="223"/>
      <c r="Z2400" s="223"/>
      <c r="AA2400" s="223"/>
    </row>
    <row r="2401">
      <c r="A2401" s="42">
        <f t="shared" si="3"/>
        <v>2400</v>
      </c>
      <c r="B2401" s="51" t="s">
        <v>41</v>
      </c>
      <c r="C2401" s="53" t="s">
        <v>10144</v>
      </c>
      <c r="D2401" s="42" t="s">
        <v>44</v>
      </c>
      <c r="E2401" s="42" t="s">
        <v>44</v>
      </c>
      <c r="F2401" s="53" t="s">
        <v>10145</v>
      </c>
      <c r="G2401" s="53" t="s">
        <v>47</v>
      </c>
      <c r="H2401" s="53" t="s">
        <v>48</v>
      </c>
      <c r="I2401" s="53" t="s">
        <v>401</v>
      </c>
      <c r="J2401" s="53" t="s">
        <v>10146</v>
      </c>
      <c r="K2401" s="53" t="s">
        <v>927</v>
      </c>
      <c r="L2401" s="53" t="s">
        <v>52</v>
      </c>
      <c r="M2401" s="53" t="s">
        <v>52</v>
      </c>
      <c r="N2401" s="62" t="s">
        <v>10147</v>
      </c>
      <c r="O2401" s="62" t="s">
        <v>44</v>
      </c>
      <c r="P2401" s="62" t="s">
        <v>10148</v>
      </c>
      <c r="Q2401" s="62" t="s">
        <v>10149</v>
      </c>
      <c r="R2401" s="53"/>
      <c r="S2401" s="53"/>
      <c r="T2401" s="82"/>
      <c r="U2401" s="42"/>
      <c r="V2401" s="62"/>
      <c r="W2401" s="64"/>
      <c r="X2401" s="223"/>
      <c r="Y2401" s="223"/>
      <c r="Z2401" s="223"/>
      <c r="AA2401" s="223"/>
    </row>
    <row r="2402">
      <c r="A2402" s="42">
        <f t="shared" si="3"/>
        <v>2401</v>
      </c>
      <c r="B2402" s="51" t="s">
        <v>41</v>
      </c>
      <c r="C2402" s="53" t="s">
        <v>10150</v>
      </c>
      <c r="D2402" s="42" t="s">
        <v>44</v>
      </c>
      <c r="E2402" s="42" t="s">
        <v>44</v>
      </c>
      <c r="F2402" s="53" t="s">
        <v>10145</v>
      </c>
      <c r="G2402" s="53" t="s">
        <v>47</v>
      </c>
      <c r="H2402" s="53" t="s">
        <v>48</v>
      </c>
      <c r="I2402" s="53" t="s">
        <v>401</v>
      </c>
      <c r="J2402" s="53" t="s">
        <v>10146</v>
      </c>
      <c r="K2402" s="53" t="s">
        <v>927</v>
      </c>
      <c r="L2402" s="53" t="s">
        <v>52</v>
      </c>
      <c r="M2402" s="53" t="s">
        <v>52</v>
      </c>
      <c r="N2402" s="62" t="s">
        <v>10147</v>
      </c>
      <c r="O2402" s="62" t="s">
        <v>44</v>
      </c>
      <c r="P2402" s="62" t="s">
        <v>10151</v>
      </c>
      <c r="Q2402" s="62" t="s">
        <v>10152</v>
      </c>
      <c r="R2402" s="53"/>
      <c r="S2402" s="53"/>
      <c r="T2402" s="82"/>
      <c r="U2402" s="42"/>
      <c r="V2402" s="62"/>
      <c r="W2402" s="64"/>
      <c r="X2402" s="223"/>
      <c r="Y2402" s="223"/>
      <c r="Z2402" s="223"/>
      <c r="AA2402" s="223"/>
    </row>
    <row r="2403">
      <c r="A2403" s="42">
        <f t="shared" si="3"/>
        <v>2402</v>
      </c>
      <c r="B2403" s="51" t="s">
        <v>41</v>
      </c>
      <c r="C2403" s="53" t="s">
        <v>10153</v>
      </c>
      <c r="D2403" s="42" t="s">
        <v>44</v>
      </c>
      <c r="E2403" s="42" t="s">
        <v>44</v>
      </c>
      <c r="F2403" s="53" t="s">
        <v>10145</v>
      </c>
      <c r="G2403" s="53" t="s">
        <v>47</v>
      </c>
      <c r="H2403" s="53" t="s">
        <v>48</v>
      </c>
      <c r="I2403" s="53" t="s">
        <v>401</v>
      </c>
      <c r="J2403" s="53" t="s">
        <v>10146</v>
      </c>
      <c r="K2403" s="53" t="s">
        <v>927</v>
      </c>
      <c r="L2403" s="53" t="s">
        <v>52</v>
      </c>
      <c r="M2403" s="53" t="s">
        <v>52</v>
      </c>
      <c r="N2403" s="62" t="s">
        <v>10147</v>
      </c>
      <c r="O2403" s="62" t="s">
        <v>44</v>
      </c>
      <c r="P2403" s="62" t="s">
        <v>10154</v>
      </c>
      <c r="Q2403" s="62" t="s">
        <v>10109</v>
      </c>
      <c r="R2403" s="53"/>
      <c r="S2403" s="53"/>
      <c r="T2403" s="82"/>
      <c r="U2403" s="42"/>
      <c r="V2403" s="62"/>
      <c r="W2403" s="64"/>
      <c r="X2403" s="223"/>
      <c r="Y2403" s="223"/>
      <c r="Z2403" s="223"/>
      <c r="AA2403" s="223"/>
    </row>
    <row r="2404">
      <c r="A2404" s="42">
        <f t="shared" si="3"/>
        <v>2403</v>
      </c>
      <c r="B2404" s="51" t="s">
        <v>41</v>
      </c>
      <c r="C2404" s="53" t="s">
        <v>10155</v>
      </c>
      <c r="D2404" s="42" t="s">
        <v>44</v>
      </c>
      <c r="E2404" s="42" t="s">
        <v>44</v>
      </c>
      <c r="F2404" s="53" t="s">
        <v>10156</v>
      </c>
      <c r="G2404" s="53" t="s">
        <v>47</v>
      </c>
      <c r="H2404" s="53" t="s">
        <v>48</v>
      </c>
      <c r="I2404" s="53" t="s">
        <v>8913</v>
      </c>
      <c r="J2404" s="53" t="s">
        <v>10157</v>
      </c>
      <c r="K2404" s="53" t="s">
        <v>51</v>
      </c>
      <c r="L2404" s="53" t="s">
        <v>52</v>
      </c>
      <c r="M2404" s="53" t="s">
        <v>52</v>
      </c>
      <c r="N2404" s="62" t="s">
        <v>10158</v>
      </c>
      <c r="O2404" s="62" t="s">
        <v>44</v>
      </c>
      <c r="P2404" s="62" t="s">
        <v>10159</v>
      </c>
      <c r="Q2404" s="62" t="s">
        <v>10160</v>
      </c>
      <c r="R2404" s="53"/>
      <c r="S2404" s="53"/>
      <c r="T2404" s="82"/>
      <c r="U2404" s="42"/>
      <c r="V2404" s="62"/>
      <c r="W2404" s="64"/>
      <c r="X2404" s="223"/>
      <c r="Y2404" s="223"/>
      <c r="Z2404" s="223"/>
      <c r="AA2404" s="223"/>
    </row>
    <row r="2405">
      <c r="A2405" s="42">
        <f t="shared" si="3"/>
        <v>2404</v>
      </c>
      <c r="B2405" s="51" t="s">
        <v>41</v>
      </c>
      <c r="C2405" s="53" t="s">
        <v>10161</v>
      </c>
      <c r="D2405" s="42" t="s">
        <v>44</v>
      </c>
      <c r="E2405" s="42" t="s">
        <v>44</v>
      </c>
      <c r="F2405" s="53" t="s">
        <v>10156</v>
      </c>
      <c r="G2405" s="53" t="s">
        <v>47</v>
      </c>
      <c r="H2405" s="53" t="s">
        <v>48</v>
      </c>
      <c r="I2405" s="53" t="s">
        <v>8913</v>
      </c>
      <c r="J2405" s="53" t="s">
        <v>10157</v>
      </c>
      <c r="K2405" s="53" t="s">
        <v>51</v>
      </c>
      <c r="L2405" s="53" t="s">
        <v>52</v>
      </c>
      <c r="M2405" s="53" t="s">
        <v>52</v>
      </c>
      <c r="N2405" s="62" t="s">
        <v>10158</v>
      </c>
      <c r="O2405" s="62" t="s">
        <v>44</v>
      </c>
      <c r="P2405" s="62" t="s">
        <v>10162</v>
      </c>
      <c r="Q2405" s="62" t="s">
        <v>10163</v>
      </c>
      <c r="R2405" s="53"/>
      <c r="S2405" s="53"/>
      <c r="T2405" s="82"/>
      <c r="U2405" s="42"/>
      <c r="V2405" s="62"/>
      <c r="W2405" s="64"/>
      <c r="X2405" s="223"/>
      <c r="Y2405" s="223"/>
      <c r="Z2405" s="223"/>
      <c r="AA2405" s="223"/>
    </row>
    <row r="2406">
      <c r="A2406" s="42">
        <f t="shared" si="3"/>
        <v>2405</v>
      </c>
      <c r="B2406" s="51" t="s">
        <v>41</v>
      </c>
      <c r="C2406" s="53" t="s">
        <v>10164</v>
      </c>
      <c r="D2406" s="42" t="s">
        <v>44</v>
      </c>
      <c r="E2406" s="42" t="s">
        <v>44</v>
      </c>
      <c r="F2406" s="53" t="s">
        <v>10156</v>
      </c>
      <c r="G2406" s="53" t="s">
        <v>47</v>
      </c>
      <c r="H2406" s="53" t="s">
        <v>48</v>
      </c>
      <c r="I2406" s="53" t="s">
        <v>8913</v>
      </c>
      <c r="J2406" s="53" t="s">
        <v>10157</v>
      </c>
      <c r="K2406" s="53" t="s">
        <v>51</v>
      </c>
      <c r="L2406" s="53" t="s">
        <v>52</v>
      </c>
      <c r="M2406" s="53" t="s">
        <v>52</v>
      </c>
      <c r="N2406" s="62" t="s">
        <v>10158</v>
      </c>
      <c r="O2406" s="62" t="s">
        <v>44</v>
      </c>
      <c r="P2406" s="62" t="s">
        <v>10165</v>
      </c>
      <c r="Q2406" s="62" t="s">
        <v>10166</v>
      </c>
      <c r="R2406" s="53"/>
      <c r="S2406" s="53"/>
      <c r="T2406" s="82"/>
      <c r="U2406" s="42"/>
      <c r="V2406" s="62"/>
      <c r="W2406" s="64"/>
      <c r="X2406" s="223"/>
      <c r="Y2406" s="223"/>
      <c r="Z2406" s="223"/>
      <c r="AA2406" s="223"/>
    </row>
    <row r="2407">
      <c r="A2407" s="42">
        <f t="shared" si="3"/>
        <v>2406</v>
      </c>
      <c r="B2407" s="51" t="s">
        <v>41</v>
      </c>
      <c r="C2407" s="53" t="s">
        <v>10167</v>
      </c>
      <c r="D2407" s="42" t="s">
        <v>44</v>
      </c>
      <c r="E2407" s="42" t="s">
        <v>44</v>
      </c>
      <c r="F2407" s="53" t="s">
        <v>10156</v>
      </c>
      <c r="G2407" s="53" t="s">
        <v>47</v>
      </c>
      <c r="H2407" s="53" t="s">
        <v>48</v>
      </c>
      <c r="I2407" s="53" t="s">
        <v>8913</v>
      </c>
      <c r="J2407" s="53" t="s">
        <v>10157</v>
      </c>
      <c r="K2407" s="53" t="s">
        <v>51</v>
      </c>
      <c r="L2407" s="53" t="s">
        <v>52</v>
      </c>
      <c r="M2407" s="53" t="s">
        <v>52</v>
      </c>
      <c r="N2407" s="62" t="s">
        <v>10158</v>
      </c>
      <c r="O2407" s="62" t="s">
        <v>44</v>
      </c>
      <c r="P2407" s="62" t="s">
        <v>10168</v>
      </c>
      <c r="Q2407" s="62" t="s">
        <v>10109</v>
      </c>
      <c r="R2407" s="53"/>
      <c r="S2407" s="53"/>
      <c r="T2407" s="82"/>
      <c r="U2407" s="42"/>
      <c r="V2407" s="62"/>
      <c r="W2407" s="64"/>
      <c r="X2407" s="223"/>
      <c r="Y2407" s="223"/>
      <c r="Z2407" s="223"/>
      <c r="AA2407" s="223"/>
    </row>
    <row r="2408">
      <c r="A2408" s="42">
        <f t="shared" si="3"/>
        <v>2407</v>
      </c>
      <c r="B2408" s="51" t="s">
        <v>41</v>
      </c>
      <c r="C2408" s="53" t="s">
        <v>10169</v>
      </c>
      <c r="D2408" s="42" t="s">
        <v>44</v>
      </c>
      <c r="E2408" s="42" t="s">
        <v>44</v>
      </c>
      <c r="F2408" s="53" t="s">
        <v>10156</v>
      </c>
      <c r="G2408" s="53" t="s">
        <v>47</v>
      </c>
      <c r="H2408" s="53" t="s">
        <v>48</v>
      </c>
      <c r="I2408" s="53" t="s">
        <v>8913</v>
      </c>
      <c r="J2408" s="53" t="s">
        <v>10157</v>
      </c>
      <c r="K2408" s="53" t="s">
        <v>51</v>
      </c>
      <c r="L2408" s="53" t="s">
        <v>52</v>
      </c>
      <c r="M2408" s="53" t="s">
        <v>52</v>
      </c>
      <c r="N2408" s="62" t="s">
        <v>10158</v>
      </c>
      <c r="O2408" s="62" t="s">
        <v>44</v>
      </c>
      <c r="P2408" s="62" t="s">
        <v>10170</v>
      </c>
      <c r="Q2408" s="62" t="s">
        <v>10171</v>
      </c>
      <c r="R2408" s="53"/>
      <c r="S2408" s="53"/>
      <c r="T2408" s="82"/>
      <c r="U2408" s="42"/>
      <c r="V2408" s="62"/>
      <c r="W2408" s="64"/>
      <c r="X2408" s="223"/>
      <c r="Y2408" s="223"/>
      <c r="Z2408" s="223"/>
      <c r="AA2408" s="223"/>
    </row>
    <row r="2409">
      <c r="A2409" s="42">
        <f t="shared" si="3"/>
        <v>2408</v>
      </c>
      <c r="B2409" s="51" t="s">
        <v>41</v>
      </c>
      <c r="C2409" s="53" t="s">
        <v>10172</v>
      </c>
      <c r="D2409" s="42" t="s">
        <v>44</v>
      </c>
      <c r="E2409" s="42" t="s">
        <v>44</v>
      </c>
      <c r="F2409" s="53" t="s">
        <v>10156</v>
      </c>
      <c r="G2409" s="53" t="s">
        <v>47</v>
      </c>
      <c r="H2409" s="53" t="s">
        <v>48</v>
      </c>
      <c r="I2409" s="53" t="s">
        <v>8913</v>
      </c>
      <c r="J2409" s="53" t="s">
        <v>10157</v>
      </c>
      <c r="K2409" s="53" t="s">
        <v>51</v>
      </c>
      <c r="L2409" s="53" t="s">
        <v>52</v>
      </c>
      <c r="M2409" s="53" t="s">
        <v>52</v>
      </c>
      <c r="N2409" s="62" t="s">
        <v>10158</v>
      </c>
      <c r="O2409" s="62" t="s">
        <v>44</v>
      </c>
      <c r="P2409" s="62" t="s">
        <v>10170</v>
      </c>
      <c r="Q2409" s="62" t="s">
        <v>10173</v>
      </c>
      <c r="R2409" s="53"/>
      <c r="S2409" s="53"/>
      <c r="T2409" s="82"/>
      <c r="U2409" s="42"/>
      <c r="V2409" s="62"/>
      <c r="W2409" s="64"/>
      <c r="X2409" s="223"/>
      <c r="Y2409" s="223"/>
      <c r="Z2409" s="223"/>
      <c r="AA2409" s="223"/>
    </row>
    <row r="2410">
      <c r="A2410" s="42">
        <f t="shared" si="3"/>
        <v>2409</v>
      </c>
      <c r="B2410" s="51" t="s">
        <v>41</v>
      </c>
      <c r="C2410" s="53" t="s">
        <v>10174</v>
      </c>
      <c r="D2410" s="42" t="s">
        <v>44</v>
      </c>
      <c r="E2410" s="42" t="s">
        <v>44</v>
      </c>
      <c r="F2410" s="53" t="s">
        <v>10156</v>
      </c>
      <c r="G2410" s="53" t="s">
        <v>47</v>
      </c>
      <c r="H2410" s="53" t="s">
        <v>48</v>
      </c>
      <c r="I2410" s="53" t="s">
        <v>8913</v>
      </c>
      <c r="J2410" s="53" t="s">
        <v>10157</v>
      </c>
      <c r="K2410" s="53" t="s">
        <v>51</v>
      </c>
      <c r="L2410" s="53" t="s">
        <v>52</v>
      </c>
      <c r="M2410" s="53" t="s">
        <v>52</v>
      </c>
      <c r="N2410" s="62" t="s">
        <v>10158</v>
      </c>
      <c r="O2410" s="62" t="s">
        <v>44</v>
      </c>
      <c r="P2410" s="62" t="s">
        <v>10175</v>
      </c>
      <c r="Q2410" s="62" t="s">
        <v>10176</v>
      </c>
      <c r="R2410" s="53"/>
      <c r="S2410" s="53"/>
      <c r="T2410" s="82"/>
      <c r="U2410" s="42"/>
      <c r="V2410" s="62"/>
      <c r="W2410" s="64"/>
      <c r="X2410" s="223"/>
      <c r="Y2410" s="223"/>
      <c r="Z2410" s="223"/>
      <c r="AA2410" s="223"/>
    </row>
    <row r="2411">
      <c r="A2411" s="42">
        <f t="shared" si="3"/>
        <v>2410</v>
      </c>
      <c r="B2411" s="51" t="s">
        <v>41</v>
      </c>
      <c r="C2411" s="53" t="s">
        <v>10177</v>
      </c>
      <c r="D2411" s="42" t="s">
        <v>44</v>
      </c>
      <c r="E2411" s="42" t="s">
        <v>44</v>
      </c>
      <c r="F2411" s="53" t="s">
        <v>10156</v>
      </c>
      <c r="G2411" s="53" t="s">
        <v>47</v>
      </c>
      <c r="H2411" s="53" t="s">
        <v>95</v>
      </c>
      <c r="I2411" s="53" t="s">
        <v>8913</v>
      </c>
      <c r="J2411" s="53" t="s">
        <v>10157</v>
      </c>
      <c r="K2411" s="53" t="s">
        <v>51</v>
      </c>
      <c r="L2411" s="53" t="s">
        <v>52</v>
      </c>
      <c r="M2411" s="53" t="s">
        <v>52</v>
      </c>
      <c r="N2411" s="62" t="s">
        <v>10178</v>
      </c>
      <c r="O2411" s="62" t="s">
        <v>44</v>
      </c>
      <c r="P2411" s="62" t="s">
        <v>10179</v>
      </c>
      <c r="Q2411" s="62" t="s">
        <v>10180</v>
      </c>
      <c r="R2411" s="53"/>
      <c r="S2411" s="53"/>
      <c r="T2411" s="82"/>
      <c r="U2411" s="42"/>
      <c r="V2411" s="62"/>
      <c r="W2411" s="64"/>
      <c r="X2411" s="223"/>
      <c r="Y2411" s="223"/>
      <c r="Z2411" s="223"/>
      <c r="AA2411" s="223"/>
    </row>
    <row r="2412">
      <c r="A2412" s="42">
        <f t="shared" si="3"/>
        <v>2411</v>
      </c>
      <c r="B2412" s="51" t="s">
        <v>41</v>
      </c>
      <c r="C2412" s="53" t="s">
        <v>10181</v>
      </c>
      <c r="D2412" s="42" t="s">
        <v>44</v>
      </c>
      <c r="E2412" s="42" t="s">
        <v>44</v>
      </c>
      <c r="F2412" s="53" t="s">
        <v>10156</v>
      </c>
      <c r="G2412" s="53" t="s">
        <v>47</v>
      </c>
      <c r="H2412" s="53" t="s">
        <v>48</v>
      </c>
      <c r="I2412" s="53" t="s">
        <v>8913</v>
      </c>
      <c r="J2412" s="53" t="s">
        <v>10157</v>
      </c>
      <c r="K2412" s="53" t="s">
        <v>51</v>
      </c>
      <c r="L2412" s="53" t="s">
        <v>52</v>
      </c>
      <c r="M2412" s="53" t="s">
        <v>52</v>
      </c>
      <c r="N2412" s="62" t="s">
        <v>10182</v>
      </c>
      <c r="O2412" s="62" t="s">
        <v>44</v>
      </c>
      <c r="P2412" s="62" t="s">
        <v>9662</v>
      </c>
      <c r="Q2412" s="62" t="s">
        <v>10183</v>
      </c>
      <c r="R2412" s="53"/>
      <c r="S2412" s="53"/>
      <c r="T2412" s="82"/>
      <c r="U2412" s="42"/>
      <c r="V2412" s="62"/>
      <c r="W2412" s="64"/>
      <c r="X2412" s="223"/>
      <c r="Y2412" s="223"/>
      <c r="Z2412" s="223"/>
      <c r="AA2412" s="223"/>
    </row>
    <row r="2413">
      <c r="A2413" s="42">
        <f t="shared" si="3"/>
        <v>2412</v>
      </c>
      <c r="B2413" s="51" t="s">
        <v>41</v>
      </c>
      <c r="C2413" s="53" t="s">
        <v>10184</v>
      </c>
      <c r="D2413" s="42" t="s">
        <v>44</v>
      </c>
      <c r="E2413" s="42" t="s">
        <v>44</v>
      </c>
      <c r="F2413" s="53" t="s">
        <v>10185</v>
      </c>
      <c r="G2413" s="53" t="s">
        <v>47</v>
      </c>
      <c r="H2413" s="53" t="s">
        <v>48</v>
      </c>
      <c r="I2413" s="53" t="s">
        <v>401</v>
      </c>
      <c r="J2413" s="53" t="s">
        <v>10186</v>
      </c>
      <c r="K2413" s="53" t="s">
        <v>51</v>
      </c>
      <c r="L2413" s="53" t="s">
        <v>52</v>
      </c>
      <c r="M2413" s="53" t="s">
        <v>52</v>
      </c>
      <c r="N2413" s="62" t="s">
        <v>10187</v>
      </c>
      <c r="O2413" s="62" t="s">
        <v>44</v>
      </c>
      <c r="P2413" s="62" t="s">
        <v>10159</v>
      </c>
      <c r="Q2413" s="62" t="s">
        <v>10160</v>
      </c>
      <c r="R2413" s="53"/>
      <c r="S2413" s="53"/>
      <c r="T2413" s="82"/>
      <c r="U2413" s="42"/>
      <c r="V2413" s="62"/>
      <c r="W2413" s="64"/>
      <c r="X2413" s="223"/>
      <c r="Y2413" s="223"/>
      <c r="Z2413" s="223"/>
      <c r="AA2413" s="223"/>
    </row>
    <row r="2414">
      <c r="A2414" s="42">
        <f t="shared" si="3"/>
        <v>2413</v>
      </c>
      <c r="B2414" s="51" t="s">
        <v>41</v>
      </c>
      <c r="C2414" s="53" t="s">
        <v>10188</v>
      </c>
      <c r="D2414" s="42" t="s">
        <v>44</v>
      </c>
      <c r="E2414" s="42" t="s">
        <v>44</v>
      </c>
      <c r="F2414" s="53" t="s">
        <v>10185</v>
      </c>
      <c r="G2414" s="53" t="s">
        <v>47</v>
      </c>
      <c r="H2414" s="53" t="s">
        <v>48</v>
      </c>
      <c r="I2414" s="53" t="s">
        <v>401</v>
      </c>
      <c r="J2414" s="53" t="s">
        <v>10186</v>
      </c>
      <c r="K2414" s="53" t="s">
        <v>51</v>
      </c>
      <c r="L2414" s="53" t="s">
        <v>52</v>
      </c>
      <c r="M2414" s="53" t="s">
        <v>52</v>
      </c>
      <c r="N2414" s="62" t="s">
        <v>10187</v>
      </c>
      <c r="O2414" s="62" t="s">
        <v>44</v>
      </c>
      <c r="P2414" s="62" t="s">
        <v>10165</v>
      </c>
      <c r="Q2414" s="62" t="s">
        <v>10166</v>
      </c>
      <c r="R2414" s="53"/>
      <c r="S2414" s="53"/>
      <c r="T2414" s="82"/>
      <c r="U2414" s="42"/>
      <c r="V2414" s="62"/>
      <c r="W2414" s="64"/>
      <c r="X2414" s="223"/>
      <c r="Y2414" s="223"/>
      <c r="Z2414" s="223"/>
      <c r="AA2414" s="223"/>
    </row>
    <row r="2415">
      <c r="A2415" s="42">
        <f t="shared" si="3"/>
        <v>2414</v>
      </c>
      <c r="B2415" s="51" t="s">
        <v>41</v>
      </c>
      <c r="C2415" s="53" t="s">
        <v>10189</v>
      </c>
      <c r="D2415" s="42" t="s">
        <v>44</v>
      </c>
      <c r="E2415" s="42" t="s">
        <v>44</v>
      </c>
      <c r="F2415" s="53" t="s">
        <v>10185</v>
      </c>
      <c r="G2415" s="53" t="s">
        <v>47</v>
      </c>
      <c r="H2415" s="53" t="s">
        <v>48</v>
      </c>
      <c r="I2415" s="53" t="s">
        <v>401</v>
      </c>
      <c r="J2415" s="53" t="s">
        <v>10186</v>
      </c>
      <c r="K2415" s="53" t="s">
        <v>51</v>
      </c>
      <c r="L2415" s="53" t="s">
        <v>52</v>
      </c>
      <c r="M2415" s="53" t="s">
        <v>52</v>
      </c>
      <c r="N2415" s="62" t="s">
        <v>10187</v>
      </c>
      <c r="O2415" s="62" t="s">
        <v>44</v>
      </c>
      <c r="P2415" s="62" t="s">
        <v>10190</v>
      </c>
      <c r="Q2415" s="62" t="s">
        <v>10109</v>
      </c>
      <c r="R2415" s="53"/>
      <c r="S2415" s="53"/>
      <c r="T2415" s="82"/>
      <c r="U2415" s="42"/>
      <c r="V2415" s="62"/>
      <c r="W2415" s="64"/>
      <c r="X2415" s="223"/>
      <c r="Y2415" s="223"/>
      <c r="Z2415" s="223"/>
      <c r="AA2415" s="223"/>
    </row>
    <row r="2416">
      <c r="A2416" s="42">
        <f t="shared" si="3"/>
        <v>2415</v>
      </c>
      <c r="B2416" s="51" t="s">
        <v>41</v>
      </c>
      <c r="C2416" s="53" t="s">
        <v>10191</v>
      </c>
      <c r="D2416" s="42" t="s">
        <v>44</v>
      </c>
      <c r="E2416" s="42" t="s">
        <v>44</v>
      </c>
      <c r="F2416" s="53" t="s">
        <v>10185</v>
      </c>
      <c r="G2416" s="53" t="s">
        <v>47</v>
      </c>
      <c r="H2416" s="53" t="s">
        <v>48</v>
      </c>
      <c r="I2416" s="53" t="s">
        <v>401</v>
      </c>
      <c r="J2416" s="53" t="s">
        <v>10186</v>
      </c>
      <c r="K2416" s="53" t="s">
        <v>51</v>
      </c>
      <c r="L2416" s="53" t="s">
        <v>52</v>
      </c>
      <c r="M2416" s="53" t="s">
        <v>52</v>
      </c>
      <c r="N2416" s="62" t="s">
        <v>10187</v>
      </c>
      <c r="O2416" s="62" t="s">
        <v>44</v>
      </c>
      <c r="P2416" s="62" t="s">
        <v>10192</v>
      </c>
      <c r="Q2416" s="62" t="s">
        <v>10193</v>
      </c>
      <c r="R2416" s="53"/>
      <c r="S2416" s="53"/>
      <c r="T2416" s="82"/>
      <c r="U2416" s="42"/>
      <c r="V2416" s="62"/>
      <c r="W2416" s="64"/>
      <c r="X2416" s="223"/>
      <c r="Y2416" s="223"/>
      <c r="Z2416" s="223"/>
      <c r="AA2416" s="223"/>
    </row>
    <row r="2417">
      <c r="A2417" s="42">
        <f t="shared" si="3"/>
        <v>2416</v>
      </c>
      <c r="B2417" s="51" t="s">
        <v>41</v>
      </c>
      <c r="C2417" s="53" t="s">
        <v>10194</v>
      </c>
      <c r="D2417" s="42" t="s">
        <v>44</v>
      </c>
      <c r="E2417" s="42" t="s">
        <v>44</v>
      </c>
      <c r="F2417" s="53" t="s">
        <v>10185</v>
      </c>
      <c r="G2417" s="53" t="s">
        <v>47</v>
      </c>
      <c r="H2417" s="53" t="s">
        <v>95</v>
      </c>
      <c r="I2417" s="53" t="s">
        <v>401</v>
      </c>
      <c r="J2417" s="53" t="s">
        <v>10186</v>
      </c>
      <c r="K2417" s="53" t="s">
        <v>51</v>
      </c>
      <c r="L2417" s="53" t="s">
        <v>52</v>
      </c>
      <c r="M2417" s="53" t="s">
        <v>52</v>
      </c>
      <c r="N2417" s="62" t="s">
        <v>10195</v>
      </c>
      <c r="O2417" s="62" t="s">
        <v>44</v>
      </c>
      <c r="P2417" s="62" t="s">
        <v>10179</v>
      </c>
      <c r="Q2417" s="62" t="s">
        <v>10180</v>
      </c>
      <c r="R2417" s="53"/>
      <c r="S2417" s="53"/>
      <c r="T2417" s="82"/>
      <c r="U2417" s="42"/>
      <c r="V2417" s="62"/>
      <c r="W2417" s="64"/>
      <c r="X2417" s="223"/>
      <c r="Y2417" s="223"/>
      <c r="Z2417" s="223"/>
      <c r="AA2417" s="223"/>
    </row>
    <row r="2418">
      <c r="A2418" s="42">
        <f t="shared" si="3"/>
        <v>2417</v>
      </c>
      <c r="B2418" s="51" t="s">
        <v>41</v>
      </c>
      <c r="C2418" s="53" t="s">
        <v>10196</v>
      </c>
      <c r="D2418" s="42" t="s">
        <v>44</v>
      </c>
      <c r="E2418" s="42" t="s">
        <v>44</v>
      </c>
      <c r="F2418" s="53" t="s">
        <v>10185</v>
      </c>
      <c r="G2418" s="53" t="s">
        <v>47</v>
      </c>
      <c r="H2418" s="53" t="s">
        <v>48</v>
      </c>
      <c r="I2418" s="53" t="s">
        <v>401</v>
      </c>
      <c r="J2418" s="53" t="s">
        <v>10186</v>
      </c>
      <c r="K2418" s="53" t="s">
        <v>51</v>
      </c>
      <c r="L2418" s="53" t="s">
        <v>52</v>
      </c>
      <c r="M2418" s="53" t="s">
        <v>52</v>
      </c>
      <c r="N2418" s="62" t="s">
        <v>10197</v>
      </c>
      <c r="O2418" s="62" t="s">
        <v>44</v>
      </c>
      <c r="P2418" s="62" t="s">
        <v>9662</v>
      </c>
      <c r="Q2418" s="62" t="s">
        <v>10183</v>
      </c>
      <c r="R2418" s="53"/>
      <c r="S2418" s="53"/>
      <c r="T2418" s="82"/>
      <c r="U2418" s="42"/>
      <c r="V2418" s="62"/>
      <c r="W2418" s="64"/>
      <c r="X2418" s="223"/>
      <c r="Y2418" s="223"/>
      <c r="Z2418" s="223"/>
      <c r="AA2418" s="223"/>
    </row>
    <row r="2419">
      <c r="A2419" s="42">
        <f t="shared" si="3"/>
        <v>2418</v>
      </c>
      <c r="B2419" s="51" t="s">
        <v>41</v>
      </c>
      <c r="C2419" s="53" t="s">
        <v>10198</v>
      </c>
      <c r="D2419" s="42" t="s">
        <v>44</v>
      </c>
      <c r="E2419" s="42" t="s">
        <v>44</v>
      </c>
      <c r="F2419" s="53" t="s">
        <v>10199</v>
      </c>
      <c r="G2419" s="53" t="s">
        <v>47</v>
      </c>
      <c r="H2419" s="53" t="s">
        <v>48</v>
      </c>
      <c r="I2419" s="53" t="s">
        <v>401</v>
      </c>
      <c r="J2419" s="53" t="s">
        <v>10200</v>
      </c>
      <c r="K2419" s="53" t="s">
        <v>51</v>
      </c>
      <c r="L2419" s="53" t="s">
        <v>52</v>
      </c>
      <c r="M2419" s="53" t="s">
        <v>52</v>
      </c>
      <c r="N2419" s="62" t="s">
        <v>10201</v>
      </c>
      <c r="O2419" s="62" t="s">
        <v>44</v>
      </c>
      <c r="P2419" s="62" t="s">
        <v>10159</v>
      </c>
      <c r="Q2419" s="62" t="s">
        <v>10160</v>
      </c>
      <c r="R2419" s="53"/>
      <c r="S2419" s="53"/>
      <c r="T2419" s="82"/>
      <c r="U2419" s="42"/>
      <c r="V2419" s="62"/>
      <c r="W2419" s="64"/>
      <c r="X2419" s="223"/>
      <c r="Y2419" s="223"/>
      <c r="Z2419" s="223"/>
      <c r="AA2419" s="223"/>
    </row>
    <row r="2420">
      <c r="A2420" s="42">
        <f t="shared" si="3"/>
        <v>2419</v>
      </c>
      <c r="B2420" s="51" t="s">
        <v>41</v>
      </c>
      <c r="C2420" s="53" t="s">
        <v>10202</v>
      </c>
      <c r="D2420" s="42" t="s">
        <v>44</v>
      </c>
      <c r="E2420" s="42" t="s">
        <v>44</v>
      </c>
      <c r="F2420" s="53" t="s">
        <v>10199</v>
      </c>
      <c r="G2420" s="53" t="s">
        <v>47</v>
      </c>
      <c r="H2420" s="53" t="s">
        <v>48</v>
      </c>
      <c r="I2420" s="53" t="s">
        <v>401</v>
      </c>
      <c r="J2420" s="53" t="s">
        <v>10200</v>
      </c>
      <c r="K2420" s="53" t="s">
        <v>51</v>
      </c>
      <c r="L2420" s="53" t="s">
        <v>52</v>
      </c>
      <c r="M2420" s="53" t="s">
        <v>52</v>
      </c>
      <c r="N2420" s="62" t="s">
        <v>10201</v>
      </c>
      <c r="O2420" s="62" t="s">
        <v>44</v>
      </c>
      <c r="P2420" s="62" t="s">
        <v>10165</v>
      </c>
      <c r="Q2420" s="62" t="s">
        <v>10166</v>
      </c>
      <c r="R2420" s="53"/>
      <c r="S2420" s="53"/>
      <c r="T2420" s="82"/>
      <c r="U2420" s="42"/>
      <c r="V2420" s="62"/>
      <c r="W2420" s="64"/>
      <c r="X2420" s="223"/>
      <c r="Y2420" s="223"/>
      <c r="Z2420" s="223"/>
      <c r="AA2420" s="223"/>
    </row>
    <row r="2421">
      <c r="A2421" s="42">
        <f t="shared" si="3"/>
        <v>2420</v>
      </c>
      <c r="B2421" s="51" t="s">
        <v>41</v>
      </c>
      <c r="C2421" s="53" t="s">
        <v>10203</v>
      </c>
      <c r="D2421" s="42" t="s">
        <v>44</v>
      </c>
      <c r="E2421" s="42" t="s">
        <v>44</v>
      </c>
      <c r="F2421" s="53" t="s">
        <v>10199</v>
      </c>
      <c r="G2421" s="53" t="s">
        <v>47</v>
      </c>
      <c r="H2421" s="53" t="s">
        <v>48</v>
      </c>
      <c r="I2421" s="53" t="s">
        <v>401</v>
      </c>
      <c r="J2421" s="53" t="s">
        <v>10200</v>
      </c>
      <c r="K2421" s="53" t="s">
        <v>51</v>
      </c>
      <c r="L2421" s="53" t="s">
        <v>52</v>
      </c>
      <c r="M2421" s="53" t="s">
        <v>52</v>
      </c>
      <c r="N2421" s="62" t="s">
        <v>10201</v>
      </c>
      <c r="O2421" s="62" t="s">
        <v>44</v>
      </c>
      <c r="P2421" s="62" t="s">
        <v>10190</v>
      </c>
      <c r="Q2421" s="62" t="s">
        <v>10109</v>
      </c>
      <c r="R2421" s="53"/>
      <c r="S2421" s="53"/>
      <c r="T2421" s="82"/>
      <c r="U2421" s="42"/>
      <c r="V2421" s="62"/>
      <c r="W2421" s="64"/>
      <c r="X2421" s="223"/>
      <c r="Y2421" s="223"/>
      <c r="Z2421" s="223"/>
      <c r="AA2421" s="223"/>
    </row>
    <row r="2422">
      <c r="A2422" s="42">
        <f t="shared" si="3"/>
        <v>2421</v>
      </c>
      <c r="B2422" s="51" t="s">
        <v>41</v>
      </c>
      <c r="C2422" s="53" t="s">
        <v>10204</v>
      </c>
      <c r="D2422" s="42" t="s">
        <v>44</v>
      </c>
      <c r="E2422" s="42" t="s">
        <v>44</v>
      </c>
      <c r="F2422" s="53" t="s">
        <v>10199</v>
      </c>
      <c r="G2422" s="53" t="s">
        <v>47</v>
      </c>
      <c r="H2422" s="53" t="s">
        <v>48</v>
      </c>
      <c r="I2422" s="53" t="s">
        <v>401</v>
      </c>
      <c r="J2422" s="53" t="s">
        <v>10200</v>
      </c>
      <c r="K2422" s="53" t="s">
        <v>51</v>
      </c>
      <c r="L2422" s="53" t="s">
        <v>52</v>
      </c>
      <c r="M2422" s="53" t="s">
        <v>52</v>
      </c>
      <c r="N2422" s="62" t="s">
        <v>10201</v>
      </c>
      <c r="O2422" s="62" t="s">
        <v>44</v>
      </c>
      <c r="P2422" s="62" t="s">
        <v>10192</v>
      </c>
      <c r="Q2422" s="62" t="s">
        <v>10193</v>
      </c>
      <c r="R2422" s="53"/>
      <c r="S2422" s="53"/>
      <c r="T2422" s="82"/>
      <c r="U2422" s="42"/>
      <c r="V2422" s="62"/>
      <c r="W2422" s="64"/>
      <c r="X2422" s="223"/>
      <c r="Y2422" s="223"/>
      <c r="Z2422" s="223"/>
      <c r="AA2422" s="223"/>
    </row>
    <row r="2423">
      <c r="A2423" s="42">
        <f t="shared" si="3"/>
        <v>2422</v>
      </c>
      <c r="B2423" s="51" t="s">
        <v>41</v>
      </c>
      <c r="C2423" s="53" t="s">
        <v>10205</v>
      </c>
      <c r="D2423" s="42" t="s">
        <v>44</v>
      </c>
      <c r="E2423" s="42" t="s">
        <v>44</v>
      </c>
      <c r="F2423" s="53" t="s">
        <v>10199</v>
      </c>
      <c r="G2423" s="53" t="s">
        <v>47</v>
      </c>
      <c r="H2423" s="53" t="s">
        <v>95</v>
      </c>
      <c r="I2423" s="53" t="s">
        <v>401</v>
      </c>
      <c r="J2423" s="53" t="s">
        <v>10200</v>
      </c>
      <c r="K2423" s="53" t="s">
        <v>51</v>
      </c>
      <c r="L2423" s="53" t="s">
        <v>52</v>
      </c>
      <c r="M2423" s="53" t="s">
        <v>52</v>
      </c>
      <c r="N2423" s="62" t="s">
        <v>10206</v>
      </c>
      <c r="O2423" s="62" t="s">
        <v>44</v>
      </c>
      <c r="P2423" s="62" t="s">
        <v>10179</v>
      </c>
      <c r="Q2423" s="62" t="s">
        <v>10180</v>
      </c>
      <c r="R2423" s="53"/>
      <c r="S2423" s="53"/>
      <c r="T2423" s="82"/>
      <c r="U2423" s="42"/>
      <c r="V2423" s="62"/>
      <c r="W2423" s="64"/>
      <c r="X2423" s="223"/>
      <c r="Y2423" s="223"/>
      <c r="Z2423" s="223"/>
      <c r="AA2423" s="223"/>
    </row>
    <row r="2424">
      <c r="A2424" s="42">
        <f t="shared" si="3"/>
        <v>2423</v>
      </c>
      <c r="B2424" s="51" t="s">
        <v>41</v>
      </c>
      <c r="C2424" s="53" t="s">
        <v>10207</v>
      </c>
      <c r="D2424" s="42" t="s">
        <v>44</v>
      </c>
      <c r="E2424" s="42" t="s">
        <v>44</v>
      </c>
      <c r="F2424" s="53" t="s">
        <v>10199</v>
      </c>
      <c r="G2424" s="53" t="s">
        <v>47</v>
      </c>
      <c r="H2424" s="53" t="s">
        <v>48</v>
      </c>
      <c r="I2424" s="53" t="s">
        <v>401</v>
      </c>
      <c r="J2424" s="53" t="s">
        <v>10200</v>
      </c>
      <c r="K2424" s="53" t="s">
        <v>51</v>
      </c>
      <c r="L2424" s="53" t="s">
        <v>52</v>
      </c>
      <c r="M2424" s="53" t="s">
        <v>52</v>
      </c>
      <c r="N2424" s="62" t="s">
        <v>10208</v>
      </c>
      <c r="O2424" s="62" t="s">
        <v>44</v>
      </c>
      <c r="P2424" s="62" t="s">
        <v>9662</v>
      </c>
      <c r="Q2424" s="62" t="s">
        <v>10183</v>
      </c>
      <c r="R2424" s="53"/>
      <c r="S2424" s="53"/>
      <c r="T2424" s="82"/>
      <c r="U2424" s="42"/>
      <c r="V2424" s="62"/>
      <c r="W2424" s="64"/>
      <c r="X2424" s="223"/>
      <c r="Y2424" s="223"/>
      <c r="Z2424" s="223"/>
      <c r="AA2424" s="223"/>
    </row>
    <row r="2425">
      <c r="A2425" s="42">
        <f t="shared" si="3"/>
        <v>2424</v>
      </c>
      <c r="B2425" s="51" t="s">
        <v>41</v>
      </c>
      <c r="C2425" s="53" t="s">
        <v>10209</v>
      </c>
      <c r="D2425" s="42" t="s">
        <v>44</v>
      </c>
      <c r="E2425" s="42" t="s">
        <v>44</v>
      </c>
      <c r="F2425" s="53" t="s">
        <v>10210</v>
      </c>
      <c r="G2425" s="53" t="s">
        <v>47</v>
      </c>
      <c r="H2425" s="53" t="s">
        <v>48</v>
      </c>
      <c r="I2425" s="53" t="s">
        <v>401</v>
      </c>
      <c r="J2425" s="53" t="s">
        <v>10211</v>
      </c>
      <c r="K2425" s="53" t="s">
        <v>51</v>
      </c>
      <c r="L2425" s="53" t="s">
        <v>52</v>
      </c>
      <c r="M2425" s="53" t="s">
        <v>52</v>
      </c>
      <c r="N2425" s="62" t="s">
        <v>10212</v>
      </c>
      <c r="O2425" s="62" t="s">
        <v>44</v>
      </c>
      <c r="P2425" s="62" t="s">
        <v>10159</v>
      </c>
      <c r="Q2425" s="62" t="s">
        <v>10160</v>
      </c>
      <c r="R2425" s="53"/>
      <c r="S2425" s="53"/>
      <c r="T2425" s="82"/>
      <c r="U2425" s="42"/>
      <c r="V2425" s="62"/>
      <c r="W2425" s="64"/>
      <c r="X2425" s="223"/>
      <c r="Y2425" s="223"/>
      <c r="Z2425" s="223"/>
      <c r="AA2425" s="223"/>
    </row>
    <row r="2426">
      <c r="A2426" s="42">
        <f t="shared" si="3"/>
        <v>2425</v>
      </c>
      <c r="B2426" s="51" t="s">
        <v>41</v>
      </c>
      <c r="C2426" s="53" t="s">
        <v>10213</v>
      </c>
      <c r="D2426" s="42" t="s">
        <v>44</v>
      </c>
      <c r="E2426" s="42" t="s">
        <v>44</v>
      </c>
      <c r="F2426" s="53" t="s">
        <v>10210</v>
      </c>
      <c r="G2426" s="53" t="s">
        <v>47</v>
      </c>
      <c r="H2426" s="53" t="s">
        <v>48</v>
      </c>
      <c r="I2426" s="53" t="s">
        <v>401</v>
      </c>
      <c r="J2426" s="53" t="s">
        <v>10211</v>
      </c>
      <c r="K2426" s="53" t="s">
        <v>51</v>
      </c>
      <c r="L2426" s="53" t="s">
        <v>52</v>
      </c>
      <c r="M2426" s="53" t="s">
        <v>52</v>
      </c>
      <c r="N2426" s="62" t="s">
        <v>10212</v>
      </c>
      <c r="O2426" s="62" t="s">
        <v>44</v>
      </c>
      <c r="P2426" s="62" t="s">
        <v>10165</v>
      </c>
      <c r="Q2426" s="62" t="s">
        <v>10166</v>
      </c>
      <c r="R2426" s="53"/>
      <c r="S2426" s="53"/>
      <c r="T2426" s="82"/>
      <c r="U2426" s="42"/>
      <c r="V2426" s="62"/>
      <c r="W2426" s="64"/>
      <c r="X2426" s="223"/>
      <c r="Y2426" s="223"/>
      <c r="Z2426" s="223"/>
      <c r="AA2426" s="223"/>
    </row>
    <row r="2427">
      <c r="A2427" s="42">
        <f t="shared" si="3"/>
        <v>2426</v>
      </c>
      <c r="B2427" s="51" t="s">
        <v>41</v>
      </c>
      <c r="C2427" s="53" t="s">
        <v>10214</v>
      </c>
      <c r="D2427" s="42" t="s">
        <v>44</v>
      </c>
      <c r="E2427" s="42" t="s">
        <v>44</v>
      </c>
      <c r="F2427" s="53" t="s">
        <v>10210</v>
      </c>
      <c r="G2427" s="53" t="s">
        <v>47</v>
      </c>
      <c r="H2427" s="53" t="s">
        <v>48</v>
      </c>
      <c r="I2427" s="53" t="s">
        <v>401</v>
      </c>
      <c r="J2427" s="53" t="s">
        <v>10211</v>
      </c>
      <c r="K2427" s="53" t="s">
        <v>51</v>
      </c>
      <c r="L2427" s="53" t="s">
        <v>52</v>
      </c>
      <c r="M2427" s="53" t="s">
        <v>52</v>
      </c>
      <c r="N2427" s="62" t="s">
        <v>10212</v>
      </c>
      <c r="O2427" s="62" t="s">
        <v>44</v>
      </c>
      <c r="P2427" s="62" t="s">
        <v>10190</v>
      </c>
      <c r="Q2427" s="62" t="s">
        <v>10109</v>
      </c>
      <c r="R2427" s="53"/>
      <c r="S2427" s="53"/>
      <c r="T2427" s="82"/>
      <c r="U2427" s="42"/>
      <c r="V2427" s="62"/>
      <c r="W2427" s="64"/>
      <c r="X2427" s="223"/>
      <c r="Y2427" s="223"/>
      <c r="Z2427" s="223"/>
      <c r="AA2427" s="223"/>
    </row>
    <row r="2428">
      <c r="A2428" s="42">
        <f t="shared" si="3"/>
        <v>2427</v>
      </c>
      <c r="B2428" s="51" t="s">
        <v>41</v>
      </c>
      <c r="C2428" s="53" t="s">
        <v>10215</v>
      </c>
      <c r="D2428" s="42" t="s">
        <v>44</v>
      </c>
      <c r="E2428" s="42" t="s">
        <v>44</v>
      </c>
      <c r="F2428" s="53" t="s">
        <v>10210</v>
      </c>
      <c r="G2428" s="53" t="s">
        <v>47</v>
      </c>
      <c r="H2428" s="53" t="s">
        <v>48</v>
      </c>
      <c r="I2428" s="53" t="s">
        <v>401</v>
      </c>
      <c r="J2428" s="53" t="s">
        <v>10211</v>
      </c>
      <c r="K2428" s="53" t="s">
        <v>51</v>
      </c>
      <c r="L2428" s="53" t="s">
        <v>52</v>
      </c>
      <c r="M2428" s="53" t="s">
        <v>52</v>
      </c>
      <c r="N2428" s="62" t="s">
        <v>10212</v>
      </c>
      <c r="O2428" s="62" t="s">
        <v>44</v>
      </c>
      <c r="P2428" s="62" t="s">
        <v>10192</v>
      </c>
      <c r="Q2428" s="62" t="s">
        <v>10193</v>
      </c>
      <c r="R2428" s="53"/>
      <c r="S2428" s="53"/>
      <c r="T2428" s="82"/>
      <c r="U2428" s="42"/>
      <c r="V2428" s="62"/>
      <c r="W2428" s="64"/>
      <c r="X2428" s="223"/>
      <c r="Y2428" s="223"/>
      <c r="Z2428" s="223"/>
      <c r="AA2428" s="223"/>
    </row>
    <row r="2429">
      <c r="A2429" s="42">
        <f t="shared" si="3"/>
        <v>2428</v>
      </c>
      <c r="B2429" s="51" t="s">
        <v>41</v>
      </c>
      <c r="C2429" s="53" t="s">
        <v>10216</v>
      </c>
      <c r="D2429" s="42" t="s">
        <v>44</v>
      </c>
      <c r="E2429" s="42" t="s">
        <v>44</v>
      </c>
      <c r="F2429" s="53" t="s">
        <v>10210</v>
      </c>
      <c r="G2429" s="53" t="s">
        <v>47</v>
      </c>
      <c r="H2429" s="53" t="s">
        <v>95</v>
      </c>
      <c r="I2429" s="53" t="s">
        <v>401</v>
      </c>
      <c r="J2429" s="53" t="s">
        <v>10211</v>
      </c>
      <c r="K2429" s="53" t="s">
        <v>51</v>
      </c>
      <c r="L2429" s="53" t="s">
        <v>52</v>
      </c>
      <c r="M2429" s="53" t="s">
        <v>52</v>
      </c>
      <c r="N2429" s="62" t="s">
        <v>10217</v>
      </c>
      <c r="O2429" s="62" t="s">
        <v>44</v>
      </c>
      <c r="P2429" s="62" t="s">
        <v>10179</v>
      </c>
      <c r="Q2429" s="62" t="s">
        <v>10180</v>
      </c>
      <c r="R2429" s="53"/>
      <c r="S2429" s="53"/>
      <c r="T2429" s="82"/>
      <c r="U2429" s="42"/>
      <c r="V2429" s="62"/>
      <c r="W2429" s="64"/>
      <c r="X2429" s="223"/>
      <c r="Y2429" s="223"/>
      <c r="Z2429" s="223"/>
      <c r="AA2429" s="223"/>
    </row>
    <row r="2430">
      <c r="A2430" s="42">
        <f t="shared" si="3"/>
        <v>2429</v>
      </c>
      <c r="B2430" s="51" t="s">
        <v>41</v>
      </c>
      <c r="C2430" s="53" t="s">
        <v>10218</v>
      </c>
      <c r="D2430" s="42" t="s">
        <v>44</v>
      </c>
      <c r="E2430" s="42" t="s">
        <v>44</v>
      </c>
      <c r="F2430" s="53" t="s">
        <v>10210</v>
      </c>
      <c r="G2430" s="53" t="s">
        <v>47</v>
      </c>
      <c r="H2430" s="53" t="s">
        <v>48</v>
      </c>
      <c r="I2430" s="53" t="s">
        <v>401</v>
      </c>
      <c r="J2430" s="53" t="s">
        <v>10211</v>
      </c>
      <c r="K2430" s="53" t="s">
        <v>51</v>
      </c>
      <c r="L2430" s="53" t="s">
        <v>52</v>
      </c>
      <c r="M2430" s="53" t="s">
        <v>52</v>
      </c>
      <c r="N2430" s="62" t="s">
        <v>10219</v>
      </c>
      <c r="O2430" s="62" t="s">
        <v>44</v>
      </c>
      <c r="P2430" s="62" t="s">
        <v>9662</v>
      </c>
      <c r="Q2430" s="62" t="s">
        <v>10183</v>
      </c>
      <c r="R2430" s="53"/>
      <c r="S2430" s="53"/>
      <c r="T2430" s="82"/>
      <c r="U2430" s="42"/>
      <c r="V2430" s="62"/>
      <c r="W2430" s="64"/>
      <c r="X2430" s="223"/>
      <c r="Y2430" s="223"/>
      <c r="Z2430" s="223"/>
      <c r="AA2430" s="223"/>
    </row>
    <row r="2431">
      <c r="A2431" s="42">
        <f t="shared" si="3"/>
        <v>2430</v>
      </c>
      <c r="B2431" s="51" t="s">
        <v>41</v>
      </c>
      <c r="C2431" s="53" t="s">
        <v>10220</v>
      </c>
      <c r="D2431" s="42" t="s">
        <v>44</v>
      </c>
      <c r="E2431" s="42" t="s">
        <v>44</v>
      </c>
      <c r="F2431" s="53" t="s">
        <v>10221</v>
      </c>
      <c r="G2431" s="53" t="s">
        <v>47</v>
      </c>
      <c r="H2431" s="53" t="s">
        <v>48</v>
      </c>
      <c r="I2431" s="53" t="s">
        <v>401</v>
      </c>
      <c r="J2431" s="53" t="s">
        <v>10222</v>
      </c>
      <c r="K2431" s="53" t="s">
        <v>51</v>
      </c>
      <c r="L2431" s="53" t="s">
        <v>52</v>
      </c>
      <c r="M2431" s="53" t="s">
        <v>52</v>
      </c>
      <c r="N2431" s="62" t="s">
        <v>10223</v>
      </c>
      <c r="O2431" s="62" t="s">
        <v>44</v>
      </c>
      <c r="P2431" s="62" t="s">
        <v>10159</v>
      </c>
      <c r="Q2431" s="62" t="s">
        <v>10160</v>
      </c>
      <c r="R2431" s="53"/>
      <c r="S2431" s="53"/>
      <c r="T2431" s="82"/>
      <c r="U2431" s="42"/>
      <c r="V2431" s="62"/>
      <c r="W2431" s="64"/>
      <c r="X2431" s="223"/>
      <c r="Y2431" s="223"/>
      <c r="Z2431" s="223"/>
      <c r="AA2431" s="223"/>
    </row>
    <row r="2432">
      <c r="A2432" s="42">
        <f t="shared" si="3"/>
        <v>2431</v>
      </c>
      <c r="B2432" s="51" t="s">
        <v>41</v>
      </c>
      <c r="C2432" s="53" t="s">
        <v>10224</v>
      </c>
      <c r="D2432" s="42" t="s">
        <v>44</v>
      </c>
      <c r="E2432" s="42" t="s">
        <v>44</v>
      </c>
      <c r="F2432" s="53" t="s">
        <v>10221</v>
      </c>
      <c r="G2432" s="53" t="s">
        <v>47</v>
      </c>
      <c r="H2432" s="53" t="s">
        <v>48</v>
      </c>
      <c r="I2432" s="53" t="s">
        <v>401</v>
      </c>
      <c r="J2432" s="53" t="s">
        <v>10222</v>
      </c>
      <c r="K2432" s="53" t="s">
        <v>51</v>
      </c>
      <c r="L2432" s="53" t="s">
        <v>52</v>
      </c>
      <c r="M2432" s="53" t="s">
        <v>52</v>
      </c>
      <c r="N2432" s="62" t="s">
        <v>10223</v>
      </c>
      <c r="O2432" s="62" t="s">
        <v>44</v>
      </c>
      <c r="P2432" s="62" t="s">
        <v>10165</v>
      </c>
      <c r="Q2432" s="62" t="s">
        <v>10166</v>
      </c>
      <c r="R2432" s="53"/>
      <c r="S2432" s="53"/>
      <c r="T2432" s="82"/>
      <c r="U2432" s="42"/>
      <c r="V2432" s="62"/>
      <c r="W2432" s="64"/>
      <c r="X2432" s="223"/>
      <c r="Y2432" s="223"/>
      <c r="Z2432" s="223"/>
      <c r="AA2432" s="223"/>
    </row>
    <row r="2433">
      <c r="A2433" s="42">
        <f t="shared" si="3"/>
        <v>2432</v>
      </c>
      <c r="B2433" s="51" t="s">
        <v>41</v>
      </c>
      <c r="C2433" s="53" t="s">
        <v>10225</v>
      </c>
      <c r="D2433" s="42" t="s">
        <v>44</v>
      </c>
      <c r="E2433" s="42" t="s">
        <v>44</v>
      </c>
      <c r="F2433" s="53" t="s">
        <v>10221</v>
      </c>
      <c r="G2433" s="53" t="s">
        <v>47</v>
      </c>
      <c r="H2433" s="53" t="s">
        <v>48</v>
      </c>
      <c r="I2433" s="53" t="s">
        <v>401</v>
      </c>
      <c r="J2433" s="53" t="s">
        <v>10222</v>
      </c>
      <c r="K2433" s="53" t="s">
        <v>51</v>
      </c>
      <c r="L2433" s="53" t="s">
        <v>52</v>
      </c>
      <c r="M2433" s="53" t="s">
        <v>52</v>
      </c>
      <c r="N2433" s="62" t="s">
        <v>10223</v>
      </c>
      <c r="O2433" s="62" t="s">
        <v>44</v>
      </c>
      <c r="P2433" s="62" t="s">
        <v>10190</v>
      </c>
      <c r="Q2433" s="62" t="s">
        <v>10109</v>
      </c>
      <c r="R2433" s="53"/>
      <c r="S2433" s="53"/>
      <c r="T2433" s="82"/>
      <c r="U2433" s="42"/>
      <c r="V2433" s="62"/>
      <c r="W2433" s="64"/>
      <c r="X2433" s="223"/>
      <c r="Y2433" s="223"/>
      <c r="Z2433" s="223"/>
      <c r="AA2433" s="223"/>
    </row>
    <row r="2434">
      <c r="A2434" s="42">
        <f t="shared" si="3"/>
        <v>2433</v>
      </c>
      <c r="B2434" s="51" t="s">
        <v>41</v>
      </c>
      <c r="C2434" s="53" t="s">
        <v>10226</v>
      </c>
      <c r="D2434" s="42" t="s">
        <v>44</v>
      </c>
      <c r="E2434" s="42" t="s">
        <v>44</v>
      </c>
      <c r="F2434" s="53" t="s">
        <v>10221</v>
      </c>
      <c r="G2434" s="53" t="s">
        <v>47</v>
      </c>
      <c r="H2434" s="53" t="s">
        <v>48</v>
      </c>
      <c r="I2434" s="53" t="s">
        <v>401</v>
      </c>
      <c r="J2434" s="53" t="s">
        <v>10222</v>
      </c>
      <c r="K2434" s="53" t="s">
        <v>51</v>
      </c>
      <c r="L2434" s="53" t="s">
        <v>52</v>
      </c>
      <c r="M2434" s="53" t="s">
        <v>52</v>
      </c>
      <c r="N2434" s="62" t="s">
        <v>10223</v>
      </c>
      <c r="O2434" s="62" t="s">
        <v>44</v>
      </c>
      <c r="P2434" s="62" t="s">
        <v>10192</v>
      </c>
      <c r="Q2434" s="62" t="s">
        <v>10193</v>
      </c>
      <c r="R2434" s="53"/>
      <c r="S2434" s="53"/>
      <c r="T2434" s="82"/>
      <c r="U2434" s="42"/>
      <c r="V2434" s="62"/>
      <c r="W2434" s="64"/>
      <c r="X2434" s="223"/>
      <c r="Y2434" s="223"/>
      <c r="Z2434" s="223"/>
      <c r="AA2434" s="223"/>
    </row>
    <row r="2435">
      <c r="A2435" s="42">
        <f t="shared" si="3"/>
        <v>2434</v>
      </c>
      <c r="B2435" s="51" t="s">
        <v>41</v>
      </c>
      <c r="C2435" s="53" t="s">
        <v>10227</v>
      </c>
      <c r="D2435" s="42" t="s">
        <v>44</v>
      </c>
      <c r="E2435" s="42" t="s">
        <v>44</v>
      </c>
      <c r="F2435" s="53" t="s">
        <v>10221</v>
      </c>
      <c r="G2435" s="53" t="s">
        <v>47</v>
      </c>
      <c r="H2435" s="53" t="s">
        <v>95</v>
      </c>
      <c r="I2435" s="53" t="s">
        <v>401</v>
      </c>
      <c r="J2435" s="53" t="s">
        <v>10222</v>
      </c>
      <c r="K2435" s="53" t="s">
        <v>51</v>
      </c>
      <c r="L2435" s="53" t="s">
        <v>52</v>
      </c>
      <c r="M2435" s="53" t="s">
        <v>52</v>
      </c>
      <c r="N2435" s="62" t="s">
        <v>10228</v>
      </c>
      <c r="O2435" s="62" t="s">
        <v>44</v>
      </c>
      <c r="P2435" s="62" t="s">
        <v>10179</v>
      </c>
      <c r="Q2435" s="62" t="s">
        <v>10180</v>
      </c>
      <c r="R2435" s="53"/>
      <c r="S2435" s="53"/>
      <c r="T2435" s="82"/>
      <c r="U2435" s="42"/>
      <c r="V2435" s="62"/>
      <c r="W2435" s="64"/>
      <c r="X2435" s="223"/>
      <c r="Y2435" s="223"/>
      <c r="Z2435" s="223"/>
      <c r="AA2435" s="223"/>
    </row>
    <row r="2436">
      <c r="A2436" s="42">
        <f t="shared" si="3"/>
        <v>2435</v>
      </c>
      <c r="B2436" s="51" t="s">
        <v>41</v>
      </c>
      <c r="C2436" s="53" t="s">
        <v>10229</v>
      </c>
      <c r="D2436" s="42" t="s">
        <v>44</v>
      </c>
      <c r="E2436" s="42" t="s">
        <v>44</v>
      </c>
      <c r="F2436" s="53" t="s">
        <v>10221</v>
      </c>
      <c r="G2436" s="53" t="s">
        <v>47</v>
      </c>
      <c r="H2436" s="53" t="s">
        <v>48</v>
      </c>
      <c r="I2436" s="53" t="s">
        <v>401</v>
      </c>
      <c r="J2436" s="53" t="s">
        <v>10222</v>
      </c>
      <c r="K2436" s="53" t="s">
        <v>51</v>
      </c>
      <c r="L2436" s="53" t="s">
        <v>52</v>
      </c>
      <c r="M2436" s="53" t="s">
        <v>52</v>
      </c>
      <c r="N2436" s="62" t="s">
        <v>10230</v>
      </c>
      <c r="O2436" s="62" t="s">
        <v>44</v>
      </c>
      <c r="P2436" s="62" t="s">
        <v>9662</v>
      </c>
      <c r="Q2436" s="62" t="s">
        <v>10183</v>
      </c>
      <c r="R2436" s="53"/>
      <c r="S2436" s="53"/>
      <c r="T2436" s="82"/>
      <c r="U2436" s="42"/>
      <c r="V2436" s="62"/>
      <c r="W2436" s="64"/>
      <c r="X2436" s="223"/>
      <c r="Y2436" s="223"/>
      <c r="Z2436" s="223"/>
      <c r="AA2436" s="223"/>
    </row>
    <row r="2437">
      <c r="A2437" s="42">
        <f t="shared" si="3"/>
        <v>2436</v>
      </c>
      <c r="B2437" s="51" t="s">
        <v>41</v>
      </c>
      <c r="C2437" s="53" t="s">
        <v>10231</v>
      </c>
      <c r="D2437" s="42" t="s">
        <v>44</v>
      </c>
      <c r="E2437" s="42" t="s">
        <v>44</v>
      </c>
      <c r="F2437" s="53" t="s">
        <v>10232</v>
      </c>
      <c r="G2437" s="53" t="s">
        <v>47</v>
      </c>
      <c r="H2437" s="53" t="s">
        <v>48</v>
      </c>
      <c r="I2437" s="53" t="s">
        <v>401</v>
      </c>
      <c r="J2437" s="53" t="s">
        <v>10233</v>
      </c>
      <c r="K2437" s="53" t="s">
        <v>51</v>
      </c>
      <c r="L2437" s="53" t="s">
        <v>52</v>
      </c>
      <c r="M2437" s="53" t="s">
        <v>52</v>
      </c>
      <c r="N2437" s="62" t="s">
        <v>10234</v>
      </c>
      <c r="O2437" s="62" t="s">
        <v>44</v>
      </c>
      <c r="P2437" s="62" t="s">
        <v>10159</v>
      </c>
      <c r="Q2437" s="62" t="s">
        <v>10160</v>
      </c>
      <c r="R2437" s="53"/>
      <c r="S2437" s="53"/>
      <c r="T2437" s="82"/>
      <c r="U2437" s="42"/>
      <c r="V2437" s="62"/>
      <c r="W2437" s="64"/>
      <c r="X2437" s="223"/>
      <c r="Y2437" s="223"/>
      <c r="Z2437" s="223"/>
      <c r="AA2437" s="223"/>
    </row>
    <row r="2438">
      <c r="A2438" s="42">
        <f t="shared" si="3"/>
        <v>2437</v>
      </c>
      <c r="B2438" s="51" t="s">
        <v>41</v>
      </c>
      <c r="C2438" s="53" t="s">
        <v>10235</v>
      </c>
      <c r="D2438" s="42" t="s">
        <v>44</v>
      </c>
      <c r="E2438" s="42" t="s">
        <v>44</v>
      </c>
      <c r="F2438" s="53" t="s">
        <v>10232</v>
      </c>
      <c r="G2438" s="53" t="s">
        <v>47</v>
      </c>
      <c r="H2438" s="53" t="s">
        <v>48</v>
      </c>
      <c r="I2438" s="53" t="s">
        <v>401</v>
      </c>
      <c r="J2438" s="53" t="s">
        <v>10233</v>
      </c>
      <c r="K2438" s="53" t="s">
        <v>51</v>
      </c>
      <c r="L2438" s="53" t="s">
        <v>52</v>
      </c>
      <c r="M2438" s="53" t="s">
        <v>52</v>
      </c>
      <c r="N2438" s="62" t="s">
        <v>10234</v>
      </c>
      <c r="O2438" s="62" t="s">
        <v>44</v>
      </c>
      <c r="P2438" s="62" t="s">
        <v>10165</v>
      </c>
      <c r="Q2438" s="62" t="s">
        <v>10166</v>
      </c>
      <c r="R2438" s="53"/>
      <c r="S2438" s="53"/>
      <c r="T2438" s="82"/>
      <c r="U2438" s="42"/>
      <c r="V2438" s="62"/>
      <c r="W2438" s="64"/>
      <c r="X2438" s="223"/>
      <c r="Y2438" s="223"/>
      <c r="Z2438" s="223"/>
      <c r="AA2438" s="223"/>
    </row>
    <row r="2439">
      <c r="A2439" s="42">
        <f t="shared" si="3"/>
        <v>2438</v>
      </c>
      <c r="B2439" s="51" t="s">
        <v>41</v>
      </c>
      <c r="C2439" s="53" t="s">
        <v>10236</v>
      </c>
      <c r="D2439" s="42" t="s">
        <v>44</v>
      </c>
      <c r="E2439" s="42" t="s">
        <v>44</v>
      </c>
      <c r="F2439" s="53" t="s">
        <v>10232</v>
      </c>
      <c r="G2439" s="53" t="s">
        <v>47</v>
      </c>
      <c r="H2439" s="53" t="s">
        <v>48</v>
      </c>
      <c r="I2439" s="53" t="s">
        <v>401</v>
      </c>
      <c r="J2439" s="53" t="s">
        <v>10233</v>
      </c>
      <c r="K2439" s="53" t="s">
        <v>51</v>
      </c>
      <c r="L2439" s="53" t="s">
        <v>52</v>
      </c>
      <c r="M2439" s="53" t="s">
        <v>52</v>
      </c>
      <c r="N2439" s="62" t="s">
        <v>10234</v>
      </c>
      <c r="O2439" s="62" t="s">
        <v>44</v>
      </c>
      <c r="P2439" s="62" t="s">
        <v>10190</v>
      </c>
      <c r="Q2439" s="62" t="s">
        <v>10109</v>
      </c>
      <c r="R2439" s="53"/>
      <c r="S2439" s="53"/>
      <c r="T2439" s="82"/>
      <c r="U2439" s="42"/>
      <c r="V2439" s="62"/>
      <c r="W2439" s="64"/>
      <c r="X2439" s="223"/>
      <c r="Y2439" s="223"/>
      <c r="Z2439" s="223"/>
      <c r="AA2439" s="223"/>
    </row>
    <row r="2440">
      <c r="A2440" s="42">
        <f t="shared" si="3"/>
        <v>2439</v>
      </c>
      <c r="B2440" s="51" t="s">
        <v>41</v>
      </c>
      <c r="C2440" s="53" t="s">
        <v>10237</v>
      </c>
      <c r="D2440" s="42" t="s">
        <v>44</v>
      </c>
      <c r="E2440" s="42" t="s">
        <v>44</v>
      </c>
      <c r="F2440" s="53" t="s">
        <v>10232</v>
      </c>
      <c r="G2440" s="53" t="s">
        <v>47</v>
      </c>
      <c r="H2440" s="53" t="s">
        <v>48</v>
      </c>
      <c r="I2440" s="53" t="s">
        <v>401</v>
      </c>
      <c r="J2440" s="53" t="s">
        <v>10233</v>
      </c>
      <c r="K2440" s="53" t="s">
        <v>51</v>
      </c>
      <c r="L2440" s="53" t="s">
        <v>52</v>
      </c>
      <c r="M2440" s="53" t="s">
        <v>52</v>
      </c>
      <c r="N2440" s="62" t="s">
        <v>10234</v>
      </c>
      <c r="O2440" s="62" t="s">
        <v>44</v>
      </c>
      <c r="P2440" s="62" t="s">
        <v>10192</v>
      </c>
      <c r="Q2440" s="62" t="s">
        <v>10193</v>
      </c>
      <c r="R2440" s="53"/>
      <c r="S2440" s="53"/>
      <c r="T2440" s="82"/>
      <c r="U2440" s="42"/>
      <c r="V2440" s="62"/>
      <c r="W2440" s="64"/>
      <c r="X2440" s="223"/>
      <c r="Y2440" s="223"/>
      <c r="Z2440" s="223"/>
      <c r="AA2440" s="223"/>
    </row>
    <row r="2441">
      <c r="A2441" s="42">
        <f t="shared" si="3"/>
        <v>2440</v>
      </c>
      <c r="B2441" s="51" t="s">
        <v>41</v>
      </c>
      <c r="C2441" s="53" t="s">
        <v>10238</v>
      </c>
      <c r="D2441" s="42" t="s">
        <v>44</v>
      </c>
      <c r="E2441" s="42" t="s">
        <v>44</v>
      </c>
      <c r="F2441" s="53" t="s">
        <v>10232</v>
      </c>
      <c r="G2441" s="53" t="s">
        <v>47</v>
      </c>
      <c r="H2441" s="53" t="s">
        <v>95</v>
      </c>
      <c r="I2441" s="53" t="s">
        <v>401</v>
      </c>
      <c r="J2441" s="53" t="s">
        <v>10233</v>
      </c>
      <c r="K2441" s="53" t="s">
        <v>51</v>
      </c>
      <c r="L2441" s="53" t="s">
        <v>52</v>
      </c>
      <c r="M2441" s="53" t="s">
        <v>52</v>
      </c>
      <c r="N2441" s="62" t="s">
        <v>10239</v>
      </c>
      <c r="O2441" s="62" t="s">
        <v>44</v>
      </c>
      <c r="P2441" s="62" t="s">
        <v>10179</v>
      </c>
      <c r="Q2441" s="62" t="s">
        <v>10180</v>
      </c>
      <c r="R2441" s="53"/>
      <c r="S2441" s="53"/>
      <c r="T2441" s="82"/>
      <c r="U2441" s="42"/>
      <c r="V2441" s="62"/>
      <c r="W2441" s="64"/>
      <c r="X2441" s="223"/>
      <c r="Y2441" s="223"/>
      <c r="Z2441" s="223"/>
      <c r="AA2441" s="223"/>
    </row>
    <row r="2442">
      <c r="A2442" s="42">
        <f t="shared" si="3"/>
        <v>2441</v>
      </c>
      <c r="B2442" s="51" t="s">
        <v>41</v>
      </c>
      <c r="C2442" s="53" t="s">
        <v>10240</v>
      </c>
      <c r="D2442" s="42" t="s">
        <v>44</v>
      </c>
      <c r="E2442" s="42" t="s">
        <v>44</v>
      </c>
      <c r="F2442" s="53" t="s">
        <v>10232</v>
      </c>
      <c r="G2442" s="53" t="s">
        <v>47</v>
      </c>
      <c r="H2442" s="53" t="s">
        <v>48</v>
      </c>
      <c r="I2442" s="53" t="s">
        <v>401</v>
      </c>
      <c r="J2442" s="53" t="s">
        <v>10233</v>
      </c>
      <c r="K2442" s="53" t="s">
        <v>51</v>
      </c>
      <c r="L2442" s="53" t="s">
        <v>52</v>
      </c>
      <c r="M2442" s="53" t="s">
        <v>52</v>
      </c>
      <c r="N2442" s="62" t="s">
        <v>10241</v>
      </c>
      <c r="O2442" s="62" t="s">
        <v>44</v>
      </c>
      <c r="P2442" s="62" t="s">
        <v>9662</v>
      </c>
      <c r="Q2442" s="62" t="s">
        <v>10183</v>
      </c>
      <c r="R2442" s="53"/>
      <c r="S2442" s="53"/>
      <c r="T2442" s="82"/>
      <c r="U2442" s="42"/>
      <c r="V2442" s="62"/>
      <c r="W2442" s="64"/>
      <c r="X2442" s="223"/>
      <c r="Y2442" s="223"/>
      <c r="Z2442" s="223"/>
      <c r="AA2442" s="223"/>
    </row>
    <row r="2443">
      <c r="A2443" s="42">
        <f t="shared" si="3"/>
        <v>2442</v>
      </c>
      <c r="B2443" s="51" t="s">
        <v>41</v>
      </c>
      <c r="C2443" s="53" t="s">
        <v>10242</v>
      </c>
      <c r="D2443" s="42" t="s">
        <v>44</v>
      </c>
      <c r="E2443" s="42" t="s">
        <v>44</v>
      </c>
      <c r="F2443" s="53" t="s">
        <v>10243</v>
      </c>
      <c r="G2443" s="53" t="s">
        <v>47</v>
      </c>
      <c r="H2443" s="53" t="s">
        <v>48</v>
      </c>
      <c r="I2443" s="53" t="s">
        <v>401</v>
      </c>
      <c r="J2443" s="53" t="s">
        <v>10244</v>
      </c>
      <c r="K2443" s="53" t="s">
        <v>51</v>
      </c>
      <c r="L2443" s="53" t="s">
        <v>52</v>
      </c>
      <c r="M2443" s="53" t="s">
        <v>52</v>
      </c>
      <c r="N2443" s="62" t="s">
        <v>10245</v>
      </c>
      <c r="O2443" s="62" t="s">
        <v>44</v>
      </c>
      <c r="P2443" s="62" t="s">
        <v>10159</v>
      </c>
      <c r="Q2443" s="62" t="s">
        <v>10160</v>
      </c>
      <c r="R2443" s="53"/>
      <c r="S2443" s="53"/>
      <c r="T2443" s="82"/>
      <c r="U2443" s="42"/>
      <c r="V2443" s="62"/>
      <c r="W2443" s="64"/>
      <c r="X2443" s="223"/>
      <c r="Y2443" s="223"/>
      <c r="Z2443" s="223"/>
      <c r="AA2443" s="223"/>
    </row>
    <row r="2444">
      <c r="A2444" s="42">
        <f t="shared" si="3"/>
        <v>2443</v>
      </c>
      <c r="B2444" s="51" t="s">
        <v>41</v>
      </c>
      <c r="C2444" s="53" t="s">
        <v>10246</v>
      </c>
      <c r="D2444" s="42" t="s">
        <v>44</v>
      </c>
      <c r="E2444" s="42" t="s">
        <v>44</v>
      </c>
      <c r="F2444" s="53" t="s">
        <v>10243</v>
      </c>
      <c r="G2444" s="53" t="s">
        <v>47</v>
      </c>
      <c r="H2444" s="53" t="s">
        <v>48</v>
      </c>
      <c r="I2444" s="53" t="s">
        <v>401</v>
      </c>
      <c r="J2444" s="53" t="s">
        <v>10244</v>
      </c>
      <c r="K2444" s="53" t="s">
        <v>51</v>
      </c>
      <c r="L2444" s="53" t="s">
        <v>52</v>
      </c>
      <c r="M2444" s="53" t="s">
        <v>52</v>
      </c>
      <c r="N2444" s="62" t="s">
        <v>10245</v>
      </c>
      <c r="O2444" s="62" t="s">
        <v>44</v>
      </c>
      <c r="P2444" s="62" t="s">
        <v>10165</v>
      </c>
      <c r="Q2444" s="62" t="s">
        <v>10166</v>
      </c>
      <c r="R2444" s="53"/>
      <c r="S2444" s="53"/>
      <c r="T2444" s="82"/>
      <c r="U2444" s="42"/>
      <c r="V2444" s="62"/>
      <c r="W2444" s="64"/>
      <c r="X2444" s="223"/>
      <c r="Y2444" s="223"/>
      <c r="Z2444" s="223"/>
      <c r="AA2444" s="223"/>
    </row>
    <row r="2445">
      <c r="A2445" s="42">
        <f t="shared" si="3"/>
        <v>2444</v>
      </c>
      <c r="B2445" s="51" t="s">
        <v>41</v>
      </c>
      <c r="C2445" s="53" t="s">
        <v>10247</v>
      </c>
      <c r="D2445" s="42" t="s">
        <v>44</v>
      </c>
      <c r="E2445" s="42" t="s">
        <v>44</v>
      </c>
      <c r="F2445" s="53" t="s">
        <v>10243</v>
      </c>
      <c r="G2445" s="53" t="s">
        <v>47</v>
      </c>
      <c r="H2445" s="53" t="s">
        <v>48</v>
      </c>
      <c r="I2445" s="53" t="s">
        <v>401</v>
      </c>
      <c r="J2445" s="53" t="s">
        <v>10244</v>
      </c>
      <c r="K2445" s="53" t="s">
        <v>51</v>
      </c>
      <c r="L2445" s="53" t="s">
        <v>52</v>
      </c>
      <c r="M2445" s="53" t="s">
        <v>52</v>
      </c>
      <c r="N2445" s="62" t="s">
        <v>10245</v>
      </c>
      <c r="O2445" s="62" t="s">
        <v>44</v>
      </c>
      <c r="P2445" s="62" t="s">
        <v>10190</v>
      </c>
      <c r="Q2445" s="62" t="s">
        <v>10109</v>
      </c>
      <c r="R2445" s="53"/>
      <c r="S2445" s="53"/>
      <c r="T2445" s="82"/>
      <c r="U2445" s="42"/>
      <c r="V2445" s="62"/>
      <c r="W2445" s="64"/>
      <c r="X2445" s="223"/>
      <c r="Y2445" s="223"/>
      <c r="Z2445" s="223"/>
      <c r="AA2445" s="223"/>
    </row>
    <row r="2446">
      <c r="A2446" s="42">
        <f t="shared" si="3"/>
        <v>2445</v>
      </c>
      <c r="B2446" s="51" t="s">
        <v>41</v>
      </c>
      <c r="C2446" s="53" t="s">
        <v>10248</v>
      </c>
      <c r="D2446" s="42" t="s">
        <v>44</v>
      </c>
      <c r="E2446" s="42" t="s">
        <v>44</v>
      </c>
      <c r="F2446" s="53" t="s">
        <v>10243</v>
      </c>
      <c r="G2446" s="53" t="s">
        <v>47</v>
      </c>
      <c r="H2446" s="53" t="s">
        <v>48</v>
      </c>
      <c r="I2446" s="53" t="s">
        <v>401</v>
      </c>
      <c r="J2446" s="53" t="s">
        <v>10244</v>
      </c>
      <c r="K2446" s="53" t="s">
        <v>51</v>
      </c>
      <c r="L2446" s="53" t="s">
        <v>52</v>
      </c>
      <c r="M2446" s="53" t="s">
        <v>52</v>
      </c>
      <c r="N2446" s="62" t="s">
        <v>10245</v>
      </c>
      <c r="O2446" s="62" t="s">
        <v>44</v>
      </c>
      <c r="P2446" s="62" t="s">
        <v>10192</v>
      </c>
      <c r="Q2446" s="62" t="s">
        <v>10193</v>
      </c>
      <c r="R2446" s="53"/>
      <c r="S2446" s="53"/>
      <c r="T2446" s="82"/>
      <c r="U2446" s="42"/>
      <c r="V2446" s="62"/>
      <c r="W2446" s="64"/>
      <c r="X2446" s="223"/>
      <c r="Y2446" s="223"/>
      <c r="Z2446" s="223"/>
      <c r="AA2446" s="223"/>
    </row>
    <row r="2447">
      <c r="A2447" s="42">
        <f t="shared" si="3"/>
        <v>2446</v>
      </c>
      <c r="B2447" s="51" t="s">
        <v>41</v>
      </c>
      <c r="C2447" s="53" t="s">
        <v>10249</v>
      </c>
      <c r="D2447" s="42" t="s">
        <v>44</v>
      </c>
      <c r="E2447" s="42" t="s">
        <v>44</v>
      </c>
      <c r="F2447" s="53" t="s">
        <v>10243</v>
      </c>
      <c r="G2447" s="53" t="s">
        <v>47</v>
      </c>
      <c r="H2447" s="53" t="s">
        <v>95</v>
      </c>
      <c r="I2447" s="53" t="s">
        <v>401</v>
      </c>
      <c r="J2447" s="53" t="s">
        <v>10244</v>
      </c>
      <c r="K2447" s="53" t="s">
        <v>51</v>
      </c>
      <c r="L2447" s="53" t="s">
        <v>52</v>
      </c>
      <c r="M2447" s="53" t="s">
        <v>52</v>
      </c>
      <c r="N2447" s="62" t="s">
        <v>10250</v>
      </c>
      <c r="O2447" s="62" t="s">
        <v>44</v>
      </c>
      <c r="P2447" s="62" t="s">
        <v>10179</v>
      </c>
      <c r="Q2447" s="62" t="s">
        <v>10180</v>
      </c>
      <c r="R2447" s="53"/>
      <c r="S2447" s="53"/>
      <c r="T2447" s="82"/>
      <c r="U2447" s="42"/>
      <c r="V2447" s="62"/>
      <c r="W2447" s="64"/>
      <c r="X2447" s="223"/>
      <c r="Y2447" s="223"/>
      <c r="Z2447" s="223"/>
      <c r="AA2447" s="223"/>
    </row>
    <row r="2448">
      <c r="A2448" s="42">
        <f t="shared" si="3"/>
        <v>2447</v>
      </c>
      <c r="B2448" s="51" t="s">
        <v>41</v>
      </c>
      <c r="C2448" s="53" t="s">
        <v>10251</v>
      </c>
      <c r="D2448" s="42" t="s">
        <v>44</v>
      </c>
      <c r="E2448" s="42" t="s">
        <v>44</v>
      </c>
      <c r="F2448" s="53" t="s">
        <v>10243</v>
      </c>
      <c r="G2448" s="53" t="s">
        <v>47</v>
      </c>
      <c r="H2448" s="53" t="s">
        <v>48</v>
      </c>
      <c r="I2448" s="53" t="s">
        <v>401</v>
      </c>
      <c r="J2448" s="53" t="s">
        <v>10244</v>
      </c>
      <c r="K2448" s="53" t="s">
        <v>51</v>
      </c>
      <c r="L2448" s="53" t="s">
        <v>52</v>
      </c>
      <c r="M2448" s="53" t="s">
        <v>52</v>
      </c>
      <c r="N2448" s="62" t="s">
        <v>10252</v>
      </c>
      <c r="O2448" s="62" t="s">
        <v>44</v>
      </c>
      <c r="P2448" s="62" t="s">
        <v>9662</v>
      </c>
      <c r="Q2448" s="62" t="s">
        <v>10183</v>
      </c>
      <c r="R2448" s="53"/>
      <c r="S2448" s="53"/>
      <c r="T2448" s="82"/>
      <c r="U2448" s="42"/>
      <c r="V2448" s="62"/>
      <c r="W2448" s="64"/>
      <c r="X2448" s="223"/>
      <c r="Y2448" s="223"/>
      <c r="Z2448" s="223"/>
      <c r="AA2448" s="223"/>
    </row>
    <row r="2449">
      <c r="A2449" s="42">
        <f t="shared" si="3"/>
        <v>2448</v>
      </c>
      <c r="B2449" s="51" t="s">
        <v>41</v>
      </c>
      <c r="C2449" s="53" t="s">
        <v>10253</v>
      </c>
      <c r="D2449" s="42" t="s">
        <v>44</v>
      </c>
      <c r="E2449" s="42" t="s">
        <v>44</v>
      </c>
      <c r="F2449" s="53" t="s">
        <v>10254</v>
      </c>
      <c r="G2449" s="53" t="s">
        <v>47</v>
      </c>
      <c r="H2449" s="53" t="s">
        <v>48</v>
      </c>
      <c r="I2449" s="53" t="s">
        <v>49</v>
      </c>
      <c r="J2449" s="53" t="s">
        <v>10255</v>
      </c>
      <c r="K2449" s="53" t="s">
        <v>51</v>
      </c>
      <c r="L2449" s="53" t="s">
        <v>52</v>
      </c>
      <c r="M2449" s="53" t="s">
        <v>52</v>
      </c>
      <c r="N2449" s="62" t="s">
        <v>10256</v>
      </c>
      <c r="O2449" s="62" t="s">
        <v>44</v>
      </c>
      <c r="P2449" s="62" t="s">
        <v>10257</v>
      </c>
      <c r="Q2449" s="62" t="s">
        <v>10258</v>
      </c>
      <c r="R2449" s="53"/>
      <c r="S2449" s="53"/>
      <c r="T2449" s="82"/>
      <c r="U2449" s="42"/>
      <c r="V2449" s="62"/>
      <c r="W2449" s="64"/>
      <c r="X2449" s="223"/>
      <c r="Y2449" s="223"/>
      <c r="Z2449" s="223"/>
      <c r="AA2449" s="223"/>
    </row>
    <row r="2450">
      <c r="A2450" s="42">
        <f t="shared" si="3"/>
        <v>2449</v>
      </c>
      <c r="B2450" s="51" t="s">
        <v>41</v>
      </c>
      <c r="C2450" s="53" t="s">
        <v>10259</v>
      </c>
      <c r="D2450" s="42" t="s">
        <v>44</v>
      </c>
      <c r="E2450" s="42" t="s">
        <v>44</v>
      </c>
      <c r="F2450" s="53" t="s">
        <v>10254</v>
      </c>
      <c r="G2450" s="53" t="s">
        <v>47</v>
      </c>
      <c r="H2450" s="53" t="s">
        <v>48</v>
      </c>
      <c r="I2450" s="53" t="s">
        <v>49</v>
      </c>
      <c r="J2450" s="53" t="s">
        <v>10255</v>
      </c>
      <c r="K2450" s="53" t="s">
        <v>51</v>
      </c>
      <c r="L2450" s="53" t="s">
        <v>52</v>
      </c>
      <c r="M2450" s="53" t="s">
        <v>52</v>
      </c>
      <c r="N2450" s="62" t="s">
        <v>10260</v>
      </c>
      <c r="O2450" s="62" t="s">
        <v>44</v>
      </c>
      <c r="P2450" s="62" t="s">
        <v>10261</v>
      </c>
      <c r="Q2450" s="62" t="s">
        <v>10262</v>
      </c>
      <c r="R2450" s="53"/>
      <c r="S2450" s="53"/>
      <c r="T2450" s="82"/>
      <c r="U2450" s="42"/>
      <c r="V2450" s="62"/>
      <c r="W2450" s="64"/>
      <c r="X2450" s="223"/>
      <c r="Y2450" s="223"/>
      <c r="Z2450" s="223"/>
      <c r="AA2450" s="223"/>
    </row>
    <row r="2451">
      <c r="A2451" s="42">
        <f t="shared" si="3"/>
        <v>2450</v>
      </c>
      <c r="B2451" s="51" t="s">
        <v>41</v>
      </c>
      <c r="C2451" s="53" t="s">
        <v>10263</v>
      </c>
      <c r="D2451" s="42" t="s">
        <v>44</v>
      </c>
      <c r="E2451" s="42" t="s">
        <v>44</v>
      </c>
      <c r="F2451" s="53" t="s">
        <v>10254</v>
      </c>
      <c r="G2451" s="53" t="s">
        <v>47</v>
      </c>
      <c r="H2451" s="53" t="s">
        <v>95</v>
      </c>
      <c r="I2451" s="53" t="s">
        <v>49</v>
      </c>
      <c r="J2451" s="53" t="s">
        <v>10255</v>
      </c>
      <c r="K2451" s="53" t="s">
        <v>51</v>
      </c>
      <c r="L2451" s="53" t="s">
        <v>52</v>
      </c>
      <c r="M2451" s="53" t="s">
        <v>52</v>
      </c>
      <c r="N2451" s="62" t="s">
        <v>10260</v>
      </c>
      <c r="O2451" s="62" t="s">
        <v>44</v>
      </c>
      <c r="P2451" s="62" t="s">
        <v>10264</v>
      </c>
      <c r="Q2451" s="62" t="s">
        <v>10265</v>
      </c>
      <c r="R2451" s="53"/>
      <c r="S2451" s="53"/>
      <c r="T2451" s="82"/>
      <c r="U2451" s="42"/>
      <c r="V2451" s="62"/>
      <c r="W2451" s="64"/>
      <c r="X2451" s="223"/>
      <c r="Y2451" s="223"/>
      <c r="Z2451" s="223"/>
      <c r="AA2451" s="223"/>
    </row>
    <row r="2452">
      <c r="A2452" s="42">
        <f t="shared" si="3"/>
        <v>2451</v>
      </c>
      <c r="B2452" s="51" t="s">
        <v>41</v>
      </c>
      <c r="C2452" s="53" t="s">
        <v>10266</v>
      </c>
      <c r="D2452" s="42" t="s">
        <v>44</v>
      </c>
      <c r="E2452" s="42" t="s">
        <v>44</v>
      </c>
      <c r="F2452" s="53" t="s">
        <v>10267</v>
      </c>
      <c r="G2452" s="53" t="s">
        <v>47</v>
      </c>
      <c r="H2452" s="53" t="s">
        <v>48</v>
      </c>
      <c r="I2452" s="53" t="s">
        <v>401</v>
      </c>
      <c r="J2452" s="53" t="s">
        <v>10268</v>
      </c>
      <c r="K2452" s="53" t="s">
        <v>51</v>
      </c>
      <c r="L2452" s="53" t="s">
        <v>52</v>
      </c>
      <c r="M2452" s="53" t="s">
        <v>52</v>
      </c>
      <c r="N2452" s="62" t="s">
        <v>10269</v>
      </c>
      <c r="O2452" s="62" t="s">
        <v>44</v>
      </c>
      <c r="P2452" s="62" t="s">
        <v>10270</v>
      </c>
      <c r="Q2452" s="62" t="s">
        <v>10271</v>
      </c>
      <c r="R2452" s="53"/>
      <c r="S2452" s="53"/>
      <c r="T2452" s="82"/>
      <c r="U2452" s="42"/>
      <c r="V2452" s="62"/>
      <c r="W2452" s="64"/>
      <c r="X2452" s="223"/>
      <c r="Y2452" s="223"/>
      <c r="Z2452" s="223"/>
      <c r="AA2452" s="223"/>
    </row>
    <row r="2453">
      <c r="A2453" s="42">
        <f t="shared" si="3"/>
        <v>2452</v>
      </c>
      <c r="B2453" s="51" t="s">
        <v>41</v>
      </c>
      <c r="C2453" s="53" t="s">
        <v>10272</v>
      </c>
      <c r="D2453" s="42" t="s">
        <v>44</v>
      </c>
      <c r="E2453" s="42" t="s">
        <v>44</v>
      </c>
      <c r="F2453" s="53" t="s">
        <v>10267</v>
      </c>
      <c r="G2453" s="53" t="s">
        <v>47</v>
      </c>
      <c r="H2453" s="53" t="s">
        <v>48</v>
      </c>
      <c r="I2453" s="53" t="s">
        <v>401</v>
      </c>
      <c r="J2453" s="53" t="s">
        <v>10268</v>
      </c>
      <c r="K2453" s="53" t="s">
        <v>51</v>
      </c>
      <c r="L2453" s="53" t="s">
        <v>52</v>
      </c>
      <c r="M2453" s="53" t="s">
        <v>52</v>
      </c>
      <c r="N2453" s="62" t="s">
        <v>10269</v>
      </c>
      <c r="O2453" s="62" t="s">
        <v>44</v>
      </c>
      <c r="P2453" s="62" t="s">
        <v>10165</v>
      </c>
      <c r="Q2453" s="62" t="s">
        <v>10166</v>
      </c>
      <c r="R2453" s="53"/>
      <c r="S2453" s="53"/>
      <c r="T2453" s="82"/>
      <c r="U2453" s="42"/>
      <c r="V2453" s="62"/>
      <c r="W2453" s="64"/>
      <c r="X2453" s="223"/>
      <c r="Y2453" s="223"/>
      <c r="Z2453" s="223"/>
      <c r="AA2453" s="223"/>
    </row>
    <row r="2454">
      <c r="A2454" s="42">
        <f t="shared" si="3"/>
        <v>2453</v>
      </c>
      <c r="B2454" s="51" t="s">
        <v>41</v>
      </c>
      <c r="C2454" s="53" t="s">
        <v>10273</v>
      </c>
      <c r="D2454" s="42" t="s">
        <v>44</v>
      </c>
      <c r="E2454" s="42" t="s">
        <v>44</v>
      </c>
      <c r="F2454" s="53" t="s">
        <v>10267</v>
      </c>
      <c r="G2454" s="53" t="s">
        <v>47</v>
      </c>
      <c r="H2454" s="53" t="s">
        <v>91</v>
      </c>
      <c r="I2454" s="53" t="s">
        <v>401</v>
      </c>
      <c r="J2454" s="53" t="s">
        <v>10268</v>
      </c>
      <c r="K2454" s="53" t="s">
        <v>51</v>
      </c>
      <c r="L2454" s="53" t="s">
        <v>52</v>
      </c>
      <c r="M2454" s="53" t="s">
        <v>52</v>
      </c>
      <c r="N2454" s="62" t="s">
        <v>10274</v>
      </c>
      <c r="O2454" s="62" t="s">
        <v>44</v>
      </c>
      <c r="P2454" s="62" t="s">
        <v>10275</v>
      </c>
      <c r="Q2454" s="62" t="s">
        <v>9561</v>
      </c>
      <c r="R2454" s="53"/>
      <c r="S2454" s="53"/>
      <c r="T2454" s="82"/>
      <c r="U2454" s="42"/>
      <c r="V2454" s="62"/>
      <c r="W2454" s="64"/>
      <c r="X2454" s="223"/>
      <c r="Y2454" s="223"/>
      <c r="Z2454" s="223"/>
      <c r="AA2454" s="223"/>
    </row>
    <row r="2455">
      <c r="A2455" s="42">
        <f t="shared" si="3"/>
        <v>2454</v>
      </c>
      <c r="B2455" s="51" t="s">
        <v>41</v>
      </c>
      <c r="C2455" s="53" t="s">
        <v>10276</v>
      </c>
      <c r="D2455" s="42" t="s">
        <v>44</v>
      </c>
      <c r="E2455" s="42" t="s">
        <v>44</v>
      </c>
      <c r="F2455" s="53" t="s">
        <v>10267</v>
      </c>
      <c r="G2455" s="53" t="s">
        <v>47</v>
      </c>
      <c r="H2455" s="53" t="s">
        <v>48</v>
      </c>
      <c r="I2455" s="53" t="s">
        <v>401</v>
      </c>
      <c r="J2455" s="53" t="s">
        <v>10268</v>
      </c>
      <c r="K2455" s="53" t="s">
        <v>51</v>
      </c>
      <c r="L2455" s="53" t="s">
        <v>52</v>
      </c>
      <c r="M2455" s="53" t="s">
        <v>52</v>
      </c>
      <c r="N2455" s="62" t="s">
        <v>10274</v>
      </c>
      <c r="O2455" s="62" t="s">
        <v>44</v>
      </c>
      <c r="P2455" s="62" t="s">
        <v>10277</v>
      </c>
      <c r="Q2455" s="62" t="s">
        <v>10034</v>
      </c>
      <c r="R2455" s="53"/>
      <c r="S2455" s="53"/>
      <c r="T2455" s="82"/>
      <c r="U2455" s="42"/>
      <c r="V2455" s="62"/>
      <c r="W2455" s="64"/>
      <c r="X2455" s="223"/>
      <c r="Y2455" s="223"/>
      <c r="Z2455" s="223"/>
      <c r="AA2455" s="223"/>
    </row>
    <row r="2456">
      <c r="A2456" s="42">
        <f t="shared" si="3"/>
        <v>2455</v>
      </c>
      <c r="B2456" s="51" t="s">
        <v>41</v>
      </c>
      <c r="C2456" s="53" t="s">
        <v>10278</v>
      </c>
      <c r="D2456" s="42" t="s">
        <v>44</v>
      </c>
      <c r="E2456" s="42" t="s">
        <v>44</v>
      </c>
      <c r="F2456" s="53" t="s">
        <v>10267</v>
      </c>
      <c r="G2456" s="53" t="s">
        <v>47</v>
      </c>
      <c r="H2456" s="53" t="s">
        <v>48</v>
      </c>
      <c r="I2456" s="53" t="s">
        <v>401</v>
      </c>
      <c r="J2456" s="53" t="s">
        <v>10268</v>
      </c>
      <c r="K2456" s="53" t="s">
        <v>51</v>
      </c>
      <c r="L2456" s="53" t="s">
        <v>52</v>
      </c>
      <c r="M2456" s="53" t="s">
        <v>52</v>
      </c>
      <c r="N2456" s="62" t="s">
        <v>10279</v>
      </c>
      <c r="O2456" s="62" t="s">
        <v>44</v>
      </c>
      <c r="P2456" s="62" t="s">
        <v>10280</v>
      </c>
      <c r="Q2456" s="62" t="s">
        <v>9663</v>
      </c>
      <c r="R2456" s="53"/>
      <c r="S2456" s="53"/>
      <c r="T2456" s="82"/>
      <c r="U2456" s="42"/>
      <c r="V2456" s="62"/>
      <c r="W2456" s="64"/>
      <c r="X2456" s="223"/>
      <c r="Y2456" s="223"/>
      <c r="Z2456" s="223"/>
      <c r="AA2456" s="223"/>
    </row>
    <row r="2457">
      <c r="A2457" s="42">
        <f t="shared" si="3"/>
        <v>2456</v>
      </c>
      <c r="B2457" s="51" t="s">
        <v>41</v>
      </c>
      <c r="C2457" s="53" t="s">
        <v>10281</v>
      </c>
      <c r="D2457" s="42" t="s">
        <v>44</v>
      </c>
      <c r="E2457" s="42" t="s">
        <v>44</v>
      </c>
      <c r="F2457" s="53" t="s">
        <v>10267</v>
      </c>
      <c r="G2457" s="53" t="s">
        <v>47</v>
      </c>
      <c r="H2457" s="53" t="s">
        <v>48</v>
      </c>
      <c r="I2457" s="53" t="s">
        <v>401</v>
      </c>
      <c r="J2457" s="53" t="s">
        <v>10268</v>
      </c>
      <c r="K2457" s="53" t="s">
        <v>51</v>
      </c>
      <c r="L2457" s="53" t="s">
        <v>52</v>
      </c>
      <c r="M2457" s="53" t="s">
        <v>52</v>
      </c>
      <c r="N2457" s="62" t="s">
        <v>10274</v>
      </c>
      <c r="O2457" s="62" t="s">
        <v>44</v>
      </c>
      <c r="P2457" s="62" t="s">
        <v>10282</v>
      </c>
      <c r="Q2457" s="62" t="s">
        <v>10283</v>
      </c>
      <c r="R2457" s="53"/>
      <c r="S2457" s="53"/>
      <c r="T2457" s="82"/>
      <c r="U2457" s="42"/>
      <c r="V2457" s="62"/>
      <c r="W2457" s="64"/>
      <c r="X2457" s="223"/>
      <c r="Y2457" s="223"/>
      <c r="Z2457" s="223"/>
      <c r="AA2457" s="223"/>
    </row>
    <row r="2458">
      <c r="A2458" s="42">
        <f t="shared" si="3"/>
        <v>2457</v>
      </c>
      <c r="B2458" s="51" t="s">
        <v>41</v>
      </c>
      <c r="C2458" s="53" t="s">
        <v>10284</v>
      </c>
      <c r="D2458" s="42" t="s">
        <v>44</v>
      </c>
      <c r="E2458" s="42" t="s">
        <v>44</v>
      </c>
      <c r="F2458" s="53" t="s">
        <v>10267</v>
      </c>
      <c r="G2458" s="53" t="s">
        <v>47</v>
      </c>
      <c r="H2458" s="53" t="s">
        <v>48</v>
      </c>
      <c r="I2458" s="53" t="s">
        <v>401</v>
      </c>
      <c r="J2458" s="53" t="s">
        <v>10268</v>
      </c>
      <c r="K2458" s="53" t="s">
        <v>51</v>
      </c>
      <c r="L2458" s="53" t="s">
        <v>52</v>
      </c>
      <c r="M2458" s="53" t="s">
        <v>52</v>
      </c>
      <c r="N2458" s="62" t="s">
        <v>10269</v>
      </c>
      <c r="O2458" s="62" t="s">
        <v>44</v>
      </c>
      <c r="P2458" s="62" t="s">
        <v>10285</v>
      </c>
      <c r="Q2458" s="62" t="s">
        <v>9921</v>
      </c>
      <c r="R2458" s="53"/>
      <c r="S2458" s="53"/>
      <c r="T2458" s="82"/>
      <c r="U2458" s="42"/>
      <c r="V2458" s="62"/>
      <c r="W2458" s="64"/>
      <c r="X2458" s="223"/>
      <c r="Y2458" s="223"/>
      <c r="Z2458" s="223"/>
      <c r="AA2458" s="223"/>
    </row>
    <row r="2459">
      <c r="A2459" s="42">
        <f t="shared" si="3"/>
        <v>2458</v>
      </c>
      <c r="B2459" s="51" t="s">
        <v>41</v>
      </c>
      <c r="C2459" s="53" t="s">
        <v>10286</v>
      </c>
      <c r="D2459" s="42" t="s">
        <v>44</v>
      </c>
      <c r="E2459" s="42" t="s">
        <v>44</v>
      </c>
      <c r="F2459" s="53" t="s">
        <v>10267</v>
      </c>
      <c r="G2459" s="53" t="s">
        <v>47</v>
      </c>
      <c r="H2459" s="53" t="s">
        <v>48</v>
      </c>
      <c r="I2459" s="53" t="s">
        <v>401</v>
      </c>
      <c r="J2459" s="53" t="s">
        <v>10268</v>
      </c>
      <c r="K2459" s="53" t="s">
        <v>51</v>
      </c>
      <c r="L2459" s="53" t="s">
        <v>52</v>
      </c>
      <c r="M2459" s="53" t="s">
        <v>52</v>
      </c>
      <c r="N2459" s="62" t="s">
        <v>10269</v>
      </c>
      <c r="O2459" s="62" t="s">
        <v>44</v>
      </c>
      <c r="P2459" s="62" t="s">
        <v>9926</v>
      </c>
      <c r="Q2459" s="62" t="s">
        <v>10287</v>
      </c>
      <c r="R2459" s="53"/>
      <c r="S2459" s="53"/>
      <c r="T2459" s="82"/>
      <c r="U2459" s="42"/>
      <c r="V2459" s="62"/>
      <c r="W2459" s="64"/>
      <c r="X2459" s="223"/>
      <c r="Y2459" s="223"/>
      <c r="Z2459" s="223"/>
      <c r="AA2459" s="223"/>
    </row>
    <row r="2460">
      <c r="A2460" s="42">
        <f t="shared" si="3"/>
        <v>2459</v>
      </c>
      <c r="B2460" s="51" t="s">
        <v>41</v>
      </c>
      <c r="C2460" s="53" t="s">
        <v>10288</v>
      </c>
      <c r="D2460" s="42" t="s">
        <v>44</v>
      </c>
      <c r="E2460" s="42" t="s">
        <v>44</v>
      </c>
      <c r="F2460" s="53" t="s">
        <v>10267</v>
      </c>
      <c r="G2460" s="53" t="s">
        <v>47</v>
      </c>
      <c r="H2460" s="53" t="s">
        <v>48</v>
      </c>
      <c r="I2460" s="53" t="s">
        <v>401</v>
      </c>
      <c r="J2460" s="53" t="s">
        <v>10268</v>
      </c>
      <c r="K2460" s="53" t="s">
        <v>51</v>
      </c>
      <c r="L2460" s="53" t="s">
        <v>52</v>
      </c>
      <c r="M2460" s="53" t="s">
        <v>52</v>
      </c>
      <c r="N2460" s="62" t="s">
        <v>10269</v>
      </c>
      <c r="O2460" s="62" t="s">
        <v>44</v>
      </c>
      <c r="P2460" s="62" t="s">
        <v>10289</v>
      </c>
      <c r="Q2460" s="62" t="s">
        <v>10290</v>
      </c>
      <c r="R2460" s="53"/>
      <c r="S2460" s="53"/>
      <c r="T2460" s="82"/>
      <c r="U2460" s="42"/>
      <c r="V2460" s="62"/>
      <c r="W2460" s="64"/>
      <c r="X2460" s="223"/>
      <c r="Y2460" s="223"/>
      <c r="Z2460" s="223"/>
      <c r="AA2460" s="223"/>
    </row>
    <row r="2461">
      <c r="A2461" s="42">
        <f t="shared" si="3"/>
        <v>2460</v>
      </c>
      <c r="B2461" s="51" t="s">
        <v>41</v>
      </c>
      <c r="C2461" s="53" t="s">
        <v>10291</v>
      </c>
      <c r="D2461" s="42" t="s">
        <v>44</v>
      </c>
      <c r="E2461" s="42" t="s">
        <v>44</v>
      </c>
      <c r="F2461" s="53" t="s">
        <v>10292</v>
      </c>
      <c r="G2461" s="53" t="s">
        <v>47</v>
      </c>
      <c r="H2461" s="53" t="s">
        <v>91</v>
      </c>
      <c r="I2461" s="53" t="s">
        <v>401</v>
      </c>
      <c r="J2461" s="53" t="s">
        <v>10293</v>
      </c>
      <c r="K2461" s="53" t="s">
        <v>51</v>
      </c>
      <c r="L2461" s="53" t="s">
        <v>52</v>
      </c>
      <c r="M2461" s="53" t="s">
        <v>52</v>
      </c>
      <c r="N2461" s="62" t="s">
        <v>10294</v>
      </c>
      <c r="O2461" s="62" t="s">
        <v>44</v>
      </c>
      <c r="P2461" s="62" t="s">
        <v>10275</v>
      </c>
      <c r="Q2461" s="62" t="s">
        <v>9561</v>
      </c>
      <c r="R2461" s="53"/>
      <c r="S2461" s="53"/>
      <c r="T2461" s="82"/>
      <c r="U2461" s="42"/>
      <c r="V2461" s="62"/>
      <c r="W2461" s="64"/>
      <c r="X2461" s="223"/>
      <c r="Y2461" s="223"/>
      <c r="Z2461" s="223"/>
      <c r="AA2461" s="223"/>
    </row>
    <row r="2462">
      <c r="A2462" s="42">
        <f t="shared" si="3"/>
        <v>2461</v>
      </c>
      <c r="B2462" s="51" t="s">
        <v>41</v>
      </c>
      <c r="C2462" s="53" t="s">
        <v>10295</v>
      </c>
      <c r="D2462" s="42" t="s">
        <v>44</v>
      </c>
      <c r="E2462" s="42" t="s">
        <v>44</v>
      </c>
      <c r="F2462" s="53" t="s">
        <v>10292</v>
      </c>
      <c r="G2462" s="53" t="s">
        <v>47</v>
      </c>
      <c r="H2462" s="53" t="s">
        <v>48</v>
      </c>
      <c r="I2462" s="53" t="s">
        <v>401</v>
      </c>
      <c r="J2462" s="53" t="s">
        <v>10293</v>
      </c>
      <c r="K2462" s="53" t="s">
        <v>51</v>
      </c>
      <c r="L2462" s="53" t="s">
        <v>52</v>
      </c>
      <c r="M2462" s="53" t="s">
        <v>52</v>
      </c>
      <c r="N2462" s="62" t="s">
        <v>10294</v>
      </c>
      <c r="O2462" s="62" t="s">
        <v>44</v>
      </c>
      <c r="P2462" s="62" t="s">
        <v>10277</v>
      </c>
      <c r="Q2462" s="62" t="s">
        <v>10034</v>
      </c>
      <c r="R2462" s="53"/>
      <c r="S2462" s="53"/>
      <c r="T2462" s="82"/>
      <c r="U2462" s="42"/>
      <c r="V2462" s="62"/>
      <c r="W2462" s="64"/>
      <c r="X2462" s="223"/>
      <c r="Y2462" s="223"/>
      <c r="Z2462" s="223"/>
      <c r="AA2462" s="223"/>
    </row>
    <row r="2463">
      <c r="A2463" s="42">
        <f t="shared" si="3"/>
        <v>2462</v>
      </c>
      <c r="B2463" s="51" t="s">
        <v>41</v>
      </c>
      <c r="C2463" s="53" t="s">
        <v>10296</v>
      </c>
      <c r="D2463" s="42" t="s">
        <v>44</v>
      </c>
      <c r="E2463" s="42" t="s">
        <v>44</v>
      </c>
      <c r="F2463" s="53" t="s">
        <v>10292</v>
      </c>
      <c r="G2463" s="53" t="s">
        <v>47</v>
      </c>
      <c r="H2463" s="53" t="s">
        <v>48</v>
      </c>
      <c r="I2463" s="53" t="s">
        <v>401</v>
      </c>
      <c r="J2463" s="53" t="s">
        <v>10293</v>
      </c>
      <c r="K2463" s="53" t="s">
        <v>51</v>
      </c>
      <c r="L2463" s="53" t="s">
        <v>52</v>
      </c>
      <c r="M2463" s="53" t="s">
        <v>52</v>
      </c>
      <c r="N2463" s="62" t="s">
        <v>10297</v>
      </c>
      <c r="O2463" s="62" t="s">
        <v>44</v>
      </c>
      <c r="P2463" s="62" t="s">
        <v>10280</v>
      </c>
      <c r="Q2463" s="62" t="s">
        <v>9663</v>
      </c>
      <c r="R2463" s="53"/>
      <c r="S2463" s="53"/>
      <c r="T2463" s="82"/>
      <c r="U2463" s="42"/>
      <c r="V2463" s="62"/>
      <c r="W2463" s="64"/>
      <c r="X2463" s="223"/>
      <c r="Y2463" s="223"/>
      <c r="Z2463" s="223"/>
      <c r="AA2463" s="223"/>
    </row>
    <row r="2464">
      <c r="A2464" s="42">
        <f t="shared" si="3"/>
        <v>2463</v>
      </c>
      <c r="B2464" s="51" t="s">
        <v>41</v>
      </c>
      <c r="C2464" s="53" t="s">
        <v>10298</v>
      </c>
      <c r="D2464" s="42" t="s">
        <v>44</v>
      </c>
      <c r="E2464" s="42" t="s">
        <v>44</v>
      </c>
      <c r="F2464" s="53" t="s">
        <v>10292</v>
      </c>
      <c r="G2464" s="53" t="s">
        <v>47</v>
      </c>
      <c r="H2464" s="53" t="s">
        <v>48</v>
      </c>
      <c r="I2464" s="53" t="s">
        <v>401</v>
      </c>
      <c r="J2464" s="53" t="s">
        <v>10293</v>
      </c>
      <c r="K2464" s="53" t="s">
        <v>51</v>
      </c>
      <c r="L2464" s="53" t="s">
        <v>52</v>
      </c>
      <c r="M2464" s="53" t="s">
        <v>52</v>
      </c>
      <c r="N2464" s="62" t="s">
        <v>10294</v>
      </c>
      <c r="O2464" s="62" t="s">
        <v>44</v>
      </c>
      <c r="P2464" s="62" t="s">
        <v>10282</v>
      </c>
      <c r="Q2464" s="62" t="s">
        <v>10283</v>
      </c>
      <c r="R2464" s="53"/>
      <c r="S2464" s="53"/>
      <c r="T2464" s="82"/>
      <c r="U2464" s="42"/>
      <c r="V2464" s="62"/>
      <c r="W2464" s="64"/>
      <c r="X2464" s="223"/>
      <c r="Y2464" s="223"/>
      <c r="Z2464" s="223"/>
      <c r="AA2464" s="223"/>
    </row>
    <row r="2465">
      <c r="A2465" s="42">
        <f t="shared" si="3"/>
        <v>2464</v>
      </c>
      <c r="B2465" s="51" t="s">
        <v>41</v>
      </c>
      <c r="C2465" s="53" t="s">
        <v>10299</v>
      </c>
      <c r="D2465" s="42" t="s">
        <v>44</v>
      </c>
      <c r="E2465" s="42" t="s">
        <v>44</v>
      </c>
      <c r="F2465" s="53" t="s">
        <v>10292</v>
      </c>
      <c r="G2465" s="53" t="s">
        <v>47</v>
      </c>
      <c r="H2465" s="53" t="s">
        <v>48</v>
      </c>
      <c r="I2465" s="53" t="s">
        <v>401</v>
      </c>
      <c r="J2465" s="53" t="s">
        <v>10293</v>
      </c>
      <c r="K2465" s="53" t="s">
        <v>51</v>
      </c>
      <c r="L2465" s="53" t="s">
        <v>52</v>
      </c>
      <c r="M2465" s="53" t="s">
        <v>52</v>
      </c>
      <c r="N2465" s="62" t="s">
        <v>10300</v>
      </c>
      <c r="O2465" s="62" t="s">
        <v>44</v>
      </c>
      <c r="P2465" s="62" t="s">
        <v>10301</v>
      </c>
      <c r="Q2465" s="62" t="s">
        <v>10290</v>
      </c>
      <c r="R2465" s="53"/>
      <c r="S2465" s="53"/>
      <c r="T2465" s="82"/>
      <c r="U2465" s="42"/>
      <c r="V2465" s="62"/>
      <c r="W2465" s="64"/>
      <c r="X2465" s="223"/>
      <c r="Y2465" s="223"/>
      <c r="Z2465" s="223"/>
      <c r="AA2465" s="223"/>
    </row>
    <row r="2466">
      <c r="A2466" s="42">
        <f t="shared" si="3"/>
        <v>2465</v>
      </c>
      <c r="B2466" s="51" t="s">
        <v>41</v>
      </c>
      <c r="C2466" s="53" t="s">
        <v>10302</v>
      </c>
      <c r="D2466" s="42" t="s">
        <v>44</v>
      </c>
      <c r="E2466" s="42" t="s">
        <v>44</v>
      </c>
      <c r="F2466" s="53" t="s">
        <v>10303</v>
      </c>
      <c r="G2466" s="53" t="s">
        <v>47</v>
      </c>
      <c r="H2466" s="53" t="s">
        <v>48</v>
      </c>
      <c r="I2466" s="53" t="s">
        <v>401</v>
      </c>
      <c r="J2466" s="53" t="s">
        <v>10304</v>
      </c>
      <c r="K2466" s="53" t="s">
        <v>51</v>
      </c>
      <c r="L2466" s="53" t="s">
        <v>52</v>
      </c>
      <c r="M2466" s="53" t="s">
        <v>52</v>
      </c>
      <c r="N2466" s="62" t="s">
        <v>10305</v>
      </c>
      <c r="O2466" s="62" t="s">
        <v>44</v>
      </c>
      <c r="P2466" s="62" t="s">
        <v>10270</v>
      </c>
      <c r="Q2466" s="62" t="s">
        <v>10306</v>
      </c>
      <c r="R2466" s="53"/>
      <c r="S2466" s="53"/>
      <c r="T2466" s="82"/>
      <c r="U2466" s="42"/>
      <c r="V2466" s="62"/>
      <c r="W2466" s="64"/>
      <c r="X2466" s="223"/>
      <c r="Y2466" s="223"/>
      <c r="Z2466" s="223"/>
      <c r="AA2466" s="223"/>
    </row>
    <row r="2467">
      <c r="A2467" s="42">
        <f t="shared" si="3"/>
        <v>2466</v>
      </c>
      <c r="B2467" s="51" t="s">
        <v>41</v>
      </c>
      <c r="C2467" s="53" t="s">
        <v>10307</v>
      </c>
      <c r="D2467" s="42" t="s">
        <v>44</v>
      </c>
      <c r="E2467" s="42" t="s">
        <v>44</v>
      </c>
      <c r="F2467" s="53" t="s">
        <v>10303</v>
      </c>
      <c r="G2467" s="53" t="s">
        <v>47</v>
      </c>
      <c r="H2467" s="53" t="s">
        <v>91</v>
      </c>
      <c r="I2467" s="53" t="s">
        <v>401</v>
      </c>
      <c r="J2467" s="53" t="s">
        <v>10304</v>
      </c>
      <c r="K2467" s="53" t="s">
        <v>51</v>
      </c>
      <c r="L2467" s="53" t="s">
        <v>52</v>
      </c>
      <c r="M2467" s="53" t="s">
        <v>52</v>
      </c>
      <c r="N2467" s="62" t="s">
        <v>10305</v>
      </c>
      <c r="O2467" s="62" t="s">
        <v>44</v>
      </c>
      <c r="P2467" s="62" t="s">
        <v>10308</v>
      </c>
      <c r="Q2467" s="62" t="s">
        <v>10309</v>
      </c>
      <c r="R2467" s="53"/>
      <c r="S2467" s="53"/>
      <c r="T2467" s="82"/>
      <c r="U2467" s="42"/>
      <c r="V2467" s="62"/>
      <c r="W2467" s="64"/>
      <c r="X2467" s="223"/>
      <c r="Y2467" s="223"/>
      <c r="Z2467" s="223"/>
      <c r="AA2467" s="223"/>
    </row>
    <row r="2468">
      <c r="A2468" s="42">
        <f t="shared" si="3"/>
        <v>2467</v>
      </c>
      <c r="B2468" s="51" t="s">
        <v>41</v>
      </c>
      <c r="C2468" s="53" t="s">
        <v>10310</v>
      </c>
      <c r="D2468" s="42" t="s">
        <v>44</v>
      </c>
      <c r="E2468" s="42" t="s">
        <v>44</v>
      </c>
      <c r="F2468" s="53" t="s">
        <v>10303</v>
      </c>
      <c r="G2468" s="53" t="s">
        <v>47</v>
      </c>
      <c r="H2468" s="53" t="s">
        <v>91</v>
      </c>
      <c r="I2468" s="53" t="s">
        <v>401</v>
      </c>
      <c r="J2468" s="53" t="s">
        <v>10304</v>
      </c>
      <c r="K2468" s="53" t="s">
        <v>51</v>
      </c>
      <c r="L2468" s="53" t="s">
        <v>52</v>
      </c>
      <c r="M2468" s="53" t="s">
        <v>52</v>
      </c>
      <c r="N2468" s="62" t="s">
        <v>10311</v>
      </c>
      <c r="O2468" s="62" t="s">
        <v>44</v>
      </c>
      <c r="P2468" s="62" t="s">
        <v>10275</v>
      </c>
      <c r="Q2468" s="62" t="s">
        <v>9561</v>
      </c>
      <c r="R2468" s="53"/>
      <c r="S2468" s="53"/>
      <c r="T2468" s="82"/>
      <c r="U2468" s="42"/>
      <c r="V2468" s="62"/>
      <c r="W2468" s="64"/>
      <c r="X2468" s="223"/>
      <c r="Y2468" s="223"/>
      <c r="Z2468" s="223"/>
      <c r="AA2468" s="223"/>
    </row>
    <row r="2469">
      <c r="A2469" s="42">
        <f t="shared" si="3"/>
        <v>2468</v>
      </c>
      <c r="B2469" s="51" t="s">
        <v>41</v>
      </c>
      <c r="C2469" s="53" t="s">
        <v>10312</v>
      </c>
      <c r="D2469" s="42" t="s">
        <v>44</v>
      </c>
      <c r="E2469" s="42" t="s">
        <v>44</v>
      </c>
      <c r="F2469" s="53" t="s">
        <v>10303</v>
      </c>
      <c r="G2469" s="53" t="s">
        <v>47</v>
      </c>
      <c r="H2469" s="53" t="s">
        <v>48</v>
      </c>
      <c r="I2469" s="53" t="s">
        <v>401</v>
      </c>
      <c r="J2469" s="53" t="s">
        <v>10304</v>
      </c>
      <c r="K2469" s="53" t="s">
        <v>51</v>
      </c>
      <c r="L2469" s="53" t="s">
        <v>52</v>
      </c>
      <c r="M2469" s="53" t="s">
        <v>52</v>
      </c>
      <c r="N2469" s="62" t="s">
        <v>10311</v>
      </c>
      <c r="O2469" s="62" t="s">
        <v>44</v>
      </c>
      <c r="P2469" s="62" t="s">
        <v>10277</v>
      </c>
      <c r="Q2469" s="62" t="s">
        <v>10034</v>
      </c>
      <c r="R2469" s="53"/>
      <c r="S2469" s="53"/>
      <c r="T2469" s="82"/>
      <c r="U2469" s="42"/>
      <c r="V2469" s="62"/>
      <c r="W2469" s="64"/>
      <c r="X2469" s="223"/>
      <c r="Y2469" s="223"/>
      <c r="Z2469" s="223"/>
      <c r="AA2469" s="223"/>
    </row>
    <row r="2470">
      <c r="A2470" s="42">
        <f t="shared" si="3"/>
        <v>2469</v>
      </c>
      <c r="B2470" s="51" t="s">
        <v>41</v>
      </c>
      <c r="C2470" s="53" t="s">
        <v>10313</v>
      </c>
      <c r="D2470" s="42" t="s">
        <v>44</v>
      </c>
      <c r="E2470" s="42" t="s">
        <v>44</v>
      </c>
      <c r="F2470" s="53" t="s">
        <v>10303</v>
      </c>
      <c r="G2470" s="53" t="s">
        <v>47</v>
      </c>
      <c r="H2470" s="53" t="s">
        <v>48</v>
      </c>
      <c r="I2470" s="53" t="s">
        <v>401</v>
      </c>
      <c r="J2470" s="53" t="s">
        <v>10304</v>
      </c>
      <c r="K2470" s="53" t="s">
        <v>51</v>
      </c>
      <c r="L2470" s="53" t="s">
        <v>52</v>
      </c>
      <c r="M2470" s="53" t="s">
        <v>52</v>
      </c>
      <c r="N2470" s="62" t="s">
        <v>10314</v>
      </c>
      <c r="O2470" s="62" t="s">
        <v>44</v>
      </c>
      <c r="P2470" s="62" t="s">
        <v>10280</v>
      </c>
      <c r="Q2470" s="62" t="s">
        <v>9663</v>
      </c>
      <c r="R2470" s="53"/>
      <c r="S2470" s="53"/>
      <c r="T2470" s="82"/>
      <c r="U2470" s="42"/>
      <c r="V2470" s="62"/>
      <c r="W2470" s="64"/>
      <c r="X2470" s="223"/>
      <c r="Y2470" s="223"/>
      <c r="Z2470" s="223"/>
      <c r="AA2470" s="223"/>
    </row>
    <row r="2471">
      <c r="A2471" s="42">
        <f t="shared" si="3"/>
        <v>2470</v>
      </c>
      <c r="B2471" s="51" t="s">
        <v>41</v>
      </c>
      <c r="C2471" s="53" t="s">
        <v>10315</v>
      </c>
      <c r="D2471" s="42" t="s">
        <v>44</v>
      </c>
      <c r="E2471" s="42" t="s">
        <v>44</v>
      </c>
      <c r="F2471" s="53" t="s">
        <v>10303</v>
      </c>
      <c r="G2471" s="53" t="s">
        <v>47</v>
      </c>
      <c r="H2471" s="53" t="s">
        <v>48</v>
      </c>
      <c r="I2471" s="53" t="s">
        <v>401</v>
      </c>
      <c r="J2471" s="53" t="s">
        <v>10304</v>
      </c>
      <c r="K2471" s="53" t="s">
        <v>51</v>
      </c>
      <c r="L2471" s="53" t="s">
        <v>52</v>
      </c>
      <c r="M2471" s="53" t="s">
        <v>52</v>
      </c>
      <c r="N2471" s="62" t="s">
        <v>10311</v>
      </c>
      <c r="O2471" s="62" t="s">
        <v>44</v>
      </c>
      <c r="P2471" s="62" t="s">
        <v>10282</v>
      </c>
      <c r="Q2471" s="62" t="s">
        <v>10283</v>
      </c>
      <c r="R2471" s="53"/>
      <c r="S2471" s="53"/>
      <c r="T2471" s="82"/>
      <c r="U2471" s="42"/>
      <c r="V2471" s="62"/>
      <c r="W2471" s="64"/>
      <c r="X2471" s="223"/>
      <c r="Y2471" s="223"/>
      <c r="Z2471" s="223"/>
      <c r="AA2471" s="223"/>
    </row>
    <row r="2472">
      <c r="A2472" s="42">
        <f t="shared" si="3"/>
        <v>2471</v>
      </c>
      <c r="B2472" s="51" t="s">
        <v>41</v>
      </c>
      <c r="C2472" s="53" t="s">
        <v>10316</v>
      </c>
      <c r="D2472" s="42" t="s">
        <v>44</v>
      </c>
      <c r="E2472" s="42" t="s">
        <v>44</v>
      </c>
      <c r="F2472" s="53" t="s">
        <v>10303</v>
      </c>
      <c r="G2472" s="53" t="s">
        <v>47</v>
      </c>
      <c r="H2472" s="53" t="s">
        <v>48</v>
      </c>
      <c r="I2472" s="53" t="s">
        <v>401</v>
      </c>
      <c r="J2472" s="53" t="s">
        <v>10304</v>
      </c>
      <c r="K2472" s="53" t="s">
        <v>51</v>
      </c>
      <c r="L2472" s="53" t="s">
        <v>52</v>
      </c>
      <c r="M2472" s="53" t="s">
        <v>52</v>
      </c>
      <c r="N2472" s="62" t="s">
        <v>10305</v>
      </c>
      <c r="O2472" s="62" t="s">
        <v>44</v>
      </c>
      <c r="P2472" s="62" t="s">
        <v>10317</v>
      </c>
      <c r="Q2472" s="62" t="s">
        <v>10318</v>
      </c>
      <c r="R2472" s="53"/>
      <c r="S2472" s="53"/>
      <c r="T2472" s="82"/>
      <c r="U2472" s="42"/>
      <c r="V2472" s="62"/>
      <c r="W2472" s="64"/>
      <c r="X2472" s="223"/>
      <c r="Y2472" s="223"/>
      <c r="Z2472" s="223"/>
      <c r="AA2472" s="223"/>
    </row>
    <row r="2473">
      <c r="A2473" s="42">
        <f t="shared" si="3"/>
        <v>2472</v>
      </c>
      <c r="B2473" s="51" t="s">
        <v>41</v>
      </c>
      <c r="C2473" s="53" t="s">
        <v>10319</v>
      </c>
      <c r="D2473" s="42" t="s">
        <v>44</v>
      </c>
      <c r="E2473" s="42" t="s">
        <v>44</v>
      </c>
      <c r="F2473" s="53" t="s">
        <v>10303</v>
      </c>
      <c r="G2473" s="53" t="s">
        <v>47</v>
      </c>
      <c r="H2473" s="53" t="s">
        <v>48</v>
      </c>
      <c r="I2473" s="53" t="s">
        <v>401</v>
      </c>
      <c r="J2473" s="53" t="s">
        <v>10304</v>
      </c>
      <c r="K2473" s="53" t="s">
        <v>51</v>
      </c>
      <c r="L2473" s="53" t="s">
        <v>52</v>
      </c>
      <c r="M2473" s="53" t="s">
        <v>52</v>
      </c>
      <c r="N2473" s="62" t="s">
        <v>10305</v>
      </c>
      <c r="O2473" s="62" t="s">
        <v>44</v>
      </c>
      <c r="P2473" s="62" t="s">
        <v>10301</v>
      </c>
      <c r="Q2473" s="62" t="s">
        <v>10290</v>
      </c>
      <c r="R2473" s="53"/>
      <c r="S2473" s="53"/>
      <c r="T2473" s="82"/>
      <c r="U2473" s="42"/>
      <c r="V2473" s="62"/>
      <c r="W2473" s="64"/>
      <c r="X2473" s="223"/>
      <c r="Y2473" s="223"/>
      <c r="Z2473" s="223"/>
      <c r="AA2473" s="223"/>
    </row>
    <row r="2474">
      <c r="A2474" s="42">
        <f t="shared" si="3"/>
        <v>2473</v>
      </c>
      <c r="B2474" s="51" t="s">
        <v>41</v>
      </c>
      <c r="C2474" s="53" t="s">
        <v>10320</v>
      </c>
      <c r="D2474" s="42" t="s">
        <v>44</v>
      </c>
      <c r="E2474" s="42" t="s">
        <v>44</v>
      </c>
      <c r="F2474" s="53" t="s">
        <v>10321</v>
      </c>
      <c r="G2474" s="53" t="s">
        <v>47</v>
      </c>
      <c r="H2474" s="53" t="s">
        <v>91</v>
      </c>
      <c r="I2474" s="53" t="s">
        <v>8913</v>
      </c>
      <c r="J2474" s="53" t="s">
        <v>10322</v>
      </c>
      <c r="K2474" s="53" t="s">
        <v>51</v>
      </c>
      <c r="L2474" s="53" t="s">
        <v>52</v>
      </c>
      <c r="M2474" s="53" t="s">
        <v>52</v>
      </c>
      <c r="N2474" s="62" t="s">
        <v>10323</v>
      </c>
      <c r="O2474" s="62" t="s">
        <v>44</v>
      </c>
      <c r="P2474" s="62" t="s">
        <v>10275</v>
      </c>
      <c r="Q2474" s="62" t="s">
        <v>9561</v>
      </c>
      <c r="R2474" s="53"/>
      <c r="S2474" s="53"/>
      <c r="T2474" s="82"/>
      <c r="U2474" s="42"/>
      <c r="V2474" s="62"/>
      <c r="W2474" s="64"/>
      <c r="X2474" s="223"/>
      <c r="Y2474" s="223"/>
      <c r="Z2474" s="223"/>
      <c r="AA2474" s="223"/>
    </row>
    <row r="2475">
      <c r="A2475" s="42">
        <f t="shared" si="3"/>
        <v>2474</v>
      </c>
      <c r="B2475" s="51" t="s">
        <v>41</v>
      </c>
      <c r="C2475" s="53" t="s">
        <v>10324</v>
      </c>
      <c r="D2475" s="42" t="s">
        <v>44</v>
      </c>
      <c r="E2475" s="42" t="s">
        <v>44</v>
      </c>
      <c r="F2475" s="53" t="s">
        <v>10321</v>
      </c>
      <c r="G2475" s="53" t="s">
        <v>47</v>
      </c>
      <c r="H2475" s="53" t="s">
        <v>48</v>
      </c>
      <c r="I2475" s="53" t="s">
        <v>8913</v>
      </c>
      <c r="J2475" s="53" t="s">
        <v>10322</v>
      </c>
      <c r="K2475" s="53" t="s">
        <v>51</v>
      </c>
      <c r="L2475" s="53" t="s">
        <v>52</v>
      </c>
      <c r="M2475" s="53" t="s">
        <v>52</v>
      </c>
      <c r="N2475" s="62" t="s">
        <v>10323</v>
      </c>
      <c r="O2475" s="62" t="s">
        <v>44</v>
      </c>
      <c r="P2475" s="62" t="s">
        <v>10277</v>
      </c>
      <c r="Q2475" s="62" t="s">
        <v>10034</v>
      </c>
      <c r="R2475" s="53"/>
      <c r="S2475" s="53"/>
      <c r="T2475" s="82"/>
      <c r="U2475" s="42"/>
      <c r="V2475" s="62"/>
      <c r="W2475" s="64"/>
      <c r="X2475" s="223"/>
      <c r="Y2475" s="223"/>
      <c r="Z2475" s="223"/>
      <c r="AA2475" s="223"/>
    </row>
    <row r="2476">
      <c r="A2476" s="42">
        <f t="shared" si="3"/>
        <v>2475</v>
      </c>
      <c r="B2476" s="51" t="s">
        <v>41</v>
      </c>
      <c r="C2476" s="53" t="s">
        <v>10325</v>
      </c>
      <c r="D2476" s="42" t="s">
        <v>44</v>
      </c>
      <c r="E2476" s="42" t="s">
        <v>44</v>
      </c>
      <c r="F2476" s="53" t="s">
        <v>10321</v>
      </c>
      <c r="G2476" s="53" t="s">
        <v>47</v>
      </c>
      <c r="H2476" s="53" t="s">
        <v>48</v>
      </c>
      <c r="I2476" s="53" t="s">
        <v>8913</v>
      </c>
      <c r="J2476" s="53" t="s">
        <v>10322</v>
      </c>
      <c r="K2476" s="53" t="s">
        <v>51</v>
      </c>
      <c r="L2476" s="53" t="s">
        <v>52</v>
      </c>
      <c r="M2476" s="53" t="s">
        <v>52</v>
      </c>
      <c r="N2476" s="62" t="s">
        <v>10323</v>
      </c>
      <c r="O2476" s="62" t="s">
        <v>44</v>
      </c>
      <c r="P2476" s="62" t="s">
        <v>10282</v>
      </c>
      <c r="Q2476" s="62" t="s">
        <v>10283</v>
      </c>
      <c r="R2476" s="53"/>
      <c r="S2476" s="53"/>
      <c r="T2476" s="82"/>
      <c r="U2476" s="42"/>
      <c r="V2476" s="62"/>
      <c r="W2476" s="64"/>
      <c r="X2476" s="223"/>
      <c r="Y2476" s="223"/>
      <c r="Z2476" s="223"/>
      <c r="AA2476" s="223"/>
    </row>
    <row r="2477">
      <c r="A2477" s="42">
        <f t="shared" si="3"/>
        <v>2476</v>
      </c>
      <c r="B2477" s="51" t="s">
        <v>41</v>
      </c>
      <c r="C2477" s="53" t="s">
        <v>10326</v>
      </c>
      <c r="D2477" s="42" t="s">
        <v>44</v>
      </c>
      <c r="E2477" s="42" t="s">
        <v>44</v>
      </c>
      <c r="F2477" s="53" t="s">
        <v>10321</v>
      </c>
      <c r="G2477" s="53" t="s">
        <v>47</v>
      </c>
      <c r="H2477" s="53" t="s">
        <v>48</v>
      </c>
      <c r="I2477" s="53" t="s">
        <v>8913</v>
      </c>
      <c r="J2477" s="53" t="s">
        <v>10322</v>
      </c>
      <c r="K2477" s="53" t="s">
        <v>51</v>
      </c>
      <c r="L2477" s="53" t="s">
        <v>52</v>
      </c>
      <c r="M2477" s="53" t="s">
        <v>52</v>
      </c>
      <c r="N2477" s="62" t="s">
        <v>10327</v>
      </c>
      <c r="O2477" s="62" t="s">
        <v>44</v>
      </c>
      <c r="P2477" s="62" t="s">
        <v>10328</v>
      </c>
      <c r="Q2477" s="62" t="s">
        <v>10329</v>
      </c>
      <c r="R2477" s="53"/>
      <c r="S2477" s="53"/>
      <c r="T2477" s="82"/>
      <c r="U2477" s="42"/>
      <c r="V2477" s="62"/>
      <c r="W2477" s="64"/>
      <c r="X2477" s="223"/>
      <c r="Y2477" s="223"/>
      <c r="Z2477" s="223"/>
      <c r="AA2477" s="223"/>
    </row>
    <row r="2478">
      <c r="A2478" s="42">
        <f t="shared" si="3"/>
        <v>2477</v>
      </c>
      <c r="B2478" s="51" t="s">
        <v>41</v>
      </c>
      <c r="C2478" s="53" t="s">
        <v>10330</v>
      </c>
      <c r="D2478" s="42" t="s">
        <v>44</v>
      </c>
      <c r="E2478" s="42" t="s">
        <v>44</v>
      </c>
      <c r="F2478" s="53" t="s">
        <v>10331</v>
      </c>
      <c r="G2478" s="53" t="s">
        <v>47</v>
      </c>
      <c r="H2478" s="53" t="s">
        <v>48</v>
      </c>
      <c r="I2478" s="53" t="s">
        <v>8913</v>
      </c>
      <c r="J2478" s="53" t="s">
        <v>10332</v>
      </c>
      <c r="K2478" s="53" t="s">
        <v>51</v>
      </c>
      <c r="L2478" s="53" t="s">
        <v>52</v>
      </c>
      <c r="M2478" s="53" t="s">
        <v>52</v>
      </c>
      <c r="N2478" s="62" t="s">
        <v>10333</v>
      </c>
      <c r="O2478" s="62" t="s">
        <v>44</v>
      </c>
      <c r="P2478" s="62" t="s">
        <v>10334</v>
      </c>
      <c r="Q2478" s="62" t="s">
        <v>10335</v>
      </c>
      <c r="R2478" s="53"/>
      <c r="S2478" s="53"/>
      <c r="T2478" s="82"/>
      <c r="U2478" s="42"/>
      <c r="V2478" s="62"/>
      <c r="W2478" s="64"/>
      <c r="X2478" s="223"/>
      <c r="Y2478" s="223"/>
      <c r="Z2478" s="223"/>
      <c r="AA2478" s="223"/>
    </row>
    <row r="2479">
      <c r="A2479" s="42">
        <f t="shared" si="3"/>
        <v>2478</v>
      </c>
      <c r="B2479" s="51" t="s">
        <v>41</v>
      </c>
      <c r="C2479" s="53" t="s">
        <v>10336</v>
      </c>
      <c r="D2479" s="42" t="s">
        <v>44</v>
      </c>
      <c r="E2479" s="42" t="s">
        <v>44</v>
      </c>
      <c r="F2479" s="53" t="s">
        <v>10331</v>
      </c>
      <c r="G2479" s="53" t="s">
        <v>47</v>
      </c>
      <c r="H2479" s="53" t="s">
        <v>48</v>
      </c>
      <c r="I2479" s="53" t="s">
        <v>8913</v>
      </c>
      <c r="J2479" s="53" t="s">
        <v>10332</v>
      </c>
      <c r="K2479" s="53" t="s">
        <v>51</v>
      </c>
      <c r="L2479" s="53" t="s">
        <v>52</v>
      </c>
      <c r="M2479" s="53" t="s">
        <v>52</v>
      </c>
      <c r="N2479" s="62" t="s">
        <v>10333</v>
      </c>
      <c r="O2479" s="62" t="s">
        <v>44</v>
      </c>
      <c r="P2479" s="62" t="s">
        <v>10334</v>
      </c>
      <c r="Q2479" s="62" t="s">
        <v>10337</v>
      </c>
      <c r="R2479" s="53"/>
      <c r="S2479" s="53"/>
      <c r="T2479" s="82"/>
      <c r="U2479" s="42"/>
      <c r="V2479" s="62"/>
      <c r="W2479" s="64"/>
      <c r="X2479" s="223"/>
      <c r="Y2479" s="223"/>
      <c r="Z2479" s="223"/>
      <c r="AA2479" s="223"/>
    </row>
    <row r="2480">
      <c r="A2480" s="42">
        <f t="shared" si="3"/>
        <v>2479</v>
      </c>
      <c r="B2480" s="51" t="s">
        <v>41</v>
      </c>
      <c r="C2480" s="53" t="s">
        <v>10338</v>
      </c>
      <c r="D2480" s="42" t="s">
        <v>44</v>
      </c>
      <c r="E2480" s="42" t="s">
        <v>44</v>
      </c>
      <c r="F2480" s="53" t="s">
        <v>10339</v>
      </c>
      <c r="G2480" s="53" t="s">
        <v>47</v>
      </c>
      <c r="H2480" s="53" t="s">
        <v>48</v>
      </c>
      <c r="I2480" s="53" t="s">
        <v>401</v>
      </c>
      <c r="J2480" s="53" t="s">
        <v>10340</v>
      </c>
      <c r="K2480" s="53" t="s">
        <v>51</v>
      </c>
      <c r="L2480" s="53" t="s">
        <v>52</v>
      </c>
      <c r="M2480" s="53" t="s">
        <v>52</v>
      </c>
      <c r="N2480" s="62" t="s">
        <v>10341</v>
      </c>
      <c r="O2480" s="62" t="s">
        <v>44</v>
      </c>
      <c r="P2480" s="62" t="s">
        <v>10342</v>
      </c>
      <c r="Q2480" s="62" t="s">
        <v>10343</v>
      </c>
      <c r="R2480" s="53"/>
      <c r="S2480" s="53"/>
      <c r="T2480" s="82"/>
      <c r="U2480" s="42"/>
      <c r="V2480" s="62"/>
      <c r="W2480" s="64"/>
      <c r="X2480" s="223"/>
      <c r="Y2480" s="223"/>
      <c r="Z2480" s="223"/>
      <c r="AA2480" s="223"/>
    </row>
    <row r="2481">
      <c r="A2481" s="42">
        <f t="shared" si="3"/>
        <v>2480</v>
      </c>
      <c r="B2481" s="51" t="s">
        <v>41</v>
      </c>
      <c r="C2481" s="53" t="s">
        <v>10344</v>
      </c>
      <c r="D2481" s="42" t="s">
        <v>44</v>
      </c>
      <c r="E2481" s="42" t="s">
        <v>44</v>
      </c>
      <c r="F2481" s="53" t="s">
        <v>10339</v>
      </c>
      <c r="G2481" s="53" t="s">
        <v>47</v>
      </c>
      <c r="H2481" s="53" t="s">
        <v>91</v>
      </c>
      <c r="I2481" s="53" t="s">
        <v>401</v>
      </c>
      <c r="J2481" s="53" t="s">
        <v>10340</v>
      </c>
      <c r="K2481" s="53" t="s">
        <v>51</v>
      </c>
      <c r="L2481" s="53" t="s">
        <v>52</v>
      </c>
      <c r="M2481" s="53" t="s">
        <v>52</v>
      </c>
      <c r="N2481" s="62" t="s">
        <v>10341</v>
      </c>
      <c r="O2481" s="62" t="s">
        <v>44</v>
      </c>
      <c r="P2481" s="62" t="s">
        <v>10345</v>
      </c>
      <c r="Q2481" s="62" t="s">
        <v>10346</v>
      </c>
      <c r="R2481" s="53"/>
      <c r="S2481" s="53"/>
      <c r="T2481" s="82"/>
      <c r="U2481" s="42"/>
      <c r="V2481" s="62"/>
      <c r="W2481" s="64"/>
      <c r="X2481" s="223"/>
      <c r="Y2481" s="223"/>
      <c r="Z2481" s="223"/>
      <c r="AA2481" s="223"/>
    </row>
    <row r="2482">
      <c r="A2482" s="42">
        <f t="shared" si="3"/>
        <v>2481</v>
      </c>
      <c r="B2482" s="51" t="s">
        <v>41</v>
      </c>
      <c r="C2482" s="53" t="s">
        <v>10347</v>
      </c>
      <c r="D2482" s="42" t="s">
        <v>44</v>
      </c>
      <c r="E2482" s="42" t="s">
        <v>44</v>
      </c>
      <c r="F2482" s="53" t="s">
        <v>10339</v>
      </c>
      <c r="G2482" s="53" t="s">
        <v>47</v>
      </c>
      <c r="H2482" s="53" t="s">
        <v>48</v>
      </c>
      <c r="I2482" s="53" t="s">
        <v>401</v>
      </c>
      <c r="J2482" s="53" t="s">
        <v>10340</v>
      </c>
      <c r="K2482" s="53" t="s">
        <v>51</v>
      </c>
      <c r="L2482" s="53" t="s">
        <v>52</v>
      </c>
      <c r="M2482" s="53" t="s">
        <v>52</v>
      </c>
      <c r="N2482" s="62" t="s">
        <v>10348</v>
      </c>
      <c r="O2482" s="62" t="s">
        <v>44</v>
      </c>
      <c r="P2482" s="62" t="s">
        <v>10317</v>
      </c>
      <c r="Q2482" s="62" t="s">
        <v>10349</v>
      </c>
      <c r="R2482" s="53"/>
      <c r="S2482" s="53"/>
      <c r="T2482" s="82"/>
      <c r="U2482" s="42"/>
      <c r="V2482" s="62"/>
      <c r="W2482" s="64"/>
      <c r="X2482" s="223"/>
      <c r="Y2482" s="223"/>
      <c r="Z2482" s="223"/>
      <c r="AA2482" s="223"/>
    </row>
    <row r="2483">
      <c r="A2483" s="42">
        <f t="shared" si="3"/>
        <v>2482</v>
      </c>
      <c r="B2483" s="51" t="s">
        <v>41</v>
      </c>
      <c r="C2483" s="53" t="s">
        <v>10350</v>
      </c>
      <c r="D2483" s="42" t="s">
        <v>44</v>
      </c>
      <c r="E2483" s="42" t="s">
        <v>44</v>
      </c>
      <c r="F2483" s="53" t="s">
        <v>10339</v>
      </c>
      <c r="G2483" s="53" t="s">
        <v>47</v>
      </c>
      <c r="H2483" s="53" t="s">
        <v>48</v>
      </c>
      <c r="I2483" s="53" t="s">
        <v>401</v>
      </c>
      <c r="J2483" s="53" t="s">
        <v>10340</v>
      </c>
      <c r="K2483" s="53" t="s">
        <v>51</v>
      </c>
      <c r="L2483" s="53" t="s">
        <v>52</v>
      </c>
      <c r="M2483" s="53" t="s">
        <v>52</v>
      </c>
      <c r="N2483" s="62" t="s">
        <v>10351</v>
      </c>
      <c r="O2483" s="62" t="s">
        <v>44</v>
      </c>
      <c r="P2483" s="62" t="s">
        <v>10352</v>
      </c>
      <c r="Q2483" s="62" t="s">
        <v>10353</v>
      </c>
      <c r="R2483" s="53"/>
      <c r="S2483" s="53"/>
      <c r="T2483" s="82"/>
      <c r="U2483" s="42"/>
      <c r="V2483" s="62"/>
      <c r="W2483" s="64"/>
      <c r="X2483" s="223"/>
      <c r="Y2483" s="223"/>
      <c r="Z2483" s="223"/>
      <c r="AA2483" s="223"/>
    </row>
    <row r="2484">
      <c r="A2484" s="42">
        <f t="shared" si="3"/>
        <v>2483</v>
      </c>
      <c r="B2484" s="51" t="s">
        <v>41</v>
      </c>
      <c r="C2484" s="53" t="s">
        <v>10354</v>
      </c>
      <c r="D2484" s="42" t="s">
        <v>44</v>
      </c>
      <c r="E2484" s="42" t="s">
        <v>44</v>
      </c>
      <c r="F2484" s="53" t="s">
        <v>10339</v>
      </c>
      <c r="G2484" s="53" t="s">
        <v>47</v>
      </c>
      <c r="H2484" s="53" t="s">
        <v>91</v>
      </c>
      <c r="I2484" s="53" t="s">
        <v>401</v>
      </c>
      <c r="J2484" s="53" t="s">
        <v>10340</v>
      </c>
      <c r="K2484" s="53" t="s">
        <v>51</v>
      </c>
      <c r="L2484" s="53" t="s">
        <v>52</v>
      </c>
      <c r="M2484" s="53" t="s">
        <v>52</v>
      </c>
      <c r="N2484" s="62" t="s">
        <v>10351</v>
      </c>
      <c r="O2484" s="62" t="s">
        <v>44</v>
      </c>
      <c r="P2484" s="62" t="s">
        <v>10355</v>
      </c>
      <c r="Q2484" s="62" t="s">
        <v>10356</v>
      </c>
      <c r="R2484" s="53"/>
      <c r="S2484" s="53"/>
      <c r="T2484" s="82"/>
      <c r="U2484" s="42"/>
      <c r="V2484" s="62"/>
      <c r="W2484" s="64"/>
      <c r="X2484" s="223"/>
      <c r="Y2484" s="223"/>
      <c r="Z2484" s="223"/>
      <c r="AA2484" s="223"/>
    </row>
    <row r="2485">
      <c r="A2485" s="42">
        <f t="shared" si="3"/>
        <v>2484</v>
      </c>
      <c r="B2485" s="51" t="s">
        <v>41</v>
      </c>
      <c r="C2485" s="53" t="s">
        <v>10357</v>
      </c>
      <c r="D2485" s="42" t="s">
        <v>44</v>
      </c>
      <c r="E2485" s="42" t="s">
        <v>44</v>
      </c>
      <c r="F2485" s="53" t="s">
        <v>10339</v>
      </c>
      <c r="G2485" s="53" t="s">
        <v>47</v>
      </c>
      <c r="H2485" s="53" t="s">
        <v>48</v>
      </c>
      <c r="I2485" s="53" t="s">
        <v>401</v>
      </c>
      <c r="J2485" s="53" t="s">
        <v>10340</v>
      </c>
      <c r="K2485" s="53" t="s">
        <v>51</v>
      </c>
      <c r="L2485" s="53" t="s">
        <v>52</v>
      </c>
      <c r="M2485" s="53" t="s">
        <v>52</v>
      </c>
      <c r="N2485" s="62" t="s">
        <v>10358</v>
      </c>
      <c r="O2485" s="62" t="s">
        <v>44</v>
      </c>
      <c r="P2485" s="62" t="s">
        <v>10359</v>
      </c>
      <c r="Q2485" s="62" t="s">
        <v>10353</v>
      </c>
      <c r="R2485" s="53"/>
      <c r="S2485" s="53"/>
      <c r="T2485" s="82"/>
      <c r="U2485" s="42"/>
      <c r="V2485" s="62"/>
      <c r="W2485" s="64"/>
      <c r="X2485" s="223"/>
      <c r="Y2485" s="223"/>
      <c r="Z2485" s="223"/>
      <c r="AA2485" s="223"/>
    </row>
    <row r="2486">
      <c r="A2486" s="42">
        <f t="shared" si="3"/>
        <v>2485</v>
      </c>
      <c r="B2486" s="51" t="s">
        <v>41</v>
      </c>
      <c r="C2486" s="53" t="s">
        <v>10360</v>
      </c>
      <c r="D2486" s="42" t="s">
        <v>44</v>
      </c>
      <c r="E2486" s="42" t="s">
        <v>44</v>
      </c>
      <c r="F2486" s="53" t="s">
        <v>10339</v>
      </c>
      <c r="G2486" s="53" t="s">
        <v>47</v>
      </c>
      <c r="H2486" s="53" t="s">
        <v>91</v>
      </c>
      <c r="I2486" s="53" t="s">
        <v>401</v>
      </c>
      <c r="J2486" s="53" t="s">
        <v>10340</v>
      </c>
      <c r="K2486" s="53" t="s">
        <v>51</v>
      </c>
      <c r="L2486" s="53" t="s">
        <v>52</v>
      </c>
      <c r="M2486" s="53" t="s">
        <v>52</v>
      </c>
      <c r="N2486" s="62" t="s">
        <v>10358</v>
      </c>
      <c r="O2486" s="62" t="s">
        <v>44</v>
      </c>
      <c r="P2486" s="62" t="s">
        <v>10355</v>
      </c>
      <c r="Q2486" s="62" t="s">
        <v>10356</v>
      </c>
      <c r="R2486" s="53"/>
      <c r="S2486" s="53"/>
      <c r="T2486" s="82"/>
      <c r="U2486" s="42"/>
      <c r="V2486" s="62"/>
      <c r="W2486" s="64"/>
      <c r="X2486" s="223"/>
      <c r="Y2486" s="223"/>
      <c r="Z2486" s="223"/>
      <c r="AA2486" s="223"/>
    </row>
    <row r="2487">
      <c r="A2487" s="42">
        <f t="shared" si="3"/>
        <v>2486</v>
      </c>
      <c r="B2487" s="51" t="s">
        <v>41</v>
      </c>
      <c r="C2487" s="53" t="s">
        <v>10361</v>
      </c>
      <c r="D2487" s="42" t="s">
        <v>44</v>
      </c>
      <c r="E2487" s="42" t="s">
        <v>44</v>
      </c>
      <c r="F2487" s="53" t="s">
        <v>10362</v>
      </c>
      <c r="G2487" s="53" t="s">
        <v>47</v>
      </c>
      <c r="H2487" s="53" t="s">
        <v>48</v>
      </c>
      <c r="I2487" s="53" t="s">
        <v>255</v>
      </c>
      <c r="J2487" s="53" t="s">
        <v>10363</v>
      </c>
      <c r="K2487" s="53" t="s">
        <v>51</v>
      </c>
      <c r="L2487" s="53" t="s">
        <v>52</v>
      </c>
      <c r="M2487" s="53" t="s">
        <v>52</v>
      </c>
      <c r="N2487" s="62" t="s">
        <v>10364</v>
      </c>
      <c r="O2487" s="62" t="s">
        <v>44</v>
      </c>
      <c r="P2487" s="62" t="s">
        <v>10365</v>
      </c>
      <c r="Q2487" s="62" t="s">
        <v>10366</v>
      </c>
      <c r="R2487" s="53"/>
      <c r="S2487" s="53"/>
      <c r="T2487" s="82"/>
      <c r="U2487" s="42"/>
      <c r="V2487" s="62"/>
      <c r="W2487" s="64"/>
      <c r="X2487" s="223"/>
      <c r="Y2487" s="223"/>
      <c r="Z2487" s="223"/>
      <c r="AA2487" s="223"/>
    </row>
    <row r="2488">
      <c r="A2488" s="42">
        <f t="shared" si="3"/>
        <v>2487</v>
      </c>
      <c r="B2488" s="51" t="s">
        <v>41</v>
      </c>
      <c r="C2488" s="53" t="s">
        <v>10367</v>
      </c>
      <c r="D2488" s="42" t="s">
        <v>44</v>
      </c>
      <c r="E2488" s="42" t="s">
        <v>44</v>
      </c>
      <c r="F2488" s="53" t="s">
        <v>10362</v>
      </c>
      <c r="G2488" s="53" t="s">
        <v>47</v>
      </c>
      <c r="H2488" s="53" t="s">
        <v>95</v>
      </c>
      <c r="I2488" s="53" t="s">
        <v>255</v>
      </c>
      <c r="J2488" s="53" t="s">
        <v>10363</v>
      </c>
      <c r="K2488" s="53" t="s">
        <v>51</v>
      </c>
      <c r="L2488" s="53" t="s">
        <v>52</v>
      </c>
      <c r="M2488" s="53" t="s">
        <v>52</v>
      </c>
      <c r="N2488" s="62" t="s">
        <v>10368</v>
      </c>
      <c r="O2488" s="62" t="s">
        <v>44</v>
      </c>
      <c r="P2488" s="62" t="s">
        <v>10365</v>
      </c>
      <c r="Q2488" s="62" t="s">
        <v>10369</v>
      </c>
      <c r="R2488" s="53"/>
      <c r="S2488" s="53"/>
      <c r="T2488" s="82"/>
      <c r="U2488" s="42"/>
      <c r="V2488" s="62"/>
      <c r="W2488" s="64"/>
      <c r="X2488" s="223"/>
      <c r="Y2488" s="223"/>
      <c r="Z2488" s="223"/>
      <c r="AA2488" s="223"/>
    </row>
    <row r="2489">
      <c r="A2489" s="42">
        <f t="shared" si="3"/>
        <v>2488</v>
      </c>
      <c r="B2489" s="51" t="s">
        <v>41</v>
      </c>
      <c r="C2489" s="53" t="s">
        <v>10370</v>
      </c>
      <c r="D2489" s="42" t="s">
        <v>44</v>
      </c>
      <c r="E2489" s="42" t="s">
        <v>44</v>
      </c>
      <c r="F2489" s="53" t="s">
        <v>10362</v>
      </c>
      <c r="G2489" s="53" t="s">
        <v>47</v>
      </c>
      <c r="H2489" s="53" t="s">
        <v>48</v>
      </c>
      <c r="I2489" s="53" t="s">
        <v>255</v>
      </c>
      <c r="J2489" s="53" t="s">
        <v>10363</v>
      </c>
      <c r="K2489" s="53" t="s">
        <v>51</v>
      </c>
      <c r="L2489" s="53" t="s">
        <v>52</v>
      </c>
      <c r="M2489" s="53" t="s">
        <v>52</v>
      </c>
      <c r="N2489" s="62" t="s">
        <v>10371</v>
      </c>
      <c r="O2489" s="62" t="s">
        <v>44</v>
      </c>
      <c r="P2489" s="62" t="s">
        <v>10372</v>
      </c>
      <c r="Q2489" s="62" t="s">
        <v>10373</v>
      </c>
      <c r="R2489" s="53"/>
      <c r="S2489" s="53"/>
      <c r="T2489" s="82"/>
      <c r="U2489" s="42"/>
      <c r="V2489" s="62"/>
      <c r="W2489" s="64"/>
      <c r="X2489" s="223"/>
      <c r="Y2489" s="223"/>
      <c r="Z2489" s="223"/>
      <c r="AA2489" s="223"/>
    </row>
    <row r="2490">
      <c r="A2490" s="42">
        <f t="shared" si="3"/>
        <v>2489</v>
      </c>
      <c r="B2490" s="51" t="s">
        <v>41</v>
      </c>
      <c r="C2490" s="53" t="s">
        <v>10374</v>
      </c>
      <c r="D2490" s="42" t="s">
        <v>44</v>
      </c>
      <c r="E2490" s="42" t="s">
        <v>44</v>
      </c>
      <c r="F2490" s="53" t="s">
        <v>10362</v>
      </c>
      <c r="G2490" s="53" t="s">
        <v>47</v>
      </c>
      <c r="H2490" s="53" t="s">
        <v>48</v>
      </c>
      <c r="I2490" s="53" t="s">
        <v>255</v>
      </c>
      <c r="J2490" s="53" t="s">
        <v>10363</v>
      </c>
      <c r="K2490" s="53" t="s">
        <v>51</v>
      </c>
      <c r="L2490" s="53" t="s">
        <v>52</v>
      </c>
      <c r="M2490" s="53" t="s">
        <v>52</v>
      </c>
      <c r="N2490" s="62" t="s">
        <v>10375</v>
      </c>
      <c r="O2490" s="62" t="s">
        <v>44</v>
      </c>
      <c r="P2490" s="62" t="s">
        <v>10376</v>
      </c>
      <c r="Q2490" s="62" t="s">
        <v>10377</v>
      </c>
      <c r="R2490" s="53"/>
      <c r="S2490" s="53"/>
      <c r="T2490" s="82"/>
      <c r="U2490" s="42"/>
      <c r="V2490" s="62"/>
      <c r="W2490" s="64"/>
      <c r="X2490" s="223"/>
      <c r="Y2490" s="223"/>
      <c r="Z2490" s="223"/>
      <c r="AA2490" s="223"/>
    </row>
    <row r="2491">
      <c r="A2491" s="42">
        <f t="shared" si="3"/>
        <v>2490</v>
      </c>
      <c r="B2491" s="51" t="s">
        <v>41</v>
      </c>
      <c r="C2491" s="53" t="s">
        <v>10378</v>
      </c>
      <c r="D2491" s="42" t="s">
        <v>44</v>
      </c>
      <c r="E2491" s="42" t="s">
        <v>44</v>
      </c>
      <c r="F2491" s="53" t="s">
        <v>10362</v>
      </c>
      <c r="G2491" s="53" t="s">
        <v>47</v>
      </c>
      <c r="H2491" s="53" t="s">
        <v>48</v>
      </c>
      <c r="I2491" s="53" t="s">
        <v>255</v>
      </c>
      <c r="J2491" s="53" t="s">
        <v>10363</v>
      </c>
      <c r="K2491" s="53" t="s">
        <v>51</v>
      </c>
      <c r="L2491" s="53" t="s">
        <v>52</v>
      </c>
      <c r="M2491" s="53" t="s">
        <v>52</v>
      </c>
      <c r="N2491" s="62" t="s">
        <v>10375</v>
      </c>
      <c r="O2491" s="62" t="s">
        <v>44</v>
      </c>
      <c r="P2491" s="62" t="s">
        <v>10379</v>
      </c>
      <c r="Q2491" s="62" t="s">
        <v>10380</v>
      </c>
      <c r="R2491" s="53"/>
      <c r="S2491" s="53"/>
      <c r="T2491" s="82"/>
      <c r="U2491" s="42"/>
      <c r="V2491" s="62"/>
      <c r="W2491" s="64"/>
      <c r="X2491" s="223"/>
      <c r="Y2491" s="223"/>
      <c r="Z2491" s="223"/>
      <c r="AA2491" s="223"/>
    </row>
    <row r="2492">
      <c r="A2492" s="42">
        <f t="shared" si="3"/>
        <v>2491</v>
      </c>
      <c r="B2492" s="51" t="s">
        <v>41</v>
      </c>
      <c r="C2492" s="53" t="s">
        <v>10381</v>
      </c>
      <c r="D2492" s="42" t="s">
        <v>44</v>
      </c>
      <c r="E2492" s="42" t="s">
        <v>44</v>
      </c>
      <c r="F2492" s="53" t="s">
        <v>10362</v>
      </c>
      <c r="G2492" s="53" t="s">
        <v>47</v>
      </c>
      <c r="H2492" s="53" t="s">
        <v>48</v>
      </c>
      <c r="I2492" s="53" t="s">
        <v>255</v>
      </c>
      <c r="J2492" s="53" t="s">
        <v>10363</v>
      </c>
      <c r="K2492" s="53" t="s">
        <v>51</v>
      </c>
      <c r="L2492" s="53" t="s">
        <v>52</v>
      </c>
      <c r="M2492" s="53" t="s">
        <v>52</v>
      </c>
      <c r="N2492" s="62" t="s">
        <v>10382</v>
      </c>
      <c r="O2492" s="62" t="s">
        <v>44</v>
      </c>
      <c r="P2492" s="62" t="s">
        <v>10383</v>
      </c>
      <c r="Q2492" s="62" t="s">
        <v>10384</v>
      </c>
      <c r="R2492" s="53"/>
      <c r="S2492" s="53"/>
      <c r="T2492" s="82"/>
      <c r="U2492" s="42"/>
      <c r="V2492" s="62"/>
      <c r="W2492" s="64"/>
      <c r="X2492" s="223"/>
      <c r="Y2492" s="223"/>
      <c r="Z2492" s="223"/>
      <c r="AA2492" s="223"/>
    </row>
    <row r="2493">
      <c r="A2493" s="42">
        <f t="shared" si="3"/>
        <v>2492</v>
      </c>
      <c r="B2493" s="51" t="s">
        <v>41</v>
      </c>
      <c r="C2493" s="53" t="s">
        <v>10385</v>
      </c>
      <c r="D2493" s="42" t="s">
        <v>44</v>
      </c>
      <c r="E2493" s="42" t="s">
        <v>44</v>
      </c>
      <c r="F2493" s="53" t="s">
        <v>10362</v>
      </c>
      <c r="G2493" s="53" t="s">
        <v>47</v>
      </c>
      <c r="H2493" s="53" t="s">
        <v>48</v>
      </c>
      <c r="I2493" s="53" t="s">
        <v>255</v>
      </c>
      <c r="J2493" s="53" t="s">
        <v>10363</v>
      </c>
      <c r="K2493" s="53" t="s">
        <v>51</v>
      </c>
      <c r="L2493" s="53" t="s">
        <v>52</v>
      </c>
      <c r="M2493" s="53" t="s">
        <v>52</v>
      </c>
      <c r="N2493" s="62" t="s">
        <v>10382</v>
      </c>
      <c r="O2493" s="62" t="s">
        <v>44</v>
      </c>
      <c r="P2493" s="62" t="s">
        <v>10386</v>
      </c>
      <c r="Q2493" s="62" t="s">
        <v>10387</v>
      </c>
      <c r="R2493" s="53"/>
      <c r="S2493" s="53"/>
      <c r="T2493" s="82"/>
      <c r="U2493" s="42"/>
      <c r="V2493" s="62"/>
      <c r="W2493" s="64"/>
      <c r="X2493" s="223"/>
      <c r="Y2493" s="223"/>
      <c r="Z2493" s="223"/>
      <c r="AA2493" s="223"/>
    </row>
    <row r="2494">
      <c r="A2494" s="42">
        <f t="shared" si="3"/>
        <v>2493</v>
      </c>
      <c r="B2494" s="51" t="s">
        <v>41</v>
      </c>
      <c r="C2494" s="53" t="s">
        <v>10388</v>
      </c>
      <c r="D2494" s="42" t="s">
        <v>44</v>
      </c>
      <c r="E2494" s="42" t="s">
        <v>44</v>
      </c>
      <c r="F2494" s="53" t="s">
        <v>10362</v>
      </c>
      <c r="G2494" s="53" t="s">
        <v>47</v>
      </c>
      <c r="H2494" s="53" t="s">
        <v>48</v>
      </c>
      <c r="I2494" s="53" t="s">
        <v>255</v>
      </c>
      <c r="J2494" s="53" t="s">
        <v>10363</v>
      </c>
      <c r="K2494" s="53" t="s">
        <v>51</v>
      </c>
      <c r="L2494" s="53" t="s">
        <v>52</v>
      </c>
      <c r="M2494" s="53" t="s">
        <v>52</v>
      </c>
      <c r="N2494" s="62" t="s">
        <v>10389</v>
      </c>
      <c r="O2494" s="62" t="s">
        <v>44</v>
      </c>
      <c r="P2494" s="62" t="s">
        <v>10390</v>
      </c>
      <c r="Q2494" s="62" t="s">
        <v>10391</v>
      </c>
      <c r="R2494" s="53"/>
      <c r="S2494" s="53"/>
      <c r="T2494" s="82"/>
      <c r="U2494" s="42"/>
      <c r="V2494" s="62"/>
      <c r="W2494" s="64"/>
      <c r="X2494" s="223"/>
      <c r="Y2494" s="223"/>
      <c r="Z2494" s="223"/>
      <c r="AA2494" s="223"/>
    </row>
    <row r="2495">
      <c r="A2495" s="42">
        <f t="shared" si="3"/>
        <v>2494</v>
      </c>
      <c r="B2495" s="51" t="s">
        <v>41</v>
      </c>
      <c r="C2495" s="53" t="s">
        <v>10392</v>
      </c>
      <c r="D2495" s="42" t="s">
        <v>44</v>
      </c>
      <c r="E2495" s="42" t="s">
        <v>44</v>
      </c>
      <c r="F2495" s="53" t="s">
        <v>10362</v>
      </c>
      <c r="G2495" s="53" t="s">
        <v>47</v>
      </c>
      <c r="H2495" s="53" t="s">
        <v>95</v>
      </c>
      <c r="I2495" s="53" t="s">
        <v>255</v>
      </c>
      <c r="J2495" s="53" t="s">
        <v>10363</v>
      </c>
      <c r="K2495" s="53" t="s">
        <v>51</v>
      </c>
      <c r="L2495" s="53" t="s">
        <v>52</v>
      </c>
      <c r="M2495" s="53" t="s">
        <v>52</v>
      </c>
      <c r="N2495" s="62" t="s">
        <v>10393</v>
      </c>
      <c r="O2495" s="62" t="s">
        <v>44</v>
      </c>
      <c r="P2495" s="62" t="s">
        <v>10394</v>
      </c>
      <c r="Q2495" s="62" t="s">
        <v>10395</v>
      </c>
      <c r="R2495" s="53"/>
      <c r="S2495" s="53"/>
      <c r="T2495" s="82"/>
      <c r="U2495" s="42"/>
      <c r="V2495" s="62"/>
      <c r="W2495" s="64"/>
      <c r="X2495" s="223"/>
      <c r="Y2495" s="223"/>
      <c r="Z2495" s="223"/>
      <c r="AA2495" s="223"/>
    </row>
    <row r="2496">
      <c r="A2496" s="42">
        <f t="shared" si="3"/>
        <v>2495</v>
      </c>
      <c r="B2496" s="51" t="s">
        <v>41</v>
      </c>
      <c r="C2496" s="53" t="s">
        <v>10396</v>
      </c>
      <c r="D2496" s="42" t="s">
        <v>44</v>
      </c>
      <c r="E2496" s="42" t="s">
        <v>44</v>
      </c>
      <c r="F2496" s="53" t="s">
        <v>10362</v>
      </c>
      <c r="G2496" s="53" t="s">
        <v>47</v>
      </c>
      <c r="H2496" s="53" t="s">
        <v>95</v>
      </c>
      <c r="I2496" s="53" t="s">
        <v>255</v>
      </c>
      <c r="J2496" s="53" t="s">
        <v>10363</v>
      </c>
      <c r="K2496" s="53" t="s">
        <v>51</v>
      </c>
      <c r="L2496" s="53" t="s">
        <v>52</v>
      </c>
      <c r="M2496" s="53" t="s">
        <v>52</v>
      </c>
      <c r="N2496" s="62" t="s">
        <v>10382</v>
      </c>
      <c r="O2496" s="62" t="s">
        <v>44</v>
      </c>
      <c r="P2496" s="62" t="s">
        <v>10397</v>
      </c>
      <c r="Q2496" s="62" t="s">
        <v>10398</v>
      </c>
      <c r="R2496" s="53"/>
      <c r="S2496" s="53"/>
      <c r="T2496" s="82"/>
      <c r="U2496" s="42"/>
      <c r="V2496" s="62"/>
      <c r="W2496" s="64"/>
      <c r="X2496" s="223"/>
      <c r="Y2496" s="223"/>
      <c r="Z2496" s="223"/>
      <c r="AA2496" s="223"/>
    </row>
    <row r="2497">
      <c r="A2497" s="42">
        <f t="shared" si="3"/>
        <v>2496</v>
      </c>
      <c r="B2497" s="51" t="s">
        <v>41</v>
      </c>
      <c r="C2497" s="53" t="s">
        <v>10399</v>
      </c>
      <c r="D2497" s="42" t="s">
        <v>44</v>
      </c>
      <c r="E2497" s="42" t="s">
        <v>44</v>
      </c>
      <c r="F2497" s="53" t="s">
        <v>10362</v>
      </c>
      <c r="G2497" s="53" t="s">
        <v>85</v>
      </c>
      <c r="H2497" s="53" t="s">
        <v>86</v>
      </c>
      <c r="I2497" s="53" t="s">
        <v>255</v>
      </c>
      <c r="J2497" s="53" t="s">
        <v>10363</v>
      </c>
      <c r="K2497" s="53" t="s">
        <v>51</v>
      </c>
      <c r="L2497" s="53" t="s">
        <v>52</v>
      </c>
      <c r="M2497" s="53" t="s">
        <v>52</v>
      </c>
      <c r="N2497" s="62" t="s">
        <v>10400</v>
      </c>
      <c r="O2497" s="62" t="s">
        <v>44</v>
      </c>
      <c r="P2497" s="62" t="s">
        <v>3419</v>
      </c>
      <c r="Q2497" s="62" t="s">
        <v>10401</v>
      </c>
      <c r="R2497" s="53"/>
      <c r="S2497" s="53"/>
      <c r="T2497" s="82"/>
      <c r="U2497" s="42"/>
      <c r="V2497" s="62"/>
      <c r="W2497" s="64"/>
      <c r="X2497" s="223"/>
      <c r="Y2497" s="223"/>
      <c r="Z2497" s="223"/>
      <c r="AA2497" s="223"/>
    </row>
    <row r="2498">
      <c r="A2498" s="42">
        <f t="shared" si="3"/>
        <v>2497</v>
      </c>
      <c r="B2498" s="51" t="s">
        <v>41</v>
      </c>
      <c r="C2498" s="53" t="s">
        <v>10402</v>
      </c>
      <c r="D2498" s="42" t="s">
        <v>44</v>
      </c>
      <c r="E2498" s="42" t="s">
        <v>44</v>
      </c>
      <c r="F2498" s="53" t="s">
        <v>10362</v>
      </c>
      <c r="G2498" s="53" t="s">
        <v>47</v>
      </c>
      <c r="H2498" s="53" t="s">
        <v>48</v>
      </c>
      <c r="I2498" s="53" t="s">
        <v>255</v>
      </c>
      <c r="J2498" s="53" t="s">
        <v>10363</v>
      </c>
      <c r="K2498" s="53" t="s">
        <v>51</v>
      </c>
      <c r="L2498" s="53" t="s">
        <v>52</v>
      </c>
      <c r="M2498" s="53" t="s">
        <v>52</v>
      </c>
      <c r="N2498" s="62" t="s">
        <v>10382</v>
      </c>
      <c r="O2498" s="62" t="s">
        <v>44</v>
      </c>
      <c r="P2498" s="62" t="s">
        <v>10403</v>
      </c>
      <c r="Q2498" s="62" t="s">
        <v>10404</v>
      </c>
      <c r="R2498" s="53"/>
      <c r="S2498" s="53"/>
      <c r="T2498" s="82"/>
      <c r="U2498" s="42"/>
      <c r="V2498" s="62"/>
      <c r="W2498" s="64"/>
      <c r="X2498" s="223"/>
      <c r="Y2498" s="223"/>
      <c r="Z2498" s="223"/>
      <c r="AA2498" s="223"/>
    </row>
    <row r="2499">
      <c r="A2499" s="42">
        <f t="shared" si="3"/>
        <v>2498</v>
      </c>
      <c r="B2499" s="51" t="s">
        <v>41</v>
      </c>
      <c r="C2499" s="53" t="s">
        <v>10405</v>
      </c>
      <c r="D2499" s="42" t="s">
        <v>44</v>
      </c>
      <c r="E2499" s="42" t="s">
        <v>44</v>
      </c>
      <c r="F2499" s="53" t="s">
        <v>10362</v>
      </c>
      <c r="G2499" s="53" t="s">
        <v>47</v>
      </c>
      <c r="H2499" s="53" t="s">
        <v>91</v>
      </c>
      <c r="I2499" s="53" t="s">
        <v>255</v>
      </c>
      <c r="J2499" s="53" t="s">
        <v>10363</v>
      </c>
      <c r="K2499" s="53" t="s">
        <v>51</v>
      </c>
      <c r="L2499" s="53" t="s">
        <v>52</v>
      </c>
      <c r="M2499" s="53" t="s">
        <v>52</v>
      </c>
      <c r="N2499" s="62" t="s">
        <v>10400</v>
      </c>
      <c r="O2499" s="62" t="s">
        <v>44</v>
      </c>
      <c r="P2499" s="62" t="s">
        <v>10406</v>
      </c>
      <c r="Q2499" s="62" t="s">
        <v>10407</v>
      </c>
      <c r="R2499" s="53"/>
      <c r="S2499" s="53"/>
      <c r="T2499" s="82"/>
      <c r="U2499" s="42"/>
      <c r="V2499" s="62"/>
      <c r="W2499" s="64"/>
      <c r="X2499" s="223"/>
      <c r="Y2499" s="223"/>
      <c r="Z2499" s="223"/>
      <c r="AA2499" s="223"/>
    </row>
    <row r="2500">
      <c r="A2500" s="42">
        <f t="shared" si="3"/>
        <v>2499</v>
      </c>
      <c r="B2500" s="51" t="s">
        <v>41</v>
      </c>
      <c r="C2500" s="53" t="s">
        <v>10408</v>
      </c>
      <c r="D2500" s="42" t="s">
        <v>44</v>
      </c>
      <c r="E2500" s="42" t="s">
        <v>44</v>
      </c>
      <c r="F2500" s="53" t="s">
        <v>10362</v>
      </c>
      <c r="G2500" s="53" t="s">
        <v>85</v>
      </c>
      <c r="H2500" s="53" t="s">
        <v>86</v>
      </c>
      <c r="I2500" s="53" t="s">
        <v>255</v>
      </c>
      <c r="J2500" s="53" t="s">
        <v>10363</v>
      </c>
      <c r="K2500" s="53" t="s">
        <v>51</v>
      </c>
      <c r="L2500" s="53" t="s">
        <v>52</v>
      </c>
      <c r="M2500" s="53" t="s">
        <v>52</v>
      </c>
      <c r="N2500" s="62" t="s">
        <v>10409</v>
      </c>
      <c r="O2500" s="62" t="s">
        <v>44</v>
      </c>
      <c r="P2500" s="62" t="s">
        <v>10410</v>
      </c>
      <c r="Q2500" s="62" t="s">
        <v>10411</v>
      </c>
      <c r="R2500" s="53"/>
      <c r="S2500" s="53"/>
      <c r="T2500" s="82"/>
      <c r="U2500" s="42"/>
      <c r="V2500" s="62"/>
      <c r="W2500" s="64"/>
      <c r="X2500" s="223"/>
      <c r="Y2500" s="223"/>
      <c r="Z2500" s="223"/>
      <c r="AA2500" s="223"/>
    </row>
    <row r="2501">
      <c r="A2501" s="42">
        <f t="shared" si="3"/>
        <v>2500</v>
      </c>
      <c r="B2501" s="51" t="s">
        <v>41</v>
      </c>
      <c r="C2501" s="53" t="s">
        <v>10412</v>
      </c>
      <c r="D2501" s="42" t="s">
        <v>44</v>
      </c>
      <c r="E2501" s="42" t="s">
        <v>44</v>
      </c>
      <c r="F2501" s="53" t="s">
        <v>10362</v>
      </c>
      <c r="G2501" s="53" t="s">
        <v>47</v>
      </c>
      <c r="H2501" s="53" t="s">
        <v>48</v>
      </c>
      <c r="I2501" s="53" t="s">
        <v>255</v>
      </c>
      <c r="J2501" s="53" t="s">
        <v>10363</v>
      </c>
      <c r="K2501" s="53" t="s">
        <v>51</v>
      </c>
      <c r="L2501" s="53" t="s">
        <v>52</v>
      </c>
      <c r="M2501" s="53" t="s">
        <v>52</v>
      </c>
      <c r="N2501" s="62" t="s">
        <v>10382</v>
      </c>
      <c r="O2501" s="62" t="s">
        <v>44</v>
      </c>
      <c r="P2501" s="62" t="s">
        <v>10413</v>
      </c>
      <c r="Q2501" s="62" t="s">
        <v>5978</v>
      </c>
      <c r="R2501" s="53"/>
      <c r="S2501" s="53"/>
      <c r="T2501" s="82"/>
      <c r="U2501" s="42"/>
      <c r="V2501" s="62"/>
      <c r="W2501" s="64"/>
      <c r="X2501" s="223"/>
      <c r="Y2501" s="223"/>
      <c r="Z2501" s="223"/>
      <c r="AA2501" s="223"/>
    </row>
    <row r="2502">
      <c r="A2502" s="42">
        <f t="shared" si="3"/>
        <v>2501</v>
      </c>
      <c r="B2502" s="51" t="s">
        <v>41</v>
      </c>
      <c r="C2502" s="53" t="s">
        <v>10414</v>
      </c>
      <c r="D2502" s="42" t="s">
        <v>44</v>
      </c>
      <c r="E2502" s="42" t="s">
        <v>44</v>
      </c>
      <c r="F2502" s="53" t="s">
        <v>10362</v>
      </c>
      <c r="G2502" s="53" t="s">
        <v>47</v>
      </c>
      <c r="H2502" s="53" t="s">
        <v>48</v>
      </c>
      <c r="I2502" s="53" t="s">
        <v>255</v>
      </c>
      <c r="J2502" s="53" t="s">
        <v>10363</v>
      </c>
      <c r="K2502" s="53" t="s">
        <v>51</v>
      </c>
      <c r="L2502" s="53" t="s">
        <v>52</v>
      </c>
      <c r="M2502" s="53" t="s">
        <v>52</v>
      </c>
      <c r="N2502" s="62" t="s">
        <v>10415</v>
      </c>
      <c r="O2502" s="62" t="s">
        <v>44</v>
      </c>
      <c r="P2502" s="62" t="s">
        <v>10416</v>
      </c>
      <c r="Q2502" s="62" t="s">
        <v>10417</v>
      </c>
      <c r="R2502" s="53"/>
      <c r="S2502" s="53"/>
      <c r="T2502" s="82"/>
      <c r="U2502" s="42"/>
      <c r="V2502" s="62"/>
      <c r="W2502" s="64"/>
      <c r="X2502" s="223"/>
      <c r="Y2502" s="223"/>
      <c r="Z2502" s="223"/>
      <c r="AA2502" s="223"/>
    </row>
    <row r="2503">
      <c r="A2503" s="42">
        <f t="shared" si="3"/>
        <v>2502</v>
      </c>
      <c r="B2503" s="51" t="s">
        <v>41</v>
      </c>
      <c r="C2503" s="53" t="s">
        <v>10418</v>
      </c>
      <c r="D2503" s="42" t="s">
        <v>44</v>
      </c>
      <c r="E2503" s="42" t="s">
        <v>44</v>
      </c>
      <c r="F2503" s="53" t="s">
        <v>10419</v>
      </c>
      <c r="G2503" s="53" t="s">
        <v>47</v>
      </c>
      <c r="H2503" s="53" t="s">
        <v>48</v>
      </c>
      <c r="I2503" s="53" t="s">
        <v>8913</v>
      </c>
      <c r="J2503" s="53" t="s">
        <v>10420</v>
      </c>
      <c r="K2503" s="53" t="s">
        <v>1615</v>
      </c>
      <c r="L2503" s="53" t="s">
        <v>52</v>
      </c>
      <c r="M2503" s="53" t="s">
        <v>52</v>
      </c>
      <c r="N2503" s="62" t="s">
        <v>10421</v>
      </c>
      <c r="O2503" s="62" t="s">
        <v>44</v>
      </c>
      <c r="P2503" s="62" t="s">
        <v>10422</v>
      </c>
      <c r="Q2503" s="62" t="s">
        <v>10423</v>
      </c>
      <c r="R2503" s="53"/>
      <c r="S2503" s="53"/>
      <c r="T2503" s="82"/>
      <c r="U2503" s="42"/>
      <c r="V2503" s="62"/>
      <c r="W2503" s="64"/>
      <c r="X2503" s="223"/>
      <c r="Y2503" s="223"/>
      <c r="Z2503" s="223"/>
      <c r="AA2503" s="223"/>
    </row>
    <row r="2504">
      <c r="A2504" s="42">
        <f t="shared" si="3"/>
        <v>2503</v>
      </c>
      <c r="B2504" s="51" t="s">
        <v>41</v>
      </c>
      <c r="C2504" s="53" t="s">
        <v>10424</v>
      </c>
      <c r="D2504" s="42" t="s">
        <v>44</v>
      </c>
      <c r="E2504" s="42" t="s">
        <v>44</v>
      </c>
      <c r="F2504" s="53" t="s">
        <v>10419</v>
      </c>
      <c r="G2504" s="53" t="s">
        <v>47</v>
      </c>
      <c r="H2504" s="53" t="s">
        <v>91</v>
      </c>
      <c r="I2504" s="53" t="s">
        <v>8913</v>
      </c>
      <c r="J2504" s="53" t="s">
        <v>10420</v>
      </c>
      <c r="K2504" s="53" t="s">
        <v>1615</v>
      </c>
      <c r="L2504" s="53" t="s">
        <v>52</v>
      </c>
      <c r="M2504" s="53" t="s">
        <v>52</v>
      </c>
      <c r="N2504" s="62" t="s">
        <v>10425</v>
      </c>
      <c r="O2504" s="62" t="s">
        <v>44</v>
      </c>
      <c r="P2504" s="62" t="s">
        <v>10426</v>
      </c>
      <c r="Q2504" s="62" t="s">
        <v>10427</v>
      </c>
      <c r="R2504" s="53"/>
      <c r="S2504" s="53"/>
      <c r="T2504" s="82"/>
      <c r="U2504" s="42"/>
      <c r="V2504" s="62"/>
      <c r="W2504" s="64"/>
      <c r="X2504" s="223"/>
      <c r="Y2504" s="223"/>
      <c r="Z2504" s="223"/>
      <c r="AA2504" s="223"/>
    </row>
    <row r="2505">
      <c r="A2505" s="42">
        <f t="shared" si="3"/>
        <v>2504</v>
      </c>
      <c r="B2505" s="51" t="s">
        <v>41</v>
      </c>
      <c r="C2505" s="53" t="s">
        <v>10428</v>
      </c>
      <c r="D2505" s="42" t="s">
        <v>44</v>
      </c>
      <c r="E2505" s="42" t="s">
        <v>44</v>
      </c>
      <c r="F2505" s="53" t="s">
        <v>10419</v>
      </c>
      <c r="G2505" s="53" t="s">
        <v>47</v>
      </c>
      <c r="H2505" s="53" t="s">
        <v>95</v>
      </c>
      <c r="I2505" s="53" t="s">
        <v>8913</v>
      </c>
      <c r="J2505" s="53" t="s">
        <v>10420</v>
      </c>
      <c r="K2505" s="53" t="s">
        <v>1615</v>
      </c>
      <c r="L2505" s="53" t="s">
        <v>52</v>
      </c>
      <c r="M2505" s="53" t="s">
        <v>52</v>
      </c>
      <c r="N2505" s="62" t="s">
        <v>10429</v>
      </c>
      <c r="O2505" s="62" t="s">
        <v>44</v>
      </c>
      <c r="P2505" s="62" t="s">
        <v>10430</v>
      </c>
      <c r="Q2505" s="62" t="s">
        <v>10431</v>
      </c>
      <c r="R2505" s="53"/>
      <c r="S2505" s="53"/>
      <c r="T2505" s="82"/>
      <c r="U2505" s="42"/>
      <c r="V2505" s="62"/>
      <c r="W2505" s="64"/>
      <c r="X2505" s="223"/>
      <c r="Y2505" s="223"/>
      <c r="Z2505" s="223"/>
      <c r="AA2505" s="223"/>
    </row>
    <row r="2506">
      <c r="A2506" s="42">
        <f t="shared" si="3"/>
        <v>2505</v>
      </c>
      <c r="B2506" s="51" t="s">
        <v>41</v>
      </c>
      <c r="C2506" s="53" t="s">
        <v>10432</v>
      </c>
      <c r="D2506" s="42" t="s">
        <v>44</v>
      </c>
      <c r="E2506" s="42" t="s">
        <v>44</v>
      </c>
      <c r="F2506" s="53" t="s">
        <v>10419</v>
      </c>
      <c r="G2506" s="53" t="s">
        <v>47</v>
      </c>
      <c r="H2506" s="53" t="s">
        <v>48</v>
      </c>
      <c r="I2506" s="53" t="s">
        <v>8913</v>
      </c>
      <c r="J2506" s="53" t="s">
        <v>10420</v>
      </c>
      <c r="K2506" s="53" t="s">
        <v>1615</v>
      </c>
      <c r="L2506" s="53" t="s">
        <v>52</v>
      </c>
      <c r="M2506" s="53" t="s">
        <v>52</v>
      </c>
      <c r="N2506" s="62" t="s">
        <v>10433</v>
      </c>
      <c r="O2506" s="62" t="s">
        <v>44</v>
      </c>
      <c r="P2506" s="62" t="s">
        <v>10434</v>
      </c>
      <c r="Q2506" s="62" t="s">
        <v>10435</v>
      </c>
      <c r="R2506" s="53"/>
      <c r="S2506" s="53"/>
      <c r="T2506" s="82"/>
      <c r="U2506" s="42"/>
      <c r="V2506" s="62"/>
      <c r="W2506" s="64"/>
      <c r="X2506" s="223"/>
      <c r="Y2506" s="223"/>
      <c r="Z2506" s="223"/>
      <c r="AA2506" s="223"/>
    </row>
    <row r="2507">
      <c r="A2507" s="42">
        <f t="shared" si="3"/>
        <v>2506</v>
      </c>
      <c r="B2507" s="51" t="s">
        <v>41</v>
      </c>
      <c r="C2507" s="53" t="s">
        <v>10436</v>
      </c>
      <c r="D2507" s="42" t="s">
        <v>44</v>
      </c>
      <c r="E2507" s="42" t="s">
        <v>44</v>
      </c>
      <c r="F2507" s="53" t="s">
        <v>10419</v>
      </c>
      <c r="G2507" s="53" t="s">
        <v>47</v>
      </c>
      <c r="H2507" s="53" t="s">
        <v>95</v>
      </c>
      <c r="I2507" s="53" t="s">
        <v>8913</v>
      </c>
      <c r="J2507" s="53" t="s">
        <v>10420</v>
      </c>
      <c r="K2507" s="53" t="s">
        <v>1615</v>
      </c>
      <c r="L2507" s="53" t="s">
        <v>52</v>
      </c>
      <c r="M2507" s="53" t="s">
        <v>52</v>
      </c>
      <c r="N2507" s="62" t="s">
        <v>10437</v>
      </c>
      <c r="O2507" s="62" t="s">
        <v>44</v>
      </c>
      <c r="P2507" s="62" t="s">
        <v>10438</v>
      </c>
      <c r="Q2507" s="62" t="s">
        <v>10439</v>
      </c>
      <c r="R2507" s="53"/>
      <c r="S2507" s="53"/>
      <c r="T2507" s="82"/>
      <c r="U2507" s="42"/>
      <c r="V2507" s="62"/>
      <c r="W2507" s="64"/>
      <c r="X2507" s="223"/>
      <c r="Y2507" s="223"/>
      <c r="Z2507" s="223"/>
      <c r="AA2507" s="223"/>
    </row>
    <row r="2508">
      <c r="A2508" s="42">
        <f t="shared" si="3"/>
        <v>2507</v>
      </c>
      <c r="B2508" s="51" t="s">
        <v>41</v>
      </c>
      <c r="C2508" s="53" t="s">
        <v>10440</v>
      </c>
      <c r="D2508" s="42" t="s">
        <v>44</v>
      </c>
      <c r="E2508" s="42" t="s">
        <v>44</v>
      </c>
      <c r="F2508" s="53" t="s">
        <v>10419</v>
      </c>
      <c r="G2508" s="53" t="s">
        <v>47</v>
      </c>
      <c r="H2508" s="53" t="s">
        <v>48</v>
      </c>
      <c r="I2508" s="53" t="s">
        <v>8913</v>
      </c>
      <c r="J2508" s="53" t="s">
        <v>10420</v>
      </c>
      <c r="K2508" s="53" t="s">
        <v>1615</v>
      </c>
      <c r="L2508" s="53" t="s">
        <v>52</v>
      </c>
      <c r="M2508" s="53" t="s">
        <v>52</v>
      </c>
      <c r="N2508" s="62" t="s">
        <v>10441</v>
      </c>
      <c r="O2508" s="62" t="s">
        <v>44</v>
      </c>
      <c r="P2508" s="62" t="s">
        <v>10442</v>
      </c>
      <c r="Q2508" s="62" t="s">
        <v>10435</v>
      </c>
      <c r="R2508" s="53"/>
      <c r="S2508" s="53"/>
      <c r="T2508" s="82"/>
      <c r="U2508" s="42"/>
      <c r="V2508" s="62"/>
      <c r="W2508" s="64"/>
      <c r="X2508" s="223"/>
      <c r="Y2508" s="223"/>
      <c r="Z2508" s="223"/>
      <c r="AA2508" s="223"/>
    </row>
    <row r="2509">
      <c r="A2509" s="42">
        <f t="shared" si="3"/>
        <v>2508</v>
      </c>
      <c r="B2509" s="51" t="s">
        <v>41</v>
      </c>
      <c r="C2509" s="53" t="s">
        <v>10443</v>
      </c>
      <c r="D2509" s="42" t="s">
        <v>44</v>
      </c>
      <c r="E2509" s="42" t="s">
        <v>44</v>
      </c>
      <c r="F2509" s="53" t="s">
        <v>10419</v>
      </c>
      <c r="G2509" s="53" t="s">
        <v>47</v>
      </c>
      <c r="H2509" s="53" t="s">
        <v>95</v>
      </c>
      <c r="I2509" s="53" t="s">
        <v>8913</v>
      </c>
      <c r="J2509" s="53" t="s">
        <v>10420</v>
      </c>
      <c r="K2509" s="53" t="s">
        <v>1615</v>
      </c>
      <c r="L2509" s="53" t="s">
        <v>52</v>
      </c>
      <c r="M2509" s="53" t="s">
        <v>52</v>
      </c>
      <c r="N2509" s="62" t="s">
        <v>10444</v>
      </c>
      <c r="O2509" s="62" t="s">
        <v>44</v>
      </c>
      <c r="P2509" s="62" t="s">
        <v>10445</v>
      </c>
      <c r="Q2509" s="62" t="s">
        <v>10446</v>
      </c>
      <c r="R2509" s="53"/>
      <c r="S2509" s="53"/>
      <c r="T2509" s="82"/>
      <c r="U2509" s="42"/>
      <c r="V2509" s="62"/>
      <c r="W2509" s="64"/>
      <c r="X2509" s="223"/>
      <c r="Y2509" s="223"/>
      <c r="Z2509" s="223"/>
      <c r="AA2509" s="223"/>
    </row>
    <row r="2510">
      <c r="A2510" s="42">
        <f t="shared" si="3"/>
        <v>2509</v>
      </c>
      <c r="B2510" s="51" t="s">
        <v>41</v>
      </c>
      <c r="C2510" s="53" t="s">
        <v>10447</v>
      </c>
      <c r="D2510" s="42" t="s">
        <v>44</v>
      </c>
      <c r="E2510" s="42" t="s">
        <v>44</v>
      </c>
      <c r="F2510" s="53" t="s">
        <v>10419</v>
      </c>
      <c r="G2510" s="53" t="s">
        <v>47</v>
      </c>
      <c r="H2510" s="53" t="s">
        <v>48</v>
      </c>
      <c r="I2510" s="53" t="s">
        <v>8913</v>
      </c>
      <c r="J2510" s="53" t="s">
        <v>10420</v>
      </c>
      <c r="K2510" s="53" t="s">
        <v>1615</v>
      </c>
      <c r="L2510" s="53" t="s">
        <v>52</v>
      </c>
      <c r="M2510" s="53" t="s">
        <v>52</v>
      </c>
      <c r="N2510" s="62" t="s">
        <v>10448</v>
      </c>
      <c r="O2510" s="62" t="s">
        <v>44</v>
      </c>
      <c r="P2510" s="62" t="s">
        <v>10449</v>
      </c>
      <c r="Q2510" s="62" t="s">
        <v>10450</v>
      </c>
      <c r="R2510" s="53"/>
      <c r="S2510" s="53"/>
      <c r="T2510" s="82"/>
      <c r="U2510" s="42"/>
      <c r="V2510" s="62"/>
      <c r="W2510" s="64"/>
      <c r="X2510" s="223"/>
      <c r="Y2510" s="223"/>
      <c r="Z2510" s="223"/>
      <c r="AA2510" s="223"/>
    </row>
    <row r="2511">
      <c r="A2511" s="42">
        <f t="shared" si="3"/>
        <v>2510</v>
      </c>
      <c r="B2511" s="51" t="s">
        <v>41</v>
      </c>
      <c r="C2511" s="53" t="s">
        <v>10451</v>
      </c>
      <c r="D2511" s="42" t="s">
        <v>44</v>
      </c>
      <c r="E2511" s="42" t="s">
        <v>44</v>
      </c>
      <c r="F2511" s="53" t="s">
        <v>10419</v>
      </c>
      <c r="G2511" s="53" t="s">
        <v>47</v>
      </c>
      <c r="H2511" s="53" t="s">
        <v>48</v>
      </c>
      <c r="I2511" s="53" t="s">
        <v>8913</v>
      </c>
      <c r="J2511" s="53" t="s">
        <v>10420</v>
      </c>
      <c r="K2511" s="53" t="s">
        <v>1615</v>
      </c>
      <c r="L2511" s="53" t="s">
        <v>52</v>
      </c>
      <c r="M2511" s="53" t="s">
        <v>52</v>
      </c>
      <c r="N2511" s="62" t="s">
        <v>10452</v>
      </c>
      <c r="O2511" s="62" t="s">
        <v>44</v>
      </c>
      <c r="P2511" s="62" t="s">
        <v>10453</v>
      </c>
      <c r="Q2511" s="62" t="s">
        <v>10454</v>
      </c>
      <c r="R2511" s="53"/>
      <c r="S2511" s="53"/>
      <c r="T2511" s="82"/>
      <c r="U2511" s="42"/>
      <c r="V2511" s="62"/>
      <c r="W2511" s="64"/>
      <c r="X2511" s="223"/>
      <c r="Y2511" s="223"/>
      <c r="Z2511" s="223"/>
      <c r="AA2511" s="223"/>
    </row>
    <row r="2512">
      <c r="A2512" s="42">
        <f t="shared" si="3"/>
        <v>2511</v>
      </c>
      <c r="B2512" s="51" t="s">
        <v>41</v>
      </c>
      <c r="C2512" s="53" t="s">
        <v>10455</v>
      </c>
      <c r="D2512" s="42" t="s">
        <v>44</v>
      </c>
      <c r="E2512" s="42" t="s">
        <v>44</v>
      </c>
      <c r="F2512" s="53" t="s">
        <v>10419</v>
      </c>
      <c r="G2512" s="53" t="s">
        <v>47</v>
      </c>
      <c r="H2512" s="53" t="s">
        <v>48</v>
      </c>
      <c r="I2512" s="53" t="s">
        <v>8913</v>
      </c>
      <c r="J2512" s="53" t="s">
        <v>10420</v>
      </c>
      <c r="K2512" s="53" t="s">
        <v>1615</v>
      </c>
      <c r="L2512" s="53" t="s">
        <v>52</v>
      </c>
      <c r="M2512" s="53" t="s">
        <v>52</v>
      </c>
      <c r="N2512" s="62" t="s">
        <v>10456</v>
      </c>
      <c r="O2512" s="62" t="s">
        <v>44</v>
      </c>
      <c r="P2512" s="62" t="s">
        <v>10457</v>
      </c>
      <c r="Q2512" s="62" t="s">
        <v>10423</v>
      </c>
      <c r="R2512" s="53"/>
      <c r="S2512" s="53"/>
      <c r="T2512" s="82"/>
      <c r="U2512" s="42"/>
      <c r="V2512" s="62"/>
      <c r="W2512" s="64"/>
      <c r="X2512" s="223"/>
      <c r="Y2512" s="223"/>
      <c r="Z2512" s="223"/>
      <c r="AA2512" s="223"/>
    </row>
    <row r="2513">
      <c r="A2513" s="42">
        <f t="shared" si="3"/>
        <v>2512</v>
      </c>
      <c r="B2513" s="51" t="s">
        <v>41</v>
      </c>
      <c r="C2513" s="53" t="s">
        <v>10458</v>
      </c>
      <c r="D2513" s="42" t="s">
        <v>44</v>
      </c>
      <c r="E2513" s="42" t="s">
        <v>44</v>
      </c>
      <c r="F2513" s="53" t="s">
        <v>10419</v>
      </c>
      <c r="G2513" s="53" t="s">
        <v>47</v>
      </c>
      <c r="H2513" s="53" t="s">
        <v>48</v>
      </c>
      <c r="I2513" s="53" t="s">
        <v>8913</v>
      </c>
      <c r="J2513" s="53" t="s">
        <v>10420</v>
      </c>
      <c r="K2513" s="53" t="s">
        <v>1615</v>
      </c>
      <c r="L2513" s="53" t="s">
        <v>52</v>
      </c>
      <c r="M2513" s="53" t="s">
        <v>52</v>
      </c>
      <c r="N2513" s="62" t="s">
        <v>10459</v>
      </c>
      <c r="O2513" s="62" t="s">
        <v>44</v>
      </c>
      <c r="P2513" s="62" t="s">
        <v>10460</v>
      </c>
      <c r="Q2513" s="62" t="s">
        <v>10461</v>
      </c>
      <c r="R2513" s="53"/>
      <c r="S2513" s="53"/>
      <c r="T2513" s="82"/>
      <c r="U2513" s="42"/>
      <c r="V2513" s="62"/>
      <c r="W2513" s="64"/>
      <c r="X2513" s="223"/>
      <c r="Y2513" s="223"/>
      <c r="Z2513" s="223"/>
      <c r="AA2513" s="223"/>
    </row>
    <row r="2514">
      <c r="A2514" s="42">
        <f t="shared" si="3"/>
        <v>2513</v>
      </c>
      <c r="B2514" s="51" t="s">
        <v>41</v>
      </c>
      <c r="C2514" s="53" t="s">
        <v>10462</v>
      </c>
      <c r="D2514" s="42" t="s">
        <v>44</v>
      </c>
      <c r="E2514" s="42" t="s">
        <v>44</v>
      </c>
      <c r="F2514" s="53" t="s">
        <v>10463</v>
      </c>
      <c r="G2514" s="53" t="s">
        <v>47</v>
      </c>
      <c r="H2514" s="53" t="s">
        <v>48</v>
      </c>
      <c r="I2514" s="53" t="s">
        <v>8913</v>
      </c>
      <c r="J2514" s="53" t="s">
        <v>10464</v>
      </c>
      <c r="K2514" s="53" t="s">
        <v>3753</v>
      </c>
      <c r="L2514" s="53" t="s">
        <v>52</v>
      </c>
      <c r="M2514" s="53" t="s">
        <v>52</v>
      </c>
      <c r="N2514" s="62" t="s">
        <v>10465</v>
      </c>
      <c r="O2514" s="62" t="s">
        <v>44</v>
      </c>
      <c r="P2514" s="62" t="s">
        <v>10434</v>
      </c>
      <c r="Q2514" s="62" t="s">
        <v>10435</v>
      </c>
      <c r="R2514" s="53"/>
      <c r="S2514" s="53"/>
      <c r="T2514" s="82"/>
      <c r="U2514" s="42"/>
      <c r="V2514" s="62"/>
      <c r="W2514" s="64"/>
      <c r="X2514" s="223"/>
      <c r="Y2514" s="223"/>
      <c r="Z2514" s="223"/>
      <c r="AA2514" s="223"/>
    </row>
    <row r="2515">
      <c r="A2515" s="42">
        <f t="shared" si="3"/>
        <v>2514</v>
      </c>
      <c r="B2515" s="51" t="s">
        <v>41</v>
      </c>
      <c r="C2515" s="53" t="s">
        <v>10466</v>
      </c>
      <c r="D2515" s="42" t="s">
        <v>44</v>
      </c>
      <c r="E2515" s="42" t="s">
        <v>44</v>
      </c>
      <c r="F2515" s="53" t="s">
        <v>10463</v>
      </c>
      <c r="G2515" s="53" t="s">
        <v>47</v>
      </c>
      <c r="H2515" s="53" t="s">
        <v>95</v>
      </c>
      <c r="I2515" s="53" t="s">
        <v>8913</v>
      </c>
      <c r="J2515" s="53" t="s">
        <v>10464</v>
      </c>
      <c r="K2515" s="53" t="s">
        <v>3753</v>
      </c>
      <c r="L2515" s="53" t="s">
        <v>52</v>
      </c>
      <c r="M2515" s="53" t="s">
        <v>52</v>
      </c>
      <c r="N2515" s="62" t="s">
        <v>10467</v>
      </c>
      <c r="O2515" s="62" t="s">
        <v>44</v>
      </c>
      <c r="P2515" s="62" t="s">
        <v>10438</v>
      </c>
      <c r="Q2515" s="62" t="s">
        <v>10439</v>
      </c>
      <c r="R2515" s="53"/>
      <c r="S2515" s="53"/>
      <c r="T2515" s="82"/>
      <c r="U2515" s="42"/>
      <c r="V2515" s="62"/>
      <c r="W2515" s="64"/>
      <c r="X2515" s="223"/>
      <c r="Y2515" s="223"/>
      <c r="Z2515" s="223"/>
      <c r="AA2515" s="223"/>
    </row>
    <row r="2516">
      <c r="A2516" s="42">
        <f t="shared" si="3"/>
        <v>2515</v>
      </c>
      <c r="B2516" s="51" t="s">
        <v>41</v>
      </c>
      <c r="C2516" s="53" t="s">
        <v>10468</v>
      </c>
      <c r="D2516" s="42" t="s">
        <v>44</v>
      </c>
      <c r="E2516" s="42" t="s">
        <v>44</v>
      </c>
      <c r="F2516" s="53" t="s">
        <v>10463</v>
      </c>
      <c r="G2516" s="53" t="s">
        <v>47</v>
      </c>
      <c r="H2516" s="53" t="s">
        <v>48</v>
      </c>
      <c r="I2516" s="53" t="s">
        <v>8913</v>
      </c>
      <c r="J2516" s="53" t="s">
        <v>10464</v>
      </c>
      <c r="K2516" s="53" t="s">
        <v>3753</v>
      </c>
      <c r="L2516" s="53" t="s">
        <v>52</v>
      </c>
      <c r="M2516" s="53" t="s">
        <v>52</v>
      </c>
      <c r="N2516" s="62" t="s">
        <v>10469</v>
      </c>
      <c r="O2516" s="62" t="s">
        <v>44</v>
      </c>
      <c r="P2516" s="62" t="s">
        <v>10442</v>
      </c>
      <c r="Q2516" s="62" t="s">
        <v>10435</v>
      </c>
      <c r="R2516" s="53"/>
      <c r="S2516" s="53"/>
      <c r="T2516" s="82"/>
      <c r="U2516" s="42"/>
      <c r="V2516" s="62"/>
      <c r="W2516" s="64"/>
      <c r="X2516" s="223"/>
      <c r="Y2516" s="223"/>
      <c r="Z2516" s="223"/>
      <c r="AA2516" s="223"/>
    </row>
    <row r="2517">
      <c r="A2517" s="42">
        <f t="shared" si="3"/>
        <v>2516</v>
      </c>
      <c r="B2517" s="51" t="s">
        <v>41</v>
      </c>
      <c r="C2517" s="53" t="s">
        <v>10470</v>
      </c>
      <c r="D2517" s="42" t="s">
        <v>44</v>
      </c>
      <c r="E2517" s="42" t="s">
        <v>44</v>
      </c>
      <c r="F2517" s="53" t="s">
        <v>10463</v>
      </c>
      <c r="G2517" s="53" t="s">
        <v>47</v>
      </c>
      <c r="H2517" s="53" t="s">
        <v>48</v>
      </c>
      <c r="I2517" s="53" t="s">
        <v>8913</v>
      </c>
      <c r="J2517" s="53" t="s">
        <v>10464</v>
      </c>
      <c r="K2517" s="53" t="s">
        <v>3753</v>
      </c>
      <c r="L2517" s="53" t="s">
        <v>52</v>
      </c>
      <c r="M2517" s="53" t="s">
        <v>52</v>
      </c>
      <c r="N2517" s="62" t="s">
        <v>10471</v>
      </c>
      <c r="O2517" s="62" t="s">
        <v>44</v>
      </c>
      <c r="P2517" s="62" t="s">
        <v>10422</v>
      </c>
      <c r="Q2517" s="62" t="s">
        <v>10423</v>
      </c>
      <c r="R2517" s="53"/>
      <c r="S2517" s="53"/>
      <c r="T2517" s="82"/>
      <c r="U2517" s="42"/>
      <c r="V2517" s="62"/>
      <c r="W2517" s="64"/>
      <c r="X2517" s="223"/>
      <c r="Y2517" s="223"/>
      <c r="Z2517" s="223"/>
      <c r="AA2517" s="223"/>
    </row>
    <row r="2518">
      <c r="A2518" s="42">
        <f t="shared" si="3"/>
        <v>2517</v>
      </c>
      <c r="B2518" s="51" t="s">
        <v>41</v>
      </c>
      <c r="C2518" s="53" t="s">
        <v>10472</v>
      </c>
      <c r="D2518" s="42" t="s">
        <v>44</v>
      </c>
      <c r="E2518" s="42" t="s">
        <v>44</v>
      </c>
      <c r="F2518" s="53" t="s">
        <v>10463</v>
      </c>
      <c r="G2518" s="53" t="s">
        <v>47</v>
      </c>
      <c r="H2518" s="53" t="s">
        <v>95</v>
      </c>
      <c r="I2518" s="53" t="s">
        <v>8913</v>
      </c>
      <c r="J2518" s="53" t="s">
        <v>10464</v>
      </c>
      <c r="K2518" s="53" t="s">
        <v>3753</v>
      </c>
      <c r="L2518" s="53" t="s">
        <v>52</v>
      </c>
      <c r="M2518" s="53" t="s">
        <v>52</v>
      </c>
      <c r="N2518" s="62" t="s">
        <v>10473</v>
      </c>
      <c r="O2518" s="62" t="s">
        <v>44</v>
      </c>
      <c r="P2518" s="62" t="s">
        <v>10445</v>
      </c>
      <c r="Q2518" s="62" t="s">
        <v>10446</v>
      </c>
      <c r="R2518" s="53"/>
      <c r="S2518" s="53"/>
      <c r="T2518" s="82"/>
      <c r="U2518" s="42"/>
      <c r="V2518" s="62"/>
      <c r="W2518" s="64"/>
      <c r="X2518" s="223"/>
      <c r="Y2518" s="223"/>
      <c r="Z2518" s="223"/>
      <c r="AA2518" s="223"/>
    </row>
    <row r="2519">
      <c r="A2519" s="42">
        <f t="shared" si="3"/>
        <v>2518</v>
      </c>
      <c r="B2519" s="51" t="s">
        <v>41</v>
      </c>
      <c r="C2519" s="53" t="s">
        <v>10474</v>
      </c>
      <c r="D2519" s="42" t="s">
        <v>44</v>
      </c>
      <c r="E2519" s="42" t="s">
        <v>44</v>
      </c>
      <c r="F2519" s="53" t="s">
        <v>10463</v>
      </c>
      <c r="G2519" s="53" t="s">
        <v>47</v>
      </c>
      <c r="H2519" s="53" t="s">
        <v>48</v>
      </c>
      <c r="I2519" s="53" t="s">
        <v>8913</v>
      </c>
      <c r="J2519" s="53" t="s">
        <v>10464</v>
      </c>
      <c r="K2519" s="53" t="s">
        <v>3753</v>
      </c>
      <c r="L2519" s="53" t="s">
        <v>52</v>
      </c>
      <c r="M2519" s="53" t="s">
        <v>52</v>
      </c>
      <c r="N2519" s="62" t="s">
        <v>10475</v>
      </c>
      <c r="O2519" s="62" t="s">
        <v>44</v>
      </c>
      <c r="P2519" s="62" t="s">
        <v>10449</v>
      </c>
      <c r="Q2519" s="62" t="s">
        <v>10450</v>
      </c>
      <c r="R2519" s="53"/>
      <c r="S2519" s="53"/>
      <c r="T2519" s="82"/>
      <c r="U2519" s="42"/>
      <c r="V2519" s="62"/>
      <c r="W2519" s="64"/>
      <c r="X2519" s="223"/>
      <c r="Y2519" s="223"/>
      <c r="Z2519" s="223"/>
      <c r="AA2519" s="223"/>
    </row>
    <row r="2520">
      <c r="A2520" s="42">
        <f t="shared" si="3"/>
        <v>2519</v>
      </c>
      <c r="B2520" s="51" t="s">
        <v>41</v>
      </c>
      <c r="C2520" s="53" t="s">
        <v>10476</v>
      </c>
      <c r="D2520" s="42" t="s">
        <v>44</v>
      </c>
      <c r="E2520" s="42" t="s">
        <v>44</v>
      </c>
      <c r="F2520" s="53" t="s">
        <v>10463</v>
      </c>
      <c r="G2520" s="53" t="s">
        <v>47</v>
      </c>
      <c r="H2520" s="53" t="s">
        <v>48</v>
      </c>
      <c r="I2520" s="53" t="s">
        <v>8913</v>
      </c>
      <c r="J2520" s="53" t="s">
        <v>10464</v>
      </c>
      <c r="K2520" s="53" t="s">
        <v>3753</v>
      </c>
      <c r="L2520" s="53" t="s">
        <v>52</v>
      </c>
      <c r="M2520" s="53" t="s">
        <v>52</v>
      </c>
      <c r="N2520" s="62" t="s">
        <v>10477</v>
      </c>
      <c r="O2520" s="62" t="s">
        <v>44</v>
      </c>
      <c r="P2520" s="62" t="s">
        <v>10453</v>
      </c>
      <c r="Q2520" s="62" t="s">
        <v>10454</v>
      </c>
      <c r="R2520" s="53"/>
      <c r="S2520" s="53"/>
      <c r="T2520" s="82"/>
      <c r="U2520" s="42"/>
      <c r="V2520" s="62"/>
      <c r="W2520" s="64"/>
      <c r="X2520" s="223"/>
      <c r="Y2520" s="223"/>
      <c r="Z2520" s="223"/>
      <c r="AA2520" s="223"/>
    </row>
    <row r="2521">
      <c r="A2521" s="42">
        <f t="shared" si="3"/>
        <v>2520</v>
      </c>
      <c r="B2521" s="51" t="s">
        <v>41</v>
      </c>
      <c r="C2521" s="53" t="s">
        <v>10478</v>
      </c>
      <c r="D2521" s="42" t="s">
        <v>44</v>
      </c>
      <c r="E2521" s="42" t="s">
        <v>44</v>
      </c>
      <c r="F2521" s="53" t="s">
        <v>10463</v>
      </c>
      <c r="G2521" s="53" t="s">
        <v>47</v>
      </c>
      <c r="H2521" s="53" t="s">
        <v>48</v>
      </c>
      <c r="I2521" s="53" t="s">
        <v>8913</v>
      </c>
      <c r="J2521" s="53" t="s">
        <v>10464</v>
      </c>
      <c r="K2521" s="53" t="s">
        <v>3753</v>
      </c>
      <c r="L2521" s="53" t="s">
        <v>52</v>
      </c>
      <c r="M2521" s="53" t="s">
        <v>52</v>
      </c>
      <c r="N2521" s="62" t="s">
        <v>10479</v>
      </c>
      <c r="O2521" s="62" t="s">
        <v>44</v>
      </c>
      <c r="P2521" s="62" t="s">
        <v>10480</v>
      </c>
      <c r="Q2521" s="62" t="s">
        <v>10481</v>
      </c>
      <c r="R2521" s="53"/>
      <c r="S2521" s="53"/>
      <c r="T2521" s="82"/>
      <c r="U2521" s="42"/>
      <c r="V2521" s="62"/>
      <c r="W2521" s="64"/>
      <c r="X2521" s="223"/>
      <c r="Y2521" s="223"/>
      <c r="Z2521" s="223"/>
      <c r="AA2521" s="223"/>
    </row>
    <row r="2522">
      <c r="A2522" s="42">
        <f t="shared" si="3"/>
        <v>2521</v>
      </c>
      <c r="B2522" s="51" t="s">
        <v>41</v>
      </c>
      <c r="C2522" s="53" t="s">
        <v>10482</v>
      </c>
      <c r="D2522" s="42" t="s">
        <v>44</v>
      </c>
      <c r="E2522" s="42" t="s">
        <v>44</v>
      </c>
      <c r="F2522" s="53" t="s">
        <v>10483</v>
      </c>
      <c r="G2522" s="53" t="s">
        <v>47</v>
      </c>
      <c r="H2522" s="53" t="s">
        <v>48</v>
      </c>
      <c r="I2522" s="53" t="s">
        <v>8913</v>
      </c>
      <c r="J2522" s="53" t="s">
        <v>10484</v>
      </c>
      <c r="K2522" s="53" t="s">
        <v>51</v>
      </c>
      <c r="L2522" s="53" t="s">
        <v>52</v>
      </c>
      <c r="M2522" s="53" t="s">
        <v>52</v>
      </c>
      <c r="N2522" s="62" t="s">
        <v>10485</v>
      </c>
      <c r="O2522" s="62" t="s">
        <v>44</v>
      </c>
      <c r="P2522" s="62" t="s">
        <v>10486</v>
      </c>
      <c r="Q2522" s="62" t="s">
        <v>10487</v>
      </c>
      <c r="R2522" s="53"/>
      <c r="S2522" s="53"/>
      <c r="T2522" s="82"/>
      <c r="U2522" s="42"/>
      <c r="V2522" s="62"/>
      <c r="W2522" s="64"/>
      <c r="X2522" s="223"/>
      <c r="Y2522" s="223"/>
      <c r="Z2522" s="223"/>
      <c r="AA2522" s="223"/>
    </row>
    <row r="2523">
      <c r="A2523" s="42">
        <f t="shared" si="3"/>
        <v>2522</v>
      </c>
      <c r="B2523" s="51" t="s">
        <v>41</v>
      </c>
      <c r="C2523" s="53" t="s">
        <v>10488</v>
      </c>
      <c r="D2523" s="42" t="s">
        <v>44</v>
      </c>
      <c r="E2523" s="42" t="s">
        <v>44</v>
      </c>
      <c r="F2523" s="53" t="s">
        <v>10483</v>
      </c>
      <c r="G2523" s="53" t="s">
        <v>47</v>
      </c>
      <c r="H2523" s="53" t="s">
        <v>48</v>
      </c>
      <c r="I2523" s="53" t="s">
        <v>8913</v>
      </c>
      <c r="J2523" s="53" t="s">
        <v>10484</v>
      </c>
      <c r="K2523" s="53" t="s">
        <v>51</v>
      </c>
      <c r="L2523" s="53" t="s">
        <v>52</v>
      </c>
      <c r="M2523" s="53" t="s">
        <v>52</v>
      </c>
      <c r="N2523" s="62" t="s">
        <v>10489</v>
      </c>
      <c r="O2523" s="62" t="s">
        <v>44</v>
      </c>
      <c r="P2523" s="62" t="s">
        <v>10490</v>
      </c>
      <c r="Q2523" s="62" t="s">
        <v>10491</v>
      </c>
      <c r="R2523" s="53"/>
      <c r="S2523" s="53"/>
      <c r="T2523" s="82"/>
      <c r="U2523" s="42"/>
      <c r="V2523" s="62"/>
      <c r="W2523" s="64"/>
      <c r="X2523" s="223"/>
      <c r="Y2523" s="223"/>
      <c r="Z2523" s="223"/>
      <c r="AA2523" s="223"/>
    </row>
    <row r="2524">
      <c r="A2524" s="42">
        <f t="shared" si="3"/>
        <v>2523</v>
      </c>
      <c r="B2524" s="51" t="s">
        <v>41</v>
      </c>
      <c r="C2524" s="53" t="s">
        <v>10492</v>
      </c>
      <c r="D2524" s="42" t="s">
        <v>44</v>
      </c>
      <c r="E2524" s="42" t="s">
        <v>44</v>
      </c>
      <c r="F2524" s="53" t="s">
        <v>10483</v>
      </c>
      <c r="G2524" s="53" t="s">
        <v>47</v>
      </c>
      <c r="H2524" s="53" t="s">
        <v>95</v>
      </c>
      <c r="I2524" s="53" t="s">
        <v>8913</v>
      </c>
      <c r="J2524" s="53" t="s">
        <v>10484</v>
      </c>
      <c r="K2524" s="53" t="s">
        <v>51</v>
      </c>
      <c r="L2524" s="53" t="s">
        <v>52</v>
      </c>
      <c r="M2524" s="53" t="s">
        <v>52</v>
      </c>
      <c r="N2524" s="62" t="s">
        <v>10493</v>
      </c>
      <c r="O2524" s="62" t="s">
        <v>44</v>
      </c>
      <c r="P2524" s="62" t="s">
        <v>10494</v>
      </c>
      <c r="Q2524" s="62" t="s">
        <v>10495</v>
      </c>
      <c r="R2524" s="53"/>
      <c r="S2524" s="53"/>
      <c r="T2524" s="82"/>
      <c r="U2524" s="42"/>
      <c r="V2524" s="62"/>
      <c r="W2524" s="64"/>
      <c r="X2524" s="223"/>
      <c r="Y2524" s="223"/>
      <c r="Z2524" s="223"/>
      <c r="AA2524" s="223"/>
    </row>
    <row r="2525">
      <c r="A2525" s="42">
        <f t="shared" si="3"/>
        <v>2524</v>
      </c>
      <c r="B2525" s="323" t="s">
        <v>41</v>
      </c>
      <c r="C2525" s="324" t="s">
        <v>10496</v>
      </c>
      <c r="D2525" s="325" t="s">
        <v>44</v>
      </c>
      <c r="E2525" s="325" t="s">
        <v>44</v>
      </c>
      <c r="F2525" s="324" t="s">
        <v>10483</v>
      </c>
      <c r="G2525" s="324" t="s">
        <v>47</v>
      </c>
      <c r="H2525" s="324" t="s">
        <v>48</v>
      </c>
      <c r="I2525" s="324" t="s">
        <v>8913</v>
      </c>
      <c r="J2525" s="324" t="s">
        <v>10484</v>
      </c>
      <c r="K2525" s="324" t="s">
        <v>51</v>
      </c>
      <c r="L2525" s="324" t="s">
        <v>52</v>
      </c>
      <c r="M2525" s="324" t="s">
        <v>52</v>
      </c>
      <c r="N2525" s="326" t="s">
        <v>10497</v>
      </c>
      <c r="O2525" s="326" t="s">
        <v>44</v>
      </c>
      <c r="P2525" s="326" t="s">
        <v>10498</v>
      </c>
      <c r="Q2525" s="326" t="s">
        <v>10499</v>
      </c>
      <c r="R2525" s="324"/>
      <c r="S2525" s="324"/>
      <c r="T2525" s="327"/>
      <c r="U2525" s="325"/>
      <c r="V2525" s="326"/>
      <c r="W2525" s="328"/>
      <c r="X2525" s="329"/>
      <c r="Y2525" s="329"/>
      <c r="Z2525" s="329"/>
      <c r="AA2525" s="329"/>
    </row>
    <row r="2526">
      <c r="A2526" s="42">
        <f t="shared" si="3"/>
        <v>2525</v>
      </c>
      <c r="B2526" s="53"/>
      <c r="C2526" s="53"/>
      <c r="D2526" s="42"/>
      <c r="E2526" s="42"/>
      <c r="F2526" s="53"/>
      <c r="G2526" s="53"/>
      <c r="H2526" s="53"/>
      <c r="I2526" s="53"/>
      <c r="J2526" s="53"/>
      <c r="K2526" s="53"/>
      <c r="L2526" s="53"/>
      <c r="M2526" s="53"/>
      <c r="N2526" s="62"/>
      <c r="O2526" s="62"/>
      <c r="P2526" s="62"/>
      <c r="Q2526" s="62"/>
      <c r="R2526" s="53"/>
      <c r="S2526" s="53"/>
      <c r="T2526" s="82"/>
      <c r="U2526" s="42"/>
      <c r="V2526" s="62"/>
      <c r="W2526" s="64"/>
      <c r="X2526" s="330"/>
      <c r="Y2526" s="330"/>
      <c r="Z2526" s="330"/>
      <c r="AA2526" s="223"/>
    </row>
    <row r="2527">
      <c r="A2527" s="42">
        <f t="shared" si="3"/>
        <v>2526</v>
      </c>
      <c r="B2527" s="53"/>
      <c r="C2527" s="53"/>
      <c r="D2527" s="42"/>
      <c r="E2527" s="42"/>
      <c r="F2527" s="53"/>
      <c r="G2527" s="53"/>
      <c r="H2527" s="53"/>
      <c r="I2527" s="53"/>
      <c r="J2527" s="53"/>
      <c r="K2527" s="53"/>
      <c r="L2527" s="53"/>
      <c r="M2527" s="53"/>
      <c r="N2527" s="62"/>
      <c r="O2527" s="62"/>
      <c r="P2527" s="62"/>
      <c r="Q2527" s="62"/>
      <c r="R2527" s="53"/>
      <c r="S2527" s="53"/>
      <c r="T2527" s="82"/>
      <c r="U2527" s="42"/>
      <c r="V2527" s="62"/>
      <c r="W2527" s="64"/>
      <c r="X2527" s="330"/>
      <c r="Y2527" s="330"/>
      <c r="Z2527" s="330"/>
      <c r="AA2527" s="223"/>
    </row>
    <row r="2528">
      <c r="A2528" s="42">
        <f t="shared" si="3"/>
        <v>2527</v>
      </c>
      <c r="B2528" s="53"/>
      <c r="C2528" s="53"/>
      <c r="D2528" s="42"/>
      <c r="E2528" s="42"/>
      <c r="F2528" s="53"/>
      <c r="G2528" s="53"/>
      <c r="H2528" s="53"/>
      <c r="I2528" s="53"/>
      <c r="J2528" s="53"/>
      <c r="K2528" s="53"/>
      <c r="L2528" s="53"/>
      <c r="M2528" s="53"/>
      <c r="N2528" s="62"/>
      <c r="O2528" s="62"/>
      <c r="P2528" s="62"/>
      <c r="Q2528" s="62"/>
      <c r="R2528" s="53"/>
      <c r="S2528" s="53"/>
      <c r="T2528" s="82"/>
      <c r="U2528" s="42"/>
      <c r="V2528" s="62"/>
      <c r="W2528" s="64"/>
      <c r="X2528" s="330"/>
      <c r="Y2528" s="330"/>
      <c r="Z2528" s="330"/>
      <c r="AA2528" s="223"/>
    </row>
    <row r="2529">
      <c r="A2529" s="42">
        <f t="shared" si="3"/>
        <v>2528</v>
      </c>
      <c r="B2529" s="53"/>
      <c r="C2529" s="53"/>
      <c r="D2529" s="42"/>
      <c r="E2529" s="42"/>
      <c r="F2529" s="53"/>
      <c r="G2529" s="53"/>
      <c r="H2529" s="53"/>
      <c r="I2529" s="53"/>
      <c r="J2529" s="53"/>
      <c r="K2529" s="53"/>
      <c r="L2529" s="53"/>
      <c r="M2529" s="53"/>
      <c r="N2529" s="62"/>
      <c r="O2529" s="62"/>
      <c r="P2529" s="62"/>
      <c r="Q2529" s="62"/>
      <c r="R2529" s="53"/>
      <c r="S2529" s="53"/>
      <c r="T2529" s="82"/>
      <c r="U2529" s="42"/>
      <c r="V2529" s="62"/>
      <c r="W2529" s="64"/>
      <c r="X2529" s="330"/>
      <c r="Y2529" s="330"/>
      <c r="Z2529" s="330"/>
      <c r="AA2529" s="223"/>
    </row>
    <row r="2530">
      <c r="A2530" s="42">
        <f t="shared" si="3"/>
        <v>2529</v>
      </c>
      <c r="B2530" s="53"/>
      <c r="C2530" s="53"/>
      <c r="D2530" s="42"/>
      <c r="E2530" s="42"/>
      <c r="F2530" s="53"/>
      <c r="G2530" s="53"/>
      <c r="H2530" s="53"/>
      <c r="I2530" s="53"/>
      <c r="J2530" s="53"/>
      <c r="K2530" s="53"/>
      <c r="L2530" s="53"/>
      <c r="M2530" s="53"/>
      <c r="N2530" s="62"/>
      <c r="O2530" s="62"/>
      <c r="P2530" s="62"/>
      <c r="Q2530" s="62"/>
      <c r="R2530" s="53"/>
      <c r="S2530" s="53"/>
      <c r="T2530" s="82"/>
      <c r="U2530" s="42"/>
      <c r="V2530" s="62"/>
      <c r="W2530" s="64"/>
      <c r="X2530" s="330"/>
      <c r="Y2530" s="330"/>
      <c r="Z2530" s="330"/>
      <c r="AA2530" s="223"/>
    </row>
    <row r="2531">
      <c r="A2531" s="42">
        <f t="shared" si="3"/>
        <v>2530</v>
      </c>
      <c r="B2531" s="53"/>
      <c r="C2531" s="53"/>
      <c r="D2531" s="42"/>
      <c r="E2531" s="42"/>
      <c r="F2531" s="53"/>
      <c r="G2531" s="53"/>
      <c r="H2531" s="53"/>
      <c r="I2531" s="53"/>
      <c r="J2531" s="53"/>
      <c r="K2531" s="53"/>
      <c r="L2531" s="53"/>
      <c r="M2531" s="53"/>
      <c r="N2531" s="62"/>
      <c r="O2531" s="62"/>
      <c r="P2531" s="62"/>
      <c r="Q2531" s="62"/>
      <c r="R2531" s="53"/>
      <c r="S2531" s="53"/>
      <c r="T2531" s="82"/>
      <c r="U2531" s="42"/>
      <c r="V2531" s="62"/>
      <c r="W2531" s="64"/>
      <c r="X2531" s="330"/>
      <c r="Y2531" s="330"/>
      <c r="Z2531" s="330"/>
      <c r="AA2531" s="223"/>
    </row>
    <row r="2532">
      <c r="A2532" s="42">
        <f t="shared" si="3"/>
        <v>2531</v>
      </c>
      <c r="B2532" s="53"/>
      <c r="C2532" s="53"/>
      <c r="D2532" s="42"/>
      <c r="E2532" s="42"/>
      <c r="F2532" s="53"/>
      <c r="G2532" s="53"/>
      <c r="H2532" s="53"/>
      <c r="I2532" s="53"/>
      <c r="J2532" s="53"/>
      <c r="K2532" s="53"/>
      <c r="L2532" s="53"/>
      <c r="M2532" s="53"/>
      <c r="N2532" s="62"/>
      <c r="O2532" s="62"/>
      <c r="P2532" s="62"/>
      <c r="Q2532" s="62"/>
      <c r="R2532" s="53"/>
      <c r="S2532" s="53"/>
      <c r="T2532" s="82"/>
      <c r="U2532" s="42"/>
      <c r="V2532" s="62"/>
      <c r="W2532" s="64"/>
      <c r="X2532" s="330"/>
      <c r="Y2532" s="330"/>
      <c r="Z2532" s="330"/>
      <c r="AA2532" s="223"/>
    </row>
    <row r="2533">
      <c r="A2533" s="42">
        <f t="shared" si="3"/>
        <v>2532</v>
      </c>
      <c r="B2533" s="53"/>
      <c r="C2533" s="53"/>
      <c r="D2533" s="42"/>
      <c r="E2533" s="42"/>
      <c r="F2533" s="53"/>
      <c r="G2533" s="53"/>
      <c r="H2533" s="53"/>
      <c r="I2533" s="53"/>
      <c r="J2533" s="53"/>
      <c r="K2533" s="53"/>
      <c r="L2533" s="53"/>
      <c r="M2533" s="53"/>
      <c r="N2533" s="62"/>
      <c r="O2533" s="62"/>
      <c r="P2533" s="62"/>
      <c r="Q2533" s="62"/>
      <c r="R2533" s="53"/>
      <c r="S2533" s="53"/>
      <c r="T2533" s="82"/>
      <c r="U2533" s="42"/>
      <c r="V2533" s="62"/>
      <c r="W2533" s="64"/>
      <c r="X2533" s="330"/>
      <c r="Y2533" s="330"/>
      <c r="Z2533" s="330"/>
      <c r="AA2533" s="223"/>
    </row>
    <row r="2534">
      <c r="A2534" s="42">
        <f t="shared" si="3"/>
        <v>2533</v>
      </c>
      <c r="B2534" s="53"/>
      <c r="C2534" s="53"/>
      <c r="D2534" s="42"/>
      <c r="E2534" s="42"/>
      <c r="F2534" s="53"/>
      <c r="G2534" s="53"/>
      <c r="H2534" s="53"/>
      <c r="I2534" s="53"/>
      <c r="J2534" s="53"/>
      <c r="K2534" s="53"/>
      <c r="L2534" s="53"/>
      <c r="M2534" s="53"/>
      <c r="N2534" s="62"/>
      <c r="O2534" s="62"/>
      <c r="P2534" s="62"/>
      <c r="Q2534" s="62"/>
      <c r="R2534" s="53"/>
      <c r="S2534" s="53"/>
      <c r="T2534" s="82"/>
      <c r="U2534" s="42"/>
      <c r="V2534" s="62"/>
      <c r="W2534" s="64"/>
      <c r="X2534" s="330"/>
      <c r="Y2534" s="330"/>
      <c r="Z2534" s="330"/>
      <c r="AA2534" s="223"/>
    </row>
    <row r="2535">
      <c r="A2535" s="42">
        <f t="shared" si="3"/>
        <v>2534</v>
      </c>
      <c r="B2535" s="53"/>
      <c r="C2535" s="53"/>
      <c r="D2535" s="42"/>
      <c r="E2535" s="42"/>
      <c r="F2535" s="53"/>
      <c r="G2535" s="53"/>
      <c r="H2535" s="53"/>
      <c r="I2535" s="53"/>
      <c r="J2535" s="53"/>
      <c r="K2535" s="53"/>
      <c r="L2535" s="53"/>
      <c r="M2535" s="53"/>
      <c r="N2535" s="62"/>
      <c r="O2535" s="62"/>
      <c r="P2535" s="62"/>
      <c r="Q2535" s="62"/>
      <c r="R2535" s="53"/>
      <c r="S2535" s="53"/>
      <c r="T2535" s="82"/>
      <c r="U2535" s="42"/>
      <c r="V2535" s="62"/>
      <c r="W2535" s="64"/>
      <c r="X2535" s="330"/>
      <c r="Y2535" s="330"/>
      <c r="Z2535" s="330"/>
      <c r="AA2535" s="223"/>
    </row>
    <row r="2536">
      <c r="A2536" s="42">
        <f t="shared" si="3"/>
        <v>2535</v>
      </c>
      <c r="B2536" s="53"/>
      <c r="C2536" s="53"/>
      <c r="D2536" s="42"/>
      <c r="E2536" s="42"/>
      <c r="F2536" s="53"/>
      <c r="G2536" s="53"/>
      <c r="H2536" s="53"/>
      <c r="I2536" s="53"/>
      <c r="J2536" s="53"/>
      <c r="K2536" s="53"/>
      <c r="L2536" s="53"/>
      <c r="M2536" s="53"/>
      <c r="N2536" s="62"/>
      <c r="O2536" s="62"/>
      <c r="P2536" s="62"/>
      <c r="Q2536" s="62"/>
      <c r="R2536" s="53"/>
      <c r="S2536" s="53"/>
      <c r="T2536" s="82"/>
      <c r="U2536" s="42"/>
      <c r="V2536" s="62"/>
      <c r="W2536" s="64"/>
      <c r="X2536" s="330"/>
      <c r="Y2536" s="330"/>
      <c r="Z2536" s="330"/>
      <c r="AA2536" s="223"/>
    </row>
    <row r="2537">
      <c r="A2537" s="42">
        <f t="shared" si="3"/>
        <v>2536</v>
      </c>
      <c r="B2537" s="53"/>
      <c r="C2537" s="53"/>
      <c r="D2537" s="42"/>
      <c r="E2537" s="42"/>
      <c r="F2537" s="53"/>
      <c r="G2537" s="53"/>
      <c r="H2537" s="53"/>
      <c r="I2537" s="53"/>
      <c r="J2537" s="53"/>
      <c r="K2537" s="53"/>
      <c r="L2537" s="53"/>
      <c r="M2537" s="53"/>
      <c r="N2537" s="62"/>
      <c r="O2537" s="62"/>
      <c r="P2537" s="62"/>
      <c r="Q2537" s="62"/>
      <c r="R2537" s="53"/>
      <c r="S2537" s="53"/>
      <c r="T2537" s="82"/>
      <c r="U2537" s="42"/>
      <c r="V2537" s="62"/>
      <c r="W2537" s="64"/>
      <c r="X2537" s="330"/>
      <c r="Y2537" s="330"/>
      <c r="Z2537" s="330"/>
      <c r="AA2537" s="223"/>
    </row>
    <row r="2538">
      <c r="A2538" s="42">
        <f t="shared" si="3"/>
        <v>2537</v>
      </c>
      <c r="B2538" s="53"/>
      <c r="C2538" s="53"/>
      <c r="D2538" s="42"/>
      <c r="E2538" s="42"/>
      <c r="F2538" s="53"/>
      <c r="G2538" s="53"/>
      <c r="H2538" s="53"/>
      <c r="I2538" s="53"/>
      <c r="J2538" s="53"/>
      <c r="K2538" s="53"/>
      <c r="L2538" s="53"/>
      <c r="M2538" s="53"/>
      <c r="N2538" s="62"/>
      <c r="O2538" s="62"/>
      <c r="P2538" s="62"/>
      <c r="Q2538" s="62"/>
      <c r="R2538" s="53"/>
      <c r="S2538" s="53"/>
      <c r="T2538" s="82"/>
      <c r="U2538" s="42"/>
      <c r="V2538" s="62"/>
      <c r="W2538" s="64"/>
      <c r="X2538" s="330"/>
      <c r="Y2538" s="330"/>
      <c r="Z2538" s="330"/>
      <c r="AA2538" s="223"/>
    </row>
    <row r="2539">
      <c r="A2539" s="42">
        <f t="shared" si="3"/>
        <v>2538</v>
      </c>
      <c r="B2539" s="53"/>
      <c r="C2539" s="53"/>
      <c r="D2539" s="42"/>
      <c r="E2539" s="42"/>
      <c r="F2539" s="53"/>
      <c r="G2539" s="53"/>
      <c r="H2539" s="53"/>
      <c r="I2539" s="53"/>
      <c r="J2539" s="53"/>
      <c r="K2539" s="53"/>
      <c r="L2539" s="53"/>
      <c r="M2539" s="53"/>
      <c r="N2539" s="62"/>
      <c r="O2539" s="62"/>
      <c r="P2539" s="62"/>
      <c r="Q2539" s="62"/>
      <c r="R2539" s="53"/>
      <c r="S2539" s="53"/>
      <c r="T2539" s="82"/>
      <c r="U2539" s="42"/>
      <c r="V2539" s="62"/>
      <c r="W2539" s="64"/>
      <c r="X2539" s="330"/>
      <c r="Y2539" s="330"/>
      <c r="Z2539" s="330"/>
      <c r="AA2539" s="223"/>
    </row>
    <row r="2540">
      <c r="A2540" s="42">
        <f t="shared" si="3"/>
        <v>2539</v>
      </c>
      <c r="B2540" s="53"/>
      <c r="C2540" s="53"/>
      <c r="D2540" s="42"/>
      <c r="E2540" s="42"/>
      <c r="F2540" s="53"/>
      <c r="G2540" s="53"/>
      <c r="H2540" s="53"/>
      <c r="I2540" s="53"/>
      <c r="J2540" s="53"/>
      <c r="K2540" s="53"/>
      <c r="L2540" s="53"/>
      <c r="M2540" s="53"/>
      <c r="N2540" s="62"/>
      <c r="O2540" s="62"/>
      <c r="P2540" s="62"/>
      <c r="Q2540" s="62"/>
      <c r="R2540" s="53"/>
      <c r="S2540" s="53"/>
      <c r="T2540" s="82"/>
      <c r="U2540" s="42"/>
      <c r="V2540" s="62"/>
      <c r="W2540" s="64"/>
      <c r="X2540" s="330"/>
      <c r="Y2540" s="330"/>
      <c r="Z2540" s="330"/>
      <c r="AA2540" s="223"/>
    </row>
    <row r="2541">
      <c r="A2541" s="42">
        <f t="shared" si="3"/>
        <v>2540</v>
      </c>
      <c r="B2541" s="53"/>
      <c r="C2541" s="53"/>
      <c r="D2541" s="42"/>
      <c r="E2541" s="42"/>
      <c r="F2541" s="53"/>
      <c r="G2541" s="53"/>
      <c r="H2541" s="53"/>
      <c r="I2541" s="53"/>
      <c r="J2541" s="53"/>
      <c r="K2541" s="53"/>
      <c r="L2541" s="53"/>
      <c r="M2541" s="53"/>
      <c r="N2541" s="62"/>
      <c r="O2541" s="62"/>
      <c r="P2541" s="62"/>
      <c r="Q2541" s="62"/>
      <c r="R2541" s="53"/>
      <c r="S2541" s="53"/>
      <c r="T2541" s="82"/>
      <c r="U2541" s="42"/>
      <c r="V2541" s="62"/>
      <c r="W2541" s="64"/>
      <c r="X2541" s="330"/>
      <c r="Y2541" s="330"/>
      <c r="Z2541" s="330"/>
      <c r="AA2541" s="223"/>
    </row>
    <row r="2542">
      <c r="A2542" s="42">
        <f t="shared" si="3"/>
        <v>2541</v>
      </c>
      <c r="B2542" s="53"/>
      <c r="C2542" s="53"/>
      <c r="D2542" s="42"/>
      <c r="E2542" s="42"/>
      <c r="F2542" s="53"/>
      <c r="G2542" s="53"/>
      <c r="H2542" s="53"/>
      <c r="I2542" s="53"/>
      <c r="J2542" s="53"/>
      <c r="K2542" s="53"/>
      <c r="L2542" s="53"/>
      <c r="M2542" s="53"/>
      <c r="N2542" s="62"/>
      <c r="O2542" s="62"/>
      <c r="P2542" s="62"/>
      <c r="Q2542" s="62"/>
      <c r="R2542" s="53"/>
      <c r="S2542" s="53"/>
      <c r="T2542" s="82"/>
      <c r="U2542" s="42"/>
      <c r="V2542" s="62"/>
      <c r="W2542" s="64"/>
      <c r="X2542" s="330"/>
      <c r="Y2542" s="330"/>
      <c r="Z2542" s="330"/>
      <c r="AA2542" s="223"/>
    </row>
    <row r="2543">
      <c r="A2543" s="42">
        <f t="shared" si="3"/>
        <v>2542</v>
      </c>
      <c r="B2543" s="53"/>
      <c r="C2543" s="53"/>
      <c r="D2543" s="42"/>
      <c r="E2543" s="42"/>
      <c r="F2543" s="53"/>
      <c r="G2543" s="53"/>
      <c r="H2543" s="53"/>
      <c r="I2543" s="53"/>
      <c r="J2543" s="53"/>
      <c r="K2543" s="53"/>
      <c r="L2543" s="53"/>
      <c r="M2543" s="53"/>
      <c r="N2543" s="62"/>
      <c r="O2543" s="62"/>
      <c r="P2543" s="62"/>
      <c r="Q2543" s="62"/>
      <c r="R2543" s="53"/>
      <c r="S2543" s="53"/>
      <c r="T2543" s="82"/>
      <c r="U2543" s="42"/>
      <c r="V2543" s="62"/>
      <c r="W2543" s="64"/>
      <c r="X2543" s="330"/>
      <c r="Y2543" s="330"/>
      <c r="Z2543" s="330"/>
      <c r="AA2543" s="223"/>
    </row>
    <row r="2544">
      <c r="A2544" s="42">
        <f t="shared" si="3"/>
        <v>2543</v>
      </c>
      <c r="B2544" s="53"/>
      <c r="C2544" s="53"/>
      <c r="D2544" s="42"/>
      <c r="E2544" s="42"/>
      <c r="F2544" s="53"/>
      <c r="G2544" s="53"/>
      <c r="H2544" s="53"/>
      <c r="I2544" s="53"/>
      <c r="J2544" s="53"/>
      <c r="K2544" s="53"/>
      <c r="L2544" s="53"/>
      <c r="M2544" s="53"/>
      <c r="N2544" s="62"/>
      <c r="O2544" s="62"/>
      <c r="P2544" s="62"/>
      <c r="Q2544" s="62"/>
      <c r="R2544" s="53"/>
      <c r="S2544" s="53"/>
      <c r="T2544" s="82"/>
      <c r="U2544" s="42"/>
      <c r="V2544" s="62"/>
      <c r="W2544" s="64"/>
      <c r="X2544" s="330"/>
      <c r="Y2544" s="330"/>
      <c r="Z2544" s="330"/>
      <c r="AA2544" s="223"/>
    </row>
    <row r="2545">
      <c r="A2545" s="42">
        <f t="shared" si="3"/>
        <v>2544</v>
      </c>
      <c r="B2545" s="53"/>
      <c r="C2545" s="53"/>
      <c r="D2545" s="42"/>
      <c r="E2545" s="42"/>
      <c r="F2545" s="53"/>
      <c r="G2545" s="53"/>
      <c r="H2545" s="53"/>
      <c r="I2545" s="53"/>
      <c r="J2545" s="53"/>
      <c r="K2545" s="53"/>
      <c r="L2545" s="53"/>
      <c r="M2545" s="53"/>
      <c r="N2545" s="62"/>
      <c r="O2545" s="62"/>
      <c r="P2545" s="62"/>
      <c r="Q2545" s="62"/>
      <c r="R2545" s="53"/>
      <c r="S2545" s="53"/>
      <c r="T2545" s="82"/>
      <c r="U2545" s="42"/>
      <c r="V2545" s="62"/>
      <c r="W2545" s="64"/>
      <c r="X2545" s="330"/>
      <c r="Y2545" s="330"/>
      <c r="Z2545" s="330"/>
      <c r="AA2545" s="223"/>
    </row>
    <row r="2546">
      <c r="A2546" s="42">
        <f t="shared" si="3"/>
        <v>2545</v>
      </c>
      <c r="B2546" s="53"/>
      <c r="C2546" s="53"/>
      <c r="D2546" s="42"/>
      <c r="E2546" s="42"/>
      <c r="F2546" s="53"/>
      <c r="G2546" s="53"/>
      <c r="H2546" s="53"/>
      <c r="I2546" s="53"/>
      <c r="J2546" s="53"/>
      <c r="K2546" s="53"/>
      <c r="L2546" s="53"/>
      <c r="M2546" s="53"/>
      <c r="N2546" s="62"/>
      <c r="O2546" s="62"/>
      <c r="P2546" s="62"/>
      <c r="Q2546" s="62"/>
      <c r="R2546" s="53"/>
      <c r="S2546" s="53"/>
      <c r="T2546" s="82"/>
      <c r="U2546" s="42"/>
      <c r="V2546" s="62"/>
      <c r="W2546" s="64"/>
      <c r="X2546" s="330"/>
      <c r="Y2546" s="330"/>
      <c r="Z2546" s="330"/>
      <c r="AA2546" s="223"/>
    </row>
    <row r="2547">
      <c r="A2547" s="42">
        <f t="shared" si="3"/>
        <v>2546</v>
      </c>
      <c r="B2547" s="53"/>
      <c r="C2547" s="53"/>
      <c r="D2547" s="42"/>
      <c r="E2547" s="42"/>
      <c r="F2547" s="53"/>
      <c r="G2547" s="53"/>
      <c r="H2547" s="53"/>
      <c r="I2547" s="53"/>
      <c r="J2547" s="53"/>
      <c r="K2547" s="53"/>
      <c r="L2547" s="53"/>
      <c r="M2547" s="53"/>
      <c r="N2547" s="62"/>
      <c r="O2547" s="62"/>
      <c r="P2547" s="62"/>
      <c r="Q2547" s="62"/>
      <c r="R2547" s="53"/>
      <c r="S2547" s="53"/>
      <c r="T2547" s="82"/>
      <c r="U2547" s="42"/>
      <c r="V2547" s="62"/>
      <c r="W2547" s="64"/>
      <c r="X2547" s="330"/>
      <c r="Y2547" s="330"/>
      <c r="Z2547" s="330"/>
      <c r="AA2547" s="223"/>
    </row>
    <row r="2548">
      <c r="A2548" s="42">
        <f t="shared" si="3"/>
        <v>2547</v>
      </c>
      <c r="B2548" s="53"/>
      <c r="C2548" s="53"/>
      <c r="D2548" s="42"/>
      <c r="E2548" s="42"/>
      <c r="F2548" s="53"/>
      <c r="G2548" s="53"/>
      <c r="H2548" s="53"/>
      <c r="I2548" s="53"/>
      <c r="J2548" s="53"/>
      <c r="K2548" s="53"/>
      <c r="L2548" s="53"/>
      <c r="M2548" s="53"/>
      <c r="N2548" s="62"/>
      <c r="O2548" s="62"/>
      <c r="P2548" s="62"/>
      <c r="Q2548" s="62"/>
      <c r="R2548" s="53"/>
      <c r="S2548" s="53"/>
      <c r="T2548" s="82"/>
      <c r="U2548" s="42"/>
      <c r="V2548" s="62"/>
      <c r="W2548" s="64"/>
      <c r="X2548" s="330"/>
      <c r="Y2548" s="330"/>
      <c r="Z2548" s="330"/>
      <c r="AA2548" s="223"/>
    </row>
    <row r="2549">
      <c r="A2549" s="42">
        <f t="shared" si="3"/>
        <v>2548</v>
      </c>
      <c r="B2549" s="53"/>
      <c r="C2549" s="53"/>
      <c r="D2549" s="42"/>
      <c r="E2549" s="42"/>
      <c r="F2549" s="53"/>
      <c r="G2549" s="53"/>
      <c r="H2549" s="53"/>
      <c r="I2549" s="53"/>
      <c r="J2549" s="53"/>
      <c r="K2549" s="53"/>
      <c r="L2549" s="53"/>
      <c r="M2549" s="53"/>
      <c r="N2549" s="62"/>
      <c r="O2549" s="62"/>
      <c r="P2549" s="62"/>
      <c r="Q2549" s="62"/>
      <c r="R2549" s="53"/>
      <c r="S2549" s="53"/>
      <c r="T2549" s="82"/>
      <c r="U2549" s="42"/>
      <c r="V2549" s="62"/>
      <c r="W2549" s="64"/>
      <c r="X2549" s="330"/>
      <c r="Y2549" s="330"/>
      <c r="Z2549" s="330"/>
      <c r="AA2549" s="223"/>
    </row>
    <row r="2550">
      <c r="A2550" s="42">
        <f t="shared" si="3"/>
        <v>2549</v>
      </c>
      <c r="B2550" s="53"/>
      <c r="C2550" s="53"/>
      <c r="D2550" s="42"/>
      <c r="E2550" s="42"/>
      <c r="F2550" s="53"/>
      <c r="G2550" s="53"/>
      <c r="H2550" s="53"/>
      <c r="I2550" s="53"/>
      <c r="J2550" s="53"/>
      <c r="K2550" s="53"/>
      <c r="L2550" s="53"/>
      <c r="M2550" s="53"/>
      <c r="N2550" s="62"/>
      <c r="O2550" s="62"/>
      <c r="P2550" s="62"/>
      <c r="Q2550" s="62"/>
      <c r="R2550" s="53"/>
      <c r="S2550" s="53"/>
      <c r="T2550" s="82"/>
      <c r="U2550" s="42"/>
      <c r="V2550" s="62"/>
      <c r="W2550" s="64"/>
      <c r="X2550" s="330"/>
      <c r="Y2550" s="330"/>
      <c r="Z2550" s="330"/>
      <c r="AA2550" s="223"/>
    </row>
    <row r="2551">
      <c r="A2551" s="42">
        <f t="shared" si="3"/>
        <v>2550</v>
      </c>
      <c r="B2551" s="53"/>
      <c r="C2551" s="53"/>
      <c r="D2551" s="42"/>
      <c r="E2551" s="42"/>
      <c r="F2551" s="53"/>
      <c r="G2551" s="53"/>
      <c r="H2551" s="53"/>
      <c r="I2551" s="53"/>
      <c r="J2551" s="53"/>
      <c r="K2551" s="53"/>
      <c r="L2551" s="53"/>
      <c r="M2551" s="53"/>
      <c r="N2551" s="62"/>
      <c r="O2551" s="62"/>
      <c r="P2551" s="62"/>
      <c r="Q2551" s="62"/>
      <c r="R2551" s="53"/>
      <c r="S2551" s="53"/>
      <c r="T2551" s="82"/>
      <c r="U2551" s="42"/>
      <c r="V2551" s="62"/>
      <c r="W2551" s="64"/>
      <c r="X2551" s="330"/>
      <c r="Y2551" s="330"/>
      <c r="Z2551" s="330"/>
      <c r="AA2551" s="223"/>
    </row>
    <row r="2552">
      <c r="A2552" s="42">
        <f t="shared" si="3"/>
        <v>2551</v>
      </c>
      <c r="B2552" s="53"/>
      <c r="C2552" s="53"/>
      <c r="D2552" s="42"/>
      <c r="E2552" s="42"/>
      <c r="F2552" s="53"/>
      <c r="G2552" s="53"/>
      <c r="H2552" s="53"/>
      <c r="I2552" s="53"/>
      <c r="J2552" s="53"/>
      <c r="K2552" s="53"/>
      <c r="L2552" s="53"/>
      <c r="M2552" s="53"/>
      <c r="N2552" s="62"/>
      <c r="O2552" s="62"/>
      <c r="P2552" s="62"/>
      <c r="Q2552" s="62"/>
      <c r="R2552" s="53"/>
      <c r="S2552" s="53"/>
      <c r="T2552" s="82"/>
      <c r="U2552" s="42"/>
      <c r="V2552" s="62"/>
      <c r="W2552" s="64"/>
      <c r="X2552" s="330"/>
      <c r="Y2552" s="330"/>
      <c r="Z2552" s="330"/>
      <c r="AA2552" s="223"/>
    </row>
    <row r="2553">
      <c r="A2553" s="42">
        <f t="shared" si="3"/>
        <v>2552</v>
      </c>
      <c r="B2553" s="53"/>
      <c r="C2553" s="53"/>
      <c r="D2553" s="42"/>
      <c r="E2553" s="42"/>
      <c r="F2553" s="53"/>
      <c r="G2553" s="53"/>
      <c r="H2553" s="53"/>
      <c r="I2553" s="53"/>
      <c r="J2553" s="53"/>
      <c r="K2553" s="53"/>
      <c r="L2553" s="53"/>
      <c r="M2553" s="53"/>
      <c r="N2553" s="62"/>
      <c r="O2553" s="62"/>
      <c r="P2553" s="62"/>
      <c r="Q2553" s="62"/>
      <c r="R2553" s="53"/>
      <c r="S2553" s="53"/>
      <c r="T2553" s="82"/>
      <c r="U2553" s="42"/>
      <c r="V2553" s="62"/>
      <c r="W2553" s="64"/>
      <c r="X2553" s="330"/>
      <c r="Y2553" s="330"/>
      <c r="Z2553" s="330"/>
      <c r="AA2553" s="223"/>
    </row>
    <row r="2554">
      <c r="A2554" s="42">
        <f t="shared" si="3"/>
        <v>2553</v>
      </c>
      <c r="B2554" s="53"/>
      <c r="C2554" s="53"/>
      <c r="D2554" s="42"/>
      <c r="E2554" s="42"/>
      <c r="F2554" s="53"/>
      <c r="G2554" s="53"/>
      <c r="H2554" s="53"/>
      <c r="I2554" s="53"/>
      <c r="J2554" s="53"/>
      <c r="K2554" s="53"/>
      <c r="L2554" s="53"/>
      <c r="M2554" s="53"/>
      <c r="N2554" s="62"/>
      <c r="O2554" s="62"/>
      <c r="P2554" s="62"/>
      <c r="Q2554" s="62"/>
      <c r="R2554" s="53"/>
      <c r="S2554" s="53"/>
      <c r="T2554" s="82"/>
      <c r="U2554" s="42"/>
      <c r="V2554" s="62"/>
      <c r="W2554" s="64"/>
      <c r="X2554" s="330"/>
      <c r="Y2554" s="330"/>
      <c r="Z2554" s="330"/>
      <c r="AA2554" s="223"/>
    </row>
    <row r="2555">
      <c r="A2555" s="42">
        <f t="shared" si="3"/>
        <v>2554</v>
      </c>
      <c r="B2555" s="53"/>
      <c r="C2555" s="53"/>
      <c r="D2555" s="42"/>
      <c r="E2555" s="42"/>
      <c r="F2555" s="53"/>
      <c r="G2555" s="53"/>
      <c r="H2555" s="53"/>
      <c r="I2555" s="53"/>
      <c r="J2555" s="53"/>
      <c r="K2555" s="53"/>
      <c r="L2555" s="53"/>
      <c r="M2555" s="53"/>
      <c r="N2555" s="62"/>
      <c r="O2555" s="62"/>
      <c r="P2555" s="62"/>
      <c r="Q2555" s="62"/>
      <c r="R2555" s="53"/>
      <c r="S2555" s="53"/>
      <c r="T2555" s="82"/>
      <c r="U2555" s="42"/>
      <c r="V2555" s="62"/>
      <c r="W2555" s="64"/>
      <c r="X2555" s="330"/>
      <c r="Y2555" s="330"/>
      <c r="Z2555" s="330"/>
      <c r="AA2555" s="223"/>
    </row>
    <row r="2556">
      <c r="A2556" s="42">
        <f t="shared" si="3"/>
        <v>2555</v>
      </c>
      <c r="B2556" s="53"/>
      <c r="C2556" s="53"/>
      <c r="D2556" s="42"/>
      <c r="E2556" s="42"/>
      <c r="F2556" s="53"/>
      <c r="G2556" s="53"/>
      <c r="H2556" s="53"/>
      <c r="I2556" s="53"/>
      <c r="J2556" s="53"/>
      <c r="K2556" s="53"/>
      <c r="L2556" s="53"/>
      <c r="M2556" s="53"/>
      <c r="N2556" s="62"/>
      <c r="O2556" s="62"/>
      <c r="P2556" s="62"/>
      <c r="Q2556" s="62"/>
      <c r="R2556" s="53"/>
      <c r="S2556" s="53"/>
      <c r="T2556" s="82"/>
      <c r="U2556" s="42"/>
      <c r="V2556" s="62"/>
      <c r="W2556" s="64"/>
      <c r="X2556" s="330"/>
      <c r="Y2556" s="330"/>
      <c r="Z2556" s="330"/>
      <c r="AA2556" s="223"/>
    </row>
    <row r="2557">
      <c r="A2557" s="42">
        <f t="shared" si="3"/>
        <v>2556</v>
      </c>
      <c r="B2557" s="53"/>
      <c r="C2557" s="53"/>
      <c r="D2557" s="42"/>
      <c r="E2557" s="42"/>
      <c r="F2557" s="53"/>
      <c r="G2557" s="53"/>
      <c r="H2557" s="53"/>
      <c r="I2557" s="53"/>
      <c r="J2557" s="53"/>
      <c r="K2557" s="53"/>
      <c r="L2557" s="53"/>
      <c r="M2557" s="53"/>
      <c r="N2557" s="62"/>
      <c r="O2557" s="62"/>
      <c r="P2557" s="62"/>
      <c r="Q2557" s="62"/>
      <c r="R2557" s="53"/>
      <c r="S2557" s="53"/>
      <c r="T2557" s="82"/>
      <c r="U2557" s="42"/>
      <c r="V2557" s="62"/>
      <c r="W2557" s="64"/>
      <c r="X2557" s="330"/>
      <c r="Y2557" s="330"/>
      <c r="Z2557" s="330"/>
      <c r="AA2557" s="223"/>
    </row>
    <row r="2558">
      <c r="A2558" s="42">
        <f t="shared" si="3"/>
        <v>2557</v>
      </c>
      <c r="B2558" s="53"/>
      <c r="C2558" s="53"/>
      <c r="D2558" s="42"/>
      <c r="E2558" s="42"/>
      <c r="F2558" s="53"/>
      <c r="G2558" s="53"/>
      <c r="H2558" s="53"/>
      <c r="I2558" s="53"/>
      <c r="J2558" s="53"/>
      <c r="K2558" s="53"/>
      <c r="L2558" s="53"/>
      <c r="M2558" s="53"/>
      <c r="N2558" s="62"/>
      <c r="O2558" s="62"/>
      <c r="P2558" s="62"/>
      <c r="Q2558" s="62"/>
      <c r="R2558" s="53"/>
      <c r="S2558" s="53"/>
      <c r="T2558" s="82"/>
      <c r="U2558" s="42"/>
      <c r="V2558" s="62"/>
      <c r="W2558" s="64"/>
      <c r="X2558" s="330"/>
      <c r="Y2558" s="330"/>
      <c r="Z2558" s="330"/>
      <c r="AA2558" s="223"/>
    </row>
    <row r="2559">
      <c r="A2559" s="42">
        <f t="shared" si="3"/>
        <v>2558</v>
      </c>
      <c r="B2559" s="53"/>
      <c r="C2559" s="53"/>
      <c r="D2559" s="42"/>
      <c r="E2559" s="42"/>
      <c r="F2559" s="53"/>
      <c r="G2559" s="53"/>
      <c r="H2559" s="53"/>
      <c r="I2559" s="53"/>
      <c r="J2559" s="53"/>
      <c r="K2559" s="53"/>
      <c r="L2559" s="53"/>
      <c r="M2559" s="53"/>
      <c r="N2559" s="62"/>
      <c r="O2559" s="62"/>
      <c r="P2559" s="62"/>
      <c r="Q2559" s="62"/>
      <c r="R2559" s="53"/>
      <c r="S2559" s="53"/>
      <c r="T2559" s="82"/>
      <c r="U2559" s="42"/>
      <c r="V2559" s="62"/>
      <c r="W2559" s="64"/>
      <c r="X2559" s="330"/>
      <c r="Y2559" s="330"/>
      <c r="Z2559" s="330"/>
      <c r="AA2559" s="223"/>
    </row>
    <row r="2560">
      <c r="A2560" s="42">
        <f t="shared" si="3"/>
        <v>2559</v>
      </c>
      <c r="B2560" s="53"/>
      <c r="C2560" s="53"/>
      <c r="D2560" s="42"/>
      <c r="E2560" s="42"/>
      <c r="F2560" s="53"/>
      <c r="G2560" s="53"/>
      <c r="H2560" s="53"/>
      <c r="I2560" s="53"/>
      <c r="J2560" s="53"/>
      <c r="K2560" s="53"/>
      <c r="L2560" s="53"/>
      <c r="M2560" s="53"/>
      <c r="N2560" s="62"/>
      <c r="O2560" s="62"/>
      <c r="P2560" s="62"/>
      <c r="Q2560" s="62"/>
      <c r="R2560" s="53"/>
      <c r="S2560" s="53"/>
      <c r="T2560" s="82"/>
      <c r="U2560" s="42"/>
      <c r="V2560" s="62"/>
      <c r="W2560" s="64"/>
      <c r="X2560" s="330"/>
      <c r="Y2560" s="330"/>
      <c r="Z2560" s="330"/>
      <c r="AA2560" s="223"/>
    </row>
    <row r="2561">
      <c r="A2561" s="42">
        <f t="shared" si="3"/>
        <v>2560</v>
      </c>
      <c r="B2561" s="53"/>
      <c r="C2561" s="53"/>
      <c r="D2561" s="42"/>
      <c r="E2561" s="42"/>
      <c r="F2561" s="53"/>
      <c r="G2561" s="53"/>
      <c r="H2561" s="53"/>
      <c r="I2561" s="53"/>
      <c r="J2561" s="53"/>
      <c r="K2561" s="53"/>
      <c r="L2561" s="53"/>
      <c r="M2561" s="53"/>
      <c r="N2561" s="62"/>
      <c r="O2561" s="62"/>
      <c r="P2561" s="62"/>
      <c r="Q2561" s="62"/>
      <c r="R2561" s="53"/>
      <c r="S2561" s="53"/>
      <c r="T2561" s="82"/>
      <c r="U2561" s="42"/>
      <c r="V2561" s="62"/>
      <c r="W2561" s="64"/>
      <c r="X2561" s="330"/>
      <c r="Y2561" s="330"/>
      <c r="Z2561" s="330"/>
      <c r="AA2561" s="223"/>
    </row>
    <row r="2562">
      <c r="A2562" s="42">
        <f t="shared" si="3"/>
        <v>2561</v>
      </c>
      <c r="B2562" s="53"/>
      <c r="C2562" s="53"/>
      <c r="D2562" s="42"/>
      <c r="E2562" s="42"/>
      <c r="F2562" s="53"/>
      <c r="G2562" s="53"/>
      <c r="H2562" s="53"/>
      <c r="I2562" s="53"/>
      <c r="J2562" s="53"/>
      <c r="K2562" s="53"/>
      <c r="L2562" s="53"/>
      <c r="M2562" s="53"/>
      <c r="N2562" s="62"/>
      <c r="O2562" s="62"/>
      <c r="P2562" s="62"/>
      <c r="Q2562" s="62"/>
      <c r="R2562" s="53"/>
      <c r="S2562" s="53"/>
      <c r="T2562" s="82"/>
      <c r="U2562" s="42"/>
      <c r="V2562" s="62"/>
      <c r="W2562" s="64"/>
      <c r="X2562" s="330"/>
      <c r="Y2562" s="330"/>
      <c r="Z2562" s="330"/>
      <c r="AA2562" s="223"/>
    </row>
    <row r="2563">
      <c r="A2563" s="42">
        <f t="shared" si="3"/>
        <v>2562</v>
      </c>
      <c r="B2563" s="53"/>
      <c r="C2563" s="53"/>
      <c r="D2563" s="42"/>
      <c r="E2563" s="42"/>
      <c r="F2563" s="53"/>
      <c r="G2563" s="53"/>
      <c r="H2563" s="53"/>
      <c r="I2563" s="53"/>
      <c r="J2563" s="53"/>
      <c r="K2563" s="53"/>
      <c r="L2563" s="53"/>
      <c r="M2563" s="53"/>
      <c r="N2563" s="62"/>
      <c r="O2563" s="62"/>
      <c r="P2563" s="62"/>
      <c r="Q2563" s="62"/>
      <c r="R2563" s="53"/>
      <c r="S2563" s="53"/>
      <c r="T2563" s="82"/>
      <c r="U2563" s="42"/>
      <c r="V2563" s="62"/>
      <c r="W2563" s="64"/>
      <c r="X2563" s="330"/>
      <c r="Y2563" s="330"/>
      <c r="Z2563" s="330"/>
      <c r="AA2563" s="223"/>
    </row>
    <row r="2564">
      <c r="A2564" s="42">
        <f t="shared" si="3"/>
        <v>2563</v>
      </c>
      <c r="B2564" s="53"/>
      <c r="C2564" s="53"/>
      <c r="D2564" s="42"/>
      <c r="E2564" s="42"/>
      <c r="F2564" s="53"/>
      <c r="G2564" s="53"/>
      <c r="H2564" s="53"/>
      <c r="I2564" s="53"/>
      <c r="J2564" s="53"/>
      <c r="K2564" s="53"/>
      <c r="L2564" s="53"/>
      <c r="M2564" s="53"/>
      <c r="N2564" s="62"/>
      <c r="O2564" s="62"/>
      <c r="P2564" s="62"/>
      <c r="Q2564" s="62"/>
      <c r="R2564" s="53"/>
      <c r="S2564" s="53"/>
      <c r="T2564" s="82"/>
      <c r="U2564" s="42"/>
      <c r="V2564" s="62"/>
      <c r="W2564" s="64"/>
      <c r="X2564" s="330"/>
      <c r="Y2564" s="330"/>
      <c r="Z2564" s="330"/>
      <c r="AA2564" s="223"/>
    </row>
    <row r="2565">
      <c r="A2565" s="42">
        <f t="shared" si="3"/>
        <v>2564</v>
      </c>
      <c r="B2565" s="53"/>
      <c r="C2565" s="53"/>
      <c r="D2565" s="42"/>
      <c r="E2565" s="42"/>
      <c r="F2565" s="53"/>
      <c r="G2565" s="53"/>
      <c r="H2565" s="53"/>
      <c r="I2565" s="53"/>
      <c r="J2565" s="53"/>
      <c r="K2565" s="53"/>
      <c r="L2565" s="53"/>
      <c r="M2565" s="53"/>
      <c r="N2565" s="62"/>
      <c r="O2565" s="62"/>
      <c r="P2565" s="62"/>
      <c r="Q2565" s="62"/>
      <c r="R2565" s="53"/>
      <c r="S2565" s="53"/>
      <c r="T2565" s="82"/>
      <c r="U2565" s="42"/>
      <c r="V2565" s="62"/>
      <c r="W2565" s="64"/>
      <c r="X2565" s="330"/>
      <c r="Y2565" s="330"/>
      <c r="Z2565" s="330"/>
      <c r="AA2565" s="223"/>
    </row>
    <row r="2566">
      <c r="A2566" s="42">
        <f t="shared" si="3"/>
        <v>2565</v>
      </c>
      <c r="B2566" s="53"/>
      <c r="C2566" s="53"/>
      <c r="D2566" s="42"/>
      <c r="E2566" s="42"/>
      <c r="F2566" s="53"/>
      <c r="G2566" s="53"/>
      <c r="H2566" s="53"/>
      <c r="I2566" s="53"/>
      <c r="J2566" s="53"/>
      <c r="K2566" s="53"/>
      <c r="L2566" s="53"/>
      <c r="M2566" s="53"/>
      <c r="N2566" s="62"/>
      <c r="O2566" s="62"/>
      <c r="P2566" s="62"/>
      <c r="Q2566" s="62"/>
      <c r="R2566" s="53"/>
      <c r="S2566" s="53"/>
      <c r="T2566" s="82"/>
      <c r="U2566" s="42"/>
      <c r="V2566" s="62"/>
      <c r="W2566" s="64"/>
      <c r="X2566" s="330"/>
      <c r="Y2566" s="330"/>
      <c r="Z2566" s="330"/>
      <c r="AA2566" s="223"/>
    </row>
    <row r="2567">
      <c r="A2567" s="42">
        <f t="shared" si="3"/>
        <v>2566</v>
      </c>
      <c r="B2567" s="53"/>
      <c r="C2567" s="53"/>
      <c r="D2567" s="42"/>
      <c r="E2567" s="42"/>
      <c r="F2567" s="53"/>
      <c r="G2567" s="53"/>
      <c r="H2567" s="53"/>
      <c r="I2567" s="53"/>
      <c r="J2567" s="53"/>
      <c r="K2567" s="53"/>
      <c r="L2567" s="53"/>
      <c r="M2567" s="53"/>
      <c r="N2567" s="62"/>
      <c r="O2567" s="62"/>
      <c r="P2567" s="62"/>
      <c r="Q2567" s="62"/>
      <c r="R2567" s="53"/>
      <c r="S2567" s="53"/>
      <c r="T2567" s="82"/>
      <c r="U2567" s="42"/>
      <c r="V2567" s="62"/>
      <c r="W2567" s="64"/>
      <c r="X2567" s="330"/>
      <c r="Y2567" s="330"/>
      <c r="Z2567" s="330"/>
      <c r="AA2567" s="223"/>
    </row>
    <row r="2568">
      <c r="A2568" s="42">
        <f t="shared" si="3"/>
        <v>2567</v>
      </c>
      <c r="B2568" s="53"/>
      <c r="C2568" s="53"/>
      <c r="D2568" s="42"/>
      <c r="E2568" s="42"/>
      <c r="F2568" s="53"/>
      <c r="G2568" s="53"/>
      <c r="H2568" s="53"/>
      <c r="I2568" s="53"/>
      <c r="J2568" s="53"/>
      <c r="K2568" s="53"/>
      <c r="L2568" s="53"/>
      <c r="M2568" s="53"/>
      <c r="N2568" s="62"/>
      <c r="O2568" s="62"/>
      <c r="P2568" s="62"/>
      <c r="Q2568" s="62"/>
      <c r="R2568" s="53"/>
      <c r="S2568" s="53"/>
      <c r="T2568" s="82"/>
      <c r="U2568" s="42"/>
      <c r="V2568" s="62"/>
      <c r="W2568" s="64"/>
      <c r="X2568" s="330"/>
      <c r="Y2568" s="330"/>
      <c r="Z2568" s="330"/>
      <c r="AA2568" s="223"/>
    </row>
    <row r="2569">
      <c r="A2569" s="42">
        <f t="shared" si="3"/>
        <v>2568</v>
      </c>
      <c r="B2569" s="53"/>
      <c r="C2569" s="53"/>
      <c r="D2569" s="42"/>
      <c r="E2569" s="42"/>
      <c r="F2569" s="53"/>
      <c r="G2569" s="53"/>
      <c r="H2569" s="53"/>
      <c r="I2569" s="53"/>
      <c r="J2569" s="53"/>
      <c r="K2569" s="53"/>
      <c r="L2569" s="53"/>
      <c r="M2569" s="53"/>
      <c r="N2569" s="62"/>
      <c r="O2569" s="62"/>
      <c r="P2569" s="62"/>
      <c r="Q2569" s="62"/>
      <c r="R2569" s="53"/>
      <c r="S2569" s="53"/>
      <c r="T2569" s="82"/>
      <c r="U2569" s="42"/>
      <c r="V2569" s="62"/>
      <c r="W2569" s="64"/>
      <c r="X2569" s="330"/>
      <c r="Y2569" s="330"/>
      <c r="Z2569" s="330"/>
      <c r="AA2569" s="223"/>
    </row>
    <row r="2570">
      <c r="A2570" s="42">
        <f t="shared" si="3"/>
        <v>2569</v>
      </c>
      <c r="B2570" s="53"/>
      <c r="C2570" s="53"/>
      <c r="D2570" s="42"/>
      <c r="E2570" s="42"/>
      <c r="F2570" s="53"/>
      <c r="G2570" s="53"/>
      <c r="H2570" s="53"/>
      <c r="I2570" s="53"/>
      <c r="J2570" s="53"/>
      <c r="K2570" s="53"/>
      <c r="L2570" s="53"/>
      <c r="M2570" s="53"/>
      <c r="N2570" s="62"/>
      <c r="O2570" s="62"/>
      <c r="P2570" s="62"/>
      <c r="Q2570" s="62"/>
      <c r="R2570" s="53"/>
      <c r="S2570" s="53"/>
      <c r="T2570" s="82"/>
      <c r="U2570" s="42"/>
      <c r="V2570" s="62"/>
      <c r="W2570" s="64"/>
      <c r="X2570" s="330"/>
      <c r="Y2570" s="330"/>
      <c r="Z2570" s="330"/>
      <c r="AA2570" s="223"/>
    </row>
    <row r="2571">
      <c r="A2571" s="42">
        <f t="shared" si="3"/>
        <v>2570</v>
      </c>
      <c r="B2571" s="53"/>
      <c r="C2571" s="53"/>
      <c r="D2571" s="42"/>
      <c r="E2571" s="42"/>
      <c r="F2571" s="53"/>
      <c r="G2571" s="53"/>
      <c r="H2571" s="53"/>
      <c r="I2571" s="53"/>
      <c r="J2571" s="53"/>
      <c r="K2571" s="53"/>
      <c r="L2571" s="53"/>
      <c r="M2571" s="53"/>
      <c r="N2571" s="62"/>
      <c r="O2571" s="62"/>
      <c r="P2571" s="62"/>
      <c r="Q2571" s="62"/>
      <c r="R2571" s="53"/>
      <c r="S2571" s="53"/>
      <c r="T2571" s="82"/>
      <c r="U2571" s="42"/>
      <c r="V2571" s="62"/>
      <c r="W2571" s="64"/>
      <c r="X2571" s="330"/>
      <c r="Y2571" s="330"/>
      <c r="Z2571" s="330"/>
      <c r="AA2571" s="223"/>
    </row>
    <row r="2572">
      <c r="A2572" s="42">
        <f t="shared" si="3"/>
        <v>2571</v>
      </c>
      <c r="B2572" s="53"/>
      <c r="C2572" s="53"/>
      <c r="D2572" s="42"/>
      <c r="E2572" s="42"/>
      <c r="F2572" s="53"/>
      <c r="G2572" s="53"/>
      <c r="H2572" s="53"/>
      <c r="I2572" s="53"/>
      <c r="J2572" s="53"/>
      <c r="K2572" s="53"/>
      <c r="L2572" s="53"/>
      <c r="M2572" s="53"/>
      <c r="N2572" s="62"/>
      <c r="O2572" s="62"/>
      <c r="P2572" s="62"/>
      <c r="Q2572" s="62"/>
      <c r="R2572" s="53"/>
      <c r="S2572" s="53"/>
      <c r="T2572" s="82"/>
      <c r="U2572" s="42"/>
      <c r="V2572" s="62"/>
      <c r="W2572" s="64"/>
      <c r="X2572" s="330"/>
      <c r="Y2572" s="330"/>
      <c r="Z2572" s="330"/>
      <c r="AA2572" s="223"/>
    </row>
    <row r="2573">
      <c r="A2573" s="42">
        <f t="shared" si="3"/>
        <v>2572</v>
      </c>
      <c r="B2573" s="53"/>
      <c r="C2573" s="53"/>
      <c r="D2573" s="42"/>
      <c r="E2573" s="42"/>
      <c r="F2573" s="53"/>
      <c r="G2573" s="53"/>
      <c r="H2573" s="53"/>
      <c r="I2573" s="53"/>
      <c r="J2573" s="53"/>
      <c r="K2573" s="53"/>
      <c r="L2573" s="53"/>
      <c r="M2573" s="53"/>
      <c r="N2573" s="62"/>
      <c r="O2573" s="62"/>
      <c r="P2573" s="62"/>
      <c r="Q2573" s="62"/>
      <c r="R2573" s="53"/>
      <c r="S2573" s="53"/>
      <c r="T2573" s="82"/>
      <c r="U2573" s="42"/>
      <c r="V2573" s="62"/>
      <c r="W2573" s="64"/>
      <c r="X2573" s="330"/>
      <c r="Y2573" s="330"/>
      <c r="Z2573" s="330"/>
      <c r="AA2573" s="223"/>
    </row>
    <row r="2574">
      <c r="A2574" s="42">
        <f t="shared" si="3"/>
        <v>2573</v>
      </c>
      <c r="B2574" s="53"/>
      <c r="C2574" s="53"/>
      <c r="D2574" s="42"/>
      <c r="E2574" s="42"/>
      <c r="F2574" s="53"/>
      <c r="G2574" s="53"/>
      <c r="H2574" s="53"/>
      <c r="I2574" s="53"/>
      <c r="J2574" s="53"/>
      <c r="K2574" s="53"/>
      <c r="L2574" s="53"/>
      <c r="M2574" s="53"/>
      <c r="N2574" s="62"/>
      <c r="O2574" s="62"/>
      <c r="P2574" s="62"/>
      <c r="Q2574" s="62"/>
      <c r="R2574" s="53"/>
      <c r="S2574" s="53"/>
      <c r="T2574" s="82"/>
      <c r="U2574" s="42"/>
      <c r="V2574" s="62"/>
      <c r="W2574" s="64"/>
      <c r="X2574" s="330"/>
      <c r="Y2574" s="330"/>
      <c r="Z2574" s="330"/>
      <c r="AA2574" s="223"/>
    </row>
    <row r="2575">
      <c r="A2575" s="42">
        <f t="shared" si="3"/>
        <v>2574</v>
      </c>
      <c r="B2575" s="53"/>
      <c r="C2575" s="53"/>
      <c r="D2575" s="42"/>
      <c r="E2575" s="42"/>
      <c r="F2575" s="53"/>
      <c r="G2575" s="53"/>
      <c r="H2575" s="53"/>
      <c r="I2575" s="53"/>
      <c r="J2575" s="53"/>
      <c r="K2575" s="53"/>
      <c r="L2575" s="53"/>
      <c r="M2575" s="53"/>
      <c r="N2575" s="62"/>
      <c r="O2575" s="62"/>
      <c r="P2575" s="62"/>
      <c r="Q2575" s="62"/>
      <c r="R2575" s="53"/>
      <c r="S2575" s="53"/>
      <c r="T2575" s="82"/>
      <c r="U2575" s="42"/>
      <c r="V2575" s="62"/>
      <c r="W2575" s="64"/>
      <c r="X2575" s="330"/>
      <c r="Y2575" s="330"/>
      <c r="Z2575" s="330"/>
      <c r="AA2575" s="223"/>
    </row>
    <row r="2576">
      <c r="A2576" s="42">
        <f t="shared" si="3"/>
        <v>2575</v>
      </c>
      <c r="B2576" s="53"/>
      <c r="C2576" s="53"/>
      <c r="D2576" s="42"/>
      <c r="E2576" s="42"/>
      <c r="F2576" s="53"/>
      <c r="G2576" s="53"/>
      <c r="H2576" s="53"/>
      <c r="I2576" s="53"/>
      <c r="J2576" s="53"/>
      <c r="K2576" s="53"/>
      <c r="L2576" s="53"/>
      <c r="M2576" s="53"/>
      <c r="N2576" s="62"/>
      <c r="O2576" s="62"/>
      <c r="P2576" s="62"/>
      <c r="Q2576" s="62"/>
      <c r="R2576" s="53"/>
      <c r="S2576" s="53"/>
      <c r="T2576" s="82"/>
      <c r="U2576" s="42"/>
      <c r="V2576" s="62"/>
      <c r="W2576" s="64"/>
      <c r="X2576" s="330"/>
      <c r="Y2576" s="330"/>
      <c r="Z2576" s="330"/>
      <c r="AA2576" s="223"/>
    </row>
    <row r="2577">
      <c r="A2577" s="42">
        <f t="shared" si="3"/>
        <v>2576</v>
      </c>
      <c r="B2577" s="53"/>
      <c r="C2577" s="53"/>
      <c r="D2577" s="42"/>
      <c r="E2577" s="42"/>
      <c r="F2577" s="53"/>
      <c r="G2577" s="53"/>
      <c r="H2577" s="53"/>
      <c r="I2577" s="53"/>
      <c r="J2577" s="53"/>
      <c r="K2577" s="53"/>
      <c r="L2577" s="53"/>
      <c r="M2577" s="53"/>
      <c r="N2577" s="62"/>
      <c r="O2577" s="62"/>
      <c r="P2577" s="62"/>
      <c r="Q2577" s="62"/>
      <c r="R2577" s="53"/>
      <c r="S2577" s="53"/>
      <c r="T2577" s="82"/>
      <c r="U2577" s="42"/>
      <c r="V2577" s="62"/>
      <c r="W2577" s="64"/>
      <c r="X2577" s="330"/>
      <c r="Y2577" s="330"/>
      <c r="Z2577" s="330"/>
      <c r="AA2577" s="223"/>
    </row>
    <row r="2578">
      <c r="A2578" s="42">
        <f t="shared" si="3"/>
        <v>2577</v>
      </c>
      <c r="B2578" s="53"/>
      <c r="C2578" s="53"/>
      <c r="D2578" s="42"/>
      <c r="E2578" s="42"/>
      <c r="F2578" s="53"/>
      <c r="G2578" s="53"/>
      <c r="H2578" s="53"/>
      <c r="I2578" s="53"/>
      <c r="J2578" s="53"/>
      <c r="K2578" s="53"/>
      <c r="L2578" s="53"/>
      <c r="M2578" s="53"/>
      <c r="N2578" s="62"/>
      <c r="O2578" s="62"/>
      <c r="P2578" s="62"/>
      <c r="Q2578" s="62"/>
      <c r="R2578" s="53"/>
      <c r="S2578" s="53"/>
      <c r="T2578" s="82"/>
      <c r="U2578" s="42"/>
      <c r="V2578" s="62"/>
      <c r="W2578" s="64"/>
      <c r="X2578" s="330"/>
      <c r="Y2578" s="330"/>
      <c r="Z2578" s="330"/>
      <c r="AA2578" s="223"/>
    </row>
    <row r="2579">
      <c r="A2579" s="42">
        <f t="shared" si="3"/>
        <v>2578</v>
      </c>
      <c r="B2579" s="53"/>
      <c r="C2579" s="53"/>
      <c r="D2579" s="42"/>
      <c r="E2579" s="42"/>
      <c r="F2579" s="53"/>
      <c r="G2579" s="53"/>
      <c r="H2579" s="53"/>
      <c r="I2579" s="53"/>
      <c r="J2579" s="53"/>
      <c r="K2579" s="53"/>
      <c r="L2579" s="53"/>
      <c r="M2579" s="53"/>
      <c r="N2579" s="62"/>
      <c r="O2579" s="62"/>
      <c r="P2579" s="62"/>
      <c r="Q2579" s="62"/>
      <c r="R2579" s="53"/>
      <c r="S2579" s="53"/>
      <c r="T2579" s="82"/>
      <c r="U2579" s="42"/>
      <c r="V2579" s="62"/>
      <c r="W2579" s="64"/>
      <c r="X2579" s="330"/>
      <c r="Y2579" s="330"/>
      <c r="Z2579" s="330"/>
      <c r="AA2579" s="223"/>
    </row>
    <row r="2580">
      <c r="A2580" s="42">
        <f t="shared" si="3"/>
        <v>2579</v>
      </c>
      <c r="B2580" s="53"/>
      <c r="C2580" s="53"/>
      <c r="D2580" s="42"/>
      <c r="E2580" s="42"/>
      <c r="F2580" s="53"/>
      <c r="G2580" s="53"/>
      <c r="H2580" s="53"/>
      <c r="I2580" s="53"/>
      <c r="J2580" s="53"/>
      <c r="K2580" s="53"/>
      <c r="L2580" s="53"/>
      <c r="M2580" s="53"/>
      <c r="N2580" s="62"/>
      <c r="O2580" s="62"/>
      <c r="P2580" s="62"/>
      <c r="Q2580" s="62"/>
      <c r="R2580" s="53"/>
      <c r="S2580" s="53"/>
      <c r="T2580" s="82"/>
      <c r="U2580" s="42"/>
      <c r="V2580" s="62"/>
      <c r="W2580" s="64"/>
      <c r="X2580" s="330"/>
      <c r="Y2580" s="330"/>
      <c r="Z2580" s="330"/>
      <c r="AA2580" s="223"/>
    </row>
    <row r="2581">
      <c r="A2581" s="42">
        <f t="shared" si="3"/>
        <v>2580</v>
      </c>
      <c r="B2581" s="53"/>
      <c r="C2581" s="53"/>
      <c r="D2581" s="42"/>
      <c r="E2581" s="42"/>
      <c r="F2581" s="53"/>
      <c r="G2581" s="53"/>
      <c r="H2581" s="53"/>
      <c r="I2581" s="53"/>
      <c r="J2581" s="53"/>
      <c r="K2581" s="53"/>
      <c r="L2581" s="53"/>
      <c r="M2581" s="53"/>
      <c r="N2581" s="62"/>
      <c r="O2581" s="62"/>
      <c r="P2581" s="62"/>
      <c r="Q2581" s="62"/>
      <c r="R2581" s="53"/>
      <c r="S2581" s="53"/>
      <c r="T2581" s="82"/>
      <c r="U2581" s="42"/>
      <c r="V2581" s="62"/>
      <c r="W2581" s="64"/>
      <c r="X2581" s="330"/>
      <c r="Y2581" s="330"/>
      <c r="Z2581" s="330"/>
      <c r="AA2581" s="223"/>
    </row>
    <row r="2582">
      <c r="A2582" s="42">
        <f t="shared" si="3"/>
        <v>2581</v>
      </c>
      <c r="B2582" s="53"/>
      <c r="C2582" s="53"/>
      <c r="D2582" s="42"/>
      <c r="E2582" s="42"/>
      <c r="F2582" s="53"/>
      <c r="G2582" s="53"/>
      <c r="H2582" s="53"/>
      <c r="I2582" s="53"/>
      <c r="J2582" s="53"/>
      <c r="K2582" s="53"/>
      <c r="L2582" s="53"/>
      <c r="M2582" s="53"/>
      <c r="N2582" s="62"/>
      <c r="O2582" s="62"/>
      <c r="P2582" s="62"/>
      <c r="Q2582" s="62"/>
      <c r="R2582" s="53"/>
      <c r="S2582" s="53"/>
      <c r="T2582" s="82"/>
      <c r="U2582" s="42"/>
      <c r="V2582" s="62"/>
      <c r="W2582" s="64"/>
      <c r="X2582" s="330"/>
      <c r="Y2582" s="330"/>
      <c r="Z2582" s="330"/>
      <c r="AA2582" s="223"/>
    </row>
    <row r="2583">
      <c r="A2583" s="42">
        <f t="shared" si="3"/>
        <v>2582</v>
      </c>
      <c r="B2583" s="53"/>
      <c r="C2583" s="53"/>
      <c r="D2583" s="42"/>
      <c r="E2583" s="42"/>
      <c r="F2583" s="53"/>
      <c r="G2583" s="53"/>
      <c r="H2583" s="53"/>
      <c r="I2583" s="53"/>
      <c r="J2583" s="53"/>
      <c r="K2583" s="53"/>
      <c r="L2583" s="53"/>
      <c r="M2583" s="53"/>
      <c r="N2583" s="62"/>
      <c r="O2583" s="62"/>
      <c r="P2583" s="62"/>
      <c r="Q2583" s="62"/>
      <c r="R2583" s="53"/>
      <c r="S2583" s="53"/>
      <c r="T2583" s="82"/>
      <c r="U2583" s="42"/>
      <c r="V2583" s="62"/>
      <c r="W2583" s="64"/>
      <c r="X2583" s="330"/>
      <c r="Y2583" s="330"/>
      <c r="Z2583" s="330"/>
      <c r="AA2583" s="223"/>
    </row>
    <row r="2584">
      <c r="A2584" s="42">
        <f t="shared" si="3"/>
        <v>2583</v>
      </c>
      <c r="B2584" s="53"/>
      <c r="C2584" s="53"/>
      <c r="D2584" s="42"/>
      <c r="E2584" s="42"/>
      <c r="F2584" s="53"/>
      <c r="G2584" s="53"/>
      <c r="H2584" s="53"/>
      <c r="I2584" s="53"/>
      <c r="J2584" s="53"/>
      <c r="K2584" s="53"/>
      <c r="L2584" s="53"/>
      <c r="M2584" s="53"/>
      <c r="N2584" s="62"/>
      <c r="O2584" s="62"/>
      <c r="P2584" s="62"/>
      <c r="Q2584" s="62"/>
      <c r="R2584" s="53"/>
      <c r="S2584" s="53"/>
      <c r="T2584" s="82"/>
      <c r="U2584" s="42"/>
      <c r="V2584" s="62"/>
      <c r="W2584" s="64"/>
      <c r="X2584" s="330"/>
      <c r="Y2584" s="330"/>
      <c r="Z2584" s="330"/>
      <c r="AA2584" s="223"/>
    </row>
    <row r="2585">
      <c r="A2585" s="42">
        <f t="shared" si="3"/>
        <v>2584</v>
      </c>
      <c r="B2585" s="53"/>
      <c r="C2585" s="53"/>
      <c r="D2585" s="42"/>
      <c r="E2585" s="42"/>
      <c r="F2585" s="53"/>
      <c r="G2585" s="53"/>
      <c r="H2585" s="53"/>
      <c r="I2585" s="53"/>
      <c r="J2585" s="53"/>
      <c r="K2585" s="53"/>
      <c r="L2585" s="53"/>
      <c r="M2585" s="53"/>
      <c r="N2585" s="62"/>
      <c r="O2585" s="62"/>
      <c r="P2585" s="62"/>
      <c r="Q2585" s="62"/>
      <c r="R2585" s="53"/>
      <c r="S2585" s="53"/>
      <c r="T2585" s="82"/>
      <c r="U2585" s="42"/>
      <c r="V2585" s="62"/>
      <c r="W2585" s="64"/>
      <c r="X2585" s="330"/>
      <c r="Y2585" s="330"/>
      <c r="Z2585" s="330"/>
      <c r="AA2585" s="223"/>
    </row>
    <row r="2586">
      <c r="A2586" s="42">
        <f t="shared" si="3"/>
        <v>2585</v>
      </c>
      <c r="B2586" s="53"/>
      <c r="C2586" s="53"/>
      <c r="D2586" s="42"/>
      <c r="E2586" s="42"/>
      <c r="F2586" s="53"/>
      <c r="G2586" s="53"/>
      <c r="H2586" s="53"/>
      <c r="I2586" s="53"/>
      <c r="J2586" s="53"/>
      <c r="K2586" s="53"/>
      <c r="L2586" s="53"/>
      <c r="M2586" s="53"/>
      <c r="N2586" s="62"/>
      <c r="O2586" s="62"/>
      <c r="P2586" s="62"/>
      <c r="Q2586" s="62"/>
      <c r="R2586" s="53"/>
      <c r="S2586" s="53"/>
      <c r="T2586" s="82"/>
      <c r="U2586" s="42"/>
      <c r="V2586" s="62"/>
      <c r="W2586" s="64"/>
      <c r="X2586" s="330"/>
      <c r="Y2586" s="330"/>
      <c r="Z2586" s="330"/>
      <c r="AA2586" s="223"/>
    </row>
    <row r="2587">
      <c r="A2587" s="42">
        <f t="shared" si="3"/>
        <v>2586</v>
      </c>
      <c r="B2587" s="53"/>
      <c r="C2587" s="53"/>
      <c r="D2587" s="42"/>
      <c r="E2587" s="42"/>
      <c r="F2587" s="53"/>
      <c r="G2587" s="53"/>
      <c r="H2587" s="53"/>
      <c r="I2587" s="53"/>
      <c r="J2587" s="53"/>
      <c r="K2587" s="53"/>
      <c r="L2587" s="53"/>
      <c r="M2587" s="53"/>
      <c r="N2587" s="62"/>
      <c r="O2587" s="62"/>
      <c r="P2587" s="62"/>
      <c r="Q2587" s="62"/>
      <c r="R2587" s="53"/>
      <c r="S2587" s="53"/>
      <c r="T2587" s="82"/>
      <c r="U2587" s="42"/>
      <c r="V2587" s="62"/>
      <c r="W2587" s="64"/>
      <c r="X2587" s="330"/>
      <c r="Y2587" s="330"/>
      <c r="Z2587" s="330"/>
      <c r="AA2587" s="223"/>
    </row>
    <row r="2588">
      <c r="A2588" s="42">
        <f t="shared" si="3"/>
        <v>2587</v>
      </c>
      <c r="B2588" s="53"/>
      <c r="C2588" s="53"/>
      <c r="D2588" s="42"/>
      <c r="E2588" s="42"/>
      <c r="F2588" s="53"/>
      <c r="G2588" s="53"/>
      <c r="H2588" s="53"/>
      <c r="I2588" s="53"/>
      <c r="J2588" s="53"/>
      <c r="K2588" s="53"/>
      <c r="L2588" s="53"/>
      <c r="M2588" s="53"/>
      <c r="N2588" s="62"/>
      <c r="O2588" s="62"/>
      <c r="P2588" s="62"/>
      <c r="Q2588" s="62"/>
      <c r="R2588" s="53"/>
      <c r="S2588" s="53"/>
      <c r="T2588" s="82"/>
      <c r="U2588" s="42"/>
      <c r="V2588" s="62"/>
      <c r="W2588" s="64"/>
      <c r="X2588" s="330"/>
      <c r="Y2588" s="330"/>
      <c r="Z2588" s="330"/>
      <c r="AA2588" s="223"/>
    </row>
    <row r="2589">
      <c r="A2589" s="42">
        <f t="shared" si="3"/>
        <v>2588</v>
      </c>
      <c r="B2589" s="53"/>
      <c r="C2589" s="53"/>
      <c r="D2589" s="42"/>
      <c r="E2589" s="42"/>
      <c r="F2589" s="53"/>
      <c r="G2589" s="53"/>
      <c r="H2589" s="53"/>
      <c r="I2589" s="53"/>
      <c r="J2589" s="53"/>
      <c r="K2589" s="53"/>
      <c r="L2589" s="53"/>
      <c r="M2589" s="53"/>
      <c r="N2589" s="62"/>
      <c r="O2589" s="62"/>
      <c r="P2589" s="62"/>
      <c r="Q2589" s="62"/>
      <c r="R2589" s="53"/>
      <c r="S2589" s="53"/>
      <c r="T2589" s="82"/>
      <c r="U2589" s="42"/>
      <c r="V2589" s="62"/>
      <c r="W2589" s="64"/>
      <c r="X2589" s="330"/>
      <c r="Y2589" s="330"/>
      <c r="Z2589" s="330"/>
      <c r="AA2589" s="223"/>
    </row>
    <row r="2590">
      <c r="A2590" s="42">
        <f t="shared" si="3"/>
        <v>2589</v>
      </c>
      <c r="B2590" s="53"/>
      <c r="C2590" s="53"/>
      <c r="D2590" s="42"/>
      <c r="E2590" s="42"/>
      <c r="F2590" s="53"/>
      <c r="G2590" s="53"/>
      <c r="H2590" s="53"/>
      <c r="I2590" s="53"/>
      <c r="J2590" s="53"/>
      <c r="K2590" s="53"/>
      <c r="L2590" s="53"/>
      <c r="M2590" s="53"/>
      <c r="N2590" s="62"/>
      <c r="O2590" s="62"/>
      <c r="P2590" s="62"/>
      <c r="Q2590" s="62"/>
      <c r="R2590" s="53"/>
      <c r="S2590" s="53"/>
      <c r="T2590" s="82"/>
      <c r="U2590" s="42"/>
      <c r="V2590" s="62"/>
      <c r="W2590" s="64"/>
      <c r="X2590" s="330"/>
      <c r="Y2590" s="330"/>
      <c r="Z2590" s="330"/>
      <c r="AA2590" s="223"/>
    </row>
    <row r="2591">
      <c r="A2591" s="42">
        <f t="shared" si="3"/>
        <v>2590</v>
      </c>
      <c r="B2591" s="53"/>
      <c r="C2591" s="53"/>
      <c r="D2591" s="42"/>
      <c r="E2591" s="42"/>
      <c r="F2591" s="53"/>
      <c r="G2591" s="53"/>
      <c r="H2591" s="53"/>
      <c r="I2591" s="53"/>
      <c r="J2591" s="53"/>
      <c r="K2591" s="53"/>
      <c r="L2591" s="53"/>
      <c r="M2591" s="53"/>
      <c r="N2591" s="62"/>
      <c r="O2591" s="62"/>
      <c r="P2591" s="62"/>
      <c r="Q2591" s="62"/>
      <c r="R2591" s="53"/>
      <c r="S2591" s="53"/>
      <c r="T2591" s="82"/>
      <c r="U2591" s="42"/>
      <c r="V2591" s="62"/>
      <c r="W2591" s="64"/>
      <c r="X2591" s="330"/>
      <c r="Y2591" s="330"/>
      <c r="Z2591" s="330"/>
      <c r="AA2591" s="223"/>
    </row>
    <row r="2592">
      <c r="A2592" s="42">
        <f t="shared" si="3"/>
        <v>2591</v>
      </c>
      <c r="B2592" s="53"/>
      <c r="C2592" s="53"/>
      <c r="D2592" s="42"/>
      <c r="E2592" s="42"/>
      <c r="F2592" s="53"/>
      <c r="G2592" s="53"/>
      <c r="H2592" s="53"/>
      <c r="I2592" s="53"/>
      <c r="J2592" s="53"/>
      <c r="K2592" s="53"/>
      <c r="L2592" s="53"/>
      <c r="M2592" s="53"/>
      <c r="N2592" s="62"/>
      <c r="O2592" s="62"/>
      <c r="P2592" s="62"/>
      <c r="Q2592" s="62"/>
      <c r="R2592" s="53"/>
      <c r="S2592" s="53"/>
      <c r="T2592" s="82"/>
      <c r="U2592" s="42"/>
      <c r="V2592" s="62"/>
      <c r="W2592" s="64"/>
      <c r="X2592" s="330"/>
      <c r="Y2592" s="330"/>
      <c r="Z2592" s="330"/>
      <c r="AA2592" s="223"/>
    </row>
    <row r="2593">
      <c r="A2593" s="42">
        <f t="shared" si="3"/>
        <v>2592</v>
      </c>
      <c r="B2593" s="53"/>
      <c r="C2593" s="53"/>
      <c r="D2593" s="42"/>
      <c r="E2593" s="42"/>
      <c r="F2593" s="53"/>
      <c r="G2593" s="53"/>
      <c r="H2593" s="53"/>
      <c r="I2593" s="53"/>
      <c r="J2593" s="53"/>
      <c r="K2593" s="53"/>
      <c r="L2593" s="53"/>
      <c r="M2593" s="53"/>
      <c r="N2593" s="62"/>
      <c r="O2593" s="62"/>
      <c r="P2593" s="62"/>
      <c r="Q2593" s="62"/>
      <c r="R2593" s="53"/>
      <c r="S2593" s="53"/>
      <c r="T2593" s="82"/>
      <c r="U2593" s="42"/>
      <c r="V2593" s="62"/>
      <c r="W2593" s="64"/>
      <c r="X2593" s="330"/>
      <c r="Y2593" s="330"/>
      <c r="Z2593" s="330"/>
      <c r="AA2593" s="223"/>
    </row>
    <row r="2594">
      <c r="A2594" s="42">
        <f t="shared" si="3"/>
        <v>2593</v>
      </c>
      <c r="B2594" s="53"/>
      <c r="C2594" s="53"/>
      <c r="D2594" s="42"/>
      <c r="E2594" s="42"/>
      <c r="F2594" s="53"/>
      <c r="G2594" s="53"/>
      <c r="H2594" s="53"/>
      <c r="I2594" s="53"/>
      <c r="J2594" s="53"/>
      <c r="K2594" s="53"/>
      <c r="L2594" s="53"/>
      <c r="M2594" s="53"/>
      <c r="N2594" s="62"/>
      <c r="O2594" s="62"/>
      <c r="P2594" s="62"/>
      <c r="Q2594" s="62"/>
      <c r="R2594" s="53"/>
      <c r="S2594" s="53"/>
      <c r="T2594" s="82"/>
      <c r="U2594" s="42"/>
      <c r="V2594" s="62"/>
      <c r="W2594" s="64"/>
      <c r="X2594" s="330"/>
      <c r="Y2594" s="330"/>
      <c r="Z2594" s="330"/>
      <c r="AA2594" s="223"/>
    </row>
    <row r="2595">
      <c r="A2595" s="42">
        <f t="shared" si="3"/>
        <v>2594</v>
      </c>
      <c r="B2595" s="53"/>
      <c r="C2595" s="53"/>
      <c r="D2595" s="42"/>
      <c r="E2595" s="42"/>
      <c r="F2595" s="53"/>
      <c r="G2595" s="53"/>
      <c r="H2595" s="53"/>
      <c r="I2595" s="53"/>
      <c r="J2595" s="53"/>
      <c r="K2595" s="53"/>
      <c r="L2595" s="53"/>
      <c r="M2595" s="53"/>
      <c r="N2595" s="62"/>
      <c r="O2595" s="62"/>
      <c r="P2595" s="62"/>
      <c r="Q2595" s="62"/>
      <c r="R2595" s="53"/>
      <c r="S2595" s="53"/>
      <c r="T2595" s="82"/>
      <c r="U2595" s="42"/>
      <c r="V2595" s="62"/>
      <c r="W2595" s="64"/>
      <c r="X2595" s="330"/>
      <c r="Y2595" s="330"/>
      <c r="Z2595" s="330"/>
      <c r="AA2595" s="223"/>
    </row>
    <row r="2596">
      <c r="A2596" s="42">
        <f t="shared" si="3"/>
        <v>2595</v>
      </c>
      <c r="B2596" s="53"/>
      <c r="C2596" s="53"/>
      <c r="D2596" s="42"/>
      <c r="E2596" s="42"/>
      <c r="F2596" s="53"/>
      <c r="G2596" s="53"/>
      <c r="H2596" s="53"/>
      <c r="I2596" s="53"/>
      <c r="J2596" s="53"/>
      <c r="K2596" s="53"/>
      <c r="L2596" s="53"/>
      <c r="M2596" s="53"/>
      <c r="N2596" s="62"/>
      <c r="O2596" s="62"/>
      <c r="P2596" s="62"/>
      <c r="Q2596" s="62"/>
      <c r="R2596" s="53"/>
      <c r="S2596" s="53"/>
      <c r="T2596" s="82"/>
      <c r="U2596" s="42"/>
      <c r="V2596" s="62"/>
      <c r="W2596" s="64"/>
      <c r="X2596" s="330"/>
      <c r="Y2596" s="330"/>
      <c r="Z2596" s="330"/>
      <c r="AA2596" s="223"/>
    </row>
    <row r="2597">
      <c r="A2597" s="42">
        <f t="shared" si="3"/>
        <v>2596</v>
      </c>
      <c r="B2597" s="53"/>
      <c r="C2597" s="53"/>
      <c r="D2597" s="42"/>
      <c r="E2597" s="42"/>
      <c r="F2597" s="53"/>
      <c r="G2597" s="53"/>
      <c r="H2597" s="53"/>
      <c r="I2597" s="53"/>
      <c r="J2597" s="53"/>
      <c r="K2597" s="53"/>
      <c r="L2597" s="53"/>
      <c r="M2597" s="53"/>
      <c r="N2597" s="62"/>
      <c r="O2597" s="62"/>
      <c r="P2597" s="62"/>
      <c r="Q2597" s="62"/>
      <c r="R2597" s="53"/>
      <c r="S2597" s="53"/>
      <c r="T2597" s="82"/>
      <c r="U2597" s="42"/>
      <c r="V2597" s="62"/>
      <c r="W2597" s="64"/>
      <c r="X2597" s="330"/>
      <c r="Y2597" s="330"/>
      <c r="Z2597" s="330"/>
      <c r="AA2597" s="223"/>
    </row>
    <row r="2598">
      <c r="A2598" s="42">
        <f t="shared" si="3"/>
        <v>2597</v>
      </c>
      <c r="B2598" s="53"/>
      <c r="C2598" s="53"/>
      <c r="D2598" s="42"/>
      <c r="E2598" s="42"/>
      <c r="F2598" s="53"/>
      <c r="G2598" s="53"/>
      <c r="H2598" s="53"/>
      <c r="I2598" s="53"/>
      <c r="J2598" s="53"/>
      <c r="K2598" s="53"/>
      <c r="L2598" s="53"/>
      <c r="M2598" s="53"/>
      <c r="N2598" s="62"/>
      <c r="O2598" s="62"/>
      <c r="P2598" s="62"/>
      <c r="Q2598" s="62"/>
      <c r="R2598" s="53"/>
      <c r="S2598" s="53"/>
      <c r="T2598" s="82"/>
      <c r="U2598" s="42"/>
      <c r="V2598" s="62"/>
      <c r="W2598" s="64"/>
      <c r="X2598" s="330"/>
      <c r="Y2598" s="330"/>
      <c r="Z2598" s="330"/>
      <c r="AA2598" s="223"/>
    </row>
    <row r="2599">
      <c r="A2599" s="42">
        <f t="shared" si="3"/>
        <v>2598</v>
      </c>
      <c r="B2599" s="53"/>
      <c r="C2599" s="53"/>
      <c r="D2599" s="42"/>
      <c r="E2599" s="42"/>
      <c r="F2599" s="53"/>
      <c r="G2599" s="53"/>
      <c r="H2599" s="53"/>
      <c r="I2599" s="53"/>
      <c r="J2599" s="53"/>
      <c r="K2599" s="53"/>
      <c r="L2599" s="53"/>
      <c r="M2599" s="53"/>
      <c r="N2599" s="62"/>
      <c r="O2599" s="62"/>
      <c r="P2599" s="62"/>
      <c r="Q2599" s="62"/>
      <c r="R2599" s="53"/>
      <c r="S2599" s="53"/>
      <c r="T2599" s="82"/>
      <c r="U2599" s="42"/>
      <c r="V2599" s="62"/>
      <c r="W2599" s="64"/>
      <c r="X2599" s="330"/>
      <c r="Y2599" s="330"/>
      <c r="Z2599" s="330"/>
      <c r="AA2599" s="223"/>
    </row>
    <row r="2600">
      <c r="A2600" s="42">
        <f t="shared" si="3"/>
        <v>2599</v>
      </c>
      <c r="B2600" s="53"/>
      <c r="C2600" s="53"/>
      <c r="D2600" s="42"/>
      <c r="E2600" s="42"/>
      <c r="F2600" s="53"/>
      <c r="G2600" s="53"/>
      <c r="H2600" s="53"/>
      <c r="I2600" s="53"/>
      <c r="J2600" s="53"/>
      <c r="K2600" s="53"/>
      <c r="L2600" s="53"/>
      <c r="M2600" s="53"/>
      <c r="N2600" s="62"/>
      <c r="O2600" s="62"/>
      <c r="P2600" s="62"/>
      <c r="Q2600" s="62"/>
      <c r="R2600" s="53"/>
      <c r="S2600" s="53"/>
      <c r="T2600" s="82"/>
      <c r="U2600" s="42"/>
      <c r="V2600" s="62"/>
      <c r="W2600" s="64"/>
      <c r="X2600" s="330"/>
      <c r="Y2600" s="330"/>
      <c r="Z2600" s="330"/>
      <c r="AA2600" s="223"/>
    </row>
    <row r="2601">
      <c r="A2601" s="42">
        <f t="shared" si="3"/>
        <v>2600</v>
      </c>
      <c r="B2601" s="53"/>
      <c r="C2601" s="53"/>
      <c r="D2601" s="42"/>
      <c r="E2601" s="42"/>
      <c r="F2601" s="53"/>
      <c r="G2601" s="53"/>
      <c r="H2601" s="53"/>
      <c r="I2601" s="53"/>
      <c r="J2601" s="53"/>
      <c r="K2601" s="53"/>
      <c r="L2601" s="53"/>
      <c r="M2601" s="53"/>
      <c r="N2601" s="62"/>
      <c r="O2601" s="62"/>
      <c r="P2601" s="62"/>
      <c r="Q2601" s="62"/>
      <c r="R2601" s="53"/>
      <c r="S2601" s="53"/>
      <c r="T2601" s="82"/>
      <c r="U2601" s="42"/>
      <c r="V2601" s="62"/>
      <c r="W2601" s="64"/>
      <c r="X2601" s="330"/>
      <c r="Y2601" s="330"/>
      <c r="Z2601" s="330"/>
      <c r="AA2601" s="223"/>
    </row>
    <row r="2602">
      <c r="A2602" s="42">
        <f t="shared" si="3"/>
        <v>2601</v>
      </c>
      <c r="B2602" s="53"/>
      <c r="C2602" s="53"/>
      <c r="D2602" s="42"/>
      <c r="E2602" s="42"/>
      <c r="F2602" s="53"/>
      <c r="G2602" s="53"/>
      <c r="H2602" s="53"/>
      <c r="I2602" s="53"/>
      <c r="J2602" s="53"/>
      <c r="K2602" s="53"/>
      <c r="L2602" s="53"/>
      <c r="M2602" s="53"/>
      <c r="N2602" s="62"/>
      <c r="O2602" s="62"/>
      <c r="P2602" s="62"/>
      <c r="Q2602" s="62"/>
      <c r="R2602" s="53"/>
      <c r="S2602" s="53"/>
      <c r="T2602" s="82"/>
      <c r="U2602" s="42"/>
      <c r="V2602" s="62"/>
      <c r="W2602" s="64"/>
      <c r="X2602" s="330"/>
      <c r="Y2602" s="330"/>
      <c r="Z2602" s="330"/>
      <c r="AA2602" s="223"/>
    </row>
    <row r="2603">
      <c r="A2603" s="42">
        <f t="shared" si="3"/>
        <v>2602</v>
      </c>
      <c r="B2603" s="53"/>
      <c r="C2603" s="53"/>
      <c r="D2603" s="42"/>
      <c r="E2603" s="42"/>
      <c r="F2603" s="53"/>
      <c r="G2603" s="53"/>
      <c r="H2603" s="53"/>
      <c r="I2603" s="53"/>
      <c r="J2603" s="53"/>
      <c r="K2603" s="53"/>
      <c r="L2603" s="53"/>
      <c r="M2603" s="53"/>
      <c r="N2603" s="62"/>
      <c r="O2603" s="62"/>
      <c r="P2603" s="62"/>
      <c r="Q2603" s="62"/>
      <c r="R2603" s="53"/>
      <c r="S2603" s="53"/>
      <c r="T2603" s="82"/>
      <c r="U2603" s="42"/>
      <c r="V2603" s="62"/>
      <c r="W2603" s="64"/>
      <c r="X2603" s="330"/>
      <c r="Y2603" s="330"/>
      <c r="Z2603" s="330"/>
      <c r="AA2603" s="223"/>
    </row>
    <row r="2604">
      <c r="A2604" s="42">
        <f t="shared" si="3"/>
        <v>2603</v>
      </c>
      <c r="B2604" s="53"/>
      <c r="C2604" s="53"/>
      <c r="D2604" s="42"/>
      <c r="E2604" s="42"/>
      <c r="F2604" s="53"/>
      <c r="G2604" s="53"/>
      <c r="H2604" s="53"/>
      <c r="I2604" s="53"/>
      <c r="J2604" s="53"/>
      <c r="K2604" s="53"/>
      <c r="L2604" s="53"/>
      <c r="M2604" s="53"/>
      <c r="N2604" s="62"/>
      <c r="O2604" s="62"/>
      <c r="P2604" s="62"/>
      <c r="Q2604" s="62"/>
      <c r="R2604" s="53"/>
      <c r="S2604" s="53"/>
      <c r="T2604" s="82"/>
      <c r="U2604" s="42"/>
      <c r="V2604" s="62"/>
      <c r="W2604" s="64"/>
      <c r="X2604" s="330"/>
      <c r="Y2604" s="330"/>
      <c r="Z2604" s="330"/>
      <c r="AA2604" s="223"/>
    </row>
    <row r="2605">
      <c r="A2605" s="42">
        <f t="shared" si="3"/>
        <v>2604</v>
      </c>
      <c r="B2605" s="53"/>
      <c r="C2605" s="53"/>
      <c r="D2605" s="42"/>
      <c r="E2605" s="42"/>
      <c r="F2605" s="53"/>
      <c r="G2605" s="53"/>
      <c r="H2605" s="53"/>
      <c r="I2605" s="53"/>
      <c r="J2605" s="53"/>
      <c r="K2605" s="53"/>
      <c r="L2605" s="53"/>
      <c r="M2605" s="53"/>
      <c r="N2605" s="62"/>
      <c r="O2605" s="62"/>
      <c r="P2605" s="62"/>
      <c r="Q2605" s="62"/>
      <c r="R2605" s="53"/>
      <c r="S2605" s="53"/>
      <c r="T2605" s="82"/>
      <c r="U2605" s="42"/>
      <c r="V2605" s="62"/>
      <c r="W2605" s="64"/>
      <c r="X2605" s="330"/>
      <c r="Y2605" s="330"/>
      <c r="Z2605" s="330"/>
      <c r="AA2605" s="223"/>
    </row>
    <row r="2606">
      <c r="A2606" s="42">
        <f t="shared" si="3"/>
        <v>2605</v>
      </c>
      <c r="B2606" s="53"/>
      <c r="C2606" s="53"/>
      <c r="D2606" s="42"/>
      <c r="E2606" s="42"/>
      <c r="F2606" s="53"/>
      <c r="G2606" s="53"/>
      <c r="H2606" s="53"/>
      <c r="I2606" s="53"/>
      <c r="J2606" s="53"/>
      <c r="K2606" s="53"/>
      <c r="L2606" s="53"/>
      <c r="M2606" s="53"/>
      <c r="N2606" s="62"/>
      <c r="O2606" s="62"/>
      <c r="P2606" s="62"/>
      <c r="Q2606" s="62"/>
      <c r="R2606" s="53"/>
      <c r="S2606" s="53"/>
      <c r="T2606" s="82"/>
      <c r="U2606" s="42"/>
      <c r="V2606" s="62"/>
      <c r="W2606" s="64"/>
      <c r="X2606" s="330"/>
      <c r="Y2606" s="330"/>
      <c r="Z2606" s="330"/>
      <c r="AA2606" s="223"/>
    </row>
    <row r="2607">
      <c r="A2607" s="42">
        <f t="shared" si="3"/>
        <v>2606</v>
      </c>
      <c r="B2607" s="53"/>
      <c r="C2607" s="53"/>
      <c r="D2607" s="42"/>
      <c r="E2607" s="42"/>
      <c r="F2607" s="53"/>
      <c r="G2607" s="53"/>
      <c r="H2607" s="53"/>
      <c r="I2607" s="53"/>
      <c r="J2607" s="53"/>
      <c r="K2607" s="53"/>
      <c r="L2607" s="53"/>
      <c r="M2607" s="53"/>
      <c r="N2607" s="62"/>
      <c r="O2607" s="62"/>
      <c r="P2607" s="62"/>
      <c r="Q2607" s="62"/>
      <c r="R2607" s="53"/>
      <c r="S2607" s="53"/>
      <c r="T2607" s="82"/>
      <c r="U2607" s="42"/>
      <c r="V2607" s="62"/>
      <c r="W2607" s="64"/>
      <c r="X2607" s="330"/>
      <c r="Y2607" s="330"/>
      <c r="Z2607" s="330"/>
      <c r="AA2607" s="223"/>
    </row>
    <row r="2608">
      <c r="A2608" s="42">
        <f t="shared" si="3"/>
        <v>2607</v>
      </c>
      <c r="B2608" s="53"/>
      <c r="C2608" s="53"/>
      <c r="D2608" s="42"/>
      <c r="E2608" s="42"/>
      <c r="F2608" s="53"/>
      <c r="G2608" s="53"/>
      <c r="H2608" s="53"/>
      <c r="I2608" s="53"/>
      <c r="J2608" s="53"/>
      <c r="K2608" s="53"/>
      <c r="L2608" s="53"/>
      <c r="M2608" s="53"/>
      <c r="N2608" s="62"/>
      <c r="O2608" s="62"/>
      <c r="P2608" s="62"/>
      <c r="Q2608" s="62"/>
      <c r="R2608" s="53"/>
      <c r="S2608" s="53"/>
      <c r="T2608" s="82"/>
      <c r="U2608" s="42"/>
      <c r="V2608" s="62"/>
      <c r="W2608" s="64"/>
      <c r="X2608" s="330"/>
      <c r="Y2608" s="330"/>
      <c r="Z2608" s="330"/>
      <c r="AA2608" s="223"/>
    </row>
    <row r="2609">
      <c r="A2609" s="42">
        <f t="shared" si="3"/>
        <v>2608</v>
      </c>
      <c r="B2609" s="53"/>
      <c r="C2609" s="53"/>
      <c r="D2609" s="42"/>
      <c r="E2609" s="42"/>
      <c r="F2609" s="53"/>
      <c r="G2609" s="53"/>
      <c r="H2609" s="53"/>
      <c r="I2609" s="53"/>
      <c r="J2609" s="53"/>
      <c r="K2609" s="53"/>
      <c r="L2609" s="53"/>
      <c r="M2609" s="53"/>
      <c r="N2609" s="62"/>
      <c r="O2609" s="62"/>
      <c r="P2609" s="62"/>
      <c r="Q2609" s="62"/>
      <c r="R2609" s="53"/>
      <c r="S2609" s="53"/>
      <c r="T2609" s="82"/>
      <c r="U2609" s="42"/>
      <c r="V2609" s="62"/>
      <c r="W2609" s="64"/>
      <c r="X2609" s="330"/>
      <c r="Y2609" s="330"/>
      <c r="Z2609" s="330"/>
      <c r="AA2609" s="223"/>
    </row>
    <row r="2610">
      <c r="A2610" s="42">
        <f t="shared" si="3"/>
        <v>2609</v>
      </c>
      <c r="B2610" s="53"/>
      <c r="C2610" s="53"/>
      <c r="D2610" s="42"/>
      <c r="E2610" s="42"/>
      <c r="F2610" s="53"/>
      <c r="G2610" s="53"/>
      <c r="H2610" s="53"/>
      <c r="I2610" s="53"/>
      <c r="J2610" s="53"/>
      <c r="K2610" s="53"/>
      <c r="L2610" s="53"/>
      <c r="M2610" s="53"/>
      <c r="N2610" s="62"/>
      <c r="O2610" s="62"/>
      <c r="P2610" s="62"/>
      <c r="Q2610" s="62"/>
      <c r="R2610" s="53"/>
      <c r="S2610" s="53"/>
      <c r="T2610" s="82"/>
      <c r="U2610" s="42"/>
      <c r="V2610" s="62"/>
      <c r="W2610" s="64"/>
      <c r="X2610" s="330"/>
      <c r="Y2610" s="330"/>
      <c r="Z2610" s="330"/>
      <c r="AA2610" s="223"/>
    </row>
    <row r="2611">
      <c r="A2611" s="42">
        <f t="shared" si="3"/>
        <v>2610</v>
      </c>
      <c r="B2611" s="53"/>
      <c r="C2611" s="53"/>
      <c r="D2611" s="42"/>
      <c r="E2611" s="42"/>
      <c r="F2611" s="53"/>
      <c r="G2611" s="53"/>
      <c r="H2611" s="53"/>
      <c r="I2611" s="53"/>
      <c r="J2611" s="53"/>
      <c r="K2611" s="53"/>
      <c r="L2611" s="53"/>
      <c r="M2611" s="53"/>
      <c r="N2611" s="62"/>
      <c r="O2611" s="62"/>
      <c r="P2611" s="62"/>
      <c r="Q2611" s="62"/>
      <c r="R2611" s="53"/>
      <c r="S2611" s="53"/>
      <c r="T2611" s="82"/>
      <c r="U2611" s="42"/>
      <c r="V2611" s="62"/>
      <c r="W2611" s="64"/>
      <c r="X2611" s="330"/>
      <c r="Y2611" s="330"/>
      <c r="Z2611" s="330"/>
      <c r="AA2611" s="223"/>
    </row>
    <row r="2612">
      <c r="A2612" s="42">
        <f t="shared" si="3"/>
        <v>2611</v>
      </c>
      <c r="B2612" s="53"/>
      <c r="C2612" s="53"/>
      <c r="D2612" s="42"/>
      <c r="E2612" s="42"/>
      <c r="F2612" s="53"/>
      <c r="G2612" s="53"/>
      <c r="H2612" s="53"/>
      <c r="I2612" s="53"/>
      <c r="J2612" s="53"/>
      <c r="K2612" s="53"/>
      <c r="L2612" s="53"/>
      <c r="M2612" s="53"/>
      <c r="N2612" s="62"/>
      <c r="O2612" s="62"/>
      <c r="P2612" s="62"/>
      <c r="Q2612" s="62"/>
      <c r="R2612" s="53"/>
      <c r="S2612" s="53"/>
      <c r="T2612" s="82"/>
      <c r="U2612" s="42"/>
      <c r="V2612" s="62"/>
      <c r="W2612" s="64"/>
      <c r="X2612" s="330"/>
      <c r="Y2612" s="330"/>
      <c r="Z2612" s="330"/>
      <c r="AA2612" s="223"/>
    </row>
    <row r="2613">
      <c r="A2613" s="42">
        <f t="shared" si="3"/>
        <v>2612</v>
      </c>
      <c r="B2613" s="53"/>
      <c r="C2613" s="53"/>
      <c r="D2613" s="42"/>
      <c r="E2613" s="42"/>
      <c r="F2613" s="53"/>
      <c r="G2613" s="53"/>
      <c r="H2613" s="53"/>
      <c r="I2613" s="53"/>
      <c r="J2613" s="53"/>
      <c r="K2613" s="53"/>
      <c r="L2613" s="53"/>
      <c r="M2613" s="53"/>
      <c r="N2613" s="62"/>
      <c r="O2613" s="62"/>
      <c r="P2613" s="62"/>
      <c r="Q2613" s="62"/>
      <c r="R2613" s="53"/>
      <c r="S2613" s="53"/>
      <c r="T2613" s="82"/>
      <c r="U2613" s="42"/>
      <c r="V2613" s="62"/>
      <c r="W2613" s="64"/>
      <c r="X2613" s="330"/>
      <c r="Y2613" s="330"/>
      <c r="Z2613" s="330"/>
      <c r="AA2613" s="223"/>
    </row>
    <row r="2614">
      <c r="A2614" s="42">
        <f t="shared" si="3"/>
        <v>2613</v>
      </c>
      <c r="B2614" s="53"/>
      <c r="C2614" s="53"/>
      <c r="D2614" s="42"/>
      <c r="E2614" s="42"/>
      <c r="F2614" s="53"/>
      <c r="G2614" s="53"/>
      <c r="H2614" s="53"/>
      <c r="I2614" s="53"/>
      <c r="J2614" s="53"/>
      <c r="K2614" s="53"/>
      <c r="L2614" s="53"/>
      <c r="M2614" s="53"/>
      <c r="N2614" s="62"/>
      <c r="O2614" s="62"/>
      <c r="P2614" s="62"/>
      <c r="Q2614" s="62"/>
      <c r="R2614" s="53"/>
      <c r="S2614" s="53"/>
      <c r="T2614" s="82"/>
      <c r="U2614" s="42"/>
      <c r="V2614" s="62"/>
      <c r="W2614" s="64"/>
      <c r="X2614" s="330"/>
      <c r="Y2614" s="330"/>
      <c r="Z2614" s="330"/>
      <c r="AA2614" s="223"/>
    </row>
    <row r="2615">
      <c r="A2615" s="42">
        <f t="shared" si="3"/>
        <v>2614</v>
      </c>
      <c r="B2615" s="53"/>
      <c r="C2615" s="53"/>
      <c r="D2615" s="42"/>
      <c r="E2615" s="42"/>
      <c r="F2615" s="53"/>
      <c r="G2615" s="53"/>
      <c r="H2615" s="53"/>
      <c r="I2615" s="53"/>
      <c r="J2615" s="53"/>
      <c r="K2615" s="53"/>
      <c r="L2615" s="53"/>
      <c r="M2615" s="53"/>
      <c r="N2615" s="62"/>
      <c r="O2615" s="62"/>
      <c r="P2615" s="62"/>
      <c r="Q2615" s="62"/>
      <c r="R2615" s="53"/>
      <c r="S2615" s="53"/>
      <c r="T2615" s="82"/>
      <c r="U2615" s="42"/>
      <c r="V2615" s="62"/>
      <c r="W2615" s="64"/>
      <c r="X2615" s="330"/>
      <c r="Y2615" s="330"/>
      <c r="Z2615" s="330"/>
      <c r="AA2615" s="223"/>
    </row>
    <row r="2616">
      <c r="A2616" s="42">
        <f t="shared" si="3"/>
        <v>2615</v>
      </c>
      <c r="B2616" s="53"/>
      <c r="C2616" s="53"/>
      <c r="D2616" s="42"/>
      <c r="E2616" s="42"/>
      <c r="F2616" s="53"/>
      <c r="G2616" s="53"/>
      <c r="H2616" s="53"/>
      <c r="I2616" s="53"/>
      <c r="J2616" s="53"/>
      <c r="K2616" s="53"/>
      <c r="L2616" s="53"/>
      <c r="M2616" s="53"/>
      <c r="N2616" s="62"/>
      <c r="O2616" s="62"/>
      <c r="P2616" s="62"/>
      <c r="Q2616" s="62"/>
      <c r="R2616" s="53"/>
      <c r="S2616" s="53"/>
      <c r="T2616" s="82"/>
      <c r="U2616" s="42"/>
      <c r="V2616" s="62"/>
      <c r="W2616" s="64"/>
      <c r="X2616" s="330"/>
      <c r="Y2616" s="330"/>
      <c r="Z2616" s="330"/>
      <c r="AA2616" s="223"/>
    </row>
    <row r="2617">
      <c r="A2617" s="42">
        <f t="shared" si="3"/>
        <v>2616</v>
      </c>
      <c r="B2617" s="53"/>
      <c r="C2617" s="53"/>
      <c r="D2617" s="42"/>
      <c r="E2617" s="42"/>
      <c r="F2617" s="53"/>
      <c r="G2617" s="53"/>
      <c r="H2617" s="53"/>
      <c r="I2617" s="53"/>
      <c r="J2617" s="53"/>
      <c r="K2617" s="53"/>
      <c r="L2617" s="53"/>
      <c r="M2617" s="53"/>
      <c r="N2617" s="62"/>
      <c r="O2617" s="62"/>
      <c r="P2617" s="62"/>
      <c r="Q2617" s="62"/>
      <c r="R2617" s="53"/>
      <c r="S2617" s="53"/>
      <c r="T2617" s="82"/>
      <c r="U2617" s="42"/>
      <c r="V2617" s="62"/>
      <c r="W2617" s="64"/>
      <c r="X2617" s="330"/>
      <c r="Y2617" s="330"/>
      <c r="Z2617" s="330"/>
      <c r="AA2617" s="223"/>
    </row>
    <row r="2618">
      <c r="A2618" s="42">
        <f t="shared" si="3"/>
        <v>2617</v>
      </c>
      <c r="B2618" s="53"/>
      <c r="C2618" s="53"/>
      <c r="D2618" s="42"/>
      <c r="E2618" s="42"/>
      <c r="F2618" s="53"/>
      <c r="G2618" s="53"/>
      <c r="H2618" s="53"/>
      <c r="I2618" s="53"/>
      <c r="J2618" s="53"/>
      <c r="K2618" s="53"/>
      <c r="L2618" s="53"/>
      <c r="M2618" s="53"/>
      <c r="N2618" s="62"/>
      <c r="O2618" s="62"/>
      <c r="P2618" s="62"/>
      <c r="Q2618" s="62"/>
      <c r="R2618" s="53"/>
      <c r="S2618" s="53"/>
      <c r="T2618" s="82"/>
      <c r="U2618" s="42"/>
      <c r="V2618" s="62"/>
      <c r="W2618" s="64"/>
      <c r="X2618" s="330"/>
      <c r="Y2618" s="330"/>
      <c r="Z2618" s="330"/>
      <c r="AA2618" s="223"/>
    </row>
    <row r="2619">
      <c r="A2619" s="42">
        <f t="shared" si="3"/>
        <v>2618</v>
      </c>
      <c r="B2619" s="53"/>
      <c r="C2619" s="53"/>
      <c r="D2619" s="42"/>
      <c r="E2619" s="42"/>
      <c r="F2619" s="53"/>
      <c r="G2619" s="53"/>
      <c r="H2619" s="53"/>
      <c r="I2619" s="53"/>
      <c r="J2619" s="53"/>
      <c r="K2619" s="53"/>
      <c r="L2619" s="53"/>
      <c r="M2619" s="53"/>
      <c r="N2619" s="62"/>
      <c r="O2619" s="62"/>
      <c r="P2619" s="62"/>
      <c r="Q2619" s="62"/>
      <c r="R2619" s="53"/>
      <c r="S2619" s="53"/>
      <c r="T2619" s="82"/>
      <c r="U2619" s="42"/>
      <c r="V2619" s="62"/>
      <c r="W2619" s="64"/>
      <c r="X2619" s="330"/>
      <c r="Y2619" s="330"/>
      <c r="Z2619" s="330"/>
      <c r="AA2619" s="223"/>
    </row>
    <row r="2620">
      <c r="A2620" s="42">
        <f t="shared" si="3"/>
        <v>2619</v>
      </c>
      <c r="B2620" s="53"/>
      <c r="C2620" s="53"/>
      <c r="D2620" s="42"/>
      <c r="E2620" s="42"/>
      <c r="F2620" s="53"/>
      <c r="G2620" s="53"/>
      <c r="H2620" s="53"/>
      <c r="I2620" s="53"/>
      <c r="J2620" s="53"/>
      <c r="K2620" s="53"/>
      <c r="L2620" s="53"/>
      <c r="M2620" s="53"/>
      <c r="N2620" s="62"/>
      <c r="O2620" s="62"/>
      <c r="P2620" s="62"/>
      <c r="Q2620" s="62"/>
      <c r="R2620" s="53"/>
      <c r="S2620" s="53"/>
      <c r="T2620" s="82"/>
      <c r="U2620" s="42"/>
      <c r="V2620" s="62"/>
      <c r="W2620" s="64"/>
      <c r="X2620" s="330"/>
      <c r="Y2620" s="330"/>
      <c r="Z2620" s="330"/>
      <c r="AA2620" s="223"/>
    </row>
    <row r="2621">
      <c r="A2621" s="42">
        <f t="shared" si="3"/>
        <v>2620</v>
      </c>
      <c r="B2621" s="53"/>
      <c r="C2621" s="53"/>
      <c r="D2621" s="42"/>
      <c r="E2621" s="42"/>
      <c r="F2621" s="53"/>
      <c r="G2621" s="53"/>
      <c r="H2621" s="53"/>
      <c r="I2621" s="53"/>
      <c r="J2621" s="53"/>
      <c r="K2621" s="53"/>
      <c r="L2621" s="53"/>
      <c r="M2621" s="53"/>
      <c r="N2621" s="62"/>
      <c r="O2621" s="62"/>
      <c r="P2621" s="62"/>
      <c r="Q2621" s="62"/>
      <c r="R2621" s="53"/>
      <c r="S2621" s="53"/>
      <c r="T2621" s="82"/>
      <c r="U2621" s="42"/>
      <c r="V2621" s="62"/>
      <c r="W2621" s="64"/>
      <c r="X2621" s="330"/>
      <c r="Y2621" s="330"/>
      <c r="Z2621" s="330"/>
      <c r="AA2621" s="223"/>
    </row>
    <row r="2622">
      <c r="A2622" s="42">
        <f t="shared" si="3"/>
        <v>2621</v>
      </c>
      <c r="B2622" s="53"/>
      <c r="C2622" s="53"/>
      <c r="D2622" s="42"/>
      <c r="E2622" s="42"/>
      <c r="F2622" s="53"/>
      <c r="G2622" s="53"/>
      <c r="H2622" s="53"/>
      <c r="I2622" s="53"/>
      <c r="J2622" s="53"/>
      <c r="K2622" s="53"/>
      <c r="L2622" s="53"/>
      <c r="M2622" s="53"/>
      <c r="N2622" s="62"/>
      <c r="O2622" s="62"/>
      <c r="P2622" s="62"/>
      <c r="Q2622" s="62"/>
      <c r="R2622" s="53"/>
      <c r="S2622" s="53"/>
      <c r="T2622" s="82"/>
      <c r="U2622" s="42"/>
      <c r="V2622" s="62"/>
      <c r="W2622" s="64"/>
      <c r="X2622" s="330"/>
      <c r="Y2622" s="330"/>
      <c r="Z2622" s="330"/>
      <c r="AA2622" s="223"/>
    </row>
    <row r="2623">
      <c r="A2623" s="42">
        <f t="shared" si="3"/>
        <v>2622</v>
      </c>
      <c r="B2623" s="53"/>
      <c r="C2623" s="53"/>
      <c r="D2623" s="42"/>
      <c r="E2623" s="42"/>
      <c r="F2623" s="53"/>
      <c r="G2623" s="53"/>
      <c r="H2623" s="53"/>
      <c r="I2623" s="53"/>
      <c r="J2623" s="53"/>
      <c r="K2623" s="53"/>
      <c r="L2623" s="53"/>
      <c r="M2623" s="53"/>
      <c r="N2623" s="62"/>
      <c r="O2623" s="62"/>
      <c r="P2623" s="62"/>
      <c r="Q2623" s="62"/>
      <c r="R2623" s="53"/>
      <c r="S2623" s="53"/>
      <c r="T2623" s="82"/>
      <c r="U2623" s="42"/>
      <c r="V2623" s="62"/>
      <c r="W2623" s="64"/>
      <c r="X2623" s="330"/>
      <c r="Y2623" s="330"/>
      <c r="Z2623" s="330"/>
      <c r="AA2623" s="223"/>
    </row>
    <row r="2624">
      <c r="A2624" s="42">
        <f t="shared" si="3"/>
        <v>2623</v>
      </c>
      <c r="B2624" s="53"/>
      <c r="C2624" s="53"/>
      <c r="D2624" s="42"/>
      <c r="E2624" s="42"/>
      <c r="F2624" s="53"/>
      <c r="G2624" s="53"/>
      <c r="H2624" s="53"/>
      <c r="I2624" s="53"/>
      <c r="J2624" s="53"/>
      <c r="K2624" s="53"/>
      <c r="L2624" s="53"/>
      <c r="M2624" s="53"/>
      <c r="N2624" s="62"/>
      <c r="O2624" s="62"/>
      <c r="P2624" s="62"/>
      <c r="Q2624" s="62"/>
      <c r="R2624" s="53"/>
      <c r="S2624" s="53"/>
      <c r="T2624" s="82"/>
      <c r="U2624" s="42"/>
      <c r="V2624" s="62"/>
      <c r="W2624" s="64"/>
      <c r="X2624" s="330"/>
      <c r="Y2624" s="330"/>
      <c r="Z2624" s="330"/>
      <c r="AA2624" s="223"/>
    </row>
    <row r="2625">
      <c r="A2625" s="42">
        <f t="shared" si="3"/>
        <v>2624</v>
      </c>
      <c r="B2625" s="53"/>
      <c r="C2625" s="53"/>
      <c r="D2625" s="42"/>
      <c r="E2625" s="42"/>
      <c r="F2625" s="53"/>
      <c r="G2625" s="53"/>
      <c r="H2625" s="53"/>
      <c r="I2625" s="53"/>
      <c r="J2625" s="53"/>
      <c r="K2625" s="53"/>
      <c r="L2625" s="53"/>
      <c r="M2625" s="53"/>
      <c r="N2625" s="62"/>
      <c r="O2625" s="62"/>
      <c r="P2625" s="62"/>
      <c r="Q2625" s="62"/>
      <c r="R2625" s="53"/>
      <c r="S2625" s="53"/>
      <c r="T2625" s="82"/>
      <c r="U2625" s="42"/>
      <c r="V2625" s="62"/>
      <c r="W2625" s="64"/>
      <c r="X2625" s="330"/>
      <c r="Y2625" s="330"/>
      <c r="Z2625" s="330"/>
      <c r="AA2625" s="223"/>
    </row>
    <row r="2626">
      <c r="A2626" s="42">
        <f t="shared" si="3"/>
        <v>2625</v>
      </c>
      <c r="B2626" s="53"/>
      <c r="C2626" s="53"/>
      <c r="D2626" s="42"/>
      <c r="E2626" s="42"/>
      <c r="F2626" s="53"/>
      <c r="G2626" s="53"/>
      <c r="H2626" s="53"/>
      <c r="I2626" s="53"/>
      <c r="J2626" s="53"/>
      <c r="K2626" s="53"/>
      <c r="L2626" s="53"/>
      <c r="M2626" s="53"/>
      <c r="N2626" s="62"/>
      <c r="O2626" s="62"/>
      <c r="P2626" s="62"/>
      <c r="Q2626" s="62"/>
      <c r="R2626" s="53"/>
      <c r="S2626" s="53"/>
      <c r="T2626" s="82"/>
      <c r="U2626" s="42"/>
      <c r="V2626" s="62"/>
      <c r="W2626" s="64"/>
      <c r="X2626" s="330"/>
      <c r="Y2626" s="330"/>
      <c r="Z2626" s="330"/>
      <c r="AA2626" s="223"/>
    </row>
    <row r="2627">
      <c r="A2627" s="42">
        <f t="shared" si="3"/>
        <v>2626</v>
      </c>
      <c r="B2627" s="53"/>
      <c r="C2627" s="53"/>
      <c r="D2627" s="42"/>
      <c r="E2627" s="42"/>
      <c r="F2627" s="53"/>
      <c r="G2627" s="53"/>
      <c r="H2627" s="53"/>
      <c r="I2627" s="53"/>
      <c r="J2627" s="53"/>
      <c r="K2627" s="53"/>
      <c r="L2627" s="53"/>
      <c r="M2627" s="53"/>
      <c r="N2627" s="62"/>
      <c r="O2627" s="62"/>
      <c r="P2627" s="62"/>
      <c r="Q2627" s="62"/>
      <c r="R2627" s="53"/>
      <c r="S2627" s="53"/>
      <c r="T2627" s="82"/>
      <c r="U2627" s="42"/>
      <c r="V2627" s="62"/>
      <c r="W2627" s="64"/>
      <c r="X2627" s="330"/>
      <c r="Y2627" s="330"/>
      <c r="Z2627" s="330"/>
      <c r="AA2627" s="223"/>
    </row>
    <row r="2628">
      <c r="A2628" s="42">
        <f t="shared" si="3"/>
        <v>2627</v>
      </c>
      <c r="B2628" s="53"/>
      <c r="C2628" s="53"/>
      <c r="D2628" s="42"/>
      <c r="E2628" s="42"/>
      <c r="F2628" s="53"/>
      <c r="G2628" s="53"/>
      <c r="H2628" s="53"/>
      <c r="I2628" s="53"/>
      <c r="J2628" s="53"/>
      <c r="K2628" s="53"/>
      <c r="L2628" s="53"/>
      <c r="M2628" s="53"/>
      <c r="N2628" s="62"/>
      <c r="O2628" s="62"/>
      <c r="P2628" s="62"/>
      <c r="Q2628" s="62"/>
      <c r="R2628" s="53"/>
      <c r="S2628" s="53"/>
      <c r="T2628" s="82"/>
      <c r="U2628" s="42"/>
      <c r="V2628" s="62"/>
      <c r="W2628" s="64"/>
      <c r="X2628" s="330"/>
      <c r="Y2628" s="330"/>
      <c r="Z2628" s="330"/>
      <c r="AA2628" s="223"/>
    </row>
    <row r="2629">
      <c r="A2629" s="42">
        <f t="shared" si="3"/>
        <v>2628</v>
      </c>
      <c r="B2629" s="53"/>
      <c r="C2629" s="53"/>
      <c r="D2629" s="42"/>
      <c r="E2629" s="42"/>
      <c r="F2629" s="53"/>
      <c r="G2629" s="53"/>
      <c r="H2629" s="53"/>
      <c r="I2629" s="53"/>
      <c r="J2629" s="53"/>
      <c r="K2629" s="53"/>
      <c r="L2629" s="53"/>
      <c r="M2629" s="53"/>
      <c r="N2629" s="62"/>
      <c r="O2629" s="62"/>
      <c r="P2629" s="62"/>
      <c r="Q2629" s="62"/>
      <c r="R2629" s="53"/>
      <c r="S2629" s="53"/>
      <c r="T2629" s="82"/>
      <c r="U2629" s="42"/>
      <c r="V2629" s="62"/>
      <c r="W2629" s="64"/>
      <c r="X2629" s="330"/>
      <c r="Y2629" s="330"/>
      <c r="Z2629" s="330"/>
      <c r="AA2629" s="223"/>
    </row>
    <row r="2630">
      <c r="A2630" s="42">
        <f t="shared" si="3"/>
        <v>2629</v>
      </c>
      <c r="B2630" s="53"/>
      <c r="C2630" s="53"/>
      <c r="D2630" s="42"/>
      <c r="E2630" s="42"/>
      <c r="F2630" s="53"/>
      <c r="G2630" s="53"/>
      <c r="H2630" s="53"/>
      <c r="I2630" s="53"/>
      <c r="J2630" s="53"/>
      <c r="K2630" s="53"/>
      <c r="L2630" s="53"/>
      <c r="M2630" s="53"/>
      <c r="N2630" s="62"/>
      <c r="O2630" s="62"/>
      <c r="P2630" s="62"/>
      <c r="Q2630" s="62"/>
      <c r="R2630" s="53"/>
      <c r="S2630" s="53"/>
      <c r="T2630" s="82"/>
      <c r="U2630" s="42"/>
      <c r="V2630" s="62"/>
      <c r="W2630" s="64"/>
      <c r="X2630" s="330"/>
      <c r="Y2630" s="330"/>
      <c r="Z2630" s="330"/>
      <c r="AA2630" s="223"/>
    </row>
    <row r="2631">
      <c r="A2631" s="42">
        <f t="shared" si="3"/>
        <v>2630</v>
      </c>
      <c r="B2631" s="53"/>
      <c r="C2631" s="53"/>
      <c r="D2631" s="42"/>
      <c r="E2631" s="42"/>
      <c r="F2631" s="53"/>
      <c r="G2631" s="53"/>
      <c r="H2631" s="53"/>
      <c r="I2631" s="53"/>
      <c r="J2631" s="53"/>
      <c r="K2631" s="53"/>
      <c r="L2631" s="53"/>
      <c r="M2631" s="53"/>
      <c r="N2631" s="62"/>
      <c r="O2631" s="62"/>
      <c r="P2631" s="62"/>
      <c r="Q2631" s="62"/>
      <c r="R2631" s="53"/>
      <c r="S2631" s="53"/>
      <c r="T2631" s="82"/>
      <c r="U2631" s="42"/>
      <c r="V2631" s="62"/>
      <c r="W2631" s="64"/>
      <c r="X2631" s="330"/>
      <c r="Y2631" s="330"/>
      <c r="Z2631" s="330"/>
      <c r="AA2631" s="223"/>
    </row>
    <row r="2632">
      <c r="A2632" s="42">
        <f t="shared" si="3"/>
        <v>2631</v>
      </c>
      <c r="B2632" s="53"/>
      <c r="C2632" s="53"/>
      <c r="D2632" s="42"/>
      <c r="E2632" s="42"/>
      <c r="F2632" s="53"/>
      <c r="G2632" s="53"/>
      <c r="H2632" s="53"/>
      <c r="I2632" s="53"/>
      <c r="J2632" s="53"/>
      <c r="K2632" s="53"/>
      <c r="L2632" s="53"/>
      <c r="M2632" s="53"/>
      <c r="N2632" s="62"/>
      <c r="O2632" s="62"/>
      <c r="P2632" s="62"/>
      <c r="Q2632" s="62"/>
      <c r="R2632" s="53"/>
      <c r="S2632" s="53"/>
      <c r="T2632" s="82"/>
      <c r="U2632" s="42"/>
      <c r="V2632" s="62"/>
      <c r="W2632" s="64"/>
      <c r="X2632" s="330"/>
      <c r="Y2632" s="330"/>
      <c r="Z2632" s="330"/>
      <c r="AA2632" s="223"/>
    </row>
    <row r="2633">
      <c r="A2633" s="42">
        <f t="shared" si="3"/>
        <v>2632</v>
      </c>
      <c r="B2633" s="53"/>
      <c r="C2633" s="53"/>
      <c r="D2633" s="42"/>
      <c r="E2633" s="42"/>
      <c r="F2633" s="53"/>
      <c r="G2633" s="53"/>
      <c r="H2633" s="53"/>
      <c r="I2633" s="53"/>
      <c r="J2633" s="53"/>
      <c r="K2633" s="53"/>
      <c r="L2633" s="53"/>
      <c r="M2633" s="53"/>
      <c r="N2633" s="62"/>
      <c r="O2633" s="62"/>
      <c r="P2633" s="62"/>
      <c r="Q2633" s="62"/>
      <c r="R2633" s="53"/>
      <c r="S2633" s="53"/>
      <c r="T2633" s="82"/>
      <c r="U2633" s="42"/>
      <c r="V2633" s="62"/>
      <c r="W2633" s="64"/>
      <c r="X2633" s="330"/>
      <c r="Y2633" s="330"/>
      <c r="Z2633" s="330"/>
      <c r="AA2633" s="223"/>
    </row>
    <row r="2634">
      <c r="A2634" s="42">
        <f t="shared" si="3"/>
        <v>2633</v>
      </c>
      <c r="B2634" s="53"/>
      <c r="C2634" s="53"/>
      <c r="D2634" s="42"/>
      <c r="E2634" s="42"/>
      <c r="F2634" s="53"/>
      <c r="G2634" s="53"/>
      <c r="H2634" s="53"/>
      <c r="I2634" s="53"/>
      <c r="J2634" s="53"/>
      <c r="K2634" s="53"/>
      <c r="L2634" s="53"/>
      <c r="M2634" s="53"/>
      <c r="N2634" s="62"/>
      <c r="O2634" s="62"/>
      <c r="P2634" s="62"/>
      <c r="Q2634" s="62"/>
      <c r="R2634" s="53"/>
      <c r="S2634" s="53"/>
      <c r="T2634" s="82"/>
      <c r="U2634" s="42"/>
      <c r="V2634" s="62"/>
      <c r="W2634" s="64"/>
      <c r="X2634" s="330"/>
      <c r="Y2634" s="330"/>
      <c r="Z2634" s="330"/>
      <c r="AA2634" s="223"/>
    </row>
    <row r="2635">
      <c r="A2635" s="42">
        <f t="shared" si="3"/>
        <v>2634</v>
      </c>
      <c r="B2635" s="53"/>
      <c r="C2635" s="53"/>
      <c r="D2635" s="42"/>
      <c r="E2635" s="42"/>
      <c r="F2635" s="53"/>
      <c r="G2635" s="53"/>
      <c r="H2635" s="53"/>
      <c r="I2635" s="53"/>
      <c r="J2635" s="53"/>
      <c r="K2635" s="53"/>
      <c r="L2635" s="53"/>
      <c r="M2635" s="53"/>
      <c r="N2635" s="62"/>
      <c r="O2635" s="62"/>
      <c r="P2635" s="62"/>
      <c r="Q2635" s="62"/>
      <c r="R2635" s="53"/>
      <c r="S2635" s="53"/>
      <c r="T2635" s="82"/>
      <c r="U2635" s="42"/>
      <c r="V2635" s="62"/>
      <c r="W2635" s="64"/>
      <c r="X2635" s="330"/>
      <c r="Y2635" s="330"/>
      <c r="Z2635" s="330"/>
      <c r="AA2635" s="223"/>
    </row>
    <row r="2636">
      <c r="A2636" s="42">
        <f t="shared" si="3"/>
        <v>2635</v>
      </c>
      <c r="B2636" s="53"/>
      <c r="C2636" s="53"/>
      <c r="D2636" s="42"/>
      <c r="E2636" s="42"/>
      <c r="F2636" s="53"/>
      <c r="G2636" s="53"/>
      <c r="H2636" s="53"/>
      <c r="I2636" s="53"/>
      <c r="J2636" s="53"/>
      <c r="K2636" s="53"/>
      <c r="L2636" s="53"/>
      <c r="M2636" s="53"/>
      <c r="N2636" s="62"/>
      <c r="O2636" s="62"/>
      <c r="P2636" s="62"/>
      <c r="Q2636" s="62"/>
      <c r="R2636" s="53"/>
      <c r="S2636" s="53"/>
      <c r="T2636" s="82"/>
      <c r="U2636" s="42"/>
      <c r="V2636" s="62"/>
      <c r="W2636" s="64"/>
      <c r="X2636" s="330"/>
      <c r="Y2636" s="330"/>
      <c r="Z2636" s="330"/>
      <c r="AA2636" s="223"/>
    </row>
    <row r="2637">
      <c r="A2637" s="42">
        <f t="shared" si="3"/>
        <v>2636</v>
      </c>
      <c r="B2637" s="53"/>
      <c r="C2637" s="53"/>
      <c r="D2637" s="42"/>
      <c r="E2637" s="42"/>
      <c r="F2637" s="53"/>
      <c r="G2637" s="53"/>
      <c r="H2637" s="53"/>
      <c r="I2637" s="53"/>
      <c r="J2637" s="53"/>
      <c r="K2637" s="53"/>
      <c r="L2637" s="53"/>
      <c r="M2637" s="53"/>
      <c r="N2637" s="62"/>
      <c r="O2637" s="62"/>
      <c r="P2637" s="62"/>
      <c r="Q2637" s="62"/>
      <c r="R2637" s="53"/>
      <c r="S2637" s="53"/>
      <c r="T2637" s="82"/>
      <c r="U2637" s="42"/>
      <c r="V2637" s="62"/>
      <c r="W2637" s="64"/>
      <c r="X2637" s="330"/>
      <c r="Y2637" s="330"/>
      <c r="Z2637" s="330"/>
      <c r="AA2637" s="223"/>
    </row>
    <row r="2638">
      <c r="A2638" s="42">
        <f t="shared" si="3"/>
        <v>2637</v>
      </c>
      <c r="B2638" s="53"/>
      <c r="C2638" s="53"/>
      <c r="D2638" s="42"/>
      <c r="E2638" s="42"/>
      <c r="F2638" s="53"/>
      <c r="G2638" s="53"/>
      <c r="H2638" s="53"/>
      <c r="I2638" s="53"/>
      <c r="J2638" s="53"/>
      <c r="K2638" s="53"/>
      <c r="L2638" s="53"/>
      <c r="M2638" s="53"/>
      <c r="N2638" s="62"/>
      <c r="O2638" s="62"/>
      <c r="P2638" s="62"/>
      <c r="Q2638" s="62"/>
      <c r="R2638" s="53"/>
      <c r="S2638" s="53"/>
      <c r="T2638" s="82"/>
      <c r="U2638" s="42"/>
      <c r="V2638" s="62"/>
      <c r="W2638" s="64"/>
      <c r="X2638" s="330"/>
      <c r="Y2638" s="330"/>
      <c r="Z2638" s="330"/>
      <c r="AA2638" s="223"/>
    </row>
    <row r="2639">
      <c r="A2639" s="42">
        <f t="shared" si="3"/>
        <v>2638</v>
      </c>
      <c r="B2639" s="53"/>
      <c r="C2639" s="53"/>
      <c r="D2639" s="42"/>
      <c r="E2639" s="42"/>
      <c r="F2639" s="53"/>
      <c r="G2639" s="53"/>
      <c r="H2639" s="53"/>
      <c r="I2639" s="53"/>
      <c r="J2639" s="53"/>
      <c r="K2639" s="53"/>
      <c r="L2639" s="53"/>
      <c r="M2639" s="53"/>
      <c r="N2639" s="62"/>
      <c r="O2639" s="62"/>
      <c r="P2639" s="62"/>
      <c r="Q2639" s="62"/>
      <c r="R2639" s="53"/>
      <c r="S2639" s="53"/>
      <c r="T2639" s="82"/>
      <c r="U2639" s="42"/>
      <c r="V2639" s="62"/>
      <c r="W2639" s="64"/>
      <c r="X2639" s="330"/>
      <c r="Y2639" s="330"/>
      <c r="Z2639" s="330"/>
      <c r="AA2639" s="223"/>
    </row>
    <row r="2640">
      <c r="A2640" s="42">
        <f t="shared" si="3"/>
        <v>2639</v>
      </c>
      <c r="B2640" s="53"/>
      <c r="C2640" s="53"/>
      <c r="D2640" s="42"/>
      <c r="E2640" s="42"/>
      <c r="F2640" s="53"/>
      <c r="G2640" s="53"/>
      <c r="H2640" s="53"/>
      <c r="I2640" s="53"/>
      <c r="J2640" s="53"/>
      <c r="K2640" s="53"/>
      <c r="L2640" s="53"/>
      <c r="M2640" s="53"/>
      <c r="N2640" s="62"/>
      <c r="O2640" s="62"/>
      <c r="P2640" s="62"/>
      <c r="Q2640" s="62"/>
      <c r="R2640" s="53"/>
      <c r="S2640" s="53"/>
      <c r="T2640" s="82"/>
      <c r="U2640" s="42"/>
      <c r="V2640" s="62"/>
      <c r="W2640" s="64"/>
      <c r="X2640" s="330"/>
      <c r="Y2640" s="330"/>
      <c r="Z2640" s="330"/>
      <c r="AA2640" s="223"/>
    </row>
    <row r="2641">
      <c r="A2641" s="42">
        <f t="shared" si="3"/>
        <v>2640</v>
      </c>
      <c r="B2641" s="53"/>
      <c r="C2641" s="53"/>
      <c r="D2641" s="42"/>
      <c r="E2641" s="42"/>
      <c r="F2641" s="53"/>
      <c r="G2641" s="53"/>
      <c r="H2641" s="53"/>
      <c r="I2641" s="53"/>
      <c r="J2641" s="53"/>
      <c r="K2641" s="53"/>
      <c r="L2641" s="53"/>
      <c r="M2641" s="53"/>
      <c r="N2641" s="62"/>
      <c r="O2641" s="62"/>
      <c r="P2641" s="62"/>
      <c r="Q2641" s="62"/>
      <c r="R2641" s="53"/>
      <c r="S2641" s="53"/>
      <c r="T2641" s="82"/>
      <c r="U2641" s="42"/>
      <c r="V2641" s="62"/>
      <c r="W2641" s="64"/>
      <c r="X2641" s="330"/>
      <c r="Y2641" s="330"/>
      <c r="Z2641" s="330"/>
      <c r="AA2641" s="223"/>
    </row>
    <row r="2642">
      <c r="A2642" s="42">
        <f t="shared" si="3"/>
        <v>2641</v>
      </c>
      <c r="B2642" s="53"/>
      <c r="C2642" s="53"/>
      <c r="D2642" s="42"/>
      <c r="E2642" s="42"/>
      <c r="F2642" s="53"/>
      <c r="G2642" s="53"/>
      <c r="H2642" s="53"/>
      <c r="I2642" s="53"/>
      <c r="J2642" s="53"/>
      <c r="K2642" s="53"/>
      <c r="L2642" s="53"/>
      <c r="M2642" s="53"/>
      <c r="N2642" s="62"/>
      <c r="O2642" s="62"/>
      <c r="P2642" s="62"/>
      <c r="Q2642" s="62"/>
      <c r="R2642" s="53"/>
      <c r="S2642" s="53"/>
      <c r="T2642" s="82"/>
      <c r="U2642" s="42"/>
      <c r="V2642" s="62"/>
      <c r="W2642" s="64"/>
      <c r="X2642" s="330"/>
      <c r="Y2642" s="330"/>
      <c r="Z2642" s="330"/>
      <c r="AA2642" s="223"/>
    </row>
    <row r="2643">
      <c r="A2643" s="42">
        <f t="shared" si="3"/>
        <v>2642</v>
      </c>
      <c r="B2643" s="53"/>
      <c r="C2643" s="53"/>
      <c r="D2643" s="42"/>
      <c r="E2643" s="42"/>
      <c r="F2643" s="53"/>
      <c r="G2643" s="53"/>
      <c r="H2643" s="53"/>
      <c r="I2643" s="53"/>
      <c r="J2643" s="53"/>
      <c r="K2643" s="53"/>
      <c r="L2643" s="53"/>
      <c r="M2643" s="53"/>
      <c r="N2643" s="62"/>
      <c r="O2643" s="62"/>
      <c r="P2643" s="62"/>
      <c r="Q2643" s="62"/>
      <c r="R2643" s="53"/>
      <c r="S2643" s="53"/>
      <c r="T2643" s="82"/>
      <c r="U2643" s="42"/>
      <c r="V2643" s="62"/>
      <c r="W2643" s="64"/>
      <c r="X2643" s="330"/>
      <c r="Y2643" s="330"/>
      <c r="Z2643" s="330"/>
      <c r="AA2643" s="223"/>
    </row>
    <row r="2644">
      <c r="A2644" s="42">
        <f t="shared" si="3"/>
        <v>2643</v>
      </c>
      <c r="B2644" s="53"/>
      <c r="C2644" s="53"/>
      <c r="D2644" s="42"/>
      <c r="E2644" s="42"/>
      <c r="F2644" s="53"/>
      <c r="G2644" s="53"/>
      <c r="H2644" s="53"/>
      <c r="I2644" s="53"/>
      <c r="J2644" s="53"/>
      <c r="K2644" s="53"/>
      <c r="L2644" s="53"/>
      <c r="M2644" s="53"/>
      <c r="N2644" s="62"/>
      <c r="O2644" s="62"/>
      <c r="P2644" s="62"/>
      <c r="Q2644" s="62"/>
      <c r="R2644" s="53"/>
      <c r="S2644" s="53"/>
      <c r="T2644" s="82"/>
      <c r="U2644" s="42"/>
      <c r="V2644" s="62"/>
      <c r="W2644" s="64"/>
      <c r="X2644" s="330"/>
      <c r="Y2644" s="330"/>
      <c r="Z2644" s="330"/>
      <c r="AA2644" s="223"/>
    </row>
    <row r="2645">
      <c r="A2645" s="42">
        <f t="shared" si="3"/>
        <v>2644</v>
      </c>
      <c r="B2645" s="53"/>
      <c r="C2645" s="53"/>
      <c r="D2645" s="42"/>
      <c r="E2645" s="42"/>
      <c r="F2645" s="53"/>
      <c r="G2645" s="53"/>
      <c r="H2645" s="53"/>
      <c r="I2645" s="53"/>
      <c r="J2645" s="53"/>
      <c r="K2645" s="53"/>
      <c r="L2645" s="53"/>
      <c r="M2645" s="53"/>
      <c r="N2645" s="62"/>
      <c r="O2645" s="62"/>
      <c r="P2645" s="62"/>
      <c r="Q2645" s="62"/>
      <c r="R2645" s="53"/>
      <c r="S2645" s="53"/>
      <c r="T2645" s="82"/>
      <c r="U2645" s="42"/>
      <c r="V2645" s="62"/>
      <c r="W2645" s="64"/>
      <c r="X2645" s="330"/>
      <c r="Y2645" s="330"/>
      <c r="Z2645" s="330"/>
      <c r="AA2645" s="223"/>
    </row>
    <row r="2646">
      <c r="A2646" s="42">
        <f t="shared" si="3"/>
        <v>2645</v>
      </c>
      <c r="B2646" s="53"/>
      <c r="C2646" s="53"/>
      <c r="D2646" s="42"/>
      <c r="E2646" s="42"/>
      <c r="F2646" s="53"/>
      <c r="G2646" s="53"/>
      <c r="H2646" s="53"/>
      <c r="I2646" s="53"/>
      <c r="J2646" s="53"/>
      <c r="K2646" s="53"/>
      <c r="L2646" s="53"/>
      <c r="M2646" s="53"/>
      <c r="N2646" s="62"/>
      <c r="O2646" s="62"/>
      <c r="P2646" s="62"/>
      <c r="Q2646" s="62"/>
      <c r="R2646" s="53"/>
      <c r="S2646" s="53"/>
      <c r="T2646" s="82"/>
      <c r="U2646" s="42"/>
      <c r="V2646" s="62"/>
      <c r="W2646" s="64"/>
      <c r="X2646" s="330"/>
      <c r="Y2646" s="330"/>
      <c r="Z2646" s="330"/>
      <c r="AA2646" s="223"/>
    </row>
    <row r="2647">
      <c r="A2647" s="42">
        <f t="shared" si="3"/>
        <v>2646</v>
      </c>
      <c r="B2647" s="53"/>
      <c r="C2647" s="53"/>
      <c r="D2647" s="42"/>
      <c r="E2647" s="42"/>
      <c r="F2647" s="53"/>
      <c r="G2647" s="53"/>
      <c r="H2647" s="53"/>
      <c r="I2647" s="53"/>
      <c r="J2647" s="53"/>
      <c r="K2647" s="53"/>
      <c r="L2647" s="53"/>
      <c r="M2647" s="53"/>
      <c r="N2647" s="62"/>
      <c r="O2647" s="62"/>
      <c r="P2647" s="62"/>
      <c r="Q2647" s="62"/>
      <c r="R2647" s="53"/>
      <c r="S2647" s="53"/>
      <c r="T2647" s="82"/>
      <c r="U2647" s="42"/>
      <c r="V2647" s="62"/>
      <c r="W2647" s="64"/>
      <c r="X2647" s="330"/>
      <c r="Y2647" s="330"/>
      <c r="Z2647" s="330"/>
      <c r="AA2647" s="223"/>
    </row>
    <row r="2648">
      <c r="A2648" s="42">
        <f t="shared" si="3"/>
        <v>2647</v>
      </c>
      <c r="B2648" s="53"/>
      <c r="C2648" s="53"/>
      <c r="D2648" s="42"/>
      <c r="E2648" s="42"/>
      <c r="F2648" s="53"/>
      <c r="G2648" s="53"/>
      <c r="H2648" s="53"/>
      <c r="I2648" s="53"/>
      <c r="J2648" s="53"/>
      <c r="K2648" s="53"/>
      <c r="L2648" s="53"/>
      <c r="M2648" s="53"/>
      <c r="N2648" s="62"/>
      <c r="O2648" s="62"/>
      <c r="P2648" s="62"/>
      <c r="Q2648" s="62"/>
      <c r="R2648" s="53"/>
      <c r="S2648" s="53"/>
      <c r="T2648" s="82"/>
      <c r="U2648" s="42"/>
      <c r="V2648" s="62"/>
      <c r="W2648" s="64"/>
      <c r="X2648" s="330"/>
      <c r="Y2648" s="330"/>
      <c r="Z2648" s="330"/>
      <c r="AA2648" s="223"/>
    </row>
    <row r="2649">
      <c r="A2649" s="42">
        <f t="shared" si="3"/>
        <v>2648</v>
      </c>
      <c r="B2649" s="53"/>
      <c r="C2649" s="53"/>
      <c r="D2649" s="42"/>
      <c r="E2649" s="42"/>
      <c r="F2649" s="53"/>
      <c r="G2649" s="53"/>
      <c r="H2649" s="53"/>
      <c r="I2649" s="53"/>
      <c r="J2649" s="53"/>
      <c r="K2649" s="53"/>
      <c r="L2649" s="53"/>
      <c r="M2649" s="53"/>
      <c r="N2649" s="62"/>
      <c r="O2649" s="62"/>
      <c r="P2649" s="62"/>
      <c r="Q2649" s="62"/>
      <c r="R2649" s="53"/>
      <c r="S2649" s="53"/>
      <c r="T2649" s="82"/>
      <c r="U2649" s="42"/>
      <c r="V2649" s="62"/>
      <c r="W2649" s="64"/>
      <c r="X2649" s="330"/>
      <c r="Y2649" s="330"/>
      <c r="Z2649" s="330"/>
      <c r="AA2649" s="223"/>
    </row>
    <row r="2650">
      <c r="A2650" s="42">
        <f t="shared" si="3"/>
        <v>2649</v>
      </c>
      <c r="B2650" s="53"/>
      <c r="C2650" s="53"/>
      <c r="D2650" s="42"/>
      <c r="E2650" s="42"/>
      <c r="F2650" s="53"/>
      <c r="G2650" s="53"/>
      <c r="H2650" s="53"/>
      <c r="I2650" s="53"/>
      <c r="J2650" s="53"/>
      <c r="K2650" s="53"/>
      <c r="L2650" s="53"/>
      <c r="M2650" s="53"/>
      <c r="N2650" s="62"/>
      <c r="O2650" s="62"/>
      <c r="P2650" s="62"/>
      <c r="Q2650" s="62"/>
      <c r="R2650" s="53"/>
      <c r="S2650" s="53"/>
      <c r="T2650" s="82"/>
      <c r="U2650" s="42"/>
      <c r="V2650" s="62"/>
      <c r="W2650" s="64"/>
      <c r="X2650" s="330"/>
      <c r="Y2650" s="330"/>
      <c r="Z2650" s="330"/>
      <c r="AA2650" s="223"/>
    </row>
    <row r="2651">
      <c r="A2651" s="42">
        <f t="shared" si="3"/>
        <v>2650</v>
      </c>
      <c r="B2651" s="53"/>
      <c r="C2651" s="53"/>
      <c r="D2651" s="42"/>
      <c r="E2651" s="42"/>
      <c r="F2651" s="53"/>
      <c r="G2651" s="53"/>
      <c r="H2651" s="53"/>
      <c r="I2651" s="53"/>
      <c r="J2651" s="53"/>
      <c r="K2651" s="53"/>
      <c r="L2651" s="53"/>
      <c r="M2651" s="53"/>
      <c r="N2651" s="62"/>
      <c r="O2651" s="62"/>
      <c r="P2651" s="62"/>
      <c r="Q2651" s="62"/>
      <c r="R2651" s="53"/>
      <c r="S2651" s="53"/>
      <c r="T2651" s="82"/>
      <c r="U2651" s="42"/>
      <c r="V2651" s="62"/>
      <c r="W2651" s="64"/>
      <c r="X2651" s="330"/>
      <c r="Y2651" s="330"/>
      <c r="Z2651" s="330"/>
      <c r="AA2651" s="223"/>
    </row>
    <row r="2652">
      <c r="A2652" s="42">
        <f t="shared" si="3"/>
        <v>2651</v>
      </c>
      <c r="B2652" s="53"/>
      <c r="C2652" s="53"/>
      <c r="D2652" s="42"/>
      <c r="E2652" s="42"/>
      <c r="F2652" s="53"/>
      <c r="G2652" s="53"/>
      <c r="H2652" s="53"/>
      <c r="I2652" s="53"/>
      <c r="J2652" s="53"/>
      <c r="K2652" s="53"/>
      <c r="L2652" s="53"/>
      <c r="M2652" s="53"/>
      <c r="N2652" s="62"/>
      <c r="O2652" s="62"/>
      <c r="P2652" s="62"/>
      <c r="Q2652" s="62"/>
      <c r="R2652" s="53"/>
      <c r="S2652" s="53"/>
      <c r="T2652" s="82"/>
      <c r="U2652" s="42"/>
      <c r="V2652" s="62"/>
      <c r="W2652" s="64"/>
      <c r="X2652" s="330"/>
      <c r="Y2652" s="330"/>
      <c r="Z2652" s="330"/>
      <c r="AA2652" s="223"/>
    </row>
    <row r="2653">
      <c r="A2653" s="42">
        <f t="shared" si="3"/>
        <v>2652</v>
      </c>
      <c r="B2653" s="53"/>
      <c r="C2653" s="53"/>
      <c r="D2653" s="42"/>
      <c r="E2653" s="42"/>
      <c r="F2653" s="53"/>
      <c r="G2653" s="53"/>
      <c r="H2653" s="53"/>
      <c r="I2653" s="53"/>
      <c r="J2653" s="53"/>
      <c r="K2653" s="53"/>
      <c r="L2653" s="53"/>
      <c r="M2653" s="53"/>
      <c r="N2653" s="62"/>
      <c r="O2653" s="62"/>
      <c r="P2653" s="62"/>
      <c r="Q2653" s="62"/>
      <c r="R2653" s="53"/>
      <c r="S2653" s="53"/>
      <c r="T2653" s="82"/>
      <c r="U2653" s="42"/>
      <c r="V2653" s="62"/>
      <c r="W2653" s="64"/>
      <c r="X2653" s="330"/>
      <c r="Y2653" s="330"/>
      <c r="Z2653" s="330"/>
      <c r="AA2653" s="223"/>
    </row>
    <row r="2654">
      <c r="A2654" s="42">
        <f t="shared" si="3"/>
        <v>2653</v>
      </c>
      <c r="B2654" s="53"/>
      <c r="C2654" s="53"/>
      <c r="D2654" s="42"/>
      <c r="E2654" s="42"/>
      <c r="F2654" s="53"/>
      <c r="G2654" s="53"/>
      <c r="H2654" s="53"/>
      <c r="I2654" s="53"/>
      <c r="J2654" s="53"/>
      <c r="K2654" s="53"/>
      <c r="L2654" s="53"/>
      <c r="M2654" s="53"/>
      <c r="N2654" s="62"/>
      <c r="O2654" s="62"/>
      <c r="P2654" s="62"/>
      <c r="Q2654" s="62"/>
      <c r="R2654" s="53"/>
      <c r="S2654" s="53"/>
      <c r="T2654" s="82"/>
      <c r="U2654" s="42"/>
      <c r="V2654" s="62"/>
      <c r="W2654" s="64"/>
      <c r="X2654" s="330"/>
      <c r="Y2654" s="330"/>
      <c r="Z2654" s="330"/>
      <c r="AA2654" s="223"/>
    </row>
    <row r="2655">
      <c r="A2655" s="42">
        <f t="shared" si="3"/>
        <v>2654</v>
      </c>
      <c r="B2655" s="53"/>
      <c r="C2655" s="53"/>
      <c r="D2655" s="42"/>
      <c r="E2655" s="42"/>
      <c r="F2655" s="53"/>
      <c r="G2655" s="53"/>
      <c r="H2655" s="53"/>
      <c r="I2655" s="53"/>
      <c r="J2655" s="53"/>
      <c r="K2655" s="53"/>
      <c r="L2655" s="53"/>
      <c r="M2655" s="53"/>
      <c r="N2655" s="62"/>
      <c r="O2655" s="62"/>
      <c r="P2655" s="62"/>
      <c r="Q2655" s="62"/>
      <c r="R2655" s="53"/>
      <c r="S2655" s="53"/>
      <c r="T2655" s="82"/>
      <c r="U2655" s="42"/>
      <c r="V2655" s="62"/>
      <c r="W2655" s="64"/>
      <c r="X2655" s="330"/>
      <c r="Y2655" s="330"/>
      <c r="Z2655" s="330"/>
      <c r="AA2655" s="223"/>
    </row>
    <row r="2656">
      <c r="A2656" s="42">
        <f t="shared" si="3"/>
        <v>2655</v>
      </c>
      <c r="B2656" s="53"/>
      <c r="C2656" s="53"/>
      <c r="D2656" s="42"/>
      <c r="E2656" s="42"/>
      <c r="F2656" s="53"/>
      <c r="G2656" s="53"/>
      <c r="H2656" s="53"/>
      <c r="I2656" s="53"/>
      <c r="J2656" s="53"/>
      <c r="K2656" s="53"/>
      <c r="L2656" s="53"/>
      <c r="M2656" s="53"/>
      <c r="N2656" s="62"/>
      <c r="O2656" s="62"/>
      <c r="P2656" s="62"/>
      <c r="Q2656" s="62"/>
      <c r="R2656" s="53"/>
      <c r="S2656" s="53"/>
      <c r="T2656" s="82"/>
      <c r="U2656" s="42"/>
      <c r="V2656" s="62"/>
      <c r="W2656" s="64"/>
      <c r="X2656" s="330"/>
      <c r="Y2656" s="330"/>
      <c r="Z2656" s="330"/>
      <c r="AA2656" s="223"/>
    </row>
    <row r="2657">
      <c r="A2657" s="42">
        <f t="shared" si="3"/>
        <v>2656</v>
      </c>
      <c r="B2657" s="53"/>
      <c r="C2657" s="53"/>
      <c r="D2657" s="42"/>
      <c r="E2657" s="42"/>
      <c r="F2657" s="53"/>
      <c r="G2657" s="53"/>
      <c r="H2657" s="53"/>
      <c r="I2657" s="53"/>
      <c r="J2657" s="53"/>
      <c r="K2657" s="53"/>
      <c r="L2657" s="53"/>
      <c r="M2657" s="53"/>
      <c r="N2657" s="62"/>
      <c r="O2657" s="62"/>
      <c r="P2657" s="62"/>
      <c r="Q2657" s="62"/>
      <c r="R2657" s="53"/>
      <c r="S2657" s="53"/>
      <c r="T2657" s="82"/>
      <c r="U2657" s="42"/>
      <c r="V2657" s="62"/>
      <c r="W2657" s="64"/>
      <c r="X2657" s="330"/>
      <c r="Y2657" s="330"/>
      <c r="Z2657" s="330"/>
      <c r="AA2657" s="223"/>
    </row>
    <row r="2658">
      <c r="A2658" s="42">
        <f t="shared" si="3"/>
        <v>2657</v>
      </c>
      <c r="B2658" s="53"/>
      <c r="C2658" s="53"/>
      <c r="D2658" s="42"/>
      <c r="E2658" s="42"/>
      <c r="F2658" s="53"/>
      <c r="G2658" s="53"/>
      <c r="H2658" s="53"/>
      <c r="I2658" s="53"/>
      <c r="J2658" s="53"/>
      <c r="K2658" s="53"/>
      <c r="L2658" s="53"/>
      <c r="M2658" s="53"/>
      <c r="N2658" s="62"/>
      <c r="O2658" s="62"/>
      <c r="P2658" s="62"/>
      <c r="Q2658" s="62"/>
      <c r="R2658" s="53"/>
      <c r="S2658" s="53"/>
      <c r="T2658" s="82"/>
      <c r="U2658" s="42"/>
      <c r="V2658" s="62"/>
      <c r="W2658" s="64"/>
      <c r="X2658" s="330"/>
      <c r="Y2658" s="330"/>
      <c r="Z2658" s="330"/>
      <c r="AA2658" s="223"/>
    </row>
    <row r="2659">
      <c r="A2659" s="42">
        <f t="shared" si="3"/>
        <v>2658</v>
      </c>
      <c r="B2659" s="53"/>
      <c r="C2659" s="53"/>
      <c r="D2659" s="42"/>
      <c r="E2659" s="42"/>
      <c r="F2659" s="53"/>
      <c r="G2659" s="53"/>
      <c r="H2659" s="53"/>
      <c r="I2659" s="53"/>
      <c r="J2659" s="53"/>
      <c r="K2659" s="53"/>
      <c r="L2659" s="53"/>
      <c r="M2659" s="53"/>
      <c r="N2659" s="62"/>
      <c r="O2659" s="62"/>
      <c r="P2659" s="62"/>
      <c r="Q2659" s="62"/>
      <c r="R2659" s="53"/>
      <c r="S2659" s="53"/>
      <c r="T2659" s="82"/>
      <c r="U2659" s="42"/>
      <c r="V2659" s="62"/>
      <c r="W2659" s="64"/>
      <c r="X2659" s="330"/>
      <c r="Y2659" s="330"/>
      <c r="Z2659" s="330"/>
      <c r="AA2659" s="223"/>
    </row>
    <row r="2660">
      <c r="A2660" s="42">
        <f t="shared" si="3"/>
        <v>2659</v>
      </c>
      <c r="B2660" s="53"/>
      <c r="C2660" s="53"/>
      <c r="D2660" s="42"/>
      <c r="E2660" s="42"/>
      <c r="F2660" s="53"/>
      <c r="G2660" s="53"/>
      <c r="H2660" s="53"/>
      <c r="I2660" s="53"/>
      <c r="J2660" s="53"/>
      <c r="K2660" s="53"/>
      <c r="L2660" s="53"/>
      <c r="M2660" s="53"/>
      <c r="N2660" s="62"/>
      <c r="O2660" s="62"/>
      <c r="P2660" s="62"/>
      <c r="Q2660" s="62"/>
      <c r="R2660" s="53"/>
      <c r="S2660" s="53"/>
      <c r="T2660" s="82"/>
      <c r="U2660" s="42"/>
      <c r="V2660" s="62"/>
      <c r="W2660" s="64"/>
      <c r="X2660" s="330"/>
      <c r="Y2660" s="330"/>
      <c r="Z2660" s="330"/>
      <c r="AA2660" s="223"/>
    </row>
    <row r="2661">
      <c r="A2661" s="42">
        <f t="shared" si="3"/>
        <v>2660</v>
      </c>
      <c r="B2661" s="53"/>
      <c r="C2661" s="53"/>
      <c r="D2661" s="42"/>
      <c r="E2661" s="42"/>
      <c r="F2661" s="53"/>
      <c r="G2661" s="53"/>
      <c r="H2661" s="53"/>
      <c r="I2661" s="53"/>
      <c r="J2661" s="53"/>
      <c r="K2661" s="53"/>
      <c r="L2661" s="53"/>
      <c r="M2661" s="53"/>
      <c r="N2661" s="62"/>
      <c r="O2661" s="62"/>
      <c r="P2661" s="62"/>
      <c r="Q2661" s="62"/>
      <c r="R2661" s="53"/>
      <c r="S2661" s="53"/>
      <c r="T2661" s="82"/>
      <c r="U2661" s="42"/>
      <c r="V2661" s="62"/>
      <c r="W2661" s="64"/>
      <c r="X2661" s="330"/>
      <c r="Y2661" s="330"/>
      <c r="Z2661" s="330"/>
      <c r="AA2661" s="223"/>
    </row>
    <row r="2662">
      <c r="A2662" s="42">
        <f t="shared" si="3"/>
        <v>2661</v>
      </c>
      <c r="B2662" s="53"/>
      <c r="C2662" s="53"/>
      <c r="D2662" s="42"/>
      <c r="E2662" s="42"/>
      <c r="F2662" s="53"/>
      <c r="G2662" s="53"/>
      <c r="H2662" s="53"/>
      <c r="I2662" s="53"/>
      <c r="J2662" s="53"/>
      <c r="K2662" s="53"/>
      <c r="L2662" s="53"/>
      <c r="M2662" s="53"/>
      <c r="N2662" s="62"/>
      <c r="O2662" s="62"/>
      <c r="P2662" s="62"/>
      <c r="Q2662" s="62"/>
      <c r="R2662" s="53"/>
      <c r="S2662" s="53"/>
      <c r="T2662" s="82"/>
      <c r="U2662" s="42"/>
      <c r="V2662" s="62"/>
      <c r="W2662" s="64"/>
      <c r="X2662" s="330"/>
      <c r="Y2662" s="330"/>
      <c r="Z2662" s="330"/>
      <c r="AA2662" s="223"/>
    </row>
    <row r="2663">
      <c r="A2663" s="42">
        <f t="shared" si="3"/>
        <v>2662</v>
      </c>
      <c r="B2663" s="53"/>
      <c r="C2663" s="53"/>
      <c r="D2663" s="42"/>
      <c r="E2663" s="42"/>
      <c r="F2663" s="53"/>
      <c r="G2663" s="53"/>
      <c r="H2663" s="53"/>
      <c r="I2663" s="53"/>
      <c r="J2663" s="53"/>
      <c r="K2663" s="53"/>
      <c r="L2663" s="53"/>
      <c r="M2663" s="53"/>
      <c r="N2663" s="62"/>
      <c r="O2663" s="62"/>
      <c r="P2663" s="62"/>
      <c r="Q2663" s="62"/>
      <c r="R2663" s="53"/>
      <c r="S2663" s="53"/>
      <c r="T2663" s="82"/>
      <c r="U2663" s="42"/>
      <c r="V2663" s="62"/>
      <c r="W2663" s="64"/>
      <c r="X2663" s="330"/>
      <c r="Y2663" s="330"/>
      <c r="Z2663" s="330"/>
      <c r="AA2663" s="223"/>
    </row>
    <row r="2664">
      <c r="A2664" s="42">
        <f t="shared" si="3"/>
        <v>2663</v>
      </c>
      <c r="B2664" s="53"/>
      <c r="C2664" s="53"/>
      <c r="D2664" s="42"/>
      <c r="E2664" s="42"/>
      <c r="F2664" s="53"/>
      <c r="G2664" s="53"/>
      <c r="H2664" s="53"/>
      <c r="I2664" s="53"/>
      <c r="J2664" s="53"/>
      <c r="K2664" s="53"/>
      <c r="L2664" s="53"/>
      <c r="M2664" s="53"/>
      <c r="N2664" s="62"/>
      <c r="O2664" s="62"/>
      <c r="P2664" s="62"/>
      <c r="Q2664" s="62"/>
      <c r="R2664" s="53"/>
      <c r="S2664" s="53"/>
      <c r="T2664" s="82"/>
      <c r="U2664" s="42"/>
      <c r="V2664" s="62"/>
      <c r="W2664" s="64"/>
      <c r="X2664" s="330"/>
      <c r="Y2664" s="330"/>
      <c r="Z2664" s="330"/>
      <c r="AA2664" s="223"/>
    </row>
    <row r="2665">
      <c r="A2665" s="42">
        <f t="shared" si="3"/>
        <v>2664</v>
      </c>
      <c r="B2665" s="53"/>
      <c r="C2665" s="53"/>
      <c r="D2665" s="42"/>
      <c r="E2665" s="42"/>
      <c r="F2665" s="53"/>
      <c r="G2665" s="53"/>
      <c r="H2665" s="53"/>
      <c r="I2665" s="53"/>
      <c r="J2665" s="53"/>
      <c r="K2665" s="53"/>
      <c r="L2665" s="53"/>
      <c r="M2665" s="53"/>
      <c r="N2665" s="62"/>
      <c r="O2665" s="62"/>
      <c r="P2665" s="62"/>
      <c r="Q2665" s="62"/>
      <c r="R2665" s="53"/>
      <c r="S2665" s="53"/>
      <c r="T2665" s="82"/>
      <c r="U2665" s="42"/>
      <c r="V2665" s="62"/>
      <c r="W2665" s="64"/>
      <c r="X2665" s="330"/>
      <c r="Y2665" s="330"/>
      <c r="Z2665" s="330"/>
      <c r="AA2665" s="223"/>
    </row>
    <row r="2666">
      <c r="A2666" s="42">
        <f t="shared" si="3"/>
        <v>2665</v>
      </c>
      <c r="B2666" s="53"/>
      <c r="C2666" s="53"/>
      <c r="D2666" s="42"/>
      <c r="E2666" s="42"/>
      <c r="F2666" s="53"/>
      <c r="G2666" s="53"/>
      <c r="H2666" s="53"/>
      <c r="I2666" s="53"/>
      <c r="J2666" s="53"/>
      <c r="K2666" s="53"/>
      <c r="L2666" s="53"/>
      <c r="M2666" s="53"/>
      <c r="N2666" s="62"/>
      <c r="O2666" s="62"/>
      <c r="P2666" s="62"/>
      <c r="Q2666" s="62"/>
      <c r="R2666" s="53"/>
      <c r="S2666" s="53"/>
      <c r="T2666" s="82"/>
      <c r="U2666" s="42"/>
      <c r="V2666" s="62"/>
      <c r="W2666" s="64"/>
      <c r="X2666" s="330"/>
      <c r="Y2666" s="330"/>
      <c r="Z2666" s="330"/>
      <c r="AA2666" s="223"/>
    </row>
    <row r="2667">
      <c r="A2667" s="42">
        <f t="shared" si="3"/>
        <v>2666</v>
      </c>
      <c r="B2667" s="53"/>
      <c r="C2667" s="53"/>
      <c r="D2667" s="42"/>
      <c r="E2667" s="42"/>
      <c r="F2667" s="53"/>
      <c r="G2667" s="53"/>
      <c r="H2667" s="53"/>
      <c r="I2667" s="53"/>
      <c r="J2667" s="53"/>
      <c r="K2667" s="53"/>
      <c r="L2667" s="53"/>
      <c r="M2667" s="53"/>
      <c r="N2667" s="62"/>
      <c r="O2667" s="62"/>
      <c r="P2667" s="62"/>
      <c r="Q2667" s="62"/>
      <c r="R2667" s="53"/>
      <c r="S2667" s="53"/>
      <c r="T2667" s="82"/>
      <c r="U2667" s="42"/>
      <c r="V2667" s="62"/>
      <c r="W2667" s="64"/>
      <c r="X2667" s="330"/>
      <c r="Y2667" s="330"/>
      <c r="Z2667" s="330"/>
      <c r="AA2667" s="223"/>
    </row>
    <row r="2668">
      <c r="A2668" s="42">
        <f t="shared" si="3"/>
        <v>2667</v>
      </c>
      <c r="B2668" s="53"/>
      <c r="C2668" s="53"/>
      <c r="D2668" s="42"/>
      <c r="E2668" s="42"/>
      <c r="F2668" s="53"/>
      <c r="G2668" s="53"/>
      <c r="H2668" s="53"/>
      <c r="I2668" s="53"/>
      <c r="J2668" s="53"/>
      <c r="K2668" s="53"/>
      <c r="L2668" s="53"/>
      <c r="M2668" s="53"/>
      <c r="N2668" s="62"/>
      <c r="O2668" s="62"/>
      <c r="P2668" s="62"/>
      <c r="Q2668" s="62"/>
      <c r="R2668" s="53"/>
      <c r="S2668" s="53"/>
      <c r="T2668" s="82"/>
      <c r="U2668" s="42"/>
      <c r="V2668" s="62"/>
      <c r="W2668" s="64"/>
      <c r="X2668" s="330"/>
      <c r="Y2668" s="330"/>
      <c r="Z2668" s="330"/>
      <c r="AA2668" s="223"/>
    </row>
    <row r="2669">
      <c r="A2669" s="42">
        <f t="shared" si="3"/>
        <v>2668</v>
      </c>
      <c r="B2669" s="53"/>
      <c r="C2669" s="53"/>
      <c r="D2669" s="42"/>
      <c r="E2669" s="42"/>
      <c r="F2669" s="53"/>
      <c r="G2669" s="53"/>
      <c r="H2669" s="53"/>
      <c r="I2669" s="53"/>
      <c r="J2669" s="53"/>
      <c r="K2669" s="53"/>
      <c r="L2669" s="53"/>
      <c r="M2669" s="53"/>
      <c r="N2669" s="62"/>
      <c r="O2669" s="62"/>
      <c r="P2669" s="62"/>
      <c r="Q2669" s="62"/>
      <c r="R2669" s="53"/>
      <c r="S2669" s="53"/>
      <c r="T2669" s="82"/>
      <c r="U2669" s="42"/>
      <c r="V2669" s="62"/>
      <c r="W2669" s="64"/>
      <c r="X2669" s="330"/>
      <c r="Y2669" s="330"/>
      <c r="Z2669" s="330"/>
      <c r="AA2669" s="223"/>
    </row>
    <row r="2670">
      <c r="A2670" s="42">
        <f t="shared" si="3"/>
        <v>2669</v>
      </c>
      <c r="B2670" s="53"/>
      <c r="C2670" s="53"/>
      <c r="D2670" s="42"/>
      <c r="E2670" s="42"/>
      <c r="F2670" s="53"/>
      <c r="G2670" s="53"/>
      <c r="H2670" s="53"/>
      <c r="I2670" s="53"/>
      <c r="J2670" s="53"/>
      <c r="K2670" s="53"/>
      <c r="L2670" s="53"/>
      <c r="M2670" s="53"/>
      <c r="N2670" s="62"/>
      <c r="O2670" s="62"/>
      <c r="P2670" s="62"/>
      <c r="Q2670" s="62"/>
      <c r="R2670" s="53"/>
      <c r="S2670" s="53"/>
      <c r="T2670" s="82"/>
      <c r="U2670" s="42"/>
      <c r="V2670" s="62"/>
      <c r="W2670" s="64"/>
      <c r="X2670" s="330"/>
      <c r="Y2670" s="330"/>
      <c r="Z2670" s="330"/>
      <c r="AA2670" s="223"/>
    </row>
    <row r="2671">
      <c r="A2671" s="42">
        <f t="shared" si="3"/>
        <v>2670</v>
      </c>
      <c r="B2671" s="53"/>
      <c r="C2671" s="53"/>
      <c r="D2671" s="42"/>
      <c r="E2671" s="42"/>
      <c r="F2671" s="53"/>
      <c r="G2671" s="53"/>
      <c r="H2671" s="53"/>
      <c r="I2671" s="53"/>
      <c r="J2671" s="53"/>
      <c r="K2671" s="53"/>
      <c r="L2671" s="53"/>
      <c r="M2671" s="53"/>
      <c r="N2671" s="62"/>
      <c r="O2671" s="62"/>
      <c r="P2671" s="62"/>
      <c r="Q2671" s="62"/>
      <c r="R2671" s="53"/>
      <c r="S2671" s="53"/>
      <c r="T2671" s="82"/>
      <c r="U2671" s="42"/>
      <c r="V2671" s="62"/>
      <c r="W2671" s="64"/>
      <c r="X2671" s="330"/>
      <c r="Y2671" s="330"/>
      <c r="Z2671" s="330"/>
      <c r="AA2671" s="223"/>
    </row>
    <row r="2672">
      <c r="A2672" s="42">
        <f t="shared" si="3"/>
        <v>2671</v>
      </c>
      <c r="B2672" s="53"/>
      <c r="C2672" s="53"/>
      <c r="D2672" s="42"/>
      <c r="E2672" s="42"/>
      <c r="F2672" s="53"/>
      <c r="G2672" s="53"/>
      <c r="H2672" s="53"/>
      <c r="I2672" s="53"/>
      <c r="J2672" s="53"/>
      <c r="K2672" s="53"/>
      <c r="L2672" s="53"/>
      <c r="M2672" s="53"/>
      <c r="N2672" s="62"/>
      <c r="O2672" s="62"/>
      <c r="P2672" s="62"/>
      <c r="Q2672" s="62"/>
      <c r="R2672" s="53"/>
      <c r="S2672" s="53"/>
      <c r="T2672" s="82"/>
      <c r="U2672" s="42"/>
      <c r="V2672" s="62"/>
      <c r="W2672" s="64"/>
      <c r="X2672" s="330"/>
      <c r="Y2672" s="330"/>
      <c r="Z2672" s="330"/>
      <c r="AA2672" s="223"/>
    </row>
    <row r="2673">
      <c r="A2673" s="42">
        <f t="shared" si="3"/>
        <v>2672</v>
      </c>
      <c r="B2673" s="53"/>
      <c r="C2673" s="53"/>
      <c r="D2673" s="42"/>
      <c r="E2673" s="42"/>
      <c r="F2673" s="53"/>
      <c r="G2673" s="53"/>
      <c r="H2673" s="53"/>
      <c r="I2673" s="53"/>
      <c r="J2673" s="53"/>
      <c r="K2673" s="53"/>
      <c r="L2673" s="53"/>
      <c r="M2673" s="53"/>
      <c r="N2673" s="62"/>
      <c r="O2673" s="62"/>
      <c r="P2673" s="62"/>
      <c r="Q2673" s="62"/>
      <c r="R2673" s="53"/>
      <c r="S2673" s="53"/>
      <c r="T2673" s="82"/>
      <c r="U2673" s="42"/>
      <c r="V2673" s="62"/>
      <c r="W2673" s="64"/>
      <c r="X2673" s="330"/>
      <c r="Y2673" s="330"/>
      <c r="Z2673" s="330"/>
      <c r="AA2673" s="223"/>
    </row>
    <row r="2674">
      <c r="A2674" s="42">
        <f t="shared" si="3"/>
        <v>2673</v>
      </c>
      <c r="B2674" s="53"/>
      <c r="C2674" s="53"/>
      <c r="D2674" s="42"/>
      <c r="E2674" s="42"/>
      <c r="F2674" s="53"/>
      <c r="G2674" s="53"/>
      <c r="H2674" s="53"/>
      <c r="I2674" s="53"/>
      <c r="J2674" s="53"/>
      <c r="K2674" s="53"/>
      <c r="L2674" s="53"/>
      <c r="M2674" s="53"/>
      <c r="N2674" s="62"/>
      <c r="O2674" s="62"/>
      <c r="P2674" s="62"/>
      <c r="Q2674" s="62"/>
      <c r="R2674" s="53"/>
      <c r="S2674" s="53"/>
      <c r="T2674" s="82"/>
      <c r="U2674" s="42"/>
      <c r="V2674" s="62"/>
      <c r="W2674" s="64"/>
      <c r="X2674" s="330"/>
      <c r="Y2674" s="330"/>
      <c r="Z2674" s="330"/>
      <c r="AA2674" s="223"/>
    </row>
    <row r="2675">
      <c r="A2675" s="42">
        <f t="shared" si="3"/>
        <v>2674</v>
      </c>
      <c r="B2675" s="53"/>
      <c r="C2675" s="53"/>
      <c r="D2675" s="42"/>
      <c r="E2675" s="42"/>
      <c r="F2675" s="53"/>
      <c r="G2675" s="53"/>
      <c r="H2675" s="53"/>
      <c r="I2675" s="53"/>
      <c r="J2675" s="53"/>
      <c r="K2675" s="53"/>
      <c r="L2675" s="53"/>
      <c r="M2675" s="53"/>
      <c r="N2675" s="62"/>
      <c r="O2675" s="62"/>
      <c r="P2675" s="62"/>
      <c r="Q2675" s="62"/>
      <c r="R2675" s="53"/>
      <c r="S2675" s="53"/>
      <c r="T2675" s="82"/>
      <c r="U2675" s="42"/>
      <c r="V2675" s="62"/>
      <c r="W2675" s="64"/>
      <c r="X2675" s="330"/>
      <c r="Y2675" s="330"/>
      <c r="Z2675" s="330"/>
      <c r="AA2675" s="223"/>
    </row>
    <row r="2676">
      <c r="A2676" s="42">
        <f t="shared" si="3"/>
        <v>2675</v>
      </c>
      <c r="B2676" s="53"/>
      <c r="C2676" s="53"/>
      <c r="D2676" s="42"/>
      <c r="E2676" s="42"/>
      <c r="F2676" s="53"/>
      <c r="G2676" s="53"/>
      <c r="H2676" s="53"/>
      <c r="I2676" s="53"/>
      <c r="J2676" s="53"/>
      <c r="K2676" s="53"/>
      <c r="L2676" s="53"/>
      <c r="M2676" s="53"/>
      <c r="N2676" s="62"/>
      <c r="O2676" s="62"/>
      <c r="P2676" s="62"/>
      <c r="Q2676" s="62"/>
      <c r="R2676" s="53"/>
      <c r="S2676" s="53"/>
      <c r="T2676" s="82"/>
      <c r="U2676" s="42"/>
      <c r="V2676" s="62"/>
      <c r="W2676" s="64"/>
      <c r="X2676" s="330"/>
      <c r="Y2676" s="330"/>
      <c r="Z2676" s="330"/>
      <c r="AA2676" s="223"/>
    </row>
    <row r="2677">
      <c r="A2677" s="42">
        <f t="shared" si="3"/>
        <v>2676</v>
      </c>
      <c r="B2677" s="53"/>
      <c r="C2677" s="53"/>
      <c r="D2677" s="42"/>
      <c r="E2677" s="42"/>
      <c r="F2677" s="53"/>
      <c r="G2677" s="53"/>
      <c r="H2677" s="53"/>
      <c r="I2677" s="53"/>
      <c r="J2677" s="53"/>
      <c r="K2677" s="53"/>
      <c r="L2677" s="53"/>
      <c r="M2677" s="53"/>
      <c r="N2677" s="62"/>
      <c r="O2677" s="62"/>
      <c r="P2677" s="62"/>
      <c r="Q2677" s="62"/>
      <c r="R2677" s="53"/>
      <c r="S2677" s="53"/>
      <c r="T2677" s="82"/>
      <c r="U2677" s="42"/>
      <c r="V2677" s="62"/>
      <c r="W2677" s="64"/>
      <c r="X2677" s="330"/>
      <c r="Y2677" s="330"/>
      <c r="Z2677" s="330"/>
      <c r="AA2677" s="223"/>
    </row>
    <row r="2678">
      <c r="A2678" s="42">
        <f t="shared" si="3"/>
        <v>2677</v>
      </c>
      <c r="B2678" s="53"/>
      <c r="C2678" s="53"/>
      <c r="D2678" s="42"/>
      <c r="E2678" s="42"/>
      <c r="F2678" s="53"/>
      <c r="G2678" s="53"/>
      <c r="H2678" s="53"/>
      <c r="I2678" s="53"/>
      <c r="J2678" s="53"/>
      <c r="K2678" s="53"/>
      <c r="L2678" s="53"/>
      <c r="M2678" s="53"/>
      <c r="N2678" s="62"/>
      <c r="O2678" s="62"/>
      <c r="P2678" s="62"/>
      <c r="Q2678" s="62"/>
      <c r="R2678" s="53"/>
      <c r="S2678" s="53"/>
      <c r="T2678" s="82"/>
      <c r="U2678" s="42"/>
      <c r="V2678" s="62"/>
      <c r="W2678" s="64"/>
      <c r="X2678" s="330"/>
      <c r="Y2678" s="330"/>
      <c r="Z2678" s="330"/>
      <c r="AA2678" s="223"/>
    </row>
    <row r="2679">
      <c r="A2679" s="42">
        <f t="shared" si="3"/>
        <v>2678</v>
      </c>
      <c r="B2679" s="53"/>
      <c r="C2679" s="53"/>
      <c r="D2679" s="42"/>
      <c r="E2679" s="42"/>
      <c r="F2679" s="53"/>
      <c r="G2679" s="53"/>
      <c r="H2679" s="53"/>
      <c r="I2679" s="53"/>
      <c r="J2679" s="53"/>
      <c r="K2679" s="53"/>
      <c r="L2679" s="53"/>
      <c r="M2679" s="53"/>
      <c r="N2679" s="62"/>
      <c r="O2679" s="62"/>
      <c r="P2679" s="62"/>
      <c r="Q2679" s="62"/>
      <c r="R2679" s="53"/>
      <c r="S2679" s="53"/>
      <c r="T2679" s="82"/>
      <c r="U2679" s="42"/>
      <c r="V2679" s="62"/>
      <c r="W2679" s="64"/>
      <c r="X2679" s="330"/>
      <c r="Y2679" s="330"/>
      <c r="Z2679" s="330"/>
      <c r="AA2679" s="223"/>
    </row>
    <row r="2680">
      <c r="A2680" s="42">
        <f t="shared" si="3"/>
        <v>2679</v>
      </c>
      <c r="B2680" s="53"/>
      <c r="C2680" s="53"/>
      <c r="D2680" s="42"/>
      <c r="E2680" s="42"/>
      <c r="F2680" s="53"/>
      <c r="G2680" s="53"/>
      <c r="H2680" s="53"/>
      <c r="I2680" s="53"/>
      <c r="J2680" s="53"/>
      <c r="K2680" s="53"/>
      <c r="L2680" s="53"/>
      <c r="M2680" s="53"/>
      <c r="N2680" s="62"/>
      <c r="O2680" s="62"/>
      <c r="P2680" s="62"/>
      <c r="Q2680" s="62"/>
      <c r="R2680" s="53"/>
      <c r="S2680" s="53"/>
      <c r="T2680" s="82"/>
      <c r="U2680" s="42"/>
      <c r="V2680" s="62"/>
      <c r="W2680" s="64"/>
      <c r="X2680" s="330"/>
      <c r="Y2680" s="330"/>
      <c r="Z2680" s="330"/>
      <c r="AA2680" s="223"/>
    </row>
    <row r="2681">
      <c r="A2681" s="42">
        <f t="shared" si="3"/>
        <v>2680</v>
      </c>
      <c r="B2681" s="53"/>
      <c r="C2681" s="53"/>
      <c r="D2681" s="42"/>
      <c r="E2681" s="42"/>
      <c r="F2681" s="53"/>
      <c r="G2681" s="53"/>
      <c r="H2681" s="53"/>
      <c r="I2681" s="53"/>
      <c r="J2681" s="53"/>
      <c r="K2681" s="53"/>
      <c r="L2681" s="53"/>
      <c r="M2681" s="53"/>
      <c r="N2681" s="62"/>
      <c r="O2681" s="62"/>
      <c r="P2681" s="62"/>
      <c r="Q2681" s="62"/>
      <c r="R2681" s="53"/>
      <c r="S2681" s="53"/>
      <c r="T2681" s="82"/>
      <c r="U2681" s="42"/>
      <c r="V2681" s="62"/>
      <c r="W2681" s="64"/>
      <c r="X2681" s="330"/>
      <c r="Y2681" s="330"/>
      <c r="Z2681" s="330"/>
      <c r="AA2681" s="223"/>
    </row>
    <row r="2682">
      <c r="A2682" s="42">
        <f t="shared" si="3"/>
        <v>2681</v>
      </c>
      <c r="B2682" s="53"/>
      <c r="C2682" s="53"/>
      <c r="D2682" s="42"/>
      <c r="E2682" s="42"/>
      <c r="F2682" s="53"/>
      <c r="G2682" s="53"/>
      <c r="H2682" s="53"/>
      <c r="I2682" s="53"/>
      <c r="J2682" s="53"/>
      <c r="K2682" s="53"/>
      <c r="L2682" s="53"/>
      <c r="M2682" s="53"/>
      <c r="N2682" s="62"/>
      <c r="O2682" s="62"/>
      <c r="P2682" s="62"/>
      <c r="Q2682" s="62"/>
      <c r="R2682" s="53"/>
      <c r="S2682" s="53"/>
      <c r="T2682" s="82"/>
      <c r="U2682" s="42"/>
      <c r="V2682" s="62"/>
      <c r="W2682" s="64"/>
      <c r="X2682" s="330"/>
      <c r="Y2682" s="330"/>
      <c r="Z2682" s="330"/>
      <c r="AA2682" s="223"/>
    </row>
    <row r="2683">
      <c r="A2683" s="42">
        <f t="shared" si="3"/>
        <v>2682</v>
      </c>
      <c r="B2683" s="53"/>
      <c r="C2683" s="53"/>
      <c r="D2683" s="42"/>
      <c r="E2683" s="42"/>
      <c r="F2683" s="53"/>
      <c r="G2683" s="53"/>
      <c r="H2683" s="53"/>
      <c r="I2683" s="53"/>
      <c r="J2683" s="53"/>
      <c r="K2683" s="53"/>
      <c r="L2683" s="53"/>
      <c r="M2683" s="53"/>
      <c r="N2683" s="62"/>
      <c r="O2683" s="62"/>
      <c r="P2683" s="62"/>
      <c r="Q2683" s="62"/>
      <c r="R2683" s="53"/>
      <c r="S2683" s="53"/>
      <c r="T2683" s="82"/>
      <c r="U2683" s="42"/>
      <c r="V2683" s="62"/>
      <c r="W2683" s="64"/>
      <c r="X2683" s="330"/>
      <c r="Y2683" s="330"/>
      <c r="Z2683" s="330"/>
      <c r="AA2683" s="223"/>
    </row>
    <row r="2684">
      <c r="A2684" s="42">
        <f t="shared" si="3"/>
        <v>2683</v>
      </c>
      <c r="B2684" s="53"/>
      <c r="C2684" s="53"/>
      <c r="D2684" s="42"/>
      <c r="E2684" s="42"/>
      <c r="F2684" s="53"/>
      <c r="G2684" s="53"/>
      <c r="H2684" s="53"/>
      <c r="I2684" s="53"/>
      <c r="J2684" s="53"/>
      <c r="K2684" s="53"/>
      <c r="L2684" s="53"/>
      <c r="M2684" s="53"/>
      <c r="N2684" s="62"/>
      <c r="O2684" s="62"/>
      <c r="P2684" s="62"/>
      <c r="Q2684" s="62"/>
      <c r="R2684" s="53"/>
      <c r="S2684" s="53"/>
      <c r="T2684" s="82"/>
      <c r="U2684" s="42"/>
      <c r="V2684" s="62"/>
      <c r="W2684" s="64"/>
      <c r="X2684" s="330"/>
      <c r="Y2684" s="330"/>
      <c r="Z2684" s="330"/>
      <c r="AA2684" s="223"/>
    </row>
    <row r="2685">
      <c r="A2685" s="42">
        <f t="shared" si="3"/>
        <v>2684</v>
      </c>
      <c r="B2685" s="53"/>
      <c r="C2685" s="53"/>
      <c r="D2685" s="42"/>
      <c r="E2685" s="42"/>
      <c r="F2685" s="53"/>
      <c r="G2685" s="53"/>
      <c r="H2685" s="53"/>
      <c r="I2685" s="53"/>
      <c r="J2685" s="53"/>
      <c r="K2685" s="53"/>
      <c r="L2685" s="53"/>
      <c r="M2685" s="53"/>
      <c r="N2685" s="62"/>
      <c r="O2685" s="62"/>
      <c r="P2685" s="62"/>
      <c r="Q2685" s="62"/>
      <c r="R2685" s="53"/>
      <c r="S2685" s="53"/>
      <c r="T2685" s="82"/>
      <c r="U2685" s="42"/>
      <c r="V2685" s="62"/>
      <c r="W2685" s="64"/>
      <c r="X2685" s="330"/>
      <c r="Y2685" s="330"/>
      <c r="Z2685" s="330"/>
      <c r="AA2685" s="223"/>
    </row>
    <row r="2686">
      <c r="A2686" s="42">
        <f t="shared" si="3"/>
        <v>2685</v>
      </c>
      <c r="B2686" s="53"/>
      <c r="C2686" s="53"/>
      <c r="D2686" s="42"/>
      <c r="E2686" s="42"/>
      <c r="F2686" s="53"/>
      <c r="G2686" s="53"/>
      <c r="H2686" s="53"/>
      <c r="I2686" s="53"/>
      <c r="J2686" s="53"/>
      <c r="K2686" s="53"/>
      <c r="L2686" s="53"/>
      <c r="M2686" s="53"/>
      <c r="N2686" s="62"/>
      <c r="O2686" s="62"/>
      <c r="P2686" s="62"/>
      <c r="Q2686" s="62"/>
      <c r="R2686" s="53"/>
      <c r="S2686" s="53"/>
      <c r="T2686" s="82"/>
      <c r="U2686" s="42"/>
      <c r="V2686" s="62"/>
      <c r="W2686" s="64"/>
      <c r="X2686" s="330"/>
      <c r="Y2686" s="330"/>
      <c r="Z2686" s="330"/>
      <c r="AA2686" s="223"/>
    </row>
    <row r="2687">
      <c r="A2687" s="42">
        <f t="shared" si="3"/>
        <v>2686</v>
      </c>
      <c r="B2687" s="53"/>
      <c r="C2687" s="53"/>
      <c r="D2687" s="42"/>
      <c r="E2687" s="42"/>
      <c r="F2687" s="53"/>
      <c r="G2687" s="53"/>
      <c r="H2687" s="53"/>
      <c r="I2687" s="53"/>
      <c r="J2687" s="53"/>
      <c r="K2687" s="53"/>
      <c r="L2687" s="53"/>
      <c r="M2687" s="53"/>
      <c r="N2687" s="62"/>
      <c r="O2687" s="62"/>
      <c r="P2687" s="62"/>
      <c r="Q2687" s="62"/>
      <c r="R2687" s="53"/>
      <c r="S2687" s="53"/>
      <c r="T2687" s="82"/>
      <c r="U2687" s="42"/>
      <c r="V2687" s="62"/>
      <c r="W2687" s="64"/>
      <c r="X2687" s="330"/>
      <c r="Y2687" s="330"/>
      <c r="Z2687" s="330"/>
      <c r="AA2687" s="223"/>
    </row>
    <row r="2688">
      <c r="A2688" s="42">
        <f t="shared" si="3"/>
        <v>2687</v>
      </c>
      <c r="B2688" s="53"/>
      <c r="C2688" s="53"/>
      <c r="D2688" s="42"/>
      <c r="E2688" s="42"/>
      <c r="F2688" s="53"/>
      <c r="G2688" s="53"/>
      <c r="H2688" s="53"/>
      <c r="I2688" s="53"/>
      <c r="J2688" s="53"/>
      <c r="K2688" s="53"/>
      <c r="L2688" s="53"/>
      <c r="M2688" s="53"/>
      <c r="N2688" s="62"/>
      <c r="O2688" s="62"/>
      <c r="P2688" s="62"/>
      <c r="Q2688" s="62"/>
      <c r="R2688" s="53"/>
      <c r="S2688" s="53"/>
      <c r="T2688" s="82"/>
      <c r="U2688" s="42"/>
      <c r="V2688" s="62"/>
      <c r="W2688" s="64"/>
      <c r="X2688" s="330"/>
      <c r="Y2688" s="330"/>
      <c r="Z2688" s="330"/>
      <c r="AA2688" s="223"/>
    </row>
    <row r="2689">
      <c r="A2689" s="42">
        <f t="shared" si="3"/>
        <v>2688</v>
      </c>
      <c r="B2689" s="53"/>
      <c r="C2689" s="53"/>
      <c r="D2689" s="42"/>
      <c r="E2689" s="42"/>
      <c r="F2689" s="53"/>
      <c r="G2689" s="53"/>
      <c r="H2689" s="53"/>
      <c r="I2689" s="53"/>
      <c r="J2689" s="53"/>
      <c r="K2689" s="53"/>
      <c r="L2689" s="53"/>
      <c r="M2689" s="53"/>
      <c r="N2689" s="62"/>
      <c r="O2689" s="62"/>
      <c r="P2689" s="62"/>
      <c r="Q2689" s="62"/>
      <c r="R2689" s="53"/>
      <c r="S2689" s="53"/>
      <c r="T2689" s="82"/>
      <c r="U2689" s="42"/>
      <c r="V2689" s="62"/>
      <c r="W2689" s="64"/>
      <c r="X2689" s="330"/>
      <c r="Y2689" s="330"/>
      <c r="Z2689" s="330"/>
      <c r="AA2689" s="223"/>
    </row>
    <row r="2690">
      <c r="A2690" s="42">
        <f t="shared" si="3"/>
        <v>2689</v>
      </c>
      <c r="B2690" s="53"/>
      <c r="C2690" s="53"/>
      <c r="D2690" s="42"/>
      <c r="E2690" s="42"/>
      <c r="F2690" s="53"/>
      <c r="G2690" s="53"/>
      <c r="H2690" s="53"/>
      <c r="I2690" s="53"/>
      <c r="J2690" s="53"/>
      <c r="K2690" s="53"/>
      <c r="L2690" s="53"/>
      <c r="M2690" s="53"/>
      <c r="N2690" s="62"/>
      <c r="O2690" s="62"/>
      <c r="P2690" s="62"/>
      <c r="Q2690" s="62"/>
      <c r="R2690" s="53"/>
      <c r="S2690" s="53"/>
      <c r="T2690" s="82"/>
      <c r="U2690" s="42"/>
      <c r="V2690" s="62"/>
      <c r="W2690" s="64"/>
      <c r="X2690" s="330"/>
      <c r="Y2690" s="330"/>
      <c r="Z2690" s="330"/>
      <c r="AA2690" s="223"/>
    </row>
    <row r="2691">
      <c r="A2691" s="42">
        <f t="shared" si="3"/>
        <v>2690</v>
      </c>
      <c r="B2691" s="53"/>
      <c r="C2691" s="53"/>
      <c r="D2691" s="42"/>
      <c r="E2691" s="42"/>
      <c r="F2691" s="53"/>
      <c r="G2691" s="53"/>
      <c r="H2691" s="53"/>
      <c r="I2691" s="53"/>
      <c r="J2691" s="53"/>
      <c r="K2691" s="53"/>
      <c r="L2691" s="53"/>
      <c r="M2691" s="53"/>
      <c r="N2691" s="62"/>
      <c r="O2691" s="62"/>
      <c r="P2691" s="62"/>
      <c r="Q2691" s="62"/>
      <c r="R2691" s="53"/>
      <c r="S2691" s="53"/>
      <c r="T2691" s="82"/>
      <c r="U2691" s="42"/>
      <c r="V2691" s="62"/>
      <c r="W2691" s="64"/>
      <c r="X2691" s="330"/>
      <c r="Y2691" s="330"/>
      <c r="Z2691" s="330"/>
      <c r="AA2691" s="223"/>
    </row>
    <row r="2692">
      <c r="A2692" s="42">
        <f t="shared" si="3"/>
        <v>2691</v>
      </c>
      <c r="B2692" s="53"/>
      <c r="C2692" s="53"/>
      <c r="D2692" s="42"/>
      <c r="E2692" s="42"/>
      <c r="F2692" s="53"/>
      <c r="G2692" s="53"/>
      <c r="H2692" s="53"/>
      <c r="I2692" s="53"/>
      <c r="J2692" s="53"/>
      <c r="K2692" s="53"/>
      <c r="L2692" s="53"/>
      <c r="M2692" s="53"/>
      <c r="N2692" s="62"/>
      <c r="O2692" s="62"/>
      <c r="P2692" s="62"/>
      <c r="Q2692" s="62"/>
      <c r="R2692" s="53"/>
      <c r="S2692" s="53"/>
      <c r="T2692" s="82"/>
      <c r="U2692" s="42"/>
      <c r="V2692" s="62"/>
      <c r="W2692" s="64"/>
      <c r="X2692" s="330"/>
      <c r="Y2692" s="330"/>
      <c r="Z2692" s="330"/>
      <c r="AA2692" s="223"/>
    </row>
    <row r="2693">
      <c r="A2693" s="42">
        <f t="shared" si="3"/>
        <v>2692</v>
      </c>
      <c r="B2693" s="53"/>
      <c r="C2693" s="53"/>
      <c r="D2693" s="42"/>
      <c r="E2693" s="42"/>
      <c r="F2693" s="53"/>
      <c r="G2693" s="53"/>
      <c r="H2693" s="53"/>
      <c r="I2693" s="53"/>
      <c r="J2693" s="53"/>
      <c r="K2693" s="53"/>
      <c r="L2693" s="53"/>
      <c r="M2693" s="53"/>
      <c r="N2693" s="62"/>
      <c r="O2693" s="62"/>
      <c r="P2693" s="62"/>
      <c r="Q2693" s="62"/>
      <c r="R2693" s="53"/>
      <c r="S2693" s="53"/>
      <c r="T2693" s="82"/>
      <c r="U2693" s="42"/>
      <c r="V2693" s="62"/>
      <c r="W2693" s="64"/>
      <c r="X2693" s="330"/>
      <c r="Y2693" s="330"/>
      <c r="Z2693" s="330"/>
      <c r="AA2693" s="223"/>
    </row>
    <row r="2694">
      <c r="A2694" s="42">
        <f t="shared" si="3"/>
        <v>2693</v>
      </c>
      <c r="B2694" s="53"/>
      <c r="C2694" s="53"/>
      <c r="D2694" s="42"/>
      <c r="E2694" s="42"/>
      <c r="F2694" s="53"/>
      <c r="G2694" s="53"/>
      <c r="H2694" s="53"/>
      <c r="I2694" s="53"/>
      <c r="J2694" s="53"/>
      <c r="K2694" s="53"/>
      <c r="L2694" s="53"/>
      <c r="M2694" s="53"/>
      <c r="N2694" s="62"/>
      <c r="O2694" s="62"/>
      <c r="P2694" s="62"/>
      <c r="Q2694" s="62"/>
      <c r="R2694" s="53"/>
      <c r="S2694" s="53"/>
      <c r="T2694" s="82"/>
      <c r="U2694" s="42"/>
      <c r="V2694" s="62"/>
      <c r="W2694" s="64"/>
      <c r="X2694" s="330"/>
      <c r="Y2694" s="330"/>
      <c r="Z2694" s="330"/>
      <c r="AA2694" s="223"/>
    </row>
    <row r="2695">
      <c r="A2695" s="42">
        <f t="shared" si="3"/>
        <v>2694</v>
      </c>
      <c r="B2695" s="53"/>
      <c r="C2695" s="53"/>
      <c r="D2695" s="42"/>
      <c r="E2695" s="42"/>
      <c r="F2695" s="53"/>
      <c r="G2695" s="53"/>
      <c r="H2695" s="53"/>
      <c r="I2695" s="53"/>
      <c r="J2695" s="53"/>
      <c r="K2695" s="53"/>
      <c r="L2695" s="53"/>
      <c r="M2695" s="53"/>
      <c r="N2695" s="62"/>
      <c r="O2695" s="62"/>
      <c r="P2695" s="62"/>
      <c r="Q2695" s="62"/>
      <c r="R2695" s="53"/>
      <c r="S2695" s="53"/>
      <c r="T2695" s="82"/>
      <c r="U2695" s="42"/>
      <c r="V2695" s="62"/>
      <c r="W2695" s="64"/>
      <c r="X2695" s="330"/>
      <c r="Y2695" s="330"/>
      <c r="Z2695" s="330"/>
      <c r="AA2695" s="223"/>
    </row>
    <row r="2696">
      <c r="A2696" s="42">
        <f t="shared" si="3"/>
        <v>2695</v>
      </c>
      <c r="B2696" s="53"/>
      <c r="C2696" s="53"/>
      <c r="D2696" s="42"/>
      <c r="E2696" s="42"/>
      <c r="F2696" s="53"/>
      <c r="G2696" s="53"/>
      <c r="H2696" s="53"/>
      <c r="I2696" s="53"/>
      <c r="J2696" s="53"/>
      <c r="K2696" s="53"/>
      <c r="L2696" s="53"/>
      <c r="M2696" s="53"/>
      <c r="N2696" s="62"/>
      <c r="O2696" s="62"/>
      <c r="P2696" s="62"/>
      <c r="Q2696" s="62"/>
      <c r="R2696" s="53"/>
      <c r="S2696" s="53"/>
      <c r="T2696" s="82"/>
      <c r="U2696" s="42"/>
      <c r="V2696" s="62"/>
      <c r="W2696" s="64"/>
      <c r="X2696" s="330"/>
      <c r="Y2696" s="330"/>
      <c r="Z2696" s="330"/>
      <c r="AA2696" s="223"/>
    </row>
    <row r="2697">
      <c r="A2697" s="42">
        <f t="shared" si="3"/>
        <v>2696</v>
      </c>
      <c r="B2697" s="53"/>
      <c r="C2697" s="53"/>
      <c r="D2697" s="42"/>
      <c r="E2697" s="42"/>
      <c r="F2697" s="53"/>
      <c r="G2697" s="53"/>
      <c r="H2697" s="53"/>
      <c r="I2697" s="53"/>
      <c r="J2697" s="53"/>
      <c r="K2697" s="53"/>
      <c r="L2697" s="53"/>
      <c r="M2697" s="53"/>
      <c r="N2697" s="62"/>
      <c r="O2697" s="62"/>
      <c r="P2697" s="62"/>
      <c r="Q2697" s="62"/>
      <c r="R2697" s="53"/>
      <c r="S2697" s="53"/>
      <c r="T2697" s="82"/>
      <c r="U2697" s="42"/>
      <c r="V2697" s="62"/>
      <c r="W2697" s="64"/>
      <c r="X2697" s="330"/>
      <c r="Y2697" s="330"/>
      <c r="Z2697" s="330"/>
      <c r="AA2697" s="223"/>
    </row>
    <row r="2698">
      <c r="A2698" s="42">
        <f t="shared" si="3"/>
        <v>2697</v>
      </c>
      <c r="B2698" s="53"/>
      <c r="C2698" s="53"/>
      <c r="D2698" s="42"/>
      <c r="E2698" s="42"/>
      <c r="F2698" s="53"/>
      <c r="G2698" s="53"/>
      <c r="H2698" s="53"/>
      <c r="I2698" s="53"/>
      <c r="J2698" s="53"/>
      <c r="K2698" s="53"/>
      <c r="L2698" s="53"/>
      <c r="M2698" s="53"/>
      <c r="N2698" s="62"/>
      <c r="O2698" s="62"/>
      <c r="P2698" s="62"/>
      <c r="Q2698" s="62"/>
      <c r="R2698" s="53"/>
      <c r="S2698" s="53"/>
      <c r="T2698" s="82"/>
      <c r="U2698" s="42"/>
      <c r="V2698" s="62"/>
      <c r="W2698" s="64"/>
      <c r="X2698" s="330"/>
      <c r="Y2698" s="330"/>
      <c r="Z2698" s="330"/>
      <c r="AA2698" s="223"/>
    </row>
    <row r="2699">
      <c r="A2699" s="42">
        <f t="shared" si="3"/>
        <v>2698</v>
      </c>
      <c r="B2699" s="53"/>
      <c r="C2699" s="53"/>
      <c r="D2699" s="42"/>
      <c r="E2699" s="42"/>
      <c r="F2699" s="53"/>
      <c r="G2699" s="53"/>
      <c r="H2699" s="53"/>
      <c r="I2699" s="53"/>
      <c r="J2699" s="53"/>
      <c r="K2699" s="53"/>
      <c r="L2699" s="53"/>
      <c r="M2699" s="53"/>
      <c r="N2699" s="62"/>
      <c r="O2699" s="62"/>
      <c r="P2699" s="62"/>
      <c r="Q2699" s="62"/>
      <c r="R2699" s="53"/>
      <c r="S2699" s="53"/>
      <c r="T2699" s="82"/>
      <c r="U2699" s="42"/>
      <c r="V2699" s="62"/>
      <c r="W2699" s="64"/>
      <c r="X2699" s="330"/>
      <c r="Y2699" s="330"/>
      <c r="Z2699" s="330"/>
      <c r="AA2699" s="223"/>
    </row>
    <row r="2700">
      <c r="A2700" s="42">
        <f t="shared" si="3"/>
        <v>2699</v>
      </c>
      <c r="B2700" s="53"/>
      <c r="C2700" s="53"/>
      <c r="D2700" s="42"/>
      <c r="E2700" s="42"/>
      <c r="F2700" s="53"/>
      <c r="G2700" s="53"/>
      <c r="H2700" s="53"/>
      <c r="I2700" s="53"/>
      <c r="J2700" s="53"/>
      <c r="K2700" s="53"/>
      <c r="L2700" s="53"/>
      <c r="M2700" s="53"/>
      <c r="N2700" s="62"/>
      <c r="O2700" s="62"/>
      <c r="P2700" s="62"/>
      <c r="Q2700" s="62"/>
      <c r="R2700" s="53"/>
      <c r="S2700" s="53"/>
      <c r="T2700" s="82"/>
      <c r="U2700" s="42"/>
      <c r="V2700" s="62"/>
      <c r="W2700" s="64"/>
      <c r="X2700" s="330"/>
      <c r="Y2700" s="330"/>
      <c r="Z2700" s="330"/>
      <c r="AA2700" s="223"/>
    </row>
    <row r="2701">
      <c r="A2701" s="42">
        <f t="shared" si="3"/>
        <v>2700</v>
      </c>
      <c r="B2701" s="53"/>
      <c r="C2701" s="53"/>
      <c r="D2701" s="42"/>
      <c r="E2701" s="42"/>
      <c r="F2701" s="53"/>
      <c r="G2701" s="53"/>
      <c r="H2701" s="53"/>
      <c r="I2701" s="53"/>
      <c r="J2701" s="53"/>
      <c r="K2701" s="53"/>
      <c r="L2701" s="53"/>
      <c r="M2701" s="53"/>
      <c r="N2701" s="62"/>
      <c r="O2701" s="62"/>
      <c r="P2701" s="62"/>
      <c r="Q2701" s="62"/>
      <c r="R2701" s="53"/>
      <c r="S2701" s="53"/>
      <c r="T2701" s="82"/>
      <c r="U2701" s="42"/>
      <c r="V2701" s="62"/>
      <c r="W2701" s="64"/>
      <c r="X2701" s="330"/>
      <c r="Y2701" s="330"/>
      <c r="Z2701" s="330"/>
      <c r="AA2701" s="223"/>
    </row>
    <row r="2702">
      <c r="A2702" s="42">
        <f t="shared" si="3"/>
        <v>2701</v>
      </c>
      <c r="B2702" s="53"/>
      <c r="C2702" s="53"/>
      <c r="D2702" s="42"/>
      <c r="E2702" s="42"/>
      <c r="F2702" s="53"/>
      <c r="G2702" s="53"/>
      <c r="H2702" s="53"/>
      <c r="I2702" s="53"/>
      <c r="J2702" s="53"/>
      <c r="K2702" s="53"/>
      <c r="L2702" s="53"/>
      <c r="M2702" s="53"/>
      <c r="N2702" s="62"/>
      <c r="O2702" s="62"/>
      <c r="P2702" s="62"/>
      <c r="Q2702" s="62"/>
      <c r="R2702" s="53"/>
      <c r="S2702" s="53"/>
      <c r="T2702" s="82"/>
      <c r="U2702" s="42"/>
      <c r="V2702" s="62"/>
      <c r="W2702" s="64"/>
      <c r="X2702" s="330"/>
      <c r="Y2702" s="330"/>
      <c r="Z2702" s="330"/>
      <c r="AA2702" s="223"/>
    </row>
    <row r="2703">
      <c r="A2703" s="42">
        <f t="shared" si="3"/>
        <v>2702</v>
      </c>
      <c r="B2703" s="53"/>
      <c r="C2703" s="53"/>
      <c r="D2703" s="42"/>
      <c r="E2703" s="42"/>
      <c r="F2703" s="53"/>
      <c r="G2703" s="53"/>
      <c r="H2703" s="53"/>
      <c r="I2703" s="53"/>
      <c r="J2703" s="53"/>
      <c r="K2703" s="53"/>
      <c r="L2703" s="53"/>
      <c r="M2703" s="53"/>
      <c r="N2703" s="62"/>
      <c r="O2703" s="62"/>
      <c r="P2703" s="62"/>
      <c r="Q2703" s="62"/>
      <c r="R2703" s="53"/>
      <c r="S2703" s="53"/>
      <c r="T2703" s="82"/>
      <c r="U2703" s="42"/>
      <c r="V2703" s="62"/>
      <c r="W2703" s="64"/>
      <c r="X2703" s="330"/>
      <c r="Y2703" s="330"/>
      <c r="Z2703" s="330"/>
      <c r="AA2703" s="223"/>
    </row>
    <row r="2704">
      <c r="A2704" s="42">
        <f t="shared" si="3"/>
        <v>2703</v>
      </c>
      <c r="B2704" s="53"/>
      <c r="C2704" s="53"/>
      <c r="D2704" s="42"/>
      <c r="E2704" s="42"/>
      <c r="F2704" s="53"/>
      <c r="G2704" s="53"/>
      <c r="H2704" s="53"/>
      <c r="I2704" s="53"/>
      <c r="J2704" s="53"/>
      <c r="K2704" s="53"/>
      <c r="L2704" s="53"/>
      <c r="M2704" s="53"/>
      <c r="N2704" s="62"/>
      <c r="O2704" s="62"/>
      <c r="P2704" s="62"/>
      <c r="Q2704" s="62"/>
      <c r="R2704" s="53"/>
      <c r="S2704" s="53"/>
      <c r="T2704" s="82"/>
      <c r="U2704" s="42"/>
      <c r="V2704" s="62"/>
      <c r="W2704" s="64"/>
      <c r="X2704" s="330"/>
      <c r="Y2704" s="330"/>
      <c r="Z2704" s="330"/>
      <c r="AA2704" s="223"/>
    </row>
    <row r="2705">
      <c r="A2705" s="42">
        <f t="shared" si="3"/>
        <v>2704</v>
      </c>
      <c r="B2705" s="53"/>
      <c r="C2705" s="53"/>
      <c r="D2705" s="42"/>
      <c r="E2705" s="42"/>
      <c r="F2705" s="53"/>
      <c r="G2705" s="53"/>
      <c r="H2705" s="53"/>
      <c r="I2705" s="53"/>
      <c r="J2705" s="53"/>
      <c r="K2705" s="53"/>
      <c r="L2705" s="53"/>
      <c r="M2705" s="53"/>
      <c r="N2705" s="62"/>
      <c r="O2705" s="62"/>
      <c r="P2705" s="62"/>
      <c r="Q2705" s="62"/>
      <c r="R2705" s="53"/>
      <c r="S2705" s="53"/>
      <c r="T2705" s="82"/>
      <c r="U2705" s="42"/>
      <c r="V2705" s="62"/>
      <c r="W2705" s="64"/>
      <c r="X2705" s="330"/>
      <c r="Y2705" s="330"/>
      <c r="Z2705" s="330"/>
      <c r="AA2705" s="223"/>
    </row>
    <row r="2706">
      <c r="A2706" s="42">
        <f t="shared" si="3"/>
        <v>2705</v>
      </c>
      <c r="B2706" s="53"/>
      <c r="C2706" s="53"/>
      <c r="D2706" s="42"/>
      <c r="E2706" s="42"/>
      <c r="F2706" s="53"/>
      <c r="G2706" s="53"/>
      <c r="H2706" s="53"/>
      <c r="I2706" s="53"/>
      <c r="J2706" s="53"/>
      <c r="K2706" s="53"/>
      <c r="L2706" s="53"/>
      <c r="M2706" s="53"/>
      <c r="N2706" s="62"/>
      <c r="O2706" s="62"/>
      <c r="P2706" s="62"/>
      <c r="Q2706" s="62"/>
      <c r="R2706" s="53"/>
      <c r="S2706" s="53"/>
      <c r="T2706" s="82"/>
      <c r="U2706" s="42"/>
      <c r="V2706" s="62"/>
      <c r="W2706" s="64"/>
      <c r="X2706" s="330"/>
      <c r="Y2706" s="330"/>
      <c r="Z2706" s="330"/>
      <c r="AA2706" s="223"/>
    </row>
    <row r="2707">
      <c r="A2707" s="42">
        <f t="shared" si="3"/>
        <v>2706</v>
      </c>
      <c r="B2707" s="53"/>
      <c r="C2707" s="53"/>
      <c r="D2707" s="42"/>
      <c r="E2707" s="42"/>
      <c r="F2707" s="53"/>
      <c r="G2707" s="53"/>
      <c r="H2707" s="53"/>
      <c r="I2707" s="53"/>
      <c r="J2707" s="53"/>
      <c r="K2707" s="53"/>
      <c r="L2707" s="53"/>
      <c r="M2707" s="53"/>
      <c r="N2707" s="62"/>
      <c r="O2707" s="62"/>
      <c r="P2707" s="62"/>
      <c r="Q2707" s="62"/>
      <c r="R2707" s="53"/>
      <c r="S2707" s="53"/>
      <c r="T2707" s="82"/>
      <c r="U2707" s="42"/>
      <c r="V2707" s="62"/>
      <c r="W2707" s="64"/>
      <c r="X2707" s="330"/>
      <c r="Y2707" s="330"/>
      <c r="Z2707" s="330"/>
      <c r="AA2707" s="223"/>
    </row>
    <row r="2708">
      <c r="A2708" s="42">
        <f t="shared" si="3"/>
        <v>2707</v>
      </c>
      <c r="B2708" s="53"/>
      <c r="C2708" s="53"/>
      <c r="D2708" s="42"/>
      <c r="E2708" s="42"/>
      <c r="F2708" s="53"/>
      <c r="G2708" s="53"/>
      <c r="H2708" s="53"/>
      <c r="I2708" s="53"/>
      <c r="J2708" s="53"/>
      <c r="K2708" s="53"/>
      <c r="L2708" s="53"/>
      <c r="M2708" s="53"/>
      <c r="N2708" s="62"/>
      <c r="O2708" s="62"/>
      <c r="P2708" s="62"/>
      <c r="Q2708" s="62"/>
      <c r="R2708" s="53"/>
      <c r="S2708" s="53"/>
      <c r="T2708" s="82"/>
      <c r="U2708" s="42"/>
      <c r="V2708" s="62"/>
      <c r="W2708" s="64"/>
      <c r="X2708" s="330"/>
      <c r="Y2708" s="330"/>
      <c r="Z2708" s="330"/>
      <c r="AA2708" s="223"/>
    </row>
    <row r="2709">
      <c r="A2709" s="42">
        <f t="shared" si="3"/>
        <v>2708</v>
      </c>
      <c r="B2709" s="53"/>
      <c r="C2709" s="53"/>
      <c r="D2709" s="42"/>
      <c r="E2709" s="42"/>
      <c r="F2709" s="53"/>
      <c r="G2709" s="53"/>
      <c r="H2709" s="53"/>
      <c r="I2709" s="53"/>
      <c r="J2709" s="53"/>
      <c r="K2709" s="53"/>
      <c r="L2709" s="53"/>
      <c r="M2709" s="53"/>
      <c r="N2709" s="62"/>
      <c r="O2709" s="62"/>
      <c r="P2709" s="62"/>
      <c r="Q2709" s="62"/>
      <c r="R2709" s="53"/>
      <c r="S2709" s="53"/>
      <c r="T2709" s="82"/>
      <c r="U2709" s="42"/>
      <c r="V2709" s="62"/>
      <c r="W2709" s="64"/>
      <c r="X2709" s="330"/>
      <c r="Y2709" s="330"/>
      <c r="Z2709" s="330"/>
      <c r="AA2709" s="223"/>
    </row>
    <row r="2710">
      <c r="A2710" s="42">
        <f t="shared" si="3"/>
        <v>2709</v>
      </c>
      <c r="B2710" s="53"/>
      <c r="C2710" s="53"/>
      <c r="D2710" s="42"/>
      <c r="E2710" s="42"/>
      <c r="F2710" s="53"/>
      <c r="G2710" s="53"/>
      <c r="H2710" s="53"/>
      <c r="I2710" s="53"/>
      <c r="J2710" s="53"/>
      <c r="K2710" s="53"/>
      <c r="L2710" s="53"/>
      <c r="M2710" s="53"/>
      <c r="N2710" s="62"/>
      <c r="O2710" s="62"/>
      <c r="P2710" s="62"/>
      <c r="Q2710" s="62"/>
      <c r="R2710" s="53"/>
      <c r="S2710" s="53"/>
      <c r="T2710" s="82"/>
      <c r="U2710" s="42"/>
      <c r="V2710" s="62"/>
      <c r="W2710" s="64"/>
      <c r="X2710" s="330"/>
      <c r="Y2710" s="330"/>
      <c r="Z2710" s="330"/>
      <c r="AA2710" s="223"/>
    </row>
    <row r="2711">
      <c r="A2711" s="42">
        <f t="shared" si="3"/>
        <v>2710</v>
      </c>
      <c r="B2711" s="53"/>
      <c r="C2711" s="53"/>
      <c r="D2711" s="42"/>
      <c r="E2711" s="42"/>
      <c r="F2711" s="53"/>
      <c r="G2711" s="53"/>
      <c r="H2711" s="53"/>
      <c r="I2711" s="53"/>
      <c r="J2711" s="53"/>
      <c r="K2711" s="53"/>
      <c r="L2711" s="53"/>
      <c r="M2711" s="53"/>
      <c r="N2711" s="62"/>
      <c r="O2711" s="62"/>
      <c r="P2711" s="62"/>
      <c r="Q2711" s="62"/>
      <c r="R2711" s="53"/>
      <c r="S2711" s="53"/>
      <c r="T2711" s="82"/>
      <c r="U2711" s="42"/>
      <c r="V2711" s="62"/>
      <c r="W2711" s="64"/>
      <c r="X2711" s="330"/>
      <c r="Y2711" s="330"/>
      <c r="Z2711" s="330"/>
      <c r="AA2711" s="223"/>
    </row>
    <row r="2712">
      <c r="A2712" s="42">
        <f t="shared" si="3"/>
        <v>2711</v>
      </c>
      <c r="B2712" s="53"/>
      <c r="C2712" s="53"/>
      <c r="D2712" s="42"/>
      <c r="E2712" s="42"/>
      <c r="F2712" s="53"/>
      <c r="G2712" s="53"/>
      <c r="H2712" s="53"/>
      <c r="I2712" s="53"/>
      <c r="J2712" s="53"/>
      <c r="K2712" s="53"/>
      <c r="L2712" s="53"/>
      <c r="M2712" s="53"/>
      <c r="N2712" s="62"/>
      <c r="O2712" s="62"/>
      <c r="P2712" s="62"/>
      <c r="Q2712" s="62"/>
      <c r="R2712" s="53"/>
      <c r="S2712" s="53"/>
      <c r="T2712" s="82"/>
      <c r="U2712" s="42"/>
      <c r="V2712" s="62"/>
      <c r="W2712" s="64"/>
      <c r="X2712" s="330"/>
      <c r="Y2712" s="330"/>
      <c r="Z2712" s="330"/>
      <c r="AA2712" s="223"/>
    </row>
    <row r="2713">
      <c r="A2713" s="42">
        <f t="shared" si="3"/>
        <v>2712</v>
      </c>
      <c r="B2713" s="53"/>
      <c r="C2713" s="53"/>
      <c r="D2713" s="42"/>
      <c r="E2713" s="42"/>
      <c r="F2713" s="53"/>
      <c r="G2713" s="53"/>
      <c r="H2713" s="53"/>
      <c r="I2713" s="53"/>
      <c r="J2713" s="53"/>
      <c r="K2713" s="53"/>
      <c r="L2713" s="53"/>
      <c r="M2713" s="53"/>
      <c r="N2713" s="62"/>
      <c r="O2713" s="62"/>
      <c r="P2713" s="62"/>
      <c r="Q2713" s="62"/>
      <c r="R2713" s="53"/>
      <c r="S2713" s="53"/>
      <c r="T2713" s="82"/>
      <c r="U2713" s="42"/>
      <c r="V2713" s="62"/>
      <c r="W2713" s="64"/>
      <c r="X2713" s="330"/>
      <c r="Y2713" s="330"/>
      <c r="Z2713" s="330"/>
      <c r="AA2713" s="223"/>
    </row>
    <row r="2714">
      <c r="A2714" s="42">
        <f t="shared" si="3"/>
        <v>2713</v>
      </c>
      <c r="B2714" s="53"/>
      <c r="C2714" s="53"/>
      <c r="D2714" s="42"/>
      <c r="E2714" s="42"/>
      <c r="F2714" s="53"/>
      <c r="G2714" s="53"/>
      <c r="H2714" s="53"/>
      <c r="I2714" s="53"/>
      <c r="J2714" s="53"/>
      <c r="K2714" s="53"/>
      <c r="L2714" s="53"/>
      <c r="M2714" s="53"/>
      <c r="N2714" s="62"/>
      <c r="O2714" s="62"/>
      <c r="P2714" s="62"/>
      <c r="Q2714" s="62"/>
      <c r="R2714" s="53"/>
      <c r="S2714" s="53"/>
      <c r="T2714" s="82"/>
      <c r="U2714" s="42"/>
      <c r="V2714" s="62"/>
      <c r="W2714" s="64"/>
      <c r="X2714" s="330"/>
      <c r="Y2714" s="330"/>
      <c r="Z2714" s="330"/>
      <c r="AA2714" s="223"/>
    </row>
    <row r="2715">
      <c r="A2715" s="42">
        <f t="shared" si="3"/>
        <v>2714</v>
      </c>
      <c r="B2715" s="53"/>
      <c r="C2715" s="53"/>
      <c r="D2715" s="42"/>
      <c r="E2715" s="42"/>
      <c r="F2715" s="53"/>
      <c r="G2715" s="53"/>
      <c r="H2715" s="53"/>
      <c r="I2715" s="53"/>
      <c r="J2715" s="53"/>
      <c r="K2715" s="53"/>
      <c r="L2715" s="53"/>
      <c r="M2715" s="53"/>
      <c r="N2715" s="62"/>
      <c r="O2715" s="62"/>
      <c r="P2715" s="62"/>
      <c r="Q2715" s="62"/>
      <c r="R2715" s="53"/>
      <c r="S2715" s="53"/>
      <c r="T2715" s="82"/>
      <c r="U2715" s="42"/>
      <c r="V2715" s="62"/>
      <c r="W2715" s="64"/>
      <c r="X2715" s="330"/>
      <c r="Y2715" s="330"/>
      <c r="Z2715" s="330"/>
      <c r="AA2715" s="223"/>
    </row>
    <row r="2716">
      <c r="A2716" s="42">
        <f t="shared" si="3"/>
        <v>2715</v>
      </c>
      <c r="B2716" s="53"/>
      <c r="C2716" s="53"/>
      <c r="D2716" s="42"/>
      <c r="E2716" s="42"/>
      <c r="F2716" s="53"/>
      <c r="G2716" s="53"/>
      <c r="H2716" s="53"/>
      <c r="I2716" s="53"/>
      <c r="J2716" s="53"/>
      <c r="K2716" s="53"/>
      <c r="L2716" s="53"/>
      <c r="M2716" s="53"/>
      <c r="N2716" s="62"/>
      <c r="O2716" s="62"/>
      <c r="P2716" s="62"/>
      <c r="Q2716" s="62"/>
      <c r="R2716" s="53"/>
      <c r="S2716" s="53"/>
      <c r="T2716" s="82"/>
      <c r="U2716" s="42"/>
      <c r="V2716" s="62"/>
      <c r="W2716" s="64"/>
      <c r="X2716" s="330"/>
      <c r="Y2716" s="330"/>
      <c r="Z2716" s="330"/>
      <c r="AA2716" s="223"/>
    </row>
    <row r="2717">
      <c r="A2717" s="42">
        <f t="shared" si="3"/>
        <v>2716</v>
      </c>
      <c r="B2717" s="53"/>
      <c r="C2717" s="53"/>
      <c r="D2717" s="42"/>
      <c r="E2717" s="42"/>
      <c r="F2717" s="53"/>
      <c r="G2717" s="53"/>
      <c r="H2717" s="53"/>
      <c r="I2717" s="53"/>
      <c r="J2717" s="53"/>
      <c r="K2717" s="53"/>
      <c r="L2717" s="53"/>
      <c r="M2717" s="53"/>
      <c r="N2717" s="62"/>
      <c r="O2717" s="62"/>
      <c r="P2717" s="62"/>
      <c r="Q2717" s="62"/>
      <c r="R2717" s="53"/>
      <c r="S2717" s="53"/>
      <c r="T2717" s="82"/>
      <c r="U2717" s="42"/>
      <c r="V2717" s="62"/>
      <c r="W2717" s="64"/>
      <c r="X2717" s="330"/>
      <c r="Y2717" s="330"/>
      <c r="Z2717" s="330"/>
      <c r="AA2717" s="223"/>
    </row>
    <row r="2718">
      <c r="A2718" s="42">
        <f t="shared" si="3"/>
        <v>2717</v>
      </c>
      <c r="B2718" s="53"/>
      <c r="C2718" s="53"/>
      <c r="D2718" s="42"/>
      <c r="E2718" s="42"/>
      <c r="F2718" s="53"/>
      <c r="G2718" s="53"/>
      <c r="H2718" s="53"/>
      <c r="I2718" s="53"/>
      <c r="J2718" s="53"/>
      <c r="K2718" s="53"/>
      <c r="L2718" s="53"/>
      <c r="M2718" s="53"/>
      <c r="N2718" s="62"/>
      <c r="O2718" s="62"/>
      <c r="P2718" s="62"/>
      <c r="Q2718" s="62"/>
      <c r="R2718" s="53"/>
      <c r="S2718" s="53"/>
      <c r="T2718" s="82"/>
      <c r="U2718" s="42"/>
      <c r="V2718" s="62"/>
      <c r="W2718" s="64"/>
      <c r="X2718" s="330"/>
      <c r="Y2718" s="330"/>
      <c r="Z2718" s="330"/>
      <c r="AA2718" s="223"/>
    </row>
    <row r="2719">
      <c r="A2719" s="42">
        <f t="shared" si="3"/>
        <v>2718</v>
      </c>
      <c r="B2719" s="53"/>
      <c r="C2719" s="53"/>
      <c r="D2719" s="42"/>
      <c r="E2719" s="42"/>
      <c r="F2719" s="53"/>
      <c r="G2719" s="53"/>
      <c r="H2719" s="53"/>
      <c r="I2719" s="53"/>
      <c r="J2719" s="53"/>
      <c r="K2719" s="53"/>
      <c r="L2719" s="53"/>
      <c r="M2719" s="53"/>
      <c r="N2719" s="62"/>
      <c r="O2719" s="62"/>
      <c r="P2719" s="62"/>
      <c r="Q2719" s="62"/>
      <c r="R2719" s="53"/>
      <c r="S2719" s="53"/>
      <c r="T2719" s="82"/>
      <c r="U2719" s="42"/>
      <c r="V2719" s="62"/>
      <c r="W2719" s="64"/>
      <c r="X2719" s="330"/>
      <c r="Y2719" s="330"/>
      <c r="Z2719" s="330"/>
      <c r="AA2719" s="223"/>
    </row>
    <row r="2720">
      <c r="A2720" s="42">
        <f t="shared" si="3"/>
        <v>2719</v>
      </c>
      <c r="B2720" s="53"/>
      <c r="C2720" s="53"/>
      <c r="D2720" s="42"/>
      <c r="E2720" s="42"/>
      <c r="F2720" s="53"/>
      <c r="G2720" s="53"/>
      <c r="H2720" s="53"/>
      <c r="I2720" s="53"/>
      <c r="J2720" s="53"/>
      <c r="K2720" s="53"/>
      <c r="L2720" s="53"/>
      <c r="M2720" s="53"/>
      <c r="N2720" s="62"/>
      <c r="O2720" s="62"/>
      <c r="P2720" s="62"/>
      <c r="Q2720" s="62"/>
      <c r="R2720" s="53"/>
      <c r="S2720" s="53"/>
      <c r="T2720" s="82"/>
      <c r="U2720" s="42"/>
      <c r="V2720" s="62"/>
      <c r="W2720" s="64"/>
      <c r="X2720" s="330"/>
      <c r="Y2720" s="330"/>
      <c r="Z2720" s="330"/>
      <c r="AA2720" s="223"/>
    </row>
    <row r="2721">
      <c r="A2721" s="42">
        <f t="shared" si="3"/>
        <v>2720</v>
      </c>
      <c r="B2721" s="53"/>
      <c r="C2721" s="53"/>
      <c r="D2721" s="42"/>
      <c r="E2721" s="42"/>
      <c r="F2721" s="53"/>
      <c r="G2721" s="53"/>
      <c r="H2721" s="53"/>
      <c r="I2721" s="53"/>
      <c r="J2721" s="53"/>
      <c r="K2721" s="53"/>
      <c r="L2721" s="53"/>
      <c r="M2721" s="53"/>
      <c r="N2721" s="62"/>
      <c r="O2721" s="62"/>
      <c r="P2721" s="62"/>
      <c r="Q2721" s="62"/>
      <c r="R2721" s="53"/>
      <c r="S2721" s="53"/>
      <c r="T2721" s="82"/>
      <c r="U2721" s="42"/>
      <c r="V2721" s="62"/>
      <c r="W2721" s="64"/>
      <c r="X2721" s="330"/>
      <c r="Y2721" s="330"/>
      <c r="Z2721" s="330"/>
      <c r="AA2721" s="223"/>
    </row>
    <row r="2722">
      <c r="A2722" s="42">
        <f t="shared" si="3"/>
        <v>2721</v>
      </c>
      <c r="B2722" s="53"/>
      <c r="C2722" s="53"/>
      <c r="D2722" s="42"/>
      <c r="E2722" s="42"/>
      <c r="F2722" s="53"/>
      <c r="G2722" s="53"/>
      <c r="H2722" s="53"/>
      <c r="I2722" s="53"/>
      <c r="J2722" s="53"/>
      <c r="K2722" s="53"/>
      <c r="L2722" s="53"/>
      <c r="M2722" s="53"/>
      <c r="N2722" s="62"/>
      <c r="O2722" s="62"/>
      <c r="P2722" s="62"/>
      <c r="Q2722" s="62"/>
      <c r="R2722" s="53"/>
      <c r="S2722" s="53"/>
      <c r="T2722" s="82"/>
      <c r="U2722" s="42"/>
      <c r="V2722" s="62"/>
      <c r="W2722" s="64"/>
      <c r="X2722" s="330"/>
      <c r="Y2722" s="330"/>
      <c r="Z2722" s="330"/>
      <c r="AA2722" s="223"/>
    </row>
    <row r="2723">
      <c r="A2723" s="42">
        <f t="shared" si="3"/>
        <v>2722</v>
      </c>
      <c r="B2723" s="53"/>
      <c r="C2723" s="53"/>
      <c r="D2723" s="42"/>
      <c r="E2723" s="42"/>
      <c r="F2723" s="53"/>
      <c r="G2723" s="53"/>
      <c r="H2723" s="53"/>
      <c r="I2723" s="53"/>
      <c r="J2723" s="53"/>
      <c r="K2723" s="53"/>
      <c r="L2723" s="53"/>
      <c r="M2723" s="53"/>
      <c r="N2723" s="62"/>
      <c r="O2723" s="62"/>
      <c r="P2723" s="62"/>
      <c r="Q2723" s="62"/>
      <c r="R2723" s="53"/>
      <c r="S2723" s="53"/>
      <c r="T2723" s="82"/>
      <c r="U2723" s="42"/>
      <c r="V2723" s="62"/>
      <c r="W2723" s="64"/>
      <c r="X2723" s="330"/>
      <c r="Y2723" s="330"/>
      <c r="Z2723" s="330"/>
      <c r="AA2723" s="223"/>
    </row>
    <row r="2724">
      <c r="A2724" s="42">
        <f t="shared" si="3"/>
        <v>2723</v>
      </c>
      <c r="B2724" s="53"/>
      <c r="C2724" s="53"/>
      <c r="D2724" s="42"/>
      <c r="E2724" s="42"/>
      <c r="F2724" s="53"/>
      <c r="G2724" s="53"/>
      <c r="H2724" s="53"/>
      <c r="I2724" s="53"/>
      <c r="J2724" s="53"/>
      <c r="K2724" s="53"/>
      <c r="L2724" s="53"/>
      <c r="M2724" s="53"/>
      <c r="N2724" s="62"/>
      <c r="O2724" s="62"/>
      <c r="P2724" s="62"/>
      <c r="Q2724" s="62"/>
      <c r="R2724" s="53"/>
      <c r="S2724" s="53"/>
      <c r="T2724" s="82"/>
      <c r="U2724" s="42"/>
      <c r="V2724" s="62"/>
      <c r="W2724" s="64"/>
      <c r="X2724" s="330"/>
      <c r="Y2724" s="330"/>
      <c r="Z2724" s="330"/>
      <c r="AA2724" s="223"/>
    </row>
    <row r="2725">
      <c r="A2725" s="42">
        <f t="shared" si="3"/>
        <v>2724</v>
      </c>
      <c r="B2725" s="53"/>
      <c r="C2725" s="53"/>
      <c r="D2725" s="42"/>
      <c r="E2725" s="42"/>
      <c r="F2725" s="53"/>
      <c r="G2725" s="53"/>
      <c r="H2725" s="53"/>
      <c r="I2725" s="53"/>
      <c r="J2725" s="53"/>
      <c r="K2725" s="53"/>
      <c r="L2725" s="53"/>
      <c r="M2725" s="53"/>
      <c r="N2725" s="62"/>
      <c r="O2725" s="62"/>
      <c r="P2725" s="62"/>
      <c r="Q2725" s="62"/>
      <c r="R2725" s="53"/>
      <c r="S2725" s="53"/>
      <c r="T2725" s="82"/>
      <c r="U2725" s="42"/>
      <c r="V2725" s="62"/>
      <c r="W2725" s="64"/>
      <c r="X2725" s="330"/>
      <c r="Y2725" s="330"/>
      <c r="Z2725" s="330"/>
      <c r="AA2725" s="223"/>
    </row>
    <row r="2726">
      <c r="A2726" s="42">
        <f t="shared" si="3"/>
        <v>2725</v>
      </c>
      <c r="B2726" s="53"/>
      <c r="C2726" s="53"/>
      <c r="D2726" s="42"/>
      <c r="E2726" s="42"/>
      <c r="F2726" s="53"/>
      <c r="G2726" s="53"/>
      <c r="H2726" s="53"/>
      <c r="I2726" s="53"/>
      <c r="J2726" s="53"/>
      <c r="K2726" s="53"/>
      <c r="L2726" s="53"/>
      <c r="M2726" s="53"/>
      <c r="N2726" s="62"/>
      <c r="O2726" s="62"/>
      <c r="P2726" s="62"/>
      <c r="Q2726" s="62"/>
      <c r="R2726" s="53"/>
      <c r="S2726" s="53"/>
      <c r="T2726" s="82"/>
      <c r="U2726" s="42"/>
      <c r="V2726" s="62"/>
      <c r="W2726" s="64"/>
      <c r="X2726" s="330"/>
      <c r="Y2726" s="330"/>
      <c r="Z2726" s="330"/>
      <c r="AA2726" s="223"/>
    </row>
    <row r="2727">
      <c r="A2727" s="42">
        <f t="shared" si="3"/>
        <v>2726</v>
      </c>
      <c r="B2727" s="53"/>
      <c r="C2727" s="53"/>
      <c r="D2727" s="42"/>
      <c r="E2727" s="42"/>
      <c r="F2727" s="53"/>
      <c r="G2727" s="53"/>
      <c r="H2727" s="53"/>
      <c r="I2727" s="53"/>
      <c r="J2727" s="53"/>
      <c r="K2727" s="53"/>
      <c r="L2727" s="53"/>
      <c r="M2727" s="53"/>
      <c r="N2727" s="62"/>
      <c r="O2727" s="62"/>
      <c r="P2727" s="62"/>
      <c r="Q2727" s="62"/>
      <c r="R2727" s="53"/>
      <c r="S2727" s="53"/>
      <c r="T2727" s="82"/>
      <c r="U2727" s="42"/>
      <c r="V2727" s="62"/>
      <c r="W2727" s="64"/>
      <c r="X2727" s="330"/>
      <c r="Y2727" s="330"/>
      <c r="Z2727" s="330"/>
      <c r="AA2727" s="223"/>
    </row>
    <row r="2728">
      <c r="A2728" s="42">
        <f t="shared" si="3"/>
        <v>2727</v>
      </c>
      <c r="B2728" s="53"/>
      <c r="C2728" s="53"/>
      <c r="D2728" s="42"/>
      <c r="E2728" s="42"/>
      <c r="F2728" s="53"/>
      <c r="G2728" s="53"/>
      <c r="H2728" s="53"/>
      <c r="I2728" s="53"/>
      <c r="J2728" s="53"/>
      <c r="K2728" s="53"/>
      <c r="L2728" s="53"/>
      <c r="M2728" s="53"/>
      <c r="N2728" s="62"/>
      <c r="O2728" s="62"/>
      <c r="P2728" s="62"/>
      <c r="Q2728" s="62"/>
      <c r="R2728" s="53"/>
      <c r="S2728" s="53"/>
      <c r="T2728" s="82"/>
      <c r="U2728" s="42"/>
      <c r="V2728" s="62"/>
      <c r="W2728" s="64"/>
      <c r="X2728" s="330"/>
      <c r="Y2728" s="330"/>
      <c r="Z2728" s="330"/>
      <c r="AA2728" s="223"/>
    </row>
    <row r="2729">
      <c r="A2729" s="42">
        <f t="shared" si="3"/>
        <v>2728</v>
      </c>
      <c r="B2729" s="53"/>
      <c r="C2729" s="53"/>
      <c r="D2729" s="42"/>
      <c r="E2729" s="42"/>
      <c r="F2729" s="53"/>
      <c r="G2729" s="53"/>
      <c r="H2729" s="53"/>
      <c r="I2729" s="53"/>
      <c r="J2729" s="53"/>
      <c r="K2729" s="53"/>
      <c r="L2729" s="53"/>
      <c r="M2729" s="53"/>
      <c r="N2729" s="62"/>
      <c r="O2729" s="62"/>
      <c r="P2729" s="62"/>
      <c r="Q2729" s="62"/>
      <c r="R2729" s="53"/>
      <c r="S2729" s="53"/>
      <c r="T2729" s="82"/>
      <c r="U2729" s="42"/>
      <c r="V2729" s="62"/>
      <c r="W2729" s="64"/>
      <c r="X2729" s="330"/>
      <c r="Y2729" s="330"/>
      <c r="Z2729" s="330"/>
      <c r="AA2729" s="223"/>
    </row>
    <row r="2730">
      <c r="A2730" s="42">
        <f t="shared" si="3"/>
        <v>2729</v>
      </c>
      <c r="B2730" s="53"/>
      <c r="C2730" s="53"/>
      <c r="D2730" s="42"/>
      <c r="E2730" s="42"/>
      <c r="F2730" s="53"/>
      <c r="G2730" s="53"/>
      <c r="H2730" s="53"/>
      <c r="I2730" s="53"/>
      <c r="J2730" s="53"/>
      <c r="K2730" s="53"/>
      <c r="L2730" s="53"/>
      <c r="M2730" s="53"/>
      <c r="N2730" s="62"/>
      <c r="O2730" s="62"/>
      <c r="P2730" s="62"/>
      <c r="Q2730" s="62"/>
      <c r="R2730" s="53"/>
      <c r="S2730" s="53"/>
      <c r="T2730" s="82"/>
      <c r="U2730" s="42"/>
      <c r="V2730" s="62"/>
      <c r="W2730" s="64"/>
      <c r="X2730" s="330"/>
      <c r="Y2730" s="330"/>
      <c r="Z2730" s="330"/>
      <c r="AA2730" s="223"/>
    </row>
    <row r="2731">
      <c r="A2731" s="42">
        <f t="shared" si="3"/>
        <v>2730</v>
      </c>
      <c r="B2731" s="53"/>
      <c r="C2731" s="53"/>
      <c r="D2731" s="42"/>
      <c r="E2731" s="42"/>
      <c r="F2731" s="53"/>
      <c r="G2731" s="53"/>
      <c r="H2731" s="53"/>
      <c r="I2731" s="53"/>
      <c r="J2731" s="53"/>
      <c r="K2731" s="53"/>
      <c r="L2731" s="53"/>
      <c r="M2731" s="53"/>
      <c r="N2731" s="62"/>
      <c r="O2731" s="62"/>
      <c r="P2731" s="62"/>
      <c r="Q2731" s="62"/>
      <c r="R2731" s="53"/>
      <c r="S2731" s="53"/>
      <c r="T2731" s="82"/>
      <c r="U2731" s="42"/>
      <c r="V2731" s="62"/>
      <c r="W2731" s="64"/>
      <c r="X2731" s="330"/>
      <c r="Y2731" s="330"/>
      <c r="Z2731" s="330"/>
      <c r="AA2731" s="223"/>
    </row>
    <row r="2732">
      <c r="A2732" s="42">
        <f t="shared" si="3"/>
        <v>2731</v>
      </c>
      <c r="B2732" s="53"/>
      <c r="C2732" s="53"/>
      <c r="D2732" s="42"/>
      <c r="E2732" s="42"/>
      <c r="F2732" s="53"/>
      <c r="G2732" s="53"/>
      <c r="H2732" s="53"/>
      <c r="I2732" s="53"/>
      <c r="J2732" s="53"/>
      <c r="K2732" s="53"/>
      <c r="L2732" s="53"/>
      <c r="M2732" s="53"/>
      <c r="N2732" s="62"/>
      <c r="O2732" s="62"/>
      <c r="P2732" s="62"/>
      <c r="Q2732" s="62"/>
      <c r="R2732" s="53"/>
      <c r="S2732" s="53"/>
      <c r="T2732" s="82"/>
      <c r="U2732" s="42"/>
      <c r="V2732" s="62"/>
      <c r="W2732" s="64"/>
      <c r="X2732" s="330"/>
      <c r="Y2732" s="330"/>
      <c r="Z2732" s="330"/>
      <c r="AA2732" s="223"/>
    </row>
    <row r="2733">
      <c r="A2733" s="42">
        <f t="shared" si="3"/>
        <v>2732</v>
      </c>
      <c r="B2733" s="53"/>
      <c r="C2733" s="53"/>
      <c r="D2733" s="42"/>
      <c r="E2733" s="42"/>
      <c r="F2733" s="53"/>
      <c r="G2733" s="53"/>
      <c r="H2733" s="53"/>
      <c r="I2733" s="53"/>
      <c r="J2733" s="53"/>
      <c r="K2733" s="53"/>
      <c r="L2733" s="53"/>
      <c r="M2733" s="53"/>
      <c r="N2733" s="62"/>
      <c r="O2733" s="62"/>
      <c r="P2733" s="62"/>
      <c r="Q2733" s="62"/>
      <c r="R2733" s="53"/>
      <c r="S2733" s="53"/>
      <c r="T2733" s="82"/>
      <c r="U2733" s="42"/>
      <c r="V2733" s="62"/>
      <c r="W2733" s="64"/>
      <c r="X2733" s="330"/>
      <c r="Y2733" s="330"/>
      <c r="Z2733" s="330"/>
      <c r="AA2733" s="223"/>
    </row>
    <row r="2734">
      <c r="A2734" s="42">
        <f t="shared" si="3"/>
        <v>2733</v>
      </c>
      <c r="B2734" s="53"/>
      <c r="C2734" s="53"/>
      <c r="D2734" s="42"/>
      <c r="E2734" s="42"/>
      <c r="F2734" s="53"/>
      <c r="G2734" s="53"/>
      <c r="H2734" s="53"/>
      <c r="I2734" s="53"/>
      <c r="J2734" s="53"/>
      <c r="K2734" s="53"/>
      <c r="L2734" s="53"/>
      <c r="M2734" s="53"/>
      <c r="N2734" s="62"/>
      <c r="O2734" s="62"/>
      <c r="P2734" s="62"/>
      <c r="Q2734" s="62"/>
      <c r="R2734" s="53"/>
      <c r="S2734" s="53"/>
      <c r="T2734" s="82"/>
      <c r="U2734" s="42"/>
      <c r="V2734" s="62"/>
      <c r="W2734" s="64"/>
      <c r="X2734" s="330"/>
      <c r="Y2734" s="330"/>
      <c r="Z2734" s="330"/>
      <c r="AA2734" s="223"/>
    </row>
    <row r="2735">
      <c r="A2735" s="42">
        <f t="shared" si="3"/>
        <v>2734</v>
      </c>
      <c r="B2735" s="53"/>
      <c r="C2735" s="53"/>
      <c r="D2735" s="42"/>
      <c r="E2735" s="42"/>
      <c r="F2735" s="53"/>
      <c r="G2735" s="53"/>
      <c r="H2735" s="53"/>
      <c r="I2735" s="53"/>
      <c r="J2735" s="53"/>
      <c r="K2735" s="53"/>
      <c r="L2735" s="53"/>
      <c r="M2735" s="53"/>
      <c r="N2735" s="62"/>
      <c r="O2735" s="62"/>
      <c r="P2735" s="62"/>
      <c r="Q2735" s="62"/>
      <c r="R2735" s="53"/>
      <c r="S2735" s="53"/>
      <c r="T2735" s="82"/>
      <c r="U2735" s="42"/>
      <c r="V2735" s="62"/>
      <c r="W2735" s="64"/>
      <c r="X2735" s="330"/>
      <c r="Y2735" s="330"/>
      <c r="Z2735" s="330"/>
      <c r="AA2735" s="223"/>
    </row>
    <row r="2736">
      <c r="A2736" s="42">
        <f t="shared" si="3"/>
        <v>2735</v>
      </c>
      <c r="B2736" s="53"/>
      <c r="C2736" s="53"/>
      <c r="D2736" s="42"/>
      <c r="E2736" s="42"/>
      <c r="F2736" s="53"/>
      <c r="G2736" s="53"/>
      <c r="H2736" s="53"/>
      <c r="I2736" s="53"/>
      <c r="J2736" s="53"/>
      <c r="K2736" s="53"/>
      <c r="L2736" s="53"/>
      <c r="M2736" s="53"/>
      <c r="N2736" s="62"/>
      <c r="O2736" s="62"/>
      <c r="P2736" s="62"/>
      <c r="Q2736" s="62"/>
      <c r="R2736" s="53"/>
      <c r="S2736" s="53"/>
      <c r="T2736" s="82"/>
      <c r="U2736" s="42"/>
      <c r="V2736" s="62"/>
      <c r="W2736" s="64"/>
      <c r="X2736" s="330"/>
      <c r="Y2736" s="330"/>
      <c r="Z2736" s="330"/>
      <c r="AA2736" s="223"/>
    </row>
    <row r="2737">
      <c r="A2737" s="42">
        <f t="shared" si="3"/>
        <v>2736</v>
      </c>
      <c r="B2737" s="53"/>
      <c r="C2737" s="53"/>
      <c r="D2737" s="42"/>
      <c r="E2737" s="42"/>
      <c r="F2737" s="53"/>
      <c r="G2737" s="53"/>
      <c r="H2737" s="53"/>
      <c r="I2737" s="53"/>
      <c r="J2737" s="53"/>
      <c r="K2737" s="53"/>
      <c r="L2737" s="53"/>
      <c r="M2737" s="53"/>
      <c r="N2737" s="62"/>
      <c r="O2737" s="62"/>
      <c r="P2737" s="62"/>
      <c r="Q2737" s="62"/>
      <c r="R2737" s="53"/>
      <c r="S2737" s="53"/>
      <c r="T2737" s="82"/>
      <c r="U2737" s="42"/>
      <c r="V2737" s="62"/>
      <c r="W2737" s="64"/>
      <c r="X2737" s="330"/>
      <c r="Y2737" s="330"/>
      <c r="Z2737" s="330"/>
      <c r="AA2737" s="223"/>
    </row>
    <row r="2738">
      <c r="A2738" s="42">
        <f t="shared" si="3"/>
        <v>2737</v>
      </c>
      <c r="B2738" s="53"/>
      <c r="C2738" s="53"/>
      <c r="D2738" s="42"/>
      <c r="E2738" s="42"/>
      <c r="F2738" s="53"/>
      <c r="G2738" s="53"/>
      <c r="H2738" s="53"/>
      <c r="I2738" s="53"/>
      <c r="J2738" s="53"/>
      <c r="K2738" s="53"/>
      <c r="L2738" s="53"/>
      <c r="M2738" s="53"/>
      <c r="N2738" s="62"/>
      <c r="O2738" s="62"/>
      <c r="P2738" s="62"/>
      <c r="Q2738" s="62"/>
      <c r="R2738" s="53"/>
      <c r="S2738" s="53"/>
      <c r="T2738" s="82"/>
      <c r="U2738" s="42"/>
      <c r="V2738" s="62"/>
      <c r="W2738" s="64"/>
      <c r="X2738" s="330"/>
      <c r="Y2738" s="330"/>
      <c r="Z2738" s="330"/>
      <c r="AA2738" s="223"/>
    </row>
    <row r="2739">
      <c r="A2739" s="42">
        <f t="shared" si="3"/>
        <v>2738</v>
      </c>
      <c r="B2739" s="53"/>
      <c r="C2739" s="53"/>
      <c r="D2739" s="42"/>
      <c r="E2739" s="42"/>
      <c r="F2739" s="53"/>
      <c r="G2739" s="53"/>
      <c r="H2739" s="53"/>
      <c r="I2739" s="53"/>
      <c r="J2739" s="53"/>
      <c r="K2739" s="53"/>
      <c r="L2739" s="53"/>
      <c r="M2739" s="53"/>
      <c r="N2739" s="62"/>
      <c r="O2739" s="62"/>
      <c r="P2739" s="62"/>
      <c r="Q2739" s="62"/>
      <c r="R2739" s="53"/>
      <c r="S2739" s="53"/>
      <c r="T2739" s="82"/>
      <c r="U2739" s="42"/>
      <c r="V2739" s="62"/>
      <c r="W2739" s="64"/>
      <c r="X2739" s="330"/>
      <c r="Y2739" s="330"/>
      <c r="Z2739" s="330"/>
      <c r="AA2739" s="223"/>
    </row>
    <row r="2740">
      <c r="A2740" s="42">
        <f t="shared" si="3"/>
        <v>2739</v>
      </c>
      <c r="B2740" s="53"/>
      <c r="C2740" s="53"/>
      <c r="D2740" s="42"/>
      <c r="E2740" s="42"/>
      <c r="F2740" s="53"/>
      <c r="G2740" s="53"/>
      <c r="H2740" s="53"/>
      <c r="I2740" s="53"/>
      <c r="J2740" s="53"/>
      <c r="K2740" s="53"/>
      <c r="L2740" s="53"/>
      <c r="M2740" s="53"/>
      <c r="N2740" s="62"/>
      <c r="O2740" s="62"/>
      <c r="P2740" s="62"/>
      <c r="Q2740" s="62"/>
      <c r="R2740" s="53"/>
      <c r="S2740" s="53"/>
      <c r="T2740" s="82"/>
      <c r="U2740" s="42"/>
      <c r="V2740" s="62"/>
      <c r="W2740" s="64"/>
      <c r="X2740" s="330"/>
      <c r="Y2740" s="330"/>
      <c r="Z2740" s="330"/>
      <c r="AA2740" s="223"/>
    </row>
    <row r="2741">
      <c r="A2741" s="42">
        <f t="shared" si="3"/>
        <v>2740</v>
      </c>
      <c r="B2741" s="53"/>
      <c r="C2741" s="53"/>
      <c r="D2741" s="42"/>
      <c r="E2741" s="42"/>
      <c r="F2741" s="53"/>
      <c r="G2741" s="53"/>
      <c r="H2741" s="53"/>
      <c r="I2741" s="53"/>
      <c r="J2741" s="53"/>
      <c r="K2741" s="53"/>
      <c r="L2741" s="53"/>
      <c r="M2741" s="53"/>
      <c r="N2741" s="62"/>
      <c r="O2741" s="62"/>
      <c r="P2741" s="62"/>
      <c r="Q2741" s="62"/>
      <c r="R2741" s="53"/>
      <c r="S2741" s="53"/>
      <c r="T2741" s="82"/>
      <c r="U2741" s="42"/>
      <c r="V2741" s="62"/>
      <c r="W2741" s="64"/>
      <c r="X2741" s="330"/>
      <c r="Y2741" s="330"/>
      <c r="Z2741" s="330"/>
      <c r="AA2741" s="223"/>
    </row>
    <row r="2742">
      <c r="A2742" s="42">
        <f t="shared" si="3"/>
        <v>2741</v>
      </c>
      <c r="B2742" s="53"/>
      <c r="C2742" s="53"/>
      <c r="D2742" s="42"/>
      <c r="E2742" s="42"/>
      <c r="F2742" s="53"/>
      <c r="G2742" s="53"/>
      <c r="H2742" s="53"/>
      <c r="I2742" s="53"/>
      <c r="J2742" s="53"/>
      <c r="K2742" s="53"/>
      <c r="L2742" s="53"/>
      <c r="M2742" s="53"/>
      <c r="N2742" s="62"/>
      <c r="O2742" s="62"/>
      <c r="P2742" s="62"/>
      <c r="Q2742" s="62"/>
      <c r="R2742" s="53"/>
      <c r="S2742" s="53"/>
      <c r="T2742" s="82"/>
      <c r="U2742" s="42"/>
      <c r="V2742" s="62"/>
      <c r="W2742" s="64"/>
      <c r="X2742" s="330"/>
      <c r="Y2742" s="330"/>
      <c r="Z2742" s="330"/>
      <c r="AA2742" s="223"/>
    </row>
    <row r="2743">
      <c r="A2743" s="42">
        <f t="shared" si="3"/>
        <v>2742</v>
      </c>
      <c r="B2743" s="53"/>
      <c r="C2743" s="53"/>
      <c r="D2743" s="42"/>
      <c r="E2743" s="42"/>
      <c r="F2743" s="53"/>
      <c r="G2743" s="53"/>
      <c r="H2743" s="53"/>
      <c r="I2743" s="53"/>
      <c r="J2743" s="53"/>
      <c r="K2743" s="53"/>
      <c r="L2743" s="53"/>
      <c r="M2743" s="53"/>
      <c r="N2743" s="62"/>
      <c r="O2743" s="62"/>
      <c r="P2743" s="62"/>
      <c r="Q2743" s="62"/>
      <c r="R2743" s="53"/>
      <c r="S2743" s="53"/>
      <c r="T2743" s="82"/>
      <c r="U2743" s="42"/>
      <c r="V2743" s="62"/>
      <c r="W2743" s="64"/>
      <c r="X2743" s="330"/>
      <c r="Y2743" s="330"/>
      <c r="Z2743" s="330"/>
      <c r="AA2743" s="223"/>
    </row>
    <row r="2744">
      <c r="A2744" s="42">
        <f t="shared" si="3"/>
        <v>2743</v>
      </c>
      <c r="B2744" s="53"/>
      <c r="C2744" s="53"/>
      <c r="D2744" s="42"/>
      <c r="E2744" s="42"/>
      <c r="F2744" s="53"/>
      <c r="G2744" s="53"/>
      <c r="H2744" s="53"/>
      <c r="I2744" s="53"/>
      <c r="J2744" s="53"/>
      <c r="K2744" s="53"/>
      <c r="L2744" s="53"/>
      <c r="M2744" s="53"/>
      <c r="N2744" s="62"/>
      <c r="O2744" s="62"/>
      <c r="P2744" s="62"/>
      <c r="Q2744" s="62"/>
      <c r="R2744" s="53"/>
      <c r="S2744" s="53"/>
      <c r="T2744" s="82"/>
      <c r="U2744" s="42"/>
      <c r="V2744" s="62"/>
      <c r="W2744" s="64"/>
      <c r="X2744" s="330"/>
      <c r="Y2744" s="330"/>
      <c r="Z2744" s="330"/>
      <c r="AA2744" s="223"/>
    </row>
    <row r="2745">
      <c r="A2745" s="42">
        <f t="shared" si="3"/>
        <v>2744</v>
      </c>
      <c r="B2745" s="53"/>
      <c r="C2745" s="53"/>
      <c r="D2745" s="42"/>
      <c r="E2745" s="42"/>
      <c r="F2745" s="53"/>
      <c r="G2745" s="53"/>
      <c r="H2745" s="53"/>
      <c r="I2745" s="53"/>
      <c r="J2745" s="53"/>
      <c r="K2745" s="53"/>
      <c r="L2745" s="53"/>
      <c r="M2745" s="53"/>
      <c r="N2745" s="62"/>
      <c r="O2745" s="62"/>
      <c r="P2745" s="62"/>
      <c r="Q2745" s="62"/>
      <c r="R2745" s="53"/>
      <c r="S2745" s="53"/>
      <c r="T2745" s="82"/>
      <c r="U2745" s="42"/>
      <c r="V2745" s="62"/>
      <c r="W2745" s="64"/>
      <c r="X2745" s="330"/>
      <c r="Y2745" s="330"/>
      <c r="Z2745" s="330"/>
      <c r="AA2745" s="223"/>
    </row>
    <row r="2746">
      <c r="A2746" s="42">
        <f t="shared" si="3"/>
        <v>2745</v>
      </c>
      <c r="B2746" s="53"/>
      <c r="C2746" s="53"/>
      <c r="D2746" s="42"/>
      <c r="E2746" s="42"/>
      <c r="F2746" s="53"/>
      <c r="G2746" s="53"/>
      <c r="H2746" s="53"/>
      <c r="I2746" s="53"/>
      <c r="J2746" s="53"/>
      <c r="K2746" s="53"/>
      <c r="L2746" s="53"/>
      <c r="M2746" s="53"/>
      <c r="N2746" s="62"/>
      <c r="O2746" s="62"/>
      <c r="P2746" s="62"/>
      <c r="Q2746" s="62"/>
      <c r="R2746" s="53"/>
      <c r="S2746" s="53"/>
      <c r="T2746" s="82"/>
      <c r="U2746" s="42"/>
      <c r="V2746" s="62"/>
      <c r="W2746" s="64"/>
      <c r="X2746" s="330"/>
      <c r="Y2746" s="330"/>
      <c r="Z2746" s="330"/>
      <c r="AA2746" s="223"/>
    </row>
    <row r="2747">
      <c r="A2747" s="42">
        <f t="shared" si="3"/>
        <v>2746</v>
      </c>
      <c r="B2747" s="53"/>
      <c r="C2747" s="53"/>
      <c r="D2747" s="42"/>
      <c r="E2747" s="42"/>
      <c r="F2747" s="53"/>
      <c r="G2747" s="53"/>
      <c r="H2747" s="53"/>
      <c r="I2747" s="53"/>
      <c r="J2747" s="53"/>
      <c r="K2747" s="53"/>
      <c r="L2747" s="53"/>
      <c r="M2747" s="53"/>
      <c r="N2747" s="62"/>
      <c r="O2747" s="62"/>
      <c r="P2747" s="62"/>
      <c r="Q2747" s="62"/>
      <c r="R2747" s="53"/>
      <c r="S2747" s="53"/>
      <c r="T2747" s="82"/>
      <c r="U2747" s="42"/>
      <c r="V2747" s="62"/>
      <c r="W2747" s="64"/>
      <c r="X2747" s="330"/>
      <c r="Y2747" s="330"/>
      <c r="Z2747" s="330"/>
      <c r="AA2747" s="223"/>
    </row>
    <row r="2748">
      <c r="A2748" s="42">
        <f t="shared" si="3"/>
        <v>2747</v>
      </c>
      <c r="B2748" s="53"/>
      <c r="C2748" s="53"/>
      <c r="D2748" s="42"/>
      <c r="E2748" s="42"/>
      <c r="F2748" s="53"/>
      <c r="G2748" s="53"/>
      <c r="H2748" s="53"/>
      <c r="I2748" s="53"/>
      <c r="J2748" s="53"/>
      <c r="K2748" s="53"/>
      <c r="L2748" s="53"/>
      <c r="M2748" s="53"/>
      <c r="N2748" s="62"/>
      <c r="O2748" s="62"/>
      <c r="P2748" s="62"/>
      <c r="Q2748" s="62"/>
      <c r="R2748" s="53"/>
      <c r="S2748" s="53"/>
      <c r="T2748" s="82"/>
      <c r="U2748" s="42"/>
      <c r="V2748" s="62"/>
      <c r="W2748" s="64"/>
      <c r="X2748" s="330"/>
      <c r="Y2748" s="330"/>
      <c r="Z2748" s="330"/>
      <c r="AA2748" s="223"/>
    </row>
    <row r="2749">
      <c r="A2749" s="42">
        <f t="shared" si="3"/>
        <v>2748</v>
      </c>
      <c r="B2749" s="53"/>
      <c r="C2749" s="53"/>
      <c r="D2749" s="42"/>
      <c r="E2749" s="42"/>
      <c r="F2749" s="53"/>
      <c r="G2749" s="53"/>
      <c r="H2749" s="53"/>
      <c r="I2749" s="53"/>
      <c r="J2749" s="53"/>
      <c r="K2749" s="53"/>
      <c r="L2749" s="53"/>
      <c r="M2749" s="53"/>
      <c r="N2749" s="62"/>
      <c r="O2749" s="62"/>
      <c r="P2749" s="62"/>
      <c r="Q2749" s="62"/>
      <c r="R2749" s="53"/>
      <c r="S2749" s="53"/>
      <c r="T2749" s="82"/>
      <c r="U2749" s="42"/>
      <c r="V2749" s="62"/>
      <c r="W2749" s="64"/>
      <c r="X2749" s="330"/>
      <c r="Y2749" s="330"/>
      <c r="Z2749" s="330"/>
      <c r="AA2749" s="223"/>
    </row>
    <row r="2750">
      <c r="A2750" s="42">
        <f t="shared" si="3"/>
        <v>2749</v>
      </c>
      <c r="B2750" s="53"/>
      <c r="C2750" s="53"/>
      <c r="D2750" s="42"/>
      <c r="E2750" s="42"/>
      <c r="F2750" s="53"/>
      <c r="G2750" s="53"/>
      <c r="H2750" s="53"/>
      <c r="I2750" s="53"/>
      <c r="J2750" s="53"/>
      <c r="K2750" s="53"/>
      <c r="L2750" s="53"/>
      <c r="M2750" s="53"/>
      <c r="N2750" s="62"/>
      <c r="O2750" s="62"/>
      <c r="P2750" s="62"/>
      <c r="Q2750" s="62"/>
      <c r="R2750" s="53"/>
      <c r="S2750" s="53"/>
      <c r="T2750" s="82"/>
      <c r="U2750" s="42"/>
      <c r="V2750" s="62"/>
      <c r="W2750" s="64"/>
      <c r="X2750" s="330"/>
      <c r="Y2750" s="330"/>
      <c r="Z2750" s="330"/>
      <c r="AA2750" s="223"/>
    </row>
    <row r="2751">
      <c r="A2751" s="42">
        <f t="shared" si="3"/>
        <v>2750</v>
      </c>
      <c r="B2751" s="53"/>
      <c r="C2751" s="53"/>
      <c r="D2751" s="42"/>
      <c r="E2751" s="42"/>
      <c r="F2751" s="53"/>
      <c r="G2751" s="53"/>
      <c r="H2751" s="53"/>
      <c r="I2751" s="53"/>
      <c r="J2751" s="53"/>
      <c r="K2751" s="53"/>
      <c r="L2751" s="53"/>
      <c r="M2751" s="53"/>
      <c r="N2751" s="62"/>
      <c r="O2751" s="62"/>
      <c r="P2751" s="62"/>
      <c r="Q2751" s="62"/>
      <c r="R2751" s="53"/>
      <c r="S2751" s="53"/>
      <c r="T2751" s="82"/>
      <c r="U2751" s="42"/>
      <c r="V2751" s="62"/>
      <c r="W2751" s="64"/>
      <c r="X2751" s="330"/>
      <c r="Y2751" s="330"/>
      <c r="Z2751" s="330"/>
      <c r="AA2751" s="223"/>
    </row>
    <row r="2752">
      <c r="A2752" s="42">
        <f t="shared" si="3"/>
        <v>2751</v>
      </c>
      <c r="B2752" s="53"/>
      <c r="C2752" s="53"/>
      <c r="D2752" s="42"/>
      <c r="E2752" s="42"/>
      <c r="F2752" s="53"/>
      <c r="G2752" s="53"/>
      <c r="H2752" s="53"/>
      <c r="I2752" s="53"/>
      <c r="J2752" s="53"/>
      <c r="K2752" s="53"/>
      <c r="L2752" s="53"/>
      <c r="M2752" s="53"/>
      <c r="N2752" s="62"/>
      <c r="O2752" s="62"/>
      <c r="P2752" s="62"/>
      <c r="Q2752" s="62"/>
      <c r="R2752" s="53"/>
      <c r="S2752" s="53"/>
      <c r="T2752" s="82"/>
      <c r="U2752" s="42"/>
      <c r="V2752" s="62"/>
      <c r="W2752" s="64"/>
      <c r="X2752" s="330"/>
      <c r="Y2752" s="330"/>
      <c r="Z2752" s="330"/>
      <c r="AA2752" s="223"/>
    </row>
    <row r="2753">
      <c r="A2753" s="42">
        <f t="shared" si="3"/>
        <v>2752</v>
      </c>
      <c r="B2753" s="53"/>
      <c r="C2753" s="53"/>
      <c r="D2753" s="42"/>
      <c r="E2753" s="42"/>
      <c r="F2753" s="53"/>
      <c r="G2753" s="53"/>
      <c r="H2753" s="53"/>
      <c r="I2753" s="53"/>
      <c r="J2753" s="53"/>
      <c r="K2753" s="53"/>
      <c r="L2753" s="53"/>
      <c r="M2753" s="53"/>
      <c r="N2753" s="62"/>
      <c r="O2753" s="62"/>
      <c r="P2753" s="62"/>
      <c r="Q2753" s="62"/>
      <c r="R2753" s="53"/>
      <c r="S2753" s="53"/>
      <c r="T2753" s="82"/>
      <c r="U2753" s="42"/>
      <c r="V2753" s="62"/>
      <c r="W2753" s="64"/>
      <c r="X2753" s="330"/>
      <c r="Y2753" s="330"/>
      <c r="Z2753" s="330"/>
      <c r="AA2753" s="223"/>
    </row>
    <row r="2754">
      <c r="A2754" s="42">
        <f t="shared" si="3"/>
        <v>2753</v>
      </c>
      <c r="B2754" s="53"/>
      <c r="C2754" s="53"/>
      <c r="D2754" s="42"/>
      <c r="E2754" s="42"/>
      <c r="F2754" s="53"/>
      <c r="G2754" s="53"/>
      <c r="H2754" s="53"/>
      <c r="I2754" s="53"/>
      <c r="J2754" s="53"/>
      <c r="K2754" s="53"/>
      <c r="L2754" s="53"/>
      <c r="M2754" s="53"/>
      <c r="N2754" s="62"/>
      <c r="O2754" s="62"/>
      <c r="P2754" s="62"/>
      <c r="Q2754" s="62"/>
      <c r="R2754" s="53"/>
      <c r="S2754" s="53"/>
      <c r="T2754" s="82"/>
      <c r="U2754" s="42"/>
      <c r="V2754" s="62"/>
      <c r="W2754" s="64"/>
      <c r="X2754" s="330"/>
      <c r="Y2754" s="330"/>
      <c r="Z2754" s="330"/>
      <c r="AA2754" s="223"/>
    </row>
    <row r="2755">
      <c r="A2755" s="42">
        <f t="shared" si="3"/>
        <v>2754</v>
      </c>
      <c r="B2755" s="53"/>
      <c r="C2755" s="53"/>
      <c r="D2755" s="42"/>
      <c r="E2755" s="42"/>
      <c r="F2755" s="53"/>
      <c r="G2755" s="53"/>
      <c r="H2755" s="53"/>
      <c r="I2755" s="53"/>
      <c r="J2755" s="53"/>
      <c r="K2755" s="53"/>
      <c r="L2755" s="53"/>
      <c r="M2755" s="53"/>
      <c r="N2755" s="62"/>
      <c r="O2755" s="62"/>
      <c r="P2755" s="62"/>
      <c r="Q2755" s="62"/>
      <c r="R2755" s="53"/>
      <c r="S2755" s="53"/>
      <c r="T2755" s="82"/>
      <c r="U2755" s="42"/>
      <c r="V2755" s="62"/>
      <c r="W2755" s="64"/>
      <c r="X2755" s="330"/>
      <c r="Y2755" s="330"/>
      <c r="Z2755" s="330"/>
      <c r="AA2755" s="223"/>
    </row>
    <row r="2756">
      <c r="A2756" s="42">
        <f t="shared" si="3"/>
        <v>2755</v>
      </c>
      <c r="B2756" s="53"/>
      <c r="C2756" s="53"/>
      <c r="D2756" s="42"/>
      <c r="E2756" s="42"/>
      <c r="F2756" s="53"/>
      <c r="G2756" s="53"/>
      <c r="H2756" s="53"/>
      <c r="I2756" s="53"/>
      <c r="J2756" s="53"/>
      <c r="K2756" s="53"/>
      <c r="L2756" s="53"/>
      <c r="M2756" s="53"/>
      <c r="N2756" s="62"/>
      <c r="O2756" s="62"/>
      <c r="P2756" s="62"/>
      <c r="Q2756" s="62"/>
      <c r="R2756" s="53"/>
      <c r="S2756" s="53"/>
      <c r="T2756" s="82"/>
      <c r="U2756" s="42"/>
      <c r="V2756" s="62"/>
      <c r="W2756" s="64"/>
      <c r="X2756" s="330"/>
      <c r="Y2756" s="330"/>
      <c r="Z2756" s="330"/>
      <c r="AA2756" s="223"/>
    </row>
    <row r="2757">
      <c r="A2757" s="42">
        <f t="shared" si="3"/>
        <v>2756</v>
      </c>
      <c r="B2757" s="53"/>
      <c r="C2757" s="53"/>
      <c r="D2757" s="42"/>
      <c r="E2757" s="42"/>
      <c r="F2757" s="53"/>
      <c r="G2757" s="53"/>
      <c r="H2757" s="53"/>
      <c r="I2757" s="53"/>
      <c r="J2757" s="53"/>
      <c r="K2757" s="53"/>
      <c r="L2757" s="53"/>
      <c r="M2757" s="53"/>
      <c r="N2757" s="62"/>
      <c r="O2757" s="62"/>
      <c r="P2757" s="62"/>
      <c r="Q2757" s="62"/>
      <c r="R2757" s="53"/>
      <c r="S2757" s="53"/>
      <c r="T2757" s="82"/>
      <c r="U2757" s="42"/>
      <c r="V2757" s="62"/>
      <c r="W2757" s="64"/>
      <c r="X2757" s="330"/>
      <c r="Y2757" s="330"/>
      <c r="Z2757" s="330"/>
      <c r="AA2757" s="223"/>
    </row>
    <row r="2758">
      <c r="A2758" s="42">
        <f t="shared" si="3"/>
        <v>2757</v>
      </c>
      <c r="B2758" s="53"/>
      <c r="C2758" s="53"/>
      <c r="D2758" s="42"/>
      <c r="E2758" s="42"/>
      <c r="F2758" s="53"/>
      <c r="G2758" s="53"/>
      <c r="H2758" s="53"/>
      <c r="I2758" s="53"/>
      <c r="J2758" s="53"/>
      <c r="K2758" s="53"/>
      <c r="L2758" s="53"/>
      <c r="M2758" s="53"/>
      <c r="N2758" s="62"/>
      <c r="O2758" s="62"/>
      <c r="P2758" s="62"/>
      <c r="Q2758" s="62"/>
      <c r="R2758" s="53"/>
      <c r="S2758" s="53"/>
      <c r="T2758" s="82"/>
      <c r="U2758" s="42"/>
      <c r="V2758" s="62"/>
      <c r="W2758" s="64"/>
      <c r="X2758" s="330"/>
      <c r="Y2758" s="330"/>
      <c r="Z2758" s="330"/>
      <c r="AA2758" s="223"/>
    </row>
    <row r="2759">
      <c r="A2759" s="42">
        <f t="shared" si="3"/>
        <v>2758</v>
      </c>
      <c r="B2759" s="53"/>
      <c r="C2759" s="53"/>
      <c r="D2759" s="42"/>
      <c r="E2759" s="42"/>
      <c r="F2759" s="53"/>
      <c r="G2759" s="53"/>
      <c r="H2759" s="53"/>
      <c r="I2759" s="53"/>
      <c r="J2759" s="53"/>
      <c r="K2759" s="53"/>
      <c r="L2759" s="53"/>
      <c r="M2759" s="53"/>
      <c r="N2759" s="62"/>
      <c r="O2759" s="62"/>
      <c r="P2759" s="62"/>
      <c r="Q2759" s="62"/>
      <c r="R2759" s="53"/>
      <c r="S2759" s="53"/>
      <c r="T2759" s="82"/>
      <c r="U2759" s="42"/>
      <c r="V2759" s="62"/>
      <c r="W2759" s="64"/>
      <c r="X2759" s="330"/>
      <c r="Y2759" s="330"/>
      <c r="Z2759" s="330"/>
      <c r="AA2759" s="223"/>
    </row>
    <row r="2760">
      <c r="A2760" s="42">
        <f t="shared" si="3"/>
        <v>2759</v>
      </c>
      <c r="B2760" s="53"/>
      <c r="C2760" s="53"/>
      <c r="D2760" s="42"/>
      <c r="E2760" s="42"/>
      <c r="F2760" s="53"/>
      <c r="G2760" s="53"/>
      <c r="H2760" s="53"/>
      <c r="I2760" s="53"/>
      <c r="J2760" s="53"/>
      <c r="K2760" s="53"/>
      <c r="L2760" s="53"/>
      <c r="M2760" s="53"/>
      <c r="N2760" s="62"/>
      <c r="O2760" s="62"/>
      <c r="P2760" s="62"/>
      <c r="Q2760" s="62"/>
      <c r="R2760" s="53"/>
      <c r="S2760" s="53"/>
      <c r="T2760" s="82"/>
      <c r="U2760" s="42"/>
      <c r="V2760" s="62"/>
      <c r="W2760" s="64"/>
      <c r="X2760" s="330"/>
      <c r="Y2760" s="330"/>
      <c r="Z2760" s="330"/>
      <c r="AA2760" s="223"/>
    </row>
    <row r="2761">
      <c r="A2761" s="42">
        <f t="shared" si="3"/>
        <v>2760</v>
      </c>
      <c r="B2761" s="53"/>
      <c r="C2761" s="53"/>
      <c r="D2761" s="42"/>
      <c r="E2761" s="42"/>
      <c r="F2761" s="53"/>
      <c r="G2761" s="53"/>
      <c r="H2761" s="53"/>
      <c r="I2761" s="53"/>
      <c r="J2761" s="53"/>
      <c r="K2761" s="53"/>
      <c r="L2761" s="53"/>
      <c r="M2761" s="53"/>
      <c r="N2761" s="62"/>
      <c r="O2761" s="62"/>
      <c r="P2761" s="62"/>
      <c r="Q2761" s="62"/>
      <c r="R2761" s="53"/>
      <c r="S2761" s="53"/>
      <c r="T2761" s="82"/>
      <c r="U2761" s="42"/>
      <c r="V2761" s="62"/>
      <c r="W2761" s="64"/>
      <c r="X2761" s="330"/>
      <c r="Y2761" s="330"/>
      <c r="Z2761" s="330"/>
      <c r="AA2761" s="223"/>
    </row>
    <row r="2762">
      <c r="A2762" s="42">
        <f t="shared" si="3"/>
        <v>2761</v>
      </c>
      <c r="B2762" s="53"/>
      <c r="C2762" s="53"/>
      <c r="D2762" s="42"/>
      <c r="E2762" s="42"/>
      <c r="F2762" s="53"/>
      <c r="G2762" s="53"/>
      <c r="H2762" s="53"/>
      <c r="I2762" s="53"/>
      <c r="J2762" s="53"/>
      <c r="K2762" s="53"/>
      <c r="L2762" s="53"/>
      <c r="M2762" s="53"/>
      <c r="N2762" s="62"/>
      <c r="O2762" s="62"/>
      <c r="P2762" s="62"/>
      <c r="Q2762" s="62"/>
      <c r="R2762" s="53"/>
      <c r="S2762" s="53"/>
      <c r="T2762" s="82"/>
      <c r="U2762" s="42"/>
      <c r="V2762" s="62"/>
      <c r="W2762" s="64"/>
      <c r="X2762" s="330"/>
      <c r="Y2762" s="330"/>
      <c r="Z2762" s="330"/>
      <c r="AA2762" s="223"/>
    </row>
    <row r="2763">
      <c r="A2763" s="42">
        <f t="shared" si="3"/>
        <v>2762</v>
      </c>
      <c r="B2763" s="53"/>
      <c r="C2763" s="53"/>
      <c r="D2763" s="42"/>
      <c r="E2763" s="42"/>
      <c r="F2763" s="53"/>
      <c r="G2763" s="53"/>
      <c r="H2763" s="53"/>
      <c r="I2763" s="53"/>
      <c r="J2763" s="53"/>
      <c r="K2763" s="53"/>
      <c r="L2763" s="53"/>
      <c r="M2763" s="53"/>
      <c r="N2763" s="62"/>
      <c r="O2763" s="62"/>
      <c r="P2763" s="62"/>
      <c r="Q2763" s="62"/>
      <c r="R2763" s="53"/>
      <c r="S2763" s="53"/>
      <c r="T2763" s="82"/>
      <c r="U2763" s="42"/>
      <c r="V2763" s="62"/>
      <c r="W2763" s="64"/>
      <c r="X2763" s="330"/>
      <c r="Y2763" s="330"/>
      <c r="Z2763" s="330"/>
      <c r="AA2763" s="223"/>
    </row>
    <row r="2764">
      <c r="A2764" s="42">
        <f t="shared" si="3"/>
        <v>2763</v>
      </c>
      <c r="B2764" s="53"/>
      <c r="C2764" s="53"/>
      <c r="D2764" s="42"/>
      <c r="E2764" s="42"/>
      <c r="F2764" s="53"/>
      <c r="G2764" s="53"/>
      <c r="H2764" s="53"/>
      <c r="I2764" s="53"/>
      <c r="J2764" s="53"/>
      <c r="K2764" s="53"/>
      <c r="L2764" s="53"/>
      <c r="M2764" s="53"/>
      <c r="N2764" s="62"/>
      <c r="O2764" s="62"/>
      <c r="P2764" s="62"/>
      <c r="Q2764" s="62"/>
      <c r="R2764" s="53"/>
      <c r="S2764" s="53"/>
      <c r="T2764" s="82"/>
      <c r="U2764" s="42"/>
      <c r="V2764" s="62"/>
      <c r="W2764" s="64"/>
      <c r="X2764" s="330"/>
      <c r="Y2764" s="330"/>
      <c r="Z2764" s="330"/>
      <c r="AA2764" s="223"/>
    </row>
    <row r="2765">
      <c r="A2765" s="42">
        <f t="shared" si="3"/>
        <v>2764</v>
      </c>
      <c r="B2765" s="53"/>
      <c r="C2765" s="53"/>
      <c r="D2765" s="42"/>
      <c r="E2765" s="42"/>
      <c r="F2765" s="53"/>
      <c r="G2765" s="53"/>
      <c r="H2765" s="53"/>
      <c r="I2765" s="53"/>
      <c r="J2765" s="53"/>
      <c r="K2765" s="53"/>
      <c r="L2765" s="53"/>
      <c r="M2765" s="53"/>
      <c r="N2765" s="62"/>
      <c r="O2765" s="62"/>
      <c r="P2765" s="62"/>
      <c r="Q2765" s="62"/>
      <c r="R2765" s="53"/>
      <c r="S2765" s="53"/>
      <c r="T2765" s="82"/>
      <c r="U2765" s="42"/>
      <c r="V2765" s="62"/>
      <c r="W2765" s="64"/>
      <c r="X2765" s="330"/>
      <c r="Y2765" s="330"/>
      <c r="Z2765" s="330"/>
      <c r="AA2765" s="223"/>
    </row>
    <row r="2766">
      <c r="A2766" s="42">
        <f t="shared" si="3"/>
        <v>2765</v>
      </c>
      <c r="B2766" s="53"/>
      <c r="C2766" s="53"/>
      <c r="D2766" s="42"/>
      <c r="E2766" s="42"/>
      <c r="F2766" s="53"/>
      <c r="G2766" s="53"/>
      <c r="H2766" s="53"/>
      <c r="I2766" s="53"/>
      <c r="J2766" s="53"/>
      <c r="K2766" s="53"/>
      <c r="L2766" s="53"/>
      <c r="M2766" s="53"/>
      <c r="N2766" s="62"/>
      <c r="O2766" s="62"/>
      <c r="P2766" s="62"/>
      <c r="Q2766" s="62"/>
      <c r="R2766" s="53"/>
      <c r="S2766" s="53"/>
      <c r="T2766" s="82"/>
      <c r="U2766" s="42"/>
      <c r="V2766" s="62"/>
      <c r="W2766" s="64"/>
      <c r="X2766" s="330"/>
      <c r="Y2766" s="330"/>
      <c r="Z2766" s="330"/>
      <c r="AA2766" s="223"/>
    </row>
    <row r="2767">
      <c r="A2767" s="42">
        <f t="shared" si="3"/>
        <v>2766</v>
      </c>
      <c r="B2767" s="53"/>
      <c r="C2767" s="53"/>
      <c r="D2767" s="42"/>
      <c r="E2767" s="42"/>
      <c r="F2767" s="53"/>
      <c r="G2767" s="53"/>
      <c r="H2767" s="53"/>
      <c r="I2767" s="53"/>
      <c r="J2767" s="53"/>
      <c r="K2767" s="53"/>
      <c r="L2767" s="53"/>
      <c r="M2767" s="53"/>
      <c r="N2767" s="62"/>
      <c r="O2767" s="62"/>
      <c r="P2767" s="62"/>
      <c r="Q2767" s="62"/>
      <c r="R2767" s="53"/>
      <c r="S2767" s="53"/>
      <c r="T2767" s="82"/>
      <c r="U2767" s="42"/>
      <c r="V2767" s="62"/>
      <c r="W2767" s="64"/>
      <c r="X2767" s="330"/>
      <c r="Y2767" s="330"/>
      <c r="Z2767" s="330"/>
      <c r="AA2767" s="223"/>
    </row>
    <row r="2768">
      <c r="A2768" s="42">
        <f t="shared" si="3"/>
        <v>2767</v>
      </c>
      <c r="B2768" s="53"/>
      <c r="C2768" s="53"/>
      <c r="D2768" s="42"/>
      <c r="E2768" s="42"/>
      <c r="F2768" s="53"/>
      <c r="G2768" s="53"/>
      <c r="H2768" s="53"/>
      <c r="I2768" s="53"/>
      <c r="J2768" s="53"/>
      <c r="K2768" s="53"/>
      <c r="L2768" s="53"/>
      <c r="M2768" s="53"/>
      <c r="N2768" s="62"/>
      <c r="O2768" s="62"/>
      <c r="P2768" s="62"/>
      <c r="Q2768" s="62"/>
      <c r="R2768" s="53"/>
      <c r="S2768" s="53"/>
      <c r="T2768" s="82"/>
      <c r="U2768" s="42"/>
      <c r="V2768" s="62"/>
      <c r="W2768" s="64"/>
      <c r="X2768" s="330"/>
      <c r="Y2768" s="330"/>
      <c r="Z2768" s="330"/>
      <c r="AA2768" s="223"/>
    </row>
    <row r="2769">
      <c r="A2769" s="42">
        <f t="shared" si="3"/>
        <v>2768</v>
      </c>
      <c r="B2769" s="53"/>
      <c r="C2769" s="53"/>
      <c r="D2769" s="42"/>
      <c r="E2769" s="42"/>
      <c r="F2769" s="53"/>
      <c r="G2769" s="53"/>
      <c r="H2769" s="53"/>
      <c r="I2769" s="53"/>
      <c r="J2769" s="53"/>
      <c r="K2769" s="53"/>
      <c r="L2769" s="53"/>
      <c r="M2769" s="53"/>
      <c r="N2769" s="62"/>
      <c r="O2769" s="62"/>
      <c r="P2769" s="62"/>
      <c r="Q2769" s="62"/>
      <c r="R2769" s="53"/>
      <c r="S2769" s="53"/>
      <c r="T2769" s="82"/>
      <c r="U2769" s="42"/>
      <c r="V2769" s="62"/>
      <c r="W2769" s="64"/>
      <c r="X2769" s="330"/>
      <c r="Y2769" s="330"/>
      <c r="Z2769" s="330"/>
      <c r="AA2769" s="223"/>
    </row>
    <row r="2770">
      <c r="A2770" s="42">
        <f t="shared" si="3"/>
        <v>2769</v>
      </c>
      <c r="B2770" s="53"/>
      <c r="C2770" s="53"/>
      <c r="D2770" s="42"/>
      <c r="E2770" s="42"/>
      <c r="F2770" s="53"/>
      <c r="G2770" s="53"/>
      <c r="H2770" s="53"/>
      <c r="I2770" s="53"/>
      <c r="J2770" s="53"/>
      <c r="K2770" s="53"/>
      <c r="L2770" s="53"/>
      <c r="M2770" s="53"/>
      <c r="N2770" s="62"/>
      <c r="O2770" s="62"/>
      <c r="P2770" s="62"/>
      <c r="Q2770" s="62"/>
      <c r="R2770" s="53"/>
      <c r="S2770" s="53"/>
      <c r="T2770" s="82"/>
      <c r="U2770" s="42"/>
      <c r="V2770" s="62"/>
      <c r="W2770" s="64"/>
      <c r="X2770" s="330"/>
      <c r="Y2770" s="330"/>
      <c r="Z2770" s="330"/>
      <c r="AA2770" s="223"/>
    </row>
    <row r="2771">
      <c r="A2771" s="42">
        <f t="shared" si="3"/>
        <v>2770</v>
      </c>
      <c r="B2771" s="53"/>
      <c r="C2771" s="53"/>
      <c r="D2771" s="42"/>
      <c r="E2771" s="42"/>
      <c r="F2771" s="53"/>
      <c r="G2771" s="53"/>
      <c r="H2771" s="53"/>
      <c r="I2771" s="53"/>
      <c r="J2771" s="53"/>
      <c r="K2771" s="53"/>
      <c r="L2771" s="53"/>
      <c r="M2771" s="53"/>
      <c r="N2771" s="62"/>
      <c r="O2771" s="62"/>
      <c r="P2771" s="62"/>
      <c r="Q2771" s="62"/>
      <c r="R2771" s="53"/>
      <c r="S2771" s="53"/>
      <c r="T2771" s="82"/>
      <c r="U2771" s="42"/>
      <c r="V2771" s="62"/>
      <c r="W2771" s="64"/>
      <c r="X2771" s="330"/>
      <c r="Y2771" s="330"/>
      <c r="Z2771" s="330"/>
      <c r="AA2771" s="223"/>
    </row>
    <row r="2772">
      <c r="A2772" s="42">
        <f t="shared" si="3"/>
        <v>2771</v>
      </c>
      <c r="B2772" s="53"/>
      <c r="C2772" s="53"/>
      <c r="D2772" s="42"/>
      <c r="E2772" s="42"/>
      <c r="F2772" s="53"/>
      <c r="G2772" s="53"/>
      <c r="H2772" s="53"/>
      <c r="I2772" s="53"/>
      <c r="J2772" s="53"/>
      <c r="K2772" s="53"/>
      <c r="L2772" s="53"/>
      <c r="M2772" s="53"/>
      <c r="N2772" s="62"/>
      <c r="O2772" s="62"/>
      <c r="P2772" s="62"/>
      <c r="Q2772" s="62"/>
      <c r="R2772" s="53"/>
      <c r="S2772" s="53"/>
      <c r="T2772" s="82"/>
      <c r="U2772" s="42"/>
      <c r="V2772" s="62"/>
      <c r="W2772" s="64"/>
      <c r="X2772" s="330"/>
      <c r="Y2772" s="330"/>
      <c r="Z2772" s="330"/>
      <c r="AA2772" s="223"/>
    </row>
    <row r="2773">
      <c r="A2773" s="42">
        <f t="shared" si="3"/>
        <v>2772</v>
      </c>
      <c r="B2773" s="53"/>
      <c r="C2773" s="53"/>
      <c r="D2773" s="42"/>
      <c r="E2773" s="42"/>
      <c r="F2773" s="53"/>
      <c r="G2773" s="53"/>
      <c r="H2773" s="53"/>
      <c r="I2773" s="53"/>
      <c r="J2773" s="53"/>
      <c r="K2773" s="53"/>
      <c r="L2773" s="53"/>
      <c r="M2773" s="53"/>
      <c r="N2773" s="62"/>
      <c r="O2773" s="62"/>
      <c r="P2773" s="62"/>
      <c r="Q2773" s="62"/>
      <c r="R2773" s="53"/>
      <c r="S2773" s="53"/>
      <c r="T2773" s="82"/>
      <c r="U2773" s="42"/>
      <c r="V2773" s="62"/>
      <c r="W2773" s="64"/>
      <c r="X2773" s="330"/>
      <c r="Y2773" s="330"/>
      <c r="Z2773" s="330"/>
      <c r="AA2773" s="223"/>
    </row>
    <row r="2774">
      <c r="A2774" s="42">
        <f t="shared" si="3"/>
        <v>2773</v>
      </c>
      <c r="B2774" s="53"/>
      <c r="C2774" s="53"/>
      <c r="D2774" s="42"/>
      <c r="E2774" s="42"/>
      <c r="F2774" s="53"/>
      <c r="G2774" s="53"/>
      <c r="H2774" s="53"/>
      <c r="I2774" s="53"/>
      <c r="J2774" s="53"/>
      <c r="K2774" s="53"/>
      <c r="L2774" s="53"/>
      <c r="M2774" s="53"/>
      <c r="N2774" s="62"/>
      <c r="O2774" s="62"/>
      <c r="P2774" s="62"/>
      <c r="Q2774" s="62"/>
      <c r="R2774" s="53"/>
      <c r="S2774" s="53"/>
      <c r="T2774" s="82"/>
      <c r="U2774" s="42"/>
      <c r="V2774" s="62"/>
      <c r="W2774" s="64"/>
      <c r="X2774" s="330"/>
      <c r="Y2774" s="330"/>
      <c r="Z2774" s="330"/>
      <c r="AA2774" s="223"/>
    </row>
    <row r="2775">
      <c r="A2775" s="42">
        <f t="shared" si="3"/>
        <v>2774</v>
      </c>
      <c r="B2775" s="53"/>
      <c r="C2775" s="53"/>
      <c r="D2775" s="42"/>
      <c r="E2775" s="42"/>
      <c r="F2775" s="53"/>
      <c r="G2775" s="53"/>
      <c r="H2775" s="53"/>
      <c r="I2775" s="53"/>
      <c r="J2775" s="53"/>
      <c r="K2775" s="53"/>
      <c r="L2775" s="53"/>
      <c r="M2775" s="53"/>
      <c r="N2775" s="62"/>
      <c r="O2775" s="62"/>
      <c r="P2775" s="62"/>
      <c r="Q2775" s="62"/>
      <c r="R2775" s="53"/>
      <c r="S2775" s="53"/>
      <c r="T2775" s="82"/>
      <c r="U2775" s="42"/>
      <c r="V2775" s="62"/>
      <c r="W2775" s="64"/>
      <c r="X2775" s="330"/>
      <c r="Y2775" s="330"/>
      <c r="Z2775" s="330"/>
      <c r="AA2775" s="223"/>
    </row>
    <row r="2776">
      <c r="A2776" s="42">
        <f t="shared" si="3"/>
        <v>2775</v>
      </c>
      <c r="B2776" s="53"/>
      <c r="C2776" s="53"/>
      <c r="D2776" s="42"/>
      <c r="E2776" s="42"/>
      <c r="F2776" s="53"/>
      <c r="G2776" s="53"/>
      <c r="H2776" s="53"/>
      <c r="I2776" s="53"/>
      <c r="J2776" s="53"/>
      <c r="K2776" s="53"/>
      <c r="L2776" s="53"/>
      <c r="M2776" s="53"/>
      <c r="N2776" s="62"/>
      <c r="O2776" s="62"/>
      <c r="P2776" s="62"/>
      <c r="Q2776" s="62"/>
      <c r="R2776" s="53"/>
      <c r="S2776" s="53"/>
      <c r="T2776" s="82"/>
      <c r="U2776" s="42"/>
      <c r="V2776" s="62"/>
      <c r="W2776" s="64"/>
      <c r="X2776" s="330"/>
      <c r="Y2776" s="330"/>
      <c r="Z2776" s="330"/>
      <c r="AA2776" s="223"/>
    </row>
    <row r="2777">
      <c r="A2777" s="42">
        <f t="shared" si="3"/>
        <v>2776</v>
      </c>
      <c r="B2777" s="53"/>
      <c r="C2777" s="53"/>
      <c r="D2777" s="42"/>
      <c r="E2777" s="42"/>
      <c r="F2777" s="53"/>
      <c r="G2777" s="53"/>
      <c r="H2777" s="53"/>
      <c r="I2777" s="53"/>
      <c r="J2777" s="53"/>
      <c r="K2777" s="53"/>
      <c r="L2777" s="53"/>
      <c r="M2777" s="53"/>
      <c r="N2777" s="62"/>
      <c r="O2777" s="62"/>
      <c r="P2777" s="62"/>
      <c r="Q2777" s="62"/>
      <c r="R2777" s="53"/>
      <c r="S2777" s="53"/>
      <c r="T2777" s="82"/>
      <c r="U2777" s="42"/>
      <c r="V2777" s="62"/>
      <c r="W2777" s="64"/>
      <c r="X2777" s="330"/>
      <c r="Y2777" s="330"/>
      <c r="Z2777" s="330"/>
      <c r="AA2777" s="223"/>
    </row>
    <row r="2778">
      <c r="A2778" s="42">
        <f t="shared" si="3"/>
        <v>2777</v>
      </c>
      <c r="B2778" s="53"/>
      <c r="C2778" s="53"/>
      <c r="D2778" s="42"/>
      <c r="E2778" s="42"/>
      <c r="F2778" s="53"/>
      <c r="G2778" s="53"/>
      <c r="H2778" s="53"/>
      <c r="I2778" s="53"/>
      <c r="J2778" s="53"/>
      <c r="K2778" s="53"/>
      <c r="L2778" s="53"/>
      <c r="M2778" s="53"/>
      <c r="N2778" s="62"/>
      <c r="O2778" s="62"/>
      <c r="P2778" s="62"/>
      <c r="Q2778" s="62"/>
      <c r="R2778" s="53"/>
      <c r="S2778" s="53"/>
      <c r="T2778" s="82"/>
      <c r="U2778" s="42"/>
      <c r="V2778" s="62"/>
      <c r="W2778" s="64"/>
      <c r="X2778" s="330"/>
      <c r="Y2778" s="330"/>
      <c r="Z2778" s="330"/>
      <c r="AA2778" s="223"/>
    </row>
    <row r="2779">
      <c r="A2779" s="42">
        <f t="shared" si="3"/>
        <v>2778</v>
      </c>
      <c r="B2779" s="53"/>
      <c r="C2779" s="53"/>
      <c r="D2779" s="42"/>
      <c r="E2779" s="42"/>
      <c r="F2779" s="53"/>
      <c r="G2779" s="53"/>
      <c r="H2779" s="53"/>
      <c r="I2779" s="53"/>
      <c r="J2779" s="53"/>
      <c r="K2779" s="53"/>
      <c r="L2779" s="53"/>
      <c r="M2779" s="53"/>
      <c r="N2779" s="62"/>
      <c r="O2779" s="62"/>
      <c r="P2779" s="62"/>
      <c r="Q2779" s="62"/>
      <c r="R2779" s="53"/>
      <c r="S2779" s="53"/>
      <c r="T2779" s="82"/>
      <c r="U2779" s="42"/>
      <c r="V2779" s="62"/>
      <c r="W2779" s="64"/>
      <c r="X2779" s="330"/>
      <c r="Y2779" s="330"/>
      <c r="Z2779" s="330"/>
      <c r="AA2779" s="223"/>
    </row>
    <row r="2780">
      <c r="A2780" s="42">
        <f t="shared" si="3"/>
        <v>2779</v>
      </c>
      <c r="B2780" s="53"/>
      <c r="C2780" s="53"/>
      <c r="D2780" s="42"/>
      <c r="E2780" s="42"/>
      <c r="F2780" s="53"/>
      <c r="G2780" s="53"/>
      <c r="H2780" s="53"/>
      <c r="I2780" s="53"/>
      <c r="J2780" s="53"/>
      <c r="K2780" s="53"/>
      <c r="L2780" s="53"/>
      <c r="M2780" s="53"/>
      <c r="N2780" s="62"/>
      <c r="O2780" s="62"/>
      <c r="P2780" s="62"/>
      <c r="Q2780" s="62"/>
      <c r="R2780" s="53"/>
      <c r="S2780" s="53"/>
      <c r="T2780" s="82"/>
      <c r="U2780" s="42"/>
      <c r="V2780" s="62"/>
      <c r="W2780" s="64"/>
      <c r="X2780" s="330"/>
      <c r="Y2780" s="330"/>
      <c r="Z2780" s="330"/>
      <c r="AA2780" s="223"/>
    </row>
    <row r="2781">
      <c r="A2781" s="42">
        <f t="shared" si="3"/>
        <v>2780</v>
      </c>
      <c r="B2781" s="53"/>
      <c r="C2781" s="53"/>
      <c r="D2781" s="42"/>
      <c r="E2781" s="42"/>
      <c r="F2781" s="53"/>
      <c r="G2781" s="53"/>
      <c r="H2781" s="53"/>
      <c r="I2781" s="53"/>
      <c r="J2781" s="53"/>
      <c r="K2781" s="53"/>
      <c r="L2781" s="53"/>
      <c r="M2781" s="53"/>
      <c r="N2781" s="62"/>
      <c r="O2781" s="62"/>
      <c r="P2781" s="62"/>
      <c r="Q2781" s="62"/>
      <c r="R2781" s="53"/>
      <c r="S2781" s="53"/>
      <c r="T2781" s="82"/>
      <c r="U2781" s="42"/>
      <c r="V2781" s="62"/>
      <c r="W2781" s="64"/>
      <c r="X2781" s="330"/>
      <c r="Y2781" s="330"/>
      <c r="Z2781" s="330"/>
      <c r="AA2781" s="223"/>
    </row>
    <row r="2782">
      <c r="A2782" s="42">
        <f t="shared" si="3"/>
        <v>2781</v>
      </c>
      <c r="B2782" s="53"/>
      <c r="C2782" s="53"/>
      <c r="D2782" s="42"/>
      <c r="E2782" s="42"/>
      <c r="F2782" s="53"/>
      <c r="G2782" s="53"/>
      <c r="H2782" s="53"/>
      <c r="I2782" s="53"/>
      <c r="J2782" s="53"/>
      <c r="K2782" s="53"/>
      <c r="L2782" s="53"/>
      <c r="M2782" s="53"/>
      <c r="N2782" s="62"/>
      <c r="O2782" s="62"/>
      <c r="P2782" s="62"/>
      <c r="Q2782" s="62"/>
      <c r="R2782" s="53"/>
      <c r="S2782" s="53"/>
      <c r="T2782" s="82"/>
      <c r="U2782" s="42"/>
      <c r="V2782" s="62"/>
      <c r="W2782" s="64"/>
      <c r="X2782" s="330"/>
      <c r="Y2782" s="330"/>
      <c r="Z2782" s="330"/>
      <c r="AA2782" s="223"/>
    </row>
    <row r="2783">
      <c r="A2783" s="42">
        <f t="shared" si="3"/>
        <v>2782</v>
      </c>
      <c r="B2783" s="53"/>
      <c r="C2783" s="53"/>
      <c r="D2783" s="42"/>
      <c r="E2783" s="42"/>
      <c r="F2783" s="53"/>
      <c r="G2783" s="53"/>
      <c r="H2783" s="53"/>
      <c r="I2783" s="53"/>
      <c r="J2783" s="53"/>
      <c r="K2783" s="53"/>
      <c r="L2783" s="53"/>
      <c r="M2783" s="53"/>
      <c r="N2783" s="62"/>
      <c r="O2783" s="62"/>
      <c r="P2783" s="62"/>
      <c r="Q2783" s="62"/>
      <c r="R2783" s="53"/>
      <c r="S2783" s="53"/>
      <c r="T2783" s="82"/>
      <c r="U2783" s="42"/>
      <c r="V2783" s="62"/>
      <c r="W2783" s="64"/>
      <c r="X2783" s="330"/>
      <c r="Y2783" s="330"/>
      <c r="Z2783" s="330"/>
      <c r="AA2783" s="223"/>
    </row>
    <row r="2784">
      <c r="A2784" s="42">
        <f t="shared" si="3"/>
        <v>2783</v>
      </c>
      <c r="B2784" s="53"/>
      <c r="C2784" s="53"/>
      <c r="D2784" s="42"/>
      <c r="E2784" s="42"/>
      <c r="F2784" s="53"/>
      <c r="G2784" s="53"/>
      <c r="H2784" s="53"/>
      <c r="I2784" s="53"/>
      <c r="J2784" s="53"/>
      <c r="K2784" s="53"/>
      <c r="L2784" s="53"/>
      <c r="M2784" s="53"/>
      <c r="N2784" s="62"/>
      <c r="O2784" s="62"/>
      <c r="P2784" s="62"/>
      <c r="Q2784" s="62"/>
      <c r="R2784" s="53"/>
      <c r="S2784" s="53"/>
      <c r="T2784" s="82"/>
      <c r="U2784" s="42"/>
      <c r="V2784" s="62"/>
      <c r="W2784" s="64"/>
      <c r="X2784" s="330"/>
      <c r="Y2784" s="330"/>
      <c r="Z2784" s="330"/>
      <c r="AA2784" s="223"/>
    </row>
    <row r="2785">
      <c r="A2785" s="42">
        <f t="shared" si="3"/>
        <v>2784</v>
      </c>
      <c r="B2785" s="53"/>
      <c r="C2785" s="53"/>
      <c r="D2785" s="42"/>
      <c r="E2785" s="42"/>
      <c r="F2785" s="53"/>
      <c r="G2785" s="53"/>
      <c r="H2785" s="53"/>
      <c r="I2785" s="53"/>
      <c r="J2785" s="53"/>
      <c r="K2785" s="53"/>
      <c r="L2785" s="53"/>
      <c r="M2785" s="53"/>
      <c r="N2785" s="62"/>
      <c r="O2785" s="62"/>
      <c r="P2785" s="62"/>
      <c r="Q2785" s="62"/>
      <c r="R2785" s="53"/>
      <c r="S2785" s="53"/>
      <c r="T2785" s="82"/>
      <c r="U2785" s="42"/>
      <c r="V2785" s="62"/>
      <c r="W2785" s="64"/>
      <c r="X2785" s="330"/>
      <c r="Y2785" s="330"/>
      <c r="Z2785" s="330"/>
      <c r="AA2785" s="223"/>
    </row>
    <row r="2786">
      <c r="A2786" s="42">
        <f t="shared" si="3"/>
        <v>2785</v>
      </c>
      <c r="B2786" s="53"/>
      <c r="C2786" s="53"/>
      <c r="D2786" s="42"/>
      <c r="E2786" s="42"/>
      <c r="F2786" s="53"/>
      <c r="G2786" s="53"/>
      <c r="H2786" s="53"/>
      <c r="I2786" s="53"/>
      <c r="J2786" s="53"/>
      <c r="K2786" s="53"/>
      <c r="L2786" s="53"/>
      <c r="M2786" s="53"/>
      <c r="N2786" s="62"/>
      <c r="O2786" s="62"/>
      <c r="P2786" s="62"/>
      <c r="Q2786" s="62"/>
      <c r="R2786" s="53"/>
      <c r="S2786" s="53"/>
      <c r="T2786" s="82"/>
      <c r="U2786" s="42"/>
      <c r="V2786" s="62"/>
      <c r="W2786" s="64"/>
      <c r="X2786" s="330"/>
      <c r="Y2786" s="330"/>
      <c r="Z2786" s="330"/>
      <c r="AA2786" s="223"/>
    </row>
    <row r="2787">
      <c r="A2787" s="42">
        <f t="shared" si="3"/>
        <v>2786</v>
      </c>
      <c r="B2787" s="53"/>
      <c r="C2787" s="53"/>
      <c r="D2787" s="42"/>
      <c r="E2787" s="42"/>
      <c r="F2787" s="53"/>
      <c r="G2787" s="53"/>
      <c r="H2787" s="53"/>
      <c r="I2787" s="53"/>
      <c r="J2787" s="53"/>
      <c r="K2787" s="53"/>
      <c r="L2787" s="53"/>
      <c r="M2787" s="53"/>
      <c r="N2787" s="62"/>
      <c r="O2787" s="62"/>
      <c r="P2787" s="62"/>
      <c r="Q2787" s="62"/>
      <c r="R2787" s="53"/>
      <c r="S2787" s="53"/>
      <c r="T2787" s="82"/>
      <c r="U2787" s="42"/>
      <c r="V2787" s="62"/>
      <c r="W2787" s="64"/>
      <c r="X2787" s="330"/>
      <c r="Y2787" s="330"/>
      <c r="Z2787" s="330"/>
      <c r="AA2787" s="223"/>
    </row>
    <row r="2788">
      <c r="A2788" s="42">
        <f t="shared" si="3"/>
        <v>2787</v>
      </c>
      <c r="B2788" s="53"/>
      <c r="C2788" s="53"/>
      <c r="D2788" s="42"/>
      <c r="E2788" s="42"/>
      <c r="F2788" s="53"/>
      <c r="G2788" s="53"/>
      <c r="H2788" s="53"/>
      <c r="I2788" s="53"/>
      <c r="J2788" s="53"/>
      <c r="K2788" s="53"/>
      <c r="L2788" s="53"/>
      <c r="M2788" s="53"/>
      <c r="N2788" s="62"/>
      <c r="O2788" s="62"/>
      <c r="P2788" s="62"/>
      <c r="Q2788" s="62"/>
      <c r="R2788" s="53"/>
      <c r="S2788" s="53"/>
      <c r="T2788" s="82"/>
      <c r="U2788" s="42"/>
      <c r="V2788" s="62"/>
      <c r="W2788" s="64"/>
      <c r="X2788" s="330"/>
      <c r="Y2788" s="330"/>
      <c r="Z2788" s="330"/>
      <c r="AA2788" s="223"/>
    </row>
    <row r="2789">
      <c r="A2789" s="42">
        <f t="shared" si="3"/>
        <v>2788</v>
      </c>
      <c r="B2789" s="53"/>
      <c r="C2789" s="53"/>
      <c r="D2789" s="42"/>
      <c r="E2789" s="42"/>
      <c r="F2789" s="53"/>
      <c r="G2789" s="53"/>
      <c r="H2789" s="53"/>
      <c r="I2789" s="53"/>
      <c r="J2789" s="53"/>
      <c r="K2789" s="53"/>
      <c r="L2789" s="53"/>
      <c r="M2789" s="53"/>
      <c r="N2789" s="62"/>
      <c r="O2789" s="62"/>
      <c r="P2789" s="62"/>
      <c r="Q2789" s="62"/>
      <c r="R2789" s="53"/>
      <c r="S2789" s="53"/>
      <c r="T2789" s="82"/>
      <c r="U2789" s="42"/>
      <c r="V2789" s="62"/>
      <c r="W2789" s="64"/>
      <c r="X2789" s="330"/>
      <c r="Y2789" s="330"/>
      <c r="Z2789" s="330"/>
      <c r="AA2789" s="223"/>
    </row>
    <row r="2790">
      <c r="A2790" s="42">
        <f t="shared" si="3"/>
        <v>2789</v>
      </c>
      <c r="B2790" s="53"/>
      <c r="C2790" s="53"/>
      <c r="D2790" s="42"/>
      <c r="E2790" s="42"/>
      <c r="F2790" s="53"/>
      <c r="G2790" s="53"/>
      <c r="H2790" s="53"/>
      <c r="I2790" s="53"/>
      <c r="J2790" s="53"/>
      <c r="K2790" s="53"/>
      <c r="L2790" s="53"/>
      <c r="M2790" s="53"/>
      <c r="N2790" s="62"/>
      <c r="O2790" s="62"/>
      <c r="P2790" s="62"/>
      <c r="Q2790" s="62"/>
      <c r="R2790" s="53"/>
      <c r="S2790" s="53"/>
      <c r="T2790" s="82"/>
      <c r="U2790" s="42"/>
      <c r="V2790" s="62"/>
      <c r="W2790" s="64"/>
      <c r="X2790" s="330"/>
      <c r="Y2790" s="330"/>
      <c r="Z2790" s="330"/>
      <c r="AA2790" s="223"/>
    </row>
    <row r="2791">
      <c r="A2791" s="42">
        <f t="shared" si="3"/>
        <v>2790</v>
      </c>
      <c r="B2791" s="53"/>
      <c r="C2791" s="53"/>
      <c r="D2791" s="42"/>
      <c r="E2791" s="42"/>
      <c r="F2791" s="53"/>
      <c r="G2791" s="53"/>
      <c r="H2791" s="53"/>
      <c r="I2791" s="53"/>
      <c r="J2791" s="53"/>
      <c r="K2791" s="53"/>
      <c r="L2791" s="53"/>
      <c r="M2791" s="53"/>
      <c r="N2791" s="62"/>
      <c r="O2791" s="62"/>
      <c r="P2791" s="62"/>
      <c r="Q2791" s="62"/>
      <c r="R2791" s="53"/>
      <c r="S2791" s="53"/>
      <c r="T2791" s="82"/>
      <c r="U2791" s="42"/>
      <c r="V2791" s="62"/>
      <c r="W2791" s="64"/>
      <c r="X2791" s="330"/>
      <c r="Y2791" s="330"/>
      <c r="Z2791" s="330"/>
      <c r="AA2791" s="223"/>
    </row>
    <row r="2792">
      <c r="A2792" s="42">
        <f t="shared" si="3"/>
        <v>2791</v>
      </c>
      <c r="B2792" s="53"/>
      <c r="C2792" s="53"/>
      <c r="D2792" s="42"/>
      <c r="E2792" s="42"/>
      <c r="F2792" s="53"/>
      <c r="G2792" s="53"/>
      <c r="H2792" s="53"/>
      <c r="I2792" s="53"/>
      <c r="J2792" s="53"/>
      <c r="K2792" s="53"/>
      <c r="L2792" s="53"/>
      <c r="M2792" s="53"/>
      <c r="N2792" s="62"/>
      <c r="O2792" s="62"/>
      <c r="P2792" s="62"/>
      <c r="Q2792" s="62"/>
      <c r="R2792" s="53"/>
      <c r="S2792" s="53"/>
      <c r="T2792" s="82"/>
      <c r="U2792" s="42"/>
      <c r="V2792" s="62"/>
      <c r="W2792" s="64"/>
      <c r="X2792" s="330"/>
      <c r="Y2792" s="330"/>
      <c r="Z2792" s="330"/>
      <c r="AA2792" s="223"/>
    </row>
    <row r="2793">
      <c r="A2793" s="42">
        <f t="shared" si="3"/>
        <v>2792</v>
      </c>
      <c r="B2793" s="53"/>
      <c r="C2793" s="53"/>
      <c r="D2793" s="42"/>
      <c r="E2793" s="42"/>
      <c r="F2793" s="53"/>
      <c r="G2793" s="53"/>
      <c r="H2793" s="53"/>
      <c r="I2793" s="53"/>
      <c r="J2793" s="53"/>
      <c r="K2793" s="53"/>
      <c r="L2793" s="53"/>
      <c r="M2793" s="53"/>
      <c r="N2793" s="62"/>
      <c r="O2793" s="62"/>
      <c r="P2793" s="62"/>
      <c r="Q2793" s="62"/>
      <c r="R2793" s="53"/>
      <c r="S2793" s="53"/>
      <c r="T2793" s="82"/>
      <c r="U2793" s="42"/>
      <c r="V2793" s="62"/>
      <c r="W2793" s="64"/>
      <c r="X2793" s="330"/>
      <c r="Y2793" s="330"/>
      <c r="Z2793" s="330"/>
      <c r="AA2793" s="223"/>
    </row>
    <row r="2794">
      <c r="A2794" s="42">
        <f t="shared" si="3"/>
        <v>2793</v>
      </c>
      <c r="B2794" s="53"/>
      <c r="C2794" s="53"/>
      <c r="D2794" s="42"/>
      <c r="E2794" s="42"/>
      <c r="F2794" s="53"/>
      <c r="G2794" s="53"/>
      <c r="H2794" s="53"/>
      <c r="I2794" s="53"/>
      <c r="J2794" s="53"/>
      <c r="K2794" s="53"/>
      <c r="L2794" s="53"/>
      <c r="M2794" s="53"/>
      <c r="N2794" s="62"/>
      <c r="O2794" s="62"/>
      <c r="P2794" s="62"/>
      <c r="Q2794" s="62"/>
      <c r="R2794" s="53"/>
      <c r="S2794" s="53"/>
      <c r="T2794" s="82"/>
      <c r="U2794" s="42"/>
      <c r="V2794" s="62"/>
      <c r="W2794" s="64"/>
      <c r="X2794" s="330"/>
      <c r="Y2794" s="330"/>
      <c r="Z2794" s="330"/>
      <c r="AA2794" s="223"/>
    </row>
    <row r="2795">
      <c r="A2795" s="42">
        <f t="shared" si="3"/>
        <v>2794</v>
      </c>
      <c r="B2795" s="53"/>
      <c r="C2795" s="53"/>
      <c r="D2795" s="42"/>
      <c r="E2795" s="42"/>
      <c r="F2795" s="53"/>
      <c r="G2795" s="53"/>
      <c r="H2795" s="53"/>
      <c r="I2795" s="53"/>
      <c r="J2795" s="53"/>
      <c r="K2795" s="53"/>
      <c r="L2795" s="53"/>
      <c r="M2795" s="53"/>
      <c r="N2795" s="62"/>
      <c r="O2795" s="62"/>
      <c r="P2795" s="62"/>
      <c r="Q2795" s="62"/>
      <c r="R2795" s="53"/>
      <c r="S2795" s="53"/>
      <c r="T2795" s="82"/>
      <c r="U2795" s="42"/>
      <c r="V2795" s="62"/>
      <c r="W2795" s="64"/>
      <c r="X2795" s="330"/>
      <c r="Y2795" s="330"/>
      <c r="Z2795" s="330"/>
      <c r="AA2795" s="223"/>
    </row>
    <row r="2796">
      <c r="A2796" s="42">
        <f t="shared" si="3"/>
        <v>2795</v>
      </c>
      <c r="B2796" s="53"/>
      <c r="C2796" s="53"/>
      <c r="D2796" s="42"/>
      <c r="E2796" s="42"/>
      <c r="F2796" s="53"/>
      <c r="G2796" s="53"/>
      <c r="H2796" s="53"/>
      <c r="I2796" s="53"/>
      <c r="J2796" s="53"/>
      <c r="K2796" s="53"/>
      <c r="L2796" s="53"/>
      <c r="M2796" s="53"/>
      <c r="N2796" s="62"/>
      <c r="O2796" s="62"/>
      <c r="P2796" s="62"/>
      <c r="Q2796" s="62"/>
      <c r="R2796" s="53"/>
      <c r="S2796" s="53"/>
      <c r="T2796" s="82"/>
      <c r="U2796" s="42"/>
      <c r="V2796" s="62"/>
      <c r="W2796" s="64"/>
      <c r="X2796" s="330"/>
      <c r="Y2796" s="330"/>
      <c r="Z2796" s="330"/>
      <c r="AA2796" s="223"/>
    </row>
    <row r="2797">
      <c r="A2797" s="42">
        <f t="shared" si="3"/>
        <v>2796</v>
      </c>
      <c r="B2797" s="53"/>
      <c r="C2797" s="53"/>
      <c r="D2797" s="42"/>
      <c r="E2797" s="42"/>
      <c r="F2797" s="53"/>
      <c r="G2797" s="53"/>
      <c r="H2797" s="53"/>
      <c r="I2797" s="53"/>
      <c r="J2797" s="53"/>
      <c r="K2797" s="53"/>
      <c r="L2797" s="53"/>
      <c r="M2797" s="53"/>
      <c r="N2797" s="62"/>
      <c r="O2797" s="62"/>
      <c r="P2797" s="62"/>
      <c r="Q2797" s="62"/>
      <c r="R2797" s="53"/>
      <c r="S2797" s="53"/>
      <c r="T2797" s="82"/>
      <c r="U2797" s="42"/>
      <c r="V2797" s="62"/>
      <c r="W2797" s="64"/>
      <c r="X2797" s="330"/>
      <c r="Y2797" s="330"/>
      <c r="Z2797" s="330"/>
      <c r="AA2797" s="223"/>
    </row>
    <row r="2798">
      <c r="A2798" s="42">
        <f t="shared" si="3"/>
        <v>2797</v>
      </c>
      <c r="B2798" s="53"/>
      <c r="C2798" s="53"/>
      <c r="D2798" s="42"/>
      <c r="E2798" s="42"/>
      <c r="F2798" s="53"/>
      <c r="G2798" s="53"/>
      <c r="H2798" s="53"/>
      <c r="I2798" s="53"/>
      <c r="J2798" s="53"/>
      <c r="K2798" s="53"/>
      <c r="L2798" s="53"/>
      <c r="M2798" s="53"/>
      <c r="N2798" s="62"/>
      <c r="O2798" s="62"/>
      <c r="P2798" s="62"/>
      <c r="Q2798" s="62"/>
      <c r="R2798" s="53"/>
      <c r="S2798" s="53"/>
      <c r="T2798" s="82"/>
      <c r="U2798" s="42"/>
      <c r="V2798" s="62"/>
      <c r="W2798" s="64"/>
      <c r="X2798" s="330"/>
      <c r="Y2798" s="330"/>
      <c r="Z2798" s="330"/>
      <c r="AA2798" s="223"/>
    </row>
    <row r="2799">
      <c r="A2799" s="42">
        <f t="shared" si="3"/>
        <v>2798</v>
      </c>
      <c r="B2799" s="53"/>
      <c r="C2799" s="53"/>
      <c r="D2799" s="42"/>
      <c r="E2799" s="42"/>
      <c r="F2799" s="53"/>
      <c r="G2799" s="53"/>
      <c r="H2799" s="53"/>
      <c r="I2799" s="53"/>
      <c r="J2799" s="53"/>
      <c r="K2799" s="53"/>
      <c r="L2799" s="53"/>
      <c r="M2799" s="53"/>
      <c r="N2799" s="62"/>
      <c r="O2799" s="62"/>
      <c r="P2799" s="62"/>
      <c r="Q2799" s="62"/>
      <c r="R2799" s="53"/>
      <c r="S2799" s="53"/>
      <c r="T2799" s="82"/>
      <c r="U2799" s="42"/>
      <c r="V2799" s="62"/>
      <c r="W2799" s="64"/>
      <c r="X2799" s="330"/>
      <c r="Y2799" s="330"/>
      <c r="Z2799" s="330"/>
      <c r="AA2799" s="223"/>
    </row>
    <row r="2800">
      <c r="A2800" s="42">
        <f t="shared" si="3"/>
        <v>2799</v>
      </c>
      <c r="B2800" s="53"/>
      <c r="C2800" s="53"/>
      <c r="D2800" s="42"/>
      <c r="E2800" s="42"/>
      <c r="F2800" s="53"/>
      <c r="G2800" s="53"/>
      <c r="H2800" s="53"/>
      <c r="I2800" s="53"/>
      <c r="J2800" s="53"/>
      <c r="K2800" s="53"/>
      <c r="L2800" s="53"/>
      <c r="M2800" s="53"/>
      <c r="N2800" s="62"/>
      <c r="O2800" s="62"/>
      <c r="P2800" s="62"/>
      <c r="Q2800" s="62"/>
      <c r="R2800" s="53"/>
      <c r="S2800" s="53"/>
      <c r="T2800" s="82"/>
      <c r="U2800" s="42"/>
      <c r="V2800" s="62"/>
      <c r="W2800" s="64"/>
      <c r="X2800" s="330"/>
      <c r="Y2800" s="330"/>
      <c r="Z2800" s="330"/>
      <c r="AA2800" s="223"/>
    </row>
    <row r="2801">
      <c r="A2801" s="42">
        <f t="shared" si="3"/>
        <v>2800</v>
      </c>
      <c r="B2801" s="53"/>
      <c r="C2801" s="53"/>
      <c r="D2801" s="42"/>
      <c r="E2801" s="42"/>
      <c r="F2801" s="53"/>
      <c r="G2801" s="53"/>
      <c r="H2801" s="53"/>
      <c r="I2801" s="53"/>
      <c r="J2801" s="53"/>
      <c r="K2801" s="53"/>
      <c r="L2801" s="53"/>
      <c r="M2801" s="53"/>
      <c r="N2801" s="62"/>
      <c r="O2801" s="62"/>
      <c r="P2801" s="62"/>
      <c r="Q2801" s="62"/>
      <c r="R2801" s="53"/>
      <c r="S2801" s="53"/>
      <c r="T2801" s="82"/>
      <c r="U2801" s="42"/>
      <c r="V2801" s="62"/>
      <c r="W2801" s="64"/>
      <c r="X2801" s="330"/>
      <c r="Y2801" s="330"/>
      <c r="Z2801" s="330"/>
      <c r="AA2801" s="223"/>
    </row>
    <row r="2802">
      <c r="A2802" s="42">
        <f t="shared" si="3"/>
        <v>2801</v>
      </c>
      <c r="B2802" s="53"/>
      <c r="C2802" s="53"/>
      <c r="D2802" s="42"/>
      <c r="E2802" s="42"/>
      <c r="F2802" s="53"/>
      <c r="G2802" s="53"/>
      <c r="H2802" s="53"/>
      <c r="I2802" s="53"/>
      <c r="J2802" s="53"/>
      <c r="K2802" s="53"/>
      <c r="L2802" s="53"/>
      <c r="M2802" s="53"/>
      <c r="N2802" s="62"/>
      <c r="O2802" s="62"/>
      <c r="P2802" s="62"/>
      <c r="Q2802" s="62"/>
      <c r="R2802" s="53"/>
      <c r="S2802" s="53"/>
      <c r="T2802" s="82"/>
      <c r="U2802" s="42"/>
      <c r="V2802" s="62"/>
      <c r="W2802" s="64"/>
      <c r="X2802" s="330"/>
      <c r="Y2802" s="330"/>
      <c r="Z2802" s="330"/>
      <c r="AA2802" s="223"/>
    </row>
    <row r="2803">
      <c r="A2803" s="42">
        <f t="shared" si="3"/>
        <v>2802</v>
      </c>
      <c r="B2803" s="53"/>
      <c r="C2803" s="53"/>
      <c r="D2803" s="42"/>
      <c r="E2803" s="42"/>
      <c r="F2803" s="53"/>
      <c r="G2803" s="53"/>
      <c r="H2803" s="53"/>
      <c r="I2803" s="53"/>
      <c r="J2803" s="53"/>
      <c r="K2803" s="53"/>
      <c r="L2803" s="53"/>
      <c r="M2803" s="53"/>
      <c r="N2803" s="62"/>
      <c r="O2803" s="62"/>
      <c r="P2803" s="62"/>
      <c r="Q2803" s="62"/>
      <c r="R2803" s="53"/>
      <c r="S2803" s="53"/>
      <c r="T2803" s="82"/>
      <c r="U2803" s="42"/>
      <c r="V2803" s="62"/>
      <c r="W2803" s="64"/>
      <c r="X2803" s="330"/>
      <c r="Y2803" s="330"/>
      <c r="Z2803" s="330"/>
      <c r="AA2803" s="223"/>
    </row>
    <row r="2804">
      <c r="A2804" s="42">
        <f t="shared" si="3"/>
        <v>2803</v>
      </c>
      <c r="B2804" s="53"/>
      <c r="C2804" s="53"/>
      <c r="D2804" s="42"/>
      <c r="E2804" s="42"/>
      <c r="F2804" s="53"/>
      <c r="G2804" s="53"/>
      <c r="H2804" s="53"/>
      <c r="I2804" s="53"/>
      <c r="J2804" s="53"/>
      <c r="K2804" s="53"/>
      <c r="L2804" s="53"/>
      <c r="M2804" s="53"/>
      <c r="N2804" s="62"/>
      <c r="O2804" s="62"/>
      <c r="P2804" s="62"/>
      <c r="Q2804" s="62"/>
      <c r="R2804" s="53"/>
      <c r="S2804" s="53"/>
      <c r="T2804" s="82"/>
      <c r="U2804" s="42"/>
      <c r="V2804" s="62"/>
      <c r="W2804" s="64"/>
      <c r="X2804" s="330"/>
      <c r="Y2804" s="330"/>
      <c r="Z2804" s="330"/>
      <c r="AA2804" s="223"/>
    </row>
    <row r="2805">
      <c r="A2805" s="42">
        <f t="shared" si="3"/>
        <v>2804</v>
      </c>
      <c r="B2805" s="53"/>
      <c r="C2805" s="53"/>
      <c r="D2805" s="42"/>
      <c r="E2805" s="42"/>
      <c r="F2805" s="53"/>
      <c r="G2805" s="53"/>
      <c r="H2805" s="53"/>
      <c r="I2805" s="53"/>
      <c r="J2805" s="53"/>
      <c r="K2805" s="53"/>
      <c r="L2805" s="53"/>
      <c r="M2805" s="53"/>
      <c r="N2805" s="62"/>
      <c r="O2805" s="62"/>
      <c r="P2805" s="62"/>
      <c r="Q2805" s="62"/>
      <c r="R2805" s="53"/>
      <c r="S2805" s="53"/>
      <c r="T2805" s="82"/>
      <c r="U2805" s="42"/>
      <c r="V2805" s="62"/>
      <c r="W2805" s="64"/>
      <c r="X2805" s="330"/>
      <c r="Y2805" s="330"/>
      <c r="Z2805" s="330"/>
      <c r="AA2805" s="223"/>
    </row>
    <row r="2806">
      <c r="A2806" s="42">
        <f t="shared" si="3"/>
        <v>2805</v>
      </c>
      <c r="B2806" s="53"/>
      <c r="C2806" s="53"/>
      <c r="D2806" s="42"/>
      <c r="E2806" s="42"/>
      <c r="F2806" s="53"/>
      <c r="G2806" s="53"/>
      <c r="H2806" s="53"/>
      <c r="I2806" s="53"/>
      <c r="J2806" s="53"/>
      <c r="K2806" s="53"/>
      <c r="L2806" s="53"/>
      <c r="M2806" s="53"/>
      <c r="N2806" s="62"/>
      <c r="O2806" s="62"/>
      <c r="P2806" s="62"/>
      <c r="Q2806" s="62"/>
      <c r="R2806" s="53"/>
      <c r="S2806" s="53"/>
      <c r="T2806" s="82"/>
      <c r="U2806" s="42"/>
      <c r="V2806" s="62"/>
      <c r="W2806" s="64"/>
      <c r="X2806" s="330"/>
      <c r="Y2806" s="330"/>
      <c r="Z2806" s="330"/>
      <c r="AA2806" s="223"/>
    </row>
    <row r="2807">
      <c r="A2807" s="42">
        <f t="shared" si="3"/>
        <v>2806</v>
      </c>
      <c r="B2807" s="53"/>
      <c r="C2807" s="53"/>
      <c r="D2807" s="42"/>
      <c r="E2807" s="42"/>
      <c r="F2807" s="53"/>
      <c r="G2807" s="53"/>
      <c r="H2807" s="53"/>
      <c r="I2807" s="53"/>
      <c r="J2807" s="53"/>
      <c r="K2807" s="53"/>
      <c r="L2807" s="53"/>
      <c r="M2807" s="53"/>
      <c r="N2807" s="62"/>
      <c r="O2807" s="62"/>
      <c r="P2807" s="62"/>
      <c r="Q2807" s="62"/>
      <c r="R2807" s="53"/>
      <c r="S2807" s="53"/>
      <c r="T2807" s="82"/>
      <c r="U2807" s="42"/>
      <c r="V2807" s="62"/>
      <c r="W2807" s="64"/>
      <c r="X2807" s="330"/>
      <c r="Y2807" s="330"/>
      <c r="Z2807" s="330"/>
      <c r="AA2807" s="223"/>
    </row>
    <row r="2808">
      <c r="A2808" s="42">
        <f t="shared" si="3"/>
        <v>2807</v>
      </c>
      <c r="B2808" s="53"/>
      <c r="C2808" s="53"/>
      <c r="D2808" s="42"/>
      <c r="E2808" s="42"/>
      <c r="F2808" s="53"/>
      <c r="G2808" s="53"/>
      <c r="H2808" s="53"/>
      <c r="I2808" s="53"/>
      <c r="J2808" s="53"/>
      <c r="K2808" s="53"/>
      <c r="L2808" s="53"/>
      <c r="M2808" s="53"/>
      <c r="N2808" s="62"/>
      <c r="O2808" s="62"/>
      <c r="P2808" s="62"/>
      <c r="Q2808" s="62"/>
      <c r="R2808" s="53"/>
      <c r="S2808" s="53"/>
      <c r="T2808" s="82"/>
      <c r="U2808" s="42"/>
      <c r="V2808" s="62"/>
      <c r="W2808" s="64"/>
      <c r="X2808" s="330"/>
      <c r="Y2808" s="330"/>
      <c r="Z2808" s="330"/>
      <c r="AA2808" s="223"/>
    </row>
    <row r="2809">
      <c r="A2809" s="42">
        <f t="shared" si="3"/>
        <v>2808</v>
      </c>
      <c r="B2809" s="53"/>
      <c r="C2809" s="53"/>
      <c r="D2809" s="42"/>
      <c r="E2809" s="42"/>
      <c r="F2809" s="53"/>
      <c r="G2809" s="53"/>
      <c r="H2809" s="53"/>
      <c r="I2809" s="53"/>
      <c r="J2809" s="53"/>
      <c r="K2809" s="53"/>
      <c r="L2809" s="53"/>
      <c r="M2809" s="53"/>
      <c r="N2809" s="62"/>
      <c r="O2809" s="62"/>
      <c r="P2809" s="62"/>
      <c r="Q2809" s="62"/>
      <c r="R2809" s="53"/>
      <c r="S2809" s="53"/>
      <c r="T2809" s="82"/>
      <c r="U2809" s="42"/>
      <c r="V2809" s="62"/>
      <c r="W2809" s="64"/>
      <c r="X2809" s="330"/>
      <c r="Y2809" s="330"/>
      <c r="Z2809" s="330"/>
      <c r="AA2809" s="223"/>
    </row>
    <row r="2810">
      <c r="A2810" s="42">
        <f t="shared" si="3"/>
        <v>2809</v>
      </c>
      <c r="B2810" s="53"/>
      <c r="C2810" s="53"/>
      <c r="D2810" s="42"/>
      <c r="E2810" s="42"/>
      <c r="F2810" s="53"/>
      <c r="G2810" s="53"/>
      <c r="H2810" s="53"/>
      <c r="I2810" s="53"/>
      <c r="J2810" s="53"/>
      <c r="K2810" s="53"/>
      <c r="L2810" s="53"/>
      <c r="M2810" s="53"/>
      <c r="N2810" s="62"/>
      <c r="O2810" s="62"/>
      <c r="P2810" s="62"/>
      <c r="Q2810" s="62"/>
      <c r="R2810" s="53"/>
      <c r="S2810" s="53"/>
      <c r="T2810" s="82"/>
      <c r="U2810" s="42"/>
      <c r="V2810" s="62"/>
      <c r="W2810" s="64"/>
      <c r="X2810" s="330"/>
      <c r="Y2810" s="330"/>
      <c r="Z2810" s="330"/>
      <c r="AA2810" s="223"/>
    </row>
    <row r="2811">
      <c r="A2811" s="42">
        <f t="shared" si="3"/>
        <v>2810</v>
      </c>
      <c r="B2811" s="53"/>
      <c r="C2811" s="53"/>
      <c r="D2811" s="42"/>
      <c r="E2811" s="42"/>
      <c r="F2811" s="53"/>
      <c r="G2811" s="53"/>
      <c r="H2811" s="53"/>
      <c r="I2811" s="53"/>
      <c r="J2811" s="53"/>
      <c r="K2811" s="53"/>
      <c r="L2811" s="53"/>
      <c r="M2811" s="53"/>
      <c r="N2811" s="62"/>
      <c r="O2811" s="62"/>
      <c r="P2811" s="62"/>
      <c r="Q2811" s="62"/>
      <c r="R2811" s="53"/>
      <c r="S2811" s="53"/>
      <c r="T2811" s="82"/>
      <c r="U2811" s="42"/>
      <c r="V2811" s="62"/>
      <c r="W2811" s="64"/>
      <c r="X2811" s="330"/>
      <c r="Y2811" s="330"/>
      <c r="Z2811" s="330"/>
      <c r="AA2811" s="223"/>
    </row>
    <row r="2812">
      <c r="A2812" s="42">
        <f t="shared" si="3"/>
        <v>2811</v>
      </c>
      <c r="B2812" s="53"/>
      <c r="C2812" s="53"/>
      <c r="D2812" s="42"/>
      <c r="E2812" s="42"/>
      <c r="F2812" s="53"/>
      <c r="G2812" s="53"/>
      <c r="H2812" s="53"/>
      <c r="I2812" s="53"/>
      <c r="J2812" s="53"/>
      <c r="K2812" s="53"/>
      <c r="L2812" s="53"/>
      <c r="M2812" s="53"/>
      <c r="N2812" s="62"/>
      <c r="O2812" s="62"/>
      <c r="P2812" s="62"/>
      <c r="Q2812" s="62"/>
      <c r="R2812" s="53"/>
      <c r="S2812" s="53"/>
      <c r="T2812" s="82"/>
      <c r="U2812" s="42"/>
      <c r="V2812" s="62"/>
      <c r="W2812" s="64"/>
      <c r="X2812" s="330"/>
      <c r="Y2812" s="330"/>
      <c r="Z2812" s="330"/>
      <c r="AA2812" s="223"/>
    </row>
    <row r="2813">
      <c r="A2813" s="42">
        <f t="shared" si="3"/>
        <v>2812</v>
      </c>
      <c r="B2813" s="53"/>
      <c r="C2813" s="53"/>
      <c r="D2813" s="42"/>
      <c r="E2813" s="42"/>
      <c r="F2813" s="53"/>
      <c r="G2813" s="53"/>
      <c r="H2813" s="53"/>
      <c r="I2813" s="53"/>
      <c r="J2813" s="53"/>
      <c r="K2813" s="53"/>
      <c r="L2813" s="53"/>
      <c r="M2813" s="53"/>
      <c r="N2813" s="62"/>
      <c r="O2813" s="62"/>
      <c r="P2813" s="62"/>
      <c r="Q2813" s="62"/>
      <c r="R2813" s="53"/>
      <c r="S2813" s="53"/>
      <c r="T2813" s="82"/>
      <c r="U2813" s="42"/>
      <c r="V2813" s="62"/>
      <c r="W2813" s="64"/>
      <c r="X2813" s="330"/>
      <c r="Y2813" s="330"/>
      <c r="Z2813" s="330"/>
      <c r="AA2813" s="223"/>
    </row>
    <row r="2814">
      <c r="A2814" s="42">
        <f t="shared" si="3"/>
        <v>2813</v>
      </c>
      <c r="B2814" s="53"/>
      <c r="C2814" s="53"/>
      <c r="D2814" s="42"/>
      <c r="E2814" s="42"/>
      <c r="F2814" s="53"/>
      <c r="G2814" s="53"/>
      <c r="H2814" s="53"/>
      <c r="I2814" s="53"/>
      <c r="J2814" s="53"/>
      <c r="K2814" s="53"/>
      <c r="L2814" s="53"/>
      <c r="M2814" s="53"/>
      <c r="N2814" s="62"/>
      <c r="O2814" s="62"/>
      <c r="P2814" s="62"/>
      <c r="Q2814" s="62"/>
      <c r="R2814" s="53"/>
      <c r="S2814" s="53"/>
      <c r="T2814" s="82"/>
      <c r="U2814" s="42"/>
      <c r="V2814" s="62"/>
      <c r="W2814" s="64"/>
      <c r="X2814" s="330"/>
      <c r="Y2814" s="330"/>
      <c r="Z2814" s="330"/>
      <c r="AA2814" s="223"/>
    </row>
    <row r="2815">
      <c r="A2815" s="42">
        <f t="shared" si="3"/>
        <v>2814</v>
      </c>
      <c r="B2815" s="53"/>
      <c r="C2815" s="53"/>
      <c r="D2815" s="42"/>
      <c r="E2815" s="42"/>
      <c r="F2815" s="53"/>
      <c r="G2815" s="53"/>
      <c r="H2815" s="53"/>
      <c r="I2815" s="53"/>
      <c r="J2815" s="53"/>
      <c r="K2815" s="53"/>
      <c r="L2815" s="53"/>
      <c r="M2815" s="53"/>
      <c r="N2815" s="62"/>
      <c r="O2815" s="62"/>
      <c r="P2815" s="62"/>
      <c r="Q2815" s="62"/>
      <c r="R2815" s="53"/>
      <c r="S2815" s="53"/>
      <c r="T2815" s="82"/>
      <c r="U2815" s="42"/>
      <c r="V2815" s="62"/>
      <c r="W2815" s="64"/>
      <c r="X2815" s="330"/>
      <c r="Y2815" s="330"/>
      <c r="Z2815" s="330"/>
      <c r="AA2815" s="223"/>
    </row>
    <row r="2816">
      <c r="A2816" s="42">
        <f t="shared" si="3"/>
        <v>2815</v>
      </c>
      <c r="B2816" s="53"/>
      <c r="C2816" s="53"/>
      <c r="D2816" s="42"/>
      <c r="E2816" s="42"/>
      <c r="F2816" s="53"/>
      <c r="G2816" s="53"/>
      <c r="H2816" s="53"/>
      <c r="I2816" s="53"/>
      <c r="J2816" s="53"/>
      <c r="K2816" s="53"/>
      <c r="L2816" s="53"/>
      <c r="M2816" s="53"/>
      <c r="N2816" s="62"/>
      <c r="O2816" s="62"/>
      <c r="P2816" s="62"/>
      <c r="Q2816" s="62"/>
      <c r="R2816" s="53"/>
      <c r="S2816" s="53"/>
      <c r="T2816" s="82"/>
      <c r="U2816" s="42"/>
      <c r="V2816" s="62"/>
      <c r="W2816" s="64"/>
      <c r="X2816" s="330"/>
      <c r="Y2816" s="330"/>
      <c r="Z2816" s="330"/>
      <c r="AA2816" s="223"/>
    </row>
    <row r="2817">
      <c r="A2817" s="42">
        <f t="shared" si="3"/>
        <v>2816</v>
      </c>
      <c r="B2817" s="53"/>
      <c r="C2817" s="53"/>
      <c r="D2817" s="42"/>
      <c r="E2817" s="42"/>
      <c r="F2817" s="53"/>
      <c r="G2817" s="53"/>
      <c r="H2817" s="53"/>
      <c r="I2817" s="53"/>
      <c r="J2817" s="53"/>
      <c r="K2817" s="53"/>
      <c r="L2817" s="53"/>
      <c r="M2817" s="53"/>
      <c r="N2817" s="62"/>
      <c r="O2817" s="62"/>
      <c r="P2817" s="62"/>
      <c r="Q2817" s="62"/>
      <c r="R2817" s="53"/>
      <c r="S2817" s="53"/>
      <c r="T2817" s="82"/>
      <c r="U2817" s="42"/>
      <c r="V2817" s="62"/>
      <c r="W2817" s="64"/>
      <c r="X2817" s="330"/>
      <c r="Y2817" s="330"/>
      <c r="Z2817" s="330"/>
      <c r="AA2817" s="223"/>
    </row>
    <row r="2818">
      <c r="A2818" s="42">
        <f t="shared" si="3"/>
        <v>2817</v>
      </c>
      <c r="B2818" s="53"/>
      <c r="C2818" s="53"/>
      <c r="D2818" s="42"/>
      <c r="E2818" s="42"/>
      <c r="F2818" s="53"/>
      <c r="G2818" s="53"/>
      <c r="H2818" s="53"/>
      <c r="I2818" s="53"/>
      <c r="J2818" s="53"/>
      <c r="K2818" s="53"/>
      <c r="L2818" s="53"/>
      <c r="M2818" s="53"/>
      <c r="N2818" s="62"/>
      <c r="O2818" s="62"/>
      <c r="P2818" s="62"/>
      <c r="Q2818" s="62"/>
      <c r="R2818" s="53"/>
      <c r="S2818" s="53"/>
      <c r="T2818" s="82"/>
      <c r="U2818" s="42"/>
      <c r="V2818" s="62"/>
      <c r="W2818" s="64"/>
      <c r="X2818" s="330"/>
      <c r="Y2818" s="330"/>
      <c r="Z2818" s="330"/>
      <c r="AA2818" s="223"/>
    </row>
    <row r="2819">
      <c r="A2819" s="42">
        <f t="shared" si="3"/>
        <v>2818</v>
      </c>
      <c r="B2819" s="53"/>
      <c r="C2819" s="53"/>
      <c r="D2819" s="42"/>
      <c r="E2819" s="42"/>
      <c r="F2819" s="53"/>
      <c r="G2819" s="53"/>
      <c r="H2819" s="53"/>
      <c r="I2819" s="53"/>
      <c r="J2819" s="53"/>
      <c r="K2819" s="53"/>
      <c r="L2819" s="53"/>
      <c r="M2819" s="53"/>
      <c r="N2819" s="62"/>
      <c r="O2819" s="62"/>
      <c r="P2819" s="62"/>
      <c r="Q2819" s="62"/>
      <c r="R2819" s="53"/>
      <c r="S2819" s="53"/>
      <c r="T2819" s="82"/>
      <c r="U2819" s="42"/>
      <c r="V2819" s="62"/>
      <c r="W2819" s="64"/>
      <c r="X2819" s="330"/>
      <c r="Y2819" s="330"/>
      <c r="Z2819" s="330"/>
      <c r="AA2819" s="223"/>
    </row>
    <row r="2820">
      <c r="A2820" s="42">
        <f t="shared" si="3"/>
        <v>2819</v>
      </c>
      <c r="B2820" s="53"/>
      <c r="C2820" s="53"/>
      <c r="D2820" s="42"/>
      <c r="E2820" s="42"/>
      <c r="F2820" s="53"/>
      <c r="G2820" s="53"/>
      <c r="H2820" s="53"/>
      <c r="I2820" s="53"/>
      <c r="J2820" s="53"/>
      <c r="K2820" s="53"/>
      <c r="L2820" s="53"/>
      <c r="M2820" s="53"/>
      <c r="N2820" s="62"/>
      <c r="O2820" s="62"/>
      <c r="P2820" s="62"/>
      <c r="Q2820" s="62"/>
      <c r="R2820" s="53"/>
      <c r="S2820" s="53"/>
      <c r="T2820" s="82"/>
      <c r="U2820" s="42"/>
      <c r="V2820" s="62"/>
      <c r="W2820" s="64"/>
      <c r="X2820" s="330"/>
      <c r="Y2820" s="330"/>
      <c r="Z2820" s="330"/>
      <c r="AA2820" s="223"/>
    </row>
    <row r="2821">
      <c r="A2821" s="42">
        <f t="shared" si="3"/>
        <v>2820</v>
      </c>
      <c r="B2821" s="53"/>
      <c r="C2821" s="53"/>
      <c r="D2821" s="42"/>
      <c r="E2821" s="42"/>
      <c r="F2821" s="53"/>
      <c r="G2821" s="53"/>
      <c r="H2821" s="53"/>
      <c r="I2821" s="53"/>
      <c r="J2821" s="53"/>
      <c r="K2821" s="53"/>
      <c r="L2821" s="53"/>
      <c r="M2821" s="53"/>
      <c r="N2821" s="62"/>
      <c r="O2821" s="62"/>
      <c r="P2821" s="62"/>
      <c r="Q2821" s="62"/>
      <c r="R2821" s="53"/>
      <c r="S2821" s="53"/>
      <c r="T2821" s="82"/>
      <c r="U2821" s="42"/>
      <c r="V2821" s="62"/>
      <c r="W2821" s="64"/>
      <c r="X2821" s="330"/>
      <c r="Y2821" s="330"/>
      <c r="Z2821" s="330"/>
      <c r="AA2821" s="223"/>
    </row>
    <row r="2822">
      <c r="A2822" s="42">
        <f t="shared" si="3"/>
        <v>2821</v>
      </c>
      <c r="B2822" s="53"/>
      <c r="C2822" s="53"/>
      <c r="D2822" s="42"/>
      <c r="E2822" s="42"/>
      <c r="F2822" s="53"/>
      <c r="G2822" s="53"/>
      <c r="H2822" s="53"/>
      <c r="I2822" s="53"/>
      <c r="J2822" s="53"/>
      <c r="K2822" s="53"/>
      <c r="L2822" s="53"/>
      <c r="M2822" s="53"/>
      <c r="N2822" s="62"/>
      <c r="O2822" s="62"/>
      <c r="P2822" s="62"/>
      <c r="Q2822" s="62"/>
      <c r="R2822" s="53"/>
      <c r="S2822" s="53"/>
      <c r="T2822" s="82"/>
      <c r="U2822" s="42"/>
      <c r="V2822" s="62"/>
      <c r="W2822" s="64"/>
      <c r="X2822" s="330"/>
      <c r="Y2822" s="330"/>
      <c r="Z2822" s="330"/>
      <c r="AA2822" s="223"/>
    </row>
    <row r="2823">
      <c r="A2823" s="42">
        <f t="shared" si="3"/>
        <v>2822</v>
      </c>
      <c r="B2823" s="53"/>
      <c r="C2823" s="53"/>
      <c r="D2823" s="42"/>
      <c r="E2823" s="42"/>
      <c r="F2823" s="53"/>
      <c r="G2823" s="53"/>
      <c r="H2823" s="53"/>
      <c r="I2823" s="53"/>
      <c r="J2823" s="53"/>
      <c r="K2823" s="53"/>
      <c r="L2823" s="53"/>
      <c r="M2823" s="53"/>
      <c r="N2823" s="62"/>
      <c r="O2823" s="62"/>
      <c r="P2823" s="62"/>
      <c r="Q2823" s="62"/>
      <c r="R2823" s="53"/>
      <c r="S2823" s="53"/>
      <c r="T2823" s="82"/>
      <c r="U2823" s="42"/>
      <c r="V2823" s="62"/>
      <c r="W2823" s="64"/>
      <c r="X2823" s="330"/>
      <c r="Y2823" s="330"/>
      <c r="Z2823" s="330"/>
      <c r="AA2823" s="223"/>
    </row>
    <row r="2824">
      <c r="A2824" s="42">
        <f t="shared" si="3"/>
        <v>2823</v>
      </c>
      <c r="B2824" s="53"/>
      <c r="C2824" s="53"/>
      <c r="D2824" s="42"/>
      <c r="E2824" s="42"/>
      <c r="F2824" s="53"/>
      <c r="G2824" s="53"/>
      <c r="H2824" s="53"/>
      <c r="I2824" s="53"/>
      <c r="J2824" s="53"/>
      <c r="K2824" s="53"/>
      <c r="L2824" s="53"/>
      <c r="M2824" s="53"/>
      <c r="N2824" s="62"/>
      <c r="O2824" s="62"/>
      <c r="P2824" s="62"/>
      <c r="Q2824" s="62"/>
      <c r="R2824" s="53"/>
      <c r="S2824" s="53"/>
      <c r="T2824" s="82"/>
      <c r="U2824" s="42"/>
      <c r="V2824" s="62"/>
      <c r="W2824" s="64"/>
      <c r="X2824" s="330"/>
      <c r="Y2824" s="330"/>
      <c r="Z2824" s="330"/>
      <c r="AA2824" s="223"/>
    </row>
    <row r="2825">
      <c r="A2825" s="42">
        <f t="shared" si="3"/>
        <v>2824</v>
      </c>
      <c r="B2825" s="53"/>
      <c r="C2825" s="53"/>
      <c r="D2825" s="42"/>
      <c r="E2825" s="42"/>
      <c r="F2825" s="53"/>
      <c r="G2825" s="53"/>
      <c r="H2825" s="53"/>
      <c r="I2825" s="53"/>
      <c r="J2825" s="53"/>
      <c r="K2825" s="53"/>
      <c r="L2825" s="53"/>
      <c r="M2825" s="53"/>
      <c r="N2825" s="62"/>
      <c r="O2825" s="62"/>
      <c r="P2825" s="62"/>
      <c r="Q2825" s="62"/>
      <c r="R2825" s="53"/>
      <c r="S2825" s="53"/>
      <c r="T2825" s="82"/>
      <c r="U2825" s="42"/>
      <c r="V2825" s="62"/>
      <c r="W2825" s="64"/>
      <c r="X2825" s="330"/>
      <c r="Y2825" s="330"/>
      <c r="Z2825" s="330"/>
      <c r="AA2825" s="223"/>
    </row>
    <row r="2826">
      <c r="A2826" s="42">
        <f t="shared" si="3"/>
        <v>2825</v>
      </c>
      <c r="B2826" s="53"/>
      <c r="C2826" s="53"/>
      <c r="D2826" s="42"/>
      <c r="E2826" s="42"/>
      <c r="F2826" s="53"/>
      <c r="G2826" s="53"/>
      <c r="H2826" s="53"/>
      <c r="I2826" s="53"/>
      <c r="J2826" s="53"/>
      <c r="K2826" s="53"/>
      <c r="L2826" s="53"/>
      <c r="M2826" s="53"/>
      <c r="N2826" s="62"/>
      <c r="O2826" s="62"/>
      <c r="P2826" s="62"/>
      <c r="Q2826" s="62"/>
      <c r="R2826" s="53"/>
      <c r="S2826" s="53"/>
      <c r="T2826" s="82"/>
      <c r="U2826" s="42"/>
      <c r="V2826" s="62"/>
      <c r="W2826" s="64"/>
      <c r="X2826" s="330"/>
      <c r="Y2826" s="330"/>
      <c r="Z2826" s="330"/>
      <c r="AA2826" s="223"/>
    </row>
    <row r="2827">
      <c r="A2827" s="42">
        <f t="shared" si="3"/>
        <v>2826</v>
      </c>
      <c r="B2827" s="53"/>
      <c r="C2827" s="53"/>
      <c r="D2827" s="42"/>
      <c r="E2827" s="42"/>
      <c r="F2827" s="53"/>
      <c r="G2827" s="53"/>
      <c r="H2827" s="53"/>
      <c r="I2827" s="53"/>
      <c r="J2827" s="53"/>
      <c r="K2827" s="53"/>
      <c r="L2827" s="53"/>
      <c r="M2827" s="53"/>
      <c r="N2827" s="62"/>
      <c r="O2827" s="62"/>
      <c r="P2827" s="62"/>
      <c r="Q2827" s="62"/>
      <c r="R2827" s="53"/>
      <c r="S2827" s="53"/>
      <c r="T2827" s="82"/>
      <c r="U2827" s="42"/>
      <c r="V2827" s="62"/>
      <c r="W2827" s="64"/>
      <c r="X2827" s="330"/>
      <c r="Y2827" s="330"/>
      <c r="Z2827" s="330"/>
      <c r="AA2827" s="223"/>
    </row>
    <row r="2828">
      <c r="A2828" s="42">
        <f t="shared" si="3"/>
        <v>2827</v>
      </c>
      <c r="B2828" s="53"/>
      <c r="C2828" s="53"/>
      <c r="D2828" s="42"/>
      <c r="E2828" s="42"/>
      <c r="F2828" s="53"/>
      <c r="G2828" s="53"/>
      <c r="H2828" s="53"/>
      <c r="I2828" s="53"/>
      <c r="J2828" s="53"/>
      <c r="K2828" s="53"/>
      <c r="L2828" s="53"/>
      <c r="M2828" s="53"/>
      <c r="N2828" s="62"/>
      <c r="O2828" s="62"/>
      <c r="P2828" s="62"/>
      <c r="Q2828" s="62"/>
      <c r="R2828" s="53"/>
      <c r="S2828" s="53"/>
      <c r="T2828" s="82"/>
      <c r="U2828" s="42"/>
      <c r="V2828" s="62"/>
      <c r="W2828" s="64"/>
      <c r="X2828" s="330"/>
      <c r="Y2828" s="330"/>
      <c r="Z2828" s="330"/>
      <c r="AA2828" s="223"/>
    </row>
    <row r="2829">
      <c r="A2829" s="42">
        <f t="shared" si="3"/>
        <v>2828</v>
      </c>
      <c r="B2829" s="53"/>
      <c r="C2829" s="53"/>
      <c r="D2829" s="42"/>
      <c r="E2829" s="42"/>
      <c r="F2829" s="53"/>
      <c r="G2829" s="53"/>
      <c r="H2829" s="53"/>
      <c r="I2829" s="53"/>
      <c r="J2829" s="53"/>
      <c r="K2829" s="53"/>
      <c r="L2829" s="53"/>
      <c r="M2829" s="53"/>
      <c r="N2829" s="62"/>
      <c r="O2829" s="62"/>
      <c r="P2829" s="62"/>
      <c r="Q2829" s="62"/>
      <c r="R2829" s="53"/>
      <c r="S2829" s="53"/>
      <c r="T2829" s="82"/>
      <c r="U2829" s="42"/>
      <c r="V2829" s="62"/>
      <c r="W2829" s="64"/>
      <c r="X2829" s="330"/>
      <c r="Y2829" s="330"/>
      <c r="Z2829" s="330"/>
      <c r="AA2829" s="223"/>
    </row>
    <row r="2830">
      <c r="A2830" s="42">
        <f t="shared" si="3"/>
        <v>2829</v>
      </c>
      <c r="B2830" s="53"/>
      <c r="C2830" s="53"/>
      <c r="D2830" s="42"/>
      <c r="E2830" s="42"/>
      <c r="F2830" s="53"/>
      <c r="G2830" s="53"/>
      <c r="H2830" s="53"/>
      <c r="I2830" s="53"/>
      <c r="J2830" s="53"/>
      <c r="K2830" s="53"/>
      <c r="L2830" s="53"/>
      <c r="M2830" s="53"/>
      <c r="N2830" s="62"/>
      <c r="O2830" s="62"/>
      <c r="P2830" s="62"/>
      <c r="Q2830" s="62"/>
      <c r="R2830" s="53"/>
      <c r="S2830" s="53"/>
      <c r="T2830" s="82"/>
      <c r="U2830" s="42"/>
      <c r="V2830" s="62"/>
      <c r="W2830" s="64"/>
      <c r="X2830" s="330"/>
      <c r="Y2830" s="330"/>
      <c r="Z2830" s="330"/>
      <c r="AA2830" s="223"/>
    </row>
    <row r="2831">
      <c r="A2831" s="42">
        <f t="shared" si="3"/>
        <v>2830</v>
      </c>
      <c r="B2831" s="53"/>
      <c r="C2831" s="53"/>
      <c r="D2831" s="42"/>
      <c r="E2831" s="42"/>
      <c r="F2831" s="53"/>
      <c r="G2831" s="53"/>
      <c r="H2831" s="53"/>
      <c r="I2831" s="53"/>
      <c r="J2831" s="53"/>
      <c r="K2831" s="53"/>
      <c r="L2831" s="53"/>
      <c r="M2831" s="53"/>
      <c r="N2831" s="62"/>
      <c r="O2831" s="62"/>
      <c r="P2831" s="62"/>
      <c r="Q2831" s="62"/>
      <c r="R2831" s="53"/>
      <c r="S2831" s="53"/>
      <c r="T2831" s="82"/>
      <c r="U2831" s="42"/>
      <c r="V2831" s="62"/>
      <c r="W2831" s="64"/>
      <c r="X2831" s="330"/>
      <c r="Y2831" s="330"/>
      <c r="Z2831" s="330"/>
      <c r="AA2831" s="223"/>
    </row>
    <row r="2832">
      <c r="A2832" s="42">
        <f t="shared" si="3"/>
        <v>2831</v>
      </c>
      <c r="B2832" s="53"/>
      <c r="C2832" s="53"/>
      <c r="D2832" s="42"/>
      <c r="E2832" s="42"/>
      <c r="F2832" s="53"/>
      <c r="G2832" s="53"/>
      <c r="H2832" s="53"/>
      <c r="I2832" s="53"/>
      <c r="J2832" s="53"/>
      <c r="K2832" s="53"/>
      <c r="L2832" s="53"/>
      <c r="M2832" s="53"/>
      <c r="N2832" s="62"/>
      <c r="O2832" s="62"/>
      <c r="P2832" s="62"/>
      <c r="Q2832" s="62"/>
      <c r="R2832" s="53"/>
      <c r="S2832" s="53"/>
      <c r="T2832" s="82"/>
      <c r="U2832" s="42"/>
      <c r="V2832" s="62"/>
      <c r="W2832" s="64"/>
      <c r="X2832" s="330"/>
      <c r="Y2832" s="330"/>
      <c r="Z2832" s="330"/>
      <c r="AA2832" s="223"/>
    </row>
    <row r="2833">
      <c r="A2833" s="42">
        <f t="shared" si="3"/>
        <v>2832</v>
      </c>
      <c r="B2833" s="53"/>
      <c r="C2833" s="53"/>
      <c r="D2833" s="42"/>
      <c r="E2833" s="42"/>
      <c r="F2833" s="53"/>
      <c r="G2833" s="53"/>
      <c r="H2833" s="53"/>
      <c r="I2833" s="53"/>
      <c r="J2833" s="53"/>
      <c r="K2833" s="53"/>
      <c r="L2833" s="53"/>
      <c r="M2833" s="53"/>
      <c r="N2833" s="62"/>
      <c r="O2833" s="62"/>
      <c r="P2833" s="62"/>
      <c r="Q2833" s="62"/>
      <c r="R2833" s="53"/>
      <c r="S2833" s="53"/>
      <c r="T2833" s="82"/>
      <c r="U2833" s="42"/>
      <c r="V2833" s="62"/>
      <c r="W2833" s="64"/>
      <c r="X2833" s="330"/>
      <c r="Y2833" s="330"/>
      <c r="Z2833" s="330"/>
      <c r="AA2833" s="223"/>
    </row>
    <row r="2834">
      <c r="A2834" s="42">
        <f t="shared" si="3"/>
        <v>2833</v>
      </c>
      <c r="B2834" s="53"/>
      <c r="C2834" s="53"/>
      <c r="D2834" s="42"/>
      <c r="E2834" s="42"/>
      <c r="F2834" s="53"/>
      <c r="G2834" s="53"/>
      <c r="H2834" s="53"/>
      <c r="I2834" s="53"/>
      <c r="J2834" s="53"/>
      <c r="K2834" s="53"/>
      <c r="L2834" s="53"/>
      <c r="M2834" s="53"/>
      <c r="N2834" s="62"/>
      <c r="O2834" s="62"/>
      <c r="P2834" s="62"/>
      <c r="Q2834" s="62"/>
      <c r="R2834" s="53"/>
      <c r="S2834" s="53"/>
      <c r="T2834" s="82"/>
      <c r="U2834" s="42"/>
      <c r="V2834" s="62"/>
      <c r="W2834" s="64"/>
      <c r="X2834" s="330"/>
      <c r="Y2834" s="330"/>
      <c r="Z2834" s="330"/>
      <c r="AA2834" s="223"/>
    </row>
    <row r="2835">
      <c r="A2835" s="42">
        <f t="shared" si="3"/>
        <v>2834</v>
      </c>
      <c r="B2835" s="53"/>
      <c r="C2835" s="53"/>
      <c r="D2835" s="42"/>
      <c r="E2835" s="42"/>
      <c r="F2835" s="53"/>
      <c r="G2835" s="53"/>
      <c r="H2835" s="53"/>
      <c r="I2835" s="53"/>
      <c r="J2835" s="53"/>
      <c r="K2835" s="53"/>
      <c r="L2835" s="53"/>
      <c r="M2835" s="53"/>
      <c r="N2835" s="62"/>
      <c r="O2835" s="62"/>
      <c r="P2835" s="62"/>
      <c r="Q2835" s="62"/>
      <c r="R2835" s="53"/>
      <c r="S2835" s="53"/>
      <c r="T2835" s="82"/>
      <c r="U2835" s="42"/>
      <c r="V2835" s="62"/>
      <c r="W2835" s="64"/>
      <c r="X2835" s="330"/>
      <c r="Y2835" s="330"/>
      <c r="Z2835" s="330"/>
      <c r="AA2835" s="223"/>
    </row>
    <row r="2836">
      <c r="A2836" s="42">
        <f t="shared" si="3"/>
        <v>2835</v>
      </c>
      <c r="B2836" s="53"/>
      <c r="C2836" s="53"/>
      <c r="D2836" s="42"/>
      <c r="E2836" s="42"/>
      <c r="F2836" s="53"/>
      <c r="G2836" s="53"/>
      <c r="H2836" s="53"/>
      <c r="I2836" s="53"/>
      <c r="J2836" s="53"/>
      <c r="K2836" s="53"/>
      <c r="L2836" s="53"/>
      <c r="M2836" s="53"/>
      <c r="N2836" s="62"/>
      <c r="O2836" s="62"/>
      <c r="P2836" s="62"/>
      <c r="Q2836" s="62"/>
      <c r="R2836" s="53"/>
      <c r="S2836" s="53"/>
      <c r="T2836" s="82"/>
      <c r="U2836" s="42"/>
      <c r="V2836" s="62"/>
      <c r="W2836" s="64"/>
      <c r="X2836" s="330"/>
      <c r="Y2836" s="330"/>
      <c r="Z2836" s="330"/>
      <c r="AA2836" s="223"/>
    </row>
    <row r="2837">
      <c r="A2837" s="42">
        <f t="shared" si="3"/>
        <v>2836</v>
      </c>
      <c r="B2837" s="53"/>
      <c r="C2837" s="53"/>
      <c r="D2837" s="42"/>
      <c r="E2837" s="42"/>
      <c r="F2837" s="53"/>
      <c r="G2837" s="53"/>
      <c r="H2837" s="53"/>
      <c r="I2837" s="53"/>
      <c r="J2837" s="53"/>
      <c r="K2837" s="53"/>
      <c r="L2837" s="53"/>
      <c r="M2837" s="53"/>
      <c r="N2837" s="62"/>
      <c r="O2837" s="62"/>
      <c r="P2837" s="62"/>
      <c r="Q2837" s="62"/>
      <c r="R2837" s="53"/>
      <c r="S2837" s="53"/>
      <c r="T2837" s="82"/>
      <c r="U2837" s="42"/>
      <c r="V2837" s="62"/>
      <c r="W2837" s="64"/>
      <c r="X2837" s="330"/>
      <c r="Y2837" s="330"/>
      <c r="Z2837" s="330"/>
      <c r="AA2837" s="223"/>
    </row>
    <row r="2838">
      <c r="A2838" s="42">
        <f t="shared" si="3"/>
        <v>2837</v>
      </c>
      <c r="B2838" s="53"/>
      <c r="C2838" s="53"/>
      <c r="D2838" s="42"/>
      <c r="E2838" s="42"/>
      <c r="F2838" s="53"/>
      <c r="G2838" s="53"/>
      <c r="H2838" s="53"/>
      <c r="I2838" s="53"/>
      <c r="J2838" s="53"/>
      <c r="K2838" s="53"/>
      <c r="L2838" s="53"/>
      <c r="M2838" s="53"/>
      <c r="N2838" s="62"/>
      <c r="O2838" s="62"/>
      <c r="P2838" s="62"/>
      <c r="Q2838" s="62"/>
      <c r="R2838" s="53"/>
      <c r="S2838" s="53"/>
      <c r="T2838" s="82"/>
      <c r="U2838" s="42"/>
      <c r="V2838" s="62"/>
      <c r="W2838" s="64"/>
      <c r="X2838" s="330"/>
      <c r="Y2838" s="330"/>
      <c r="Z2838" s="330"/>
      <c r="AA2838" s="223"/>
    </row>
    <row r="2839">
      <c r="A2839" s="42">
        <f t="shared" si="3"/>
        <v>2838</v>
      </c>
      <c r="B2839" s="53"/>
      <c r="C2839" s="53"/>
      <c r="D2839" s="42"/>
      <c r="E2839" s="42"/>
      <c r="F2839" s="53"/>
      <c r="G2839" s="53"/>
      <c r="H2839" s="53"/>
      <c r="I2839" s="53"/>
      <c r="J2839" s="53"/>
      <c r="K2839" s="53"/>
      <c r="L2839" s="53"/>
      <c r="M2839" s="53"/>
      <c r="N2839" s="62"/>
      <c r="O2839" s="62"/>
      <c r="P2839" s="62"/>
      <c r="Q2839" s="62"/>
      <c r="R2839" s="53"/>
      <c r="S2839" s="53"/>
      <c r="T2839" s="82"/>
      <c r="U2839" s="42"/>
      <c r="V2839" s="62"/>
      <c r="W2839" s="64"/>
      <c r="X2839" s="330"/>
      <c r="Y2839" s="330"/>
      <c r="Z2839" s="330"/>
      <c r="AA2839" s="223"/>
    </row>
    <row r="2840">
      <c r="A2840" s="42">
        <f t="shared" si="3"/>
        <v>2839</v>
      </c>
      <c r="B2840" s="53"/>
      <c r="C2840" s="53"/>
      <c r="D2840" s="42"/>
      <c r="E2840" s="42"/>
      <c r="F2840" s="53"/>
      <c r="G2840" s="53"/>
      <c r="H2840" s="53"/>
      <c r="I2840" s="53"/>
      <c r="J2840" s="53"/>
      <c r="K2840" s="53"/>
      <c r="L2840" s="53"/>
      <c r="M2840" s="53"/>
      <c r="N2840" s="62"/>
      <c r="O2840" s="62"/>
      <c r="P2840" s="62"/>
      <c r="Q2840" s="62"/>
      <c r="R2840" s="53"/>
      <c r="S2840" s="53"/>
      <c r="T2840" s="82"/>
      <c r="U2840" s="42"/>
      <c r="V2840" s="62"/>
      <c r="W2840" s="64"/>
      <c r="X2840" s="330"/>
      <c r="Y2840" s="330"/>
      <c r="Z2840" s="330"/>
      <c r="AA2840" s="223"/>
    </row>
    <row r="2841">
      <c r="A2841" s="42">
        <f t="shared" si="3"/>
        <v>2840</v>
      </c>
      <c r="B2841" s="53"/>
      <c r="C2841" s="53"/>
      <c r="D2841" s="42"/>
      <c r="E2841" s="42"/>
      <c r="F2841" s="53"/>
      <c r="G2841" s="53"/>
      <c r="H2841" s="53"/>
      <c r="I2841" s="53"/>
      <c r="J2841" s="53"/>
      <c r="K2841" s="53"/>
      <c r="L2841" s="53"/>
      <c r="M2841" s="53"/>
      <c r="N2841" s="62"/>
      <c r="O2841" s="62"/>
      <c r="P2841" s="62"/>
      <c r="Q2841" s="62"/>
      <c r="R2841" s="53"/>
      <c r="S2841" s="53"/>
      <c r="T2841" s="82"/>
      <c r="U2841" s="42"/>
      <c r="V2841" s="62"/>
      <c r="W2841" s="64"/>
      <c r="X2841" s="330"/>
      <c r="Y2841" s="330"/>
      <c r="Z2841" s="330"/>
      <c r="AA2841" s="223"/>
    </row>
    <row r="2842">
      <c r="A2842" s="42">
        <f t="shared" si="3"/>
        <v>2841</v>
      </c>
      <c r="B2842" s="53"/>
      <c r="C2842" s="53"/>
      <c r="D2842" s="42"/>
      <c r="E2842" s="42"/>
      <c r="F2842" s="53"/>
      <c r="G2842" s="53"/>
      <c r="H2842" s="53"/>
      <c r="I2842" s="53"/>
      <c r="J2842" s="53"/>
      <c r="K2842" s="53"/>
      <c r="L2842" s="53"/>
      <c r="M2842" s="53"/>
      <c r="N2842" s="62"/>
      <c r="O2842" s="62"/>
      <c r="P2842" s="62"/>
      <c r="Q2842" s="62"/>
      <c r="R2842" s="53"/>
      <c r="S2842" s="53"/>
      <c r="T2842" s="82"/>
      <c r="U2842" s="42"/>
      <c r="V2842" s="62"/>
      <c r="W2842" s="64"/>
      <c r="X2842" s="330"/>
      <c r="Y2842" s="330"/>
      <c r="Z2842" s="330"/>
      <c r="AA2842" s="223"/>
    </row>
    <row r="2843">
      <c r="A2843" s="42">
        <f t="shared" si="3"/>
        <v>2842</v>
      </c>
      <c r="B2843" s="53"/>
      <c r="C2843" s="53"/>
      <c r="D2843" s="42"/>
      <c r="E2843" s="42"/>
      <c r="F2843" s="53"/>
      <c r="G2843" s="53"/>
      <c r="H2843" s="53"/>
      <c r="I2843" s="53"/>
      <c r="J2843" s="53"/>
      <c r="K2843" s="53"/>
      <c r="L2843" s="53"/>
      <c r="M2843" s="53"/>
      <c r="N2843" s="62"/>
      <c r="O2843" s="62"/>
      <c r="P2843" s="62"/>
      <c r="Q2843" s="62"/>
      <c r="R2843" s="53"/>
      <c r="S2843" s="53"/>
      <c r="T2843" s="82"/>
      <c r="U2843" s="42"/>
      <c r="V2843" s="62"/>
      <c r="W2843" s="64"/>
      <c r="X2843" s="330"/>
      <c r="Y2843" s="330"/>
      <c r="Z2843" s="330"/>
      <c r="AA2843" s="223"/>
    </row>
    <row r="2844">
      <c r="A2844" s="42">
        <f t="shared" si="3"/>
        <v>2843</v>
      </c>
      <c r="B2844" s="53"/>
      <c r="C2844" s="53"/>
      <c r="D2844" s="42"/>
      <c r="E2844" s="42"/>
      <c r="F2844" s="53"/>
      <c r="G2844" s="53"/>
      <c r="H2844" s="53"/>
      <c r="I2844" s="53"/>
      <c r="J2844" s="53"/>
      <c r="K2844" s="53"/>
      <c r="L2844" s="53"/>
      <c r="M2844" s="53"/>
      <c r="N2844" s="62"/>
      <c r="O2844" s="62"/>
      <c r="P2844" s="62"/>
      <c r="Q2844" s="62"/>
      <c r="R2844" s="53"/>
      <c r="S2844" s="53"/>
      <c r="T2844" s="82"/>
      <c r="U2844" s="42"/>
      <c r="V2844" s="62"/>
      <c r="W2844" s="64"/>
      <c r="X2844" s="330"/>
      <c r="Y2844" s="330"/>
      <c r="Z2844" s="330"/>
      <c r="AA2844" s="223"/>
    </row>
    <row r="2845">
      <c r="A2845" s="42">
        <f t="shared" si="3"/>
        <v>2844</v>
      </c>
      <c r="B2845" s="53"/>
      <c r="C2845" s="53"/>
      <c r="D2845" s="42"/>
      <c r="E2845" s="42"/>
      <c r="F2845" s="53"/>
      <c r="G2845" s="53"/>
      <c r="H2845" s="53"/>
      <c r="I2845" s="53"/>
      <c r="J2845" s="53"/>
      <c r="K2845" s="53"/>
      <c r="L2845" s="53"/>
      <c r="M2845" s="53"/>
      <c r="N2845" s="62"/>
      <c r="O2845" s="62"/>
      <c r="P2845" s="62"/>
      <c r="Q2845" s="62"/>
      <c r="R2845" s="53"/>
      <c r="S2845" s="53"/>
      <c r="T2845" s="82"/>
      <c r="U2845" s="42"/>
      <c r="V2845" s="62"/>
      <c r="W2845" s="64"/>
      <c r="X2845" s="330"/>
      <c r="Y2845" s="330"/>
      <c r="Z2845" s="330"/>
      <c r="AA2845" s="223"/>
    </row>
    <row r="2846">
      <c r="A2846" s="42">
        <f t="shared" si="3"/>
        <v>2845</v>
      </c>
      <c r="B2846" s="53"/>
      <c r="C2846" s="53"/>
      <c r="D2846" s="42"/>
      <c r="E2846" s="42"/>
      <c r="F2846" s="53"/>
      <c r="G2846" s="53"/>
      <c r="H2846" s="53"/>
      <c r="I2846" s="53"/>
      <c r="J2846" s="53"/>
      <c r="K2846" s="53"/>
      <c r="L2846" s="53"/>
      <c r="M2846" s="53"/>
      <c r="N2846" s="62"/>
      <c r="O2846" s="62"/>
      <c r="P2846" s="62"/>
      <c r="Q2846" s="62"/>
      <c r="R2846" s="53"/>
      <c r="S2846" s="53"/>
      <c r="T2846" s="82"/>
      <c r="U2846" s="42"/>
      <c r="V2846" s="62"/>
      <c r="W2846" s="64"/>
      <c r="X2846" s="330"/>
      <c r="Y2846" s="330"/>
      <c r="Z2846" s="330"/>
      <c r="AA2846" s="223"/>
    </row>
    <row r="2847">
      <c r="A2847" s="42">
        <f t="shared" si="3"/>
        <v>2846</v>
      </c>
      <c r="B2847" s="53"/>
      <c r="C2847" s="53"/>
      <c r="D2847" s="42"/>
      <c r="E2847" s="42"/>
      <c r="F2847" s="53"/>
      <c r="G2847" s="53"/>
      <c r="H2847" s="53"/>
      <c r="I2847" s="53"/>
      <c r="J2847" s="53"/>
      <c r="K2847" s="53"/>
      <c r="L2847" s="53"/>
      <c r="M2847" s="53"/>
      <c r="N2847" s="62"/>
      <c r="O2847" s="62"/>
      <c r="P2847" s="62"/>
      <c r="Q2847" s="62"/>
      <c r="R2847" s="53"/>
      <c r="S2847" s="53"/>
      <c r="T2847" s="82"/>
      <c r="U2847" s="42"/>
      <c r="V2847" s="62"/>
      <c r="W2847" s="64"/>
      <c r="X2847" s="330"/>
      <c r="Y2847" s="330"/>
      <c r="Z2847" s="330"/>
      <c r="AA2847" s="223"/>
    </row>
    <row r="2848">
      <c r="A2848" s="42">
        <f t="shared" si="3"/>
        <v>2847</v>
      </c>
      <c r="B2848" s="53"/>
      <c r="C2848" s="53"/>
      <c r="D2848" s="42"/>
      <c r="E2848" s="42"/>
      <c r="F2848" s="53"/>
      <c r="G2848" s="53"/>
      <c r="H2848" s="53"/>
      <c r="I2848" s="53"/>
      <c r="J2848" s="53"/>
      <c r="K2848" s="53"/>
      <c r="L2848" s="53"/>
      <c r="M2848" s="53"/>
      <c r="N2848" s="62"/>
      <c r="O2848" s="62"/>
      <c r="P2848" s="62"/>
      <c r="Q2848" s="62"/>
      <c r="R2848" s="53"/>
      <c r="S2848" s="53"/>
      <c r="T2848" s="82"/>
      <c r="U2848" s="42"/>
      <c r="V2848" s="62"/>
      <c r="W2848" s="64"/>
      <c r="X2848" s="330"/>
      <c r="Y2848" s="330"/>
      <c r="Z2848" s="330"/>
      <c r="AA2848" s="223"/>
    </row>
    <row r="2849">
      <c r="A2849" s="42">
        <f t="shared" si="3"/>
        <v>2848</v>
      </c>
      <c r="B2849" s="53"/>
      <c r="C2849" s="53"/>
      <c r="D2849" s="42"/>
      <c r="E2849" s="42"/>
      <c r="F2849" s="53"/>
      <c r="G2849" s="53"/>
      <c r="H2849" s="53"/>
      <c r="I2849" s="53"/>
      <c r="J2849" s="53"/>
      <c r="K2849" s="53"/>
      <c r="L2849" s="53"/>
      <c r="M2849" s="53"/>
      <c r="N2849" s="62"/>
      <c r="O2849" s="62"/>
      <c r="P2849" s="62"/>
      <c r="Q2849" s="62"/>
      <c r="R2849" s="53"/>
      <c r="S2849" s="53"/>
      <c r="T2849" s="82"/>
      <c r="U2849" s="42"/>
      <c r="V2849" s="62"/>
      <c r="W2849" s="64"/>
      <c r="X2849" s="330"/>
      <c r="Y2849" s="330"/>
      <c r="Z2849" s="330"/>
      <c r="AA2849" s="223"/>
    </row>
    <row r="2850">
      <c r="A2850" s="42">
        <f t="shared" si="3"/>
        <v>2849</v>
      </c>
      <c r="B2850" s="53"/>
      <c r="C2850" s="53"/>
      <c r="D2850" s="42"/>
      <c r="E2850" s="42"/>
      <c r="F2850" s="53"/>
      <c r="G2850" s="53"/>
      <c r="H2850" s="53"/>
      <c r="I2850" s="53"/>
      <c r="J2850" s="53"/>
      <c r="K2850" s="53"/>
      <c r="L2850" s="53"/>
      <c r="M2850" s="53"/>
      <c r="N2850" s="62"/>
      <c r="O2850" s="62"/>
      <c r="P2850" s="62"/>
      <c r="Q2850" s="62"/>
      <c r="R2850" s="53"/>
      <c r="S2850" s="53"/>
      <c r="T2850" s="82"/>
      <c r="U2850" s="42"/>
      <c r="V2850" s="62"/>
      <c r="W2850" s="64"/>
      <c r="X2850" s="330"/>
      <c r="Y2850" s="330"/>
      <c r="Z2850" s="330"/>
      <c r="AA2850" s="223"/>
    </row>
    <row r="2851">
      <c r="A2851" s="42">
        <f t="shared" si="3"/>
        <v>2850</v>
      </c>
      <c r="B2851" s="53"/>
      <c r="C2851" s="53"/>
      <c r="D2851" s="42"/>
      <c r="E2851" s="42"/>
      <c r="F2851" s="53"/>
      <c r="G2851" s="53"/>
      <c r="H2851" s="53"/>
      <c r="I2851" s="53"/>
      <c r="J2851" s="53"/>
      <c r="K2851" s="53"/>
      <c r="L2851" s="53"/>
      <c r="M2851" s="53"/>
      <c r="N2851" s="62"/>
      <c r="O2851" s="62"/>
      <c r="P2851" s="62"/>
      <c r="Q2851" s="62"/>
      <c r="R2851" s="53"/>
      <c r="S2851" s="53"/>
      <c r="T2851" s="82"/>
      <c r="U2851" s="42"/>
      <c r="V2851" s="62"/>
      <c r="W2851" s="64"/>
      <c r="X2851" s="330"/>
      <c r="Y2851" s="330"/>
      <c r="Z2851" s="330"/>
      <c r="AA2851" s="223"/>
    </row>
    <row r="2852">
      <c r="A2852" s="42">
        <f t="shared" si="3"/>
        <v>2851</v>
      </c>
      <c r="B2852" s="53"/>
      <c r="C2852" s="53"/>
      <c r="D2852" s="42"/>
      <c r="E2852" s="42"/>
      <c r="F2852" s="53"/>
      <c r="G2852" s="53"/>
      <c r="H2852" s="53"/>
      <c r="I2852" s="53"/>
      <c r="J2852" s="53"/>
      <c r="K2852" s="53"/>
      <c r="L2852" s="53"/>
      <c r="M2852" s="53"/>
      <c r="N2852" s="62"/>
      <c r="O2852" s="62"/>
      <c r="P2852" s="62"/>
      <c r="Q2852" s="62"/>
      <c r="R2852" s="53"/>
      <c r="S2852" s="53"/>
      <c r="T2852" s="82"/>
      <c r="U2852" s="42"/>
      <c r="V2852" s="62"/>
      <c r="W2852" s="64"/>
      <c r="X2852" s="330"/>
      <c r="Y2852" s="330"/>
      <c r="Z2852" s="330"/>
      <c r="AA2852" s="223"/>
    </row>
    <row r="2853">
      <c r="A2853" s="42">
        <f t="shared" si="3"/>
        <v>2852</v>
      </c>
      <c r="B2853" s="53"/>
      <c r="C2853" s="53"/>
      <c r="D2853" s="42"/>
      <c r="E2853" s="42"/>
      <c r="F2853" s="53"/>
      <c r="G2853" s="53"/>
      <c r="H2853" s="53"/>
      <c r="I2853" s="53"/>
      <c r="J2853" s="53"/>
      <c r="K2853" s="53"/>
      <c r="L2853" s="53"/>
      <c r="M2853" s="53"/>
      <c r="N2853" s="62"/>
      <c r="O2853" s="62"/>
      <c r="P2853" s="62"/>
      <c r="Q2853" s="62"/>
      <c r="R2853" s="53"/>
      <c r="S2853" s="53"/>
      <c r="T2853" s="82"/>
      <c r="U2853" s="42"/>
      <c r="V2853" s="62"/>
      <c r="W2853" s="64"/>
      <c r="X2853" s="330"/>
      <c r="Y2853" s="330"/>
      <c r="Z2853" s="330"/>
      <c r="AA2853" s="223"/>
    </row>
    <row r="2854">
      <c r="A2854" s="42">
        <f t="shared" si="3"/>
        <v>2853</v>
      </c>
      <c r="B2854" s="53"/>
      <c r="C2854" s="53"/>
      <c r="D2854" s="42"/>
      <c r="E2854" s="42"/>
      <c r="F2854" s="53"/>
      <c r="G2854" s="53"/>
      <c r="H2854" s="53"/>
      <c r="I2854" s="53"/>
      <c r="J2854" s="53"/>
      <c r="K2854" s="53"/>
      <c r="L2854" s="53"/>
      <c r="M2854" s="53"/>
      <c r="N2854" s="62"/>
      <c r="O2854" s="62"/>
      <c r="P2854" s="62"/>
      <c r="Q2854" s="62"/>
      <c r="R2854" s="53"/>
      <c r="S2854" s="53"/>
      <c r="T2854" s="82"/>
      <c r="U2854" s="42"/>
      <c r="V2854" s="62"/>
      <c r="W2854" s="64"/>
      <c r="X2854" s="330"/>
      <c r="Y2854" s="330"/>
      <c r="Z2854" s="330"/>
      <c r="AA2854" s="223"/>
    </row>
    <row r="2855">
      <c r="A2855" s="42">
        <f t="shared" si="3"/>
        <v>2854</v>
      </c>
      <c r="B2855" s="53"/>
      <c r="C2855" s="53"/>
      <c r="D2855" s="42"/>
      <c r="E2855" s="42"/>
      <c r="F2855" s="53"/>
      <c r="G2855" s="53"/>
      <c r="H2855" s="53"/>
      <c r="I2855" s="53"/>
      <c r="J2855" s="53"/>
      <c r="K2855" s="53"/>
      <c r="L2855" s="53"/>
      <c r="M2855" s="53"/>
      <c r="N2855" s="62"/>
      <c r="O2855" s="62"/>
      <c r="P2855" s="62"/>
      <c r="Q2855" s="62"/>
      <c r="R2855" s="53"/>
      <c r="S2855" s="53"/>
      <c r="T2855" s="82"/>
      <c r="U2855" s="42"/>
      <c r="V2855" s="62"/>
      <c r="W2855" s="64"/>
      <c r="X2855" s="330"/>
      <c r="Y2855" s="330"/>
      <c r="Z2855" s="330"/>
      <c r="AA2855" s="223"/>
    </row>
    <row r="2856">
      <c r="A2856" s="42">
        <f t="shared" si="3"/>
        <v>2855</v>
      </c>
      <c r="B2856" s="53"/>
      <c r="C2856" s="53"/>
      <c r="D2856" s="42"/>
      <c r="E2856" s="42"/>
      <c r="F2856" s="53"/>
      <c r="G2856" s="53"/>
      <c r="H2856" s="53"/>
      <c r="I2856" s="53"/>
      <c r="J2856" s="53"/>
      <c r="K2856" s="53"/>
      <c r="L2856" s="53"/>
      <c r="M2856" s="53"/>
      <c r="N2856" s="62"/>
      <c r="O2856" s="62"/>
      <c r="P2856" s="62"/>
      <c r="Q2856" s="62"/>
      <c r="R2856" s="53"/>
      <c r="S2856" s="53"/>
      <c r="T2856" s="82"/>
      <c r="U2856" s="42"/>
      <c r="V2856" s="62"/>
      <c r="W2856" s="64"/>
      <c r="X2856" s="330"/>
      <c r="Y2856" s="330"/>
      <c r="Z2856" s="330"/>
      <c r="AA2856" s="223"/>
    </row>
    <row r="2857">
      <c r="A2857" s="42">
        <f t="shared" si="3"/>
        <v>2856</v>
      </c>
      <c r="B2857" s="53"/>
      <c r="C2857" s="53"/>
      <c r="D2857" s="42"/>
      <c r="E2857" s="42"/>
      <c r="F2857" s="53"/>
      <c r="G2857" s="53"/>
      <c r="H2857" s="53"/>
      <c r="I2857" s="53"/>
      <c r="J2857" s="53"/>
      <c r="K2857" s="53"/>
      <c r="L2857" s="53"/>
      <c r="M2857" s="53"/>
      <c r="N2857" s="62"/>
      <c r="O2857" s="62"/>
      <c r="P2857" s="62"/>
      <c r="Q2857" s="62"/>
      <c r="R2857" s="53"/>
      <c r="S2857" s="53"/>
      <c r="T2857" s="82"/>
      <c r="U2857" s="42"/>
      <c r="V2857" s="62"/>
      <c r="W2857" s="64"/>
      <c r="X2857" s="330"/>
      <c r="Y2857" s="330"/>
      <c r="Z2857" s="330"/>
      <c r="AA2857" s="223"/>
    </row>
    <row r="2858">
      <c r="A2858" s="42">
        <f t="shared" si="3"/>
        <v>2857</v>
      </c>
      <c r="B2858" s="53"/>
      <c r="C2858" s="53"/>
      <c r="D2858" s="42"/>
      <c r="E2858" s="42"/>
      <c r="F2858" s="53"/>
      <c r="G2858" s="53"/>
      <c r="H2858" s="53"/>
      <c r="I2858" s="53"/>
      <c r="J2858" s="53"/>
      <c r="K2858" s="53"/>
      <c r="L2858" s="53"/>
      <c r="M2858" s="53"/>
      <c r="N2858" s="62"/>
      <c r="O2858" s="62"/>
      <c r="P2858" s="62"/>
      <c r="Q2858" s="62"/>
      <c r="R2858" s="53"/>
      <c r="S2858" s="53"/>
      <c r="T2858" s="82"/>
      <c r="U2858" s="42"/>
      <c r="V2858" s="62"/>
      <c r="W2858" s="64"/>
      <c r="X2858" s="330"/>
      <c r="Y2858" s="330"/>
      <c r="Z2858" s="330"/>
      <c r="AA2858" s="223"/>
    </row>
    <row r="2859">
      <c r="A2859" s="42">
        <f t="shared" si="3"/>
        <v>2858</v>
      </c>
      <c r="B2859" s="53"/>
      <c r="C2859" s="53"/>
      <c r="D2859" s="42"/>
      <c r="E2859" s="42"/>
      <c r="F2859" s="53"/>
      <c r="G2859" s="53"/>
      <c r="H2859" s="53"/>
      <c r="I2859" s="53"/>
      <c r="J2859" s="53"/>
      <c r="K2859" s="53"/>
      <c r="L2859" s="53"/>
      <c r="M2859" s="53"/>
      <c r="N2859" s="62"/>
      <c r="O2859" s="62"/>
      <c r="P2859" s="62"/>
      <c r="Q2859" s="62"/>
      <c r="R2859" s="53"/>
      <c r="S2859" s="53"/>
      <c r="T2859" s="82"/>
      <c r="U2859" s="42"/>
      <c r="V2859" s="62"/>
      <c r="W2859" s="64"/>
      <c r="X2859" s="330"/>
      <c r="Y2859" s="330"/>
      <c r="Z2859" s="330"/>
      <c r="AA2859" s="223"/>
    </row>
    <row r="2860">
      <c r="A2860" s="42">
        <f t="shared" si="3"/>
        <v>2859</v>
      </c>
      <c r="B2860" s="53"/>
      <c r="C2860" s="53"/>
      <c r="D2860" s="42"/>
      <c r="E2860" s="42"/>
      <c r="F2860" s="53"/>
      <c r="G2860" s="53"/>
      <c r="H2860" s="53"/>
      <c r="I2860" s="53"/>
      <c r="J2860" s="53"/>
      <c r="K2860" s="53"/>
      <c r="L2860" s="53"/>
      <c r="M2860" s="53"/>
      <c r="N2860" s="62"/>
      <c r="O2860" s="62"/>
      <c r="P2860" s="62"/>
      <c r="Q2860" s="62"/>
      <c r="R2860" s="53"/>
      <c r="S2860" s="53"/>
      <c r="T2860" s="82"/>
      <c r="U2860" s="42"/>
      <c r="V2860" s="62"/>
      <c r="W2860" s="64"/>
      <c r="X2860" s="330"/>
      <c r="Y2860" s="330"/>
      <c r="Z2860" s="330"/>
      <c r="AA2860" s="223"/>
    </row>
    <row r="2861">
      <c r="A2861" s="42">
        <f t="shared" si="3"/>
        <v>2860</v>
      </c>
      <c r="B2861" s="53"/>
      <c r="C2861" s="53"/>
      <c r="D2861" s="42"/>
      <c r="E2861" s="42"/>
      <c r="F2861" s="53"/>
      <c r="G2861" s="53"/>
      <c r="H2861" s="53"/>
      <c r="I2861" s="53"/>
      <c r="J2861" s="53"/>
      <c r="K2861" s="53"/>
      <c r="L2861" s="53"/>
      <c r="M2861" s="53"/>
      <c r="N2861" s="62"/>
      <c r="O2861" s="62"/>
      <c r="P2861" s="62"/>
      <c r="Q2861" s="62"/>
      <c r="R2861" s="53"/>
      <c r="S2861" s="53"/>
      <c r="T2861" s="82"/>
      <c r="U2861" s="42"/>
      <c r="V2861" s="62"/>
      <c r="W2861" s="64"/>
      <c r="X2861" s="330"/>
      <c r="Y2861" s="330"/>
      <c r="Z2861" s="330"/>
      <c r="AA2861" s="223"/>
    </row>
    <row r="2862">
      <c r="A2862" s="42">
        <f t="shared" si="3"/>
        <v>2861</v>
      </c>
      <c r="B2862" s="53"/>
      <c r="C2862" s="53"/>
      <c r="D2862" s="42"/>
      <c r="E2862" s="42"/>
      <c r="F2862" s="53"/>
      <c r="G2862" s="53"/>
      <c r="H2862" s="53"/>
      <c r="I2862" s="53"/>
      <c r="J2862" s="53"/>
      <c r="K2862" s="53"/>
      <c r="L2862" s="53"/>
      <c r="M2862" s="53"/>
      <c r="N2862" s="62"/>
      <c r="O2862" s="62"/>
      <c r="P2862" s="62"/>
      <c r="Q2862" s="62"/>
      <c r="R2862" s="53"/>
      <c r="S2862" s="53"/>
      <c r="T2862" s="82"/>
      <c r="U2862" s="42"/>
      <c r="V2862" s="62"/>
      <c r="W2862" s="64"/>
      <c r="X2862" s="330"/>
      <c r="Y2862" s="330"/>
      <c r="Z2862" s="330"/>
      <c r="AA2862" s="223"/>
    </row>
    <row r="2863">
      <c r="A2863" s="42">
        <f t="shared" si="3"/>
        <v>2862</v>
      </c>
      <c r="B2863" s="53"/>
      <c r="C2863" s="53"/>
      <c r="D2863" s="42"/>
      <c r="E2863" s="42"/>
      <c r="F2863" s="53"/>
      <c r="G2863" s="53"/>
      <c r="H2863" s="53"/>
      <c r="I2863" s="53"/>
      <c r="J2863" s="53"/>
      <c r="K2863" s="53"/>
      <c r="L2863" s="53"/>
      <c r="M2863" s="53"/>
      <c r="N2863" s="62"/>
      <c r="O2863" s="62"/>
      <c r="P2863" s="62"/>
      <c r="Q2863" s="62"/>
      <c r="R2863" s="53"/>
      <c r="S2863" s="53"/>
      <c r="T2863" s="82"/>
      <c r="U2863" s="42"/>
      <c r="V2863" s="62"/>
      <c r="W2863" s="64"/>
      <c r="X2863" s="330"/>
      <c r="Y2863" s="330"/>
      <c r="Z2863" s="330"/>
      <c r="AA2863" s="223"/>
    </row>
    <row r="2864">
      <c r="A2864" s="42">
        <f t="shared" si="3"/>
        <v>2863</v>
      </c>
      <c r="B2864" s="53"/>
      <c r="C2864" s="53"/>
      <c r="D2864" s="42"/>
      <c r="E2864" s="42"/>
      <c r="F2864" s="53"/>
      <c r="G2864" s="53"/>
      <c r="H2864" s="53"/>
      <c r="I2864" s="53"/>
      <c r="J2864" s="53"/>
      <c r="K2864" s="53"/>
      <c r="L2864" s="53"/>
      <c r="M2864" s="53"/>
      <c r="N2864" s="62"/>
      <c r="O2864" s="62"/>
      <c r="P2864" s="62"/>
      <c r="Q2864" s="62"/>
      <c r="R2864" s="53"/>
      <c r="S2864" s="53"/>
      <c r="T2864" s="82"/>
      <c r="U2864" s="42"/>
      <c r="V2864" s="62"/>
      <c r="W2864" s="64"/>
      <c r="X2864" s="330"/>
      <c r="Y2864" s="330"/>
      <c r="Z2864" s="330"/>
      <c r="AA2864" s="223"/>
    </row>
    <row r="2865">
      <c r="A2865" s="42">
        <f t="shared" si="3"/>
        <v>2864</v>
      </c>
      <c r="B2865" s="53"/>
      <c r="C2865" s="53"/>
      <c r="D2865" s="42"/>
      <c r="E2865" s="42"/>
      <c r="F2865" s="53"/>
      <c r="G2865" s="53"/>
      <c r="H2865" s="53"/>
      <c r="I2865" s="53"/>
      <c r="J2865" s="53"/>
      <c r="K2865" s="53"/>
      <c r="L2865" s="53"/>
      <c r="M2865" s="53"/>
      <c r="N2865" s="62"/>
      <c r="O2865" s="62"/>
      <c r="P2865" s="62"/>
      <c r="Q2865" s="62"/>
      <c r="R2865" s="53"/>
      <c r="S2865" s="53"/>
      <c r="T2865" s="82"/>
      <c r="U2865" s="42"/>
      <c r="V2865" s="62"/>
      <c r="W2865" s="64"/>
      <c r="X2865" s="330"/>
      <c r="Y2865" s="330"/>
      <c r="Z2865" s="330"/>
      <c r="AA2865" s="223"/>
    </row>
    <row r="2866">
      <c r="A2866" s="42">
        <f t="shared" si="3"/>
        <v>2865</v>
      </c>
      <c r="B2866" s="53"/>
      <c r="C2866" s="53"/>
      <c r="D2866" s="42"/>
      <c r="E2866" s="42"/>
      <c r="F2866" s="53"/>
      <c r="G2866" s="53"/>
      <c r="H2866" s="53"/>
      <c r="I2866" s="53"/>
      <c r="J2866" s="53"/>
      <c r="K2866" s="53"/>
      <c r="L2866" s="53"/>
      <c r="M2866" s="53"/>
      <c r="N2866" s="62"/>
      <c r="O2866" s="62"/>
      <c r="P2866" s="62"/>
      <c r="Q2866" s="62"/>
      <c r="R2866" s="53"/>
      <c r="S2866" s="53"/>
      <c r="T2866" s="82"/>
      <c r="U2866" s="42"/>
      <c r="V2866" s="62"/>
      <c r="W2866" s="64"/>
      <c r="X2866" s="330"/>
      <c r="Y2866" s="330"/>
      <c r="Z2866" s="330"/>
      <c r="AA2866" s="223"/>
    </row>
    <row r="2867">
      <c r="A2867" s="42">
        <f t="shared" si="3"/>
        <v>2866</v>
      </c>
      <c r="B2867" s="53"/>
      <c r="C2867" s="53"/>
      <c r="D2867" s="42"/>
      <c r="E2867" s="42"/>
      <c r="F2867" s="53"/>
      <c r="G2867" s="53"/>
      <c r="H2867" s="53"/>
      <c r="I2867" s="53"/>
      <c r="J2867" s="53"/>
      <c r="K2867" s="53"/>
      <c r="L2867" s="53"/>
      <c r="M2867" s="53"/>
      <c r="N2867" s="62"/>
      <c r="O2867" s="62"/>
      <c r="P2867" s="62"/>
      <c r="Q2867" s="62"/>
      <c r="R2867" s="53"/>
      <c r="S2867" s="53"/>
      <c r="T2867" s="82"/>
      <c r="U2867" s="42"/>
      <c r="V2867" s="62"/>
      <c r="W2867" s="64"/>
      <c r="X2867" s="330"/>
      <c r="Y2867" s="330"/>
      <c r="Z2867" s="330"/>
      <c r="AA2867" s="223"/>
    </row>
    <row r="2868">
      <c r="A2868" s="42">
        <f t="shared" si="3"/>
        <v>2867</v>
      </c>
      <c r="B2868" s="53"/>
      <c r="C2868" s="53"/>
      <c r="D2868" s="42"/>
      <c r="E2868" s="42"/>
      <c r="F2868" s="53"/>
      <c r="G2868" s="53"/>
      <c r="H2868" s="53"/>
      <c r="I2868" s="53"/>
      <c r="J2868" s="53"/>
      <c r="K2868" s="53"/>
      <c r="L2868" s="53"/>
      <c r="M2868" s="53"/>
      <c r="N2868" s="62"/>
      <c r="O2868" s="62"/>
      <c r="P2868" s="62"/>
      <c r="Q2868" s="62"/>
      <c r="R2868" s="53"/>
      <c r="S2868" s="53"/>
      <c r="T2868" s="82"/>
      <c r="U2868" s="42"/>
      <c r="V2868" s="62"/>
      <c r="W2868" s="64"/>
      <c r="X2868" s="330"/>
      <c r="Y2868" s="330"/>
      <c r="Z2868" s="330"/>
      <c r="AA2868" s="223"/>
    </row>
    <row r="2869">
      <c r="A2869" s="42">
        <f t="shared" si="3"/>
        <v>2868</v>
      </c>
      <c r="B2869" s="53"/>
      <c r="C2869" s="53"/>
      <c r="D2869" s="42"/>
      <c r="E2869" s="42"/>
      <c r="F2869" s="53"/>
      <c r="G2869" s="53"/>
      <c r="H2869" s="53"/>
      <c r="I2869" s="53"/>
      <c r="J2869" s="53"/>
      <c r="K2869" s="53"/>
      <c r="L2869" s="53"/>
      <c r="M2869" s="53"/>
      <c r="N2869" s="62"/>
      <c r="O2869" s="62"/>
      <c r="P2869" s="62"/>
      <c r="Q2869" s="62"/>
      <c r="R2869" s="53"/>
      <c r="S2869" s="53"/>
      <c r="T2869" s="82"/>
      <c r="U2869" s="42"/>
      <c r="V2869" s="62"/>
      <c r="W2869" s="64"/>
      <c r="X2869" s="330"/>
      <c r="Y2869" s="330"/>
      <c r="Z2869" s="330"/>
      <c r="AA2869" s="223"/>
    </row>
    <row r="2870">
      <c r="A2870" s="42">
        <f t="shared" si="3"/>
        <v>2869</v>
      </c>
      <c r="B2870" s="53"/>
      <c r="C2870" s="53"/>
      <c r="D2870" s="42"/>
      <c r="E2870" s="42"/>
      <c r="F2870" s="53"/>
      <c r="G2870" s="53"/>
      <c r="H2870" s="53"/>
      <c r="I2870" s="53"/>
      <c r="J2870" s="53"/>
      <c r="K2870" s="53"/>
      <c r="L2870" s="53"/>
      <c r="M2870" s="53"/>
      <c r="N2870" s="62"/>
      <c r="O2870" s="62"/>
      <c r="P2870" s="62"/>
      <c r="Q2870" s="62"/>
      <c r="R2870" s="53"/>
      <c r="S2870" s="53"/>
      <c r="T2870" s="82"/>
      <c r="U2870" s="42"/>
      <c r="V2870" s="62"/>
      <c r="W2870" s="64"/>
      <c r="X2870" s="330"/>
      <c r="Y2870" s="330"/>
      <c r="Z2870" s="330"/>
      <c r="AA2870" s="223"/>
    </row>
    <row r="2871">
      <c r="A2871" s="42">
        <f t="shared" si="3"/>
        <v>2870</v>
      </c>
      <c r="B2871" s="53"/>
      <c r="C2871" s="53"/>
      <c r="D2871" s="42"/>
      <c r="E2871" s="42"/>
      <c r="F2871" s="53"/>
      <c r="G2871" s="53"/>
      <c r="H2871" s="53"/>
      <c r="I2871" s="53"/>
      <c r="J2871" s="53"/>
      <c r="K2871" s="53"/>
      <c r="L2871" s="53"/>
      <c r="M2871" s="53"/>
      <c r="N2871" s="62"/>
      <c r="O2871" s="62"/>
      <c r="P2871" s="62"/>
      <c r="Q2871" s="62"/>
      <c r="R2871" s="53"/>
      <c r="S2871" s="53"/>
      <c r="T2871" s="82"/>
      <c r="U2871" s="42"/>
      <c r="V2871" s="62"/>
      <c r="W2871" s="64"/>
      <c r="X2871" s="330"/>
      <c r="Y2871" s="330"/>
      <c r="Z2871" s="330"/>
      <c r="AA2871" s="223"/>
    </row>
    <row r="2872">
      <c r="A2872" s="42">
        <f t="shared" si="3"/>
        <v>2871</v>
      </c>
      <c r="B2872" s="53"/>
      <c r="C2872" s="53"/>
      <c r="D2872" s="42"/>
      <c r="E2872" s="42"/>
      <c r="F2872" s="53"/>
      <c r="G2872" s="53"/>
      <c r="H2872" s="53"/>
      <c r="I2872" s="53"/>
      <c r="J2872" s="53"/>
      <c r="K2872" s="53"/>
      <c r="L2872" s="53"/>
      <c r="M2872" s="53"/>
      <c r="N2872" s="62"/>
      <c r="O2872" s="62"/>
      <c r="P2872" s="62"/>
      <c r="Q2872" s="62"/>
      <c r="R2872" s="53"/>
      <c r="S2872" s="53"/>
      <c r="T2872" s="82"/>
      <c r="U2872" s="42"/>
      <c r="V2872" s="62"/>
      <c r="W2872" s="64"/>
      <c r="X2872" s="330"/>
      <c r="Y2872" s="330"/>
      <c r="Z2872" s="330"/>
      <c r="AA2872" s="223"/>
    </row>
    <row r="2873">
      <c r="A2873" s="42">
        <f t="shared" si="3"/>
        <v>2872</v>
      </c>
      <c r="B2873" s="53"/>
      <c r="C2873" s="53"/>
      <c r="D2873" s="42"/>
      <c r="E2873" s="42"/>
      <c r="F2873" s="53"/>
      <c r="G2873" s="53"/>
      <c r="H2873" s="53"/>
      <c r="I2873" s="53"/>
      <c r="J2873" s="53"/>
      <c r="K2873" s="53"/>
      <c r="L2873" s="53"/>
      <c r="M2873" s="53"/>
      <c r="N2873" s="62"/>
      <c r="O2873" s="62"/>
      <c r="P2873" s="62"/>
      <c r="Q2873" s="62"/>
      <c r="R2873" s="53"/>
      <c r="S2873" s="53"/>
      <c r="T2873" s="82"/>
      <c r="U2873" s="42"/>
      <c r="V2873" s="62"/>
      <c r="W2873" s="64"/>
      <c r="X2873" s="330"/>
      <c r="Y2873" s="330"/>
      <c r="Z2873" s="330"/>
      <c r="AA2873" s="223"/>
    </row>
    <row r="2874">
      <c r="A2874" s="42">
        <f t="shared" si="3"/>
        <v>2873</v>
      </c>
      <c r="B2874" s="53"/>
      <c r="C2874" s="53"/>
      <c r="D2874" s="42"/>
      <c r="E2874" s="42"/>
      <c r="F2874" s="53"/>
      <c r="G2874" s="53"/>
      <c r="H2874" s="53"/>
      <c r="I2874" s="53"/>
      <c r="J2874" s="53"/>
      <c r="K2874" s="53"/>
      <c r="L2874" s="53"/>
      <c r="M2874" s="53"/>
      <c r="N2874" s="62"/>
      <c r="O2874" s="62"/>
      <c r="P2874" s="62"/>
      <c r="Q2874" s="62"/>
      <c r="R2874" s="53"/>
      <c r="S2874" s="53"/>
      <c r="T2874" s="82"/>
      <c r="U2874" s="42"/>
      <c r="V2874" s="62"/>
      <c r="W2874" s="64"/>
      <c r="X2874" s="330"/>
      <c r="Y2874" s="330"/>
      <c r="Z2874" s="330"/>
      <c r="AA2874" s="223"/>
    </row>
    <row r="2875">
      <c r="A2875" s="42">
        <f t="shared" si="3"/>
        <v>2874</v>
      </c>
      <c r="B2875" s="53"/>
      <c r="C2875" s="53"/>
      <c r="D2875" s="42"/>
      <c r="E2875" s="42"/>
      <c r="F2875" s="53"/>
      <c r="G2875" s="53"/>
      <c r="H2875" s="53"/>
      <c r="I2875" s="53"/>
      <c r="J2875" s="53"/>
      <c r="K2875" s="53"/>
      <c r="L2875" s="53"/>
      <c r="M2875" s="53"/>
      <c r="N2875" s="62"/>
      <c r="O2875" s="62"/>
      <c r="P2875" s="62"/>
      <c r="Q2875" s="62"/>
      <c r="R2875" s="53"/>
      <c r="S2875" s="53"/>
      <c r="T2875" s="82"/>
      <c r="U2875" s="42"/>
      <c r="V2875" s="62"/>
      <c r="W2875" s="64"/>
      <c r="X2875" s="330"/>
      <c r="Y2875" s="330"/>
      <c r="Z2875" s="330"/>
      <c r="AA2875" s="223"/>
    </row>
    <row r="2876">
      <c r="A2876" s="42">
        <f t="shared" si="3"/>
        <v>2875</v>
      </c>
      <c r="B2876" s="53"/>
      <c r="C2876" s="53"/>
      <c r="D2876" s="42"/>
      <c r="E2876" s="42"/>
      <c r="F2876" s="53"/>
      <c r="G2876" s="53"/>
      <c r="H2876" s="53"/>
      <c r="I2876" s="53"/>
      <c r="J2876" s="53"/>
      <c r="K2876" s="53"/>
      <c r="L2876" s="53"/>
      <c r="M2876" s="53"/>
      <c r="N2876" s="62"/>
      <c r="O2876" s="62"/>
      <c r="P2876" s="62"/>
      <c r="Q2876" s="62"/>
      <c r="R2876" s="53"/>
      <c r="S2876" s="53"/>
      <c r="T2876" s="82"/>
      <c r="U2876" s="42"/>
      <c r="V2876" s="62"/>
      <c r="W2876" s="64"/>
      <c r="X2876" s="330"/>
      <c r="Y2876" s="330"/>
      <c r="Z2876" s="330"/>
      <c r="AA2876" s="223"/>
    </row>
    <row r="2877">
      <c r="A2877" s="42">
        <f t="shared" si="3"/>
        <v>2876</v>
      </c>
      <c r="B2877" s="53"/>
      <c r="C2877" s="53"/>
      <c r="D2877" s="42"/>
      <c r="E2877" s="42"/>
      <c r="F2877" s="53"/>
      <c r="G2877" s="53"/>
      <c r="H2877" s="53"/>
      <c r="I2877" s="53"/>
      <c r="J2877" s="53"/>
      <c r="K2877" s="53"/>
      <c r="L2877" s="53"/>
      <c r="M2877" s="53"/>
      <c r="N2877" s="62"/>
      <c r="O2877" s="62"/>
      <c r="P2877" s="62"/>
      <c r="Q2877" s="62"/>
      <c r="R2877" s="53"/>
      <c r="S2877" s="53"/>
      <c r="T2877" s="82"/>
      <c r="U2877" s="42"/>
      <c r="V2877" s="62"/>
      <c r="W2877" s="64"/>
      <c r="X2877" s="330"/>
      <c r="Y2877" s="330"/>
      <c r="Z2877" s="330"/>
      <c r="AA2877" s="223"/>
    </row>
    <row r="2878">
      <c r="A2878" s="42">
        <f t="shared" si="3"/>
        <v>2877</v>
      </c>
      <c r="B2878" s="53"/>
      <c r="C2878" s="53"/>
      <c r="D2878" s="42"/>
      <c r="E2878" s="42"/>
      <c r="F2878" s="53"/>
      <c r="G2878" s="53"/>
      <c r="H2878" s="53"/>
      <c r="I2878" s="53"/>
      <c r="J2878" s="53"/>
      <c r="K2878" s="53"/>
      <c r="L2878" s="53"/>
      <c r="M2878" s="53"/>
      <c r="N2878" s="62"/>
      <c r="O2878" s="62"/>
      <c r="P2878" s="62"/>
      <c r="Q2878" s="62"/>
      <c r="R2878" s="53"/>
      <c r="S2878" s="53"/>
      <c r="T2878" s="82"/>
      <c r="U2878" s="42"/>
      <c r="V2878" s="62"/>
      <c r="W2878" s="64"/>
      <c r="X2878" s="330"/>
      <c r="Y2878" s="330"/>
      <c r="Z2878" s="330"/>
      <c r="AA2878" s="223"/>
    </row>
    <row r="2879">
      <c r="A2879" s="42">
        <f t="shared" si="3"/>
        <v>2878</v>
      </c>
      <c r="B2879" s="53"/>
      <c r="C2879" s="53"/>
      <c r="D2879" s="42"/>
      <c r="E2879" s="42"/>
      <c r="F2879" s="53"/>
      <c r="G2879" s="53"/>
      <c r="H2879" s="53"/>
      <c r="I2879" s="53"/>
      <c r="J2879" s="53"/>
      <c r="K2879" s="53"/>
      <c r="L2879" s="53"/>
      <c r="M2879" s="53"/>
      <c r="N2879" s="62"/>
      <c r="O2879" s="62"/>
      <c r="P2879" s="62"/>
      <c r="Q2879" s="62"/>
      <c r="R2879" s="53"/>
      <c r="S2879" s="53"/>
      <c r="T2879" s="82"/>
      <c r="U2879" s="42"/>
      <c r="V2879" s="62"/>
      <c r="W2879" s="64"/>
      <c r="X2879" s="330"/>
      <c r="Y2879" s="330"/>
      <c r="Z2879" s="330"/>
      <c r="AA2879" s="223"/>
    </row>
    <row r="2880">
      <c r="A2880" s="42">
        <f t="shared" si="3"/>
        <v>2879</v>
      </c>
      <c r="B2880" s="53"/>
      <c r="C2880" s="53"/>
      <c r="D2880" s="42"/>
      <c r="E2880" s="42"/>
      <c r="F2880" s="53"/>
      <c r="G2880" s="53"/>
      <c r="H2880" s="53"/>
      <c r="I2880" s="53"/>
      <c r="J2880" s="53"/>
      <c r="K2880" s="53"/>
      <c r="L2880" s="53"/>
      <c r="M2880" s="53"/>
      <c r="N2880" s="62"/>
      <c r="O2880" s="62"/>
      <c r="P2880" s="62"/>
      <c r="Q2880" s="62"/>
      <c r="R2880" s="53"/>
      <c r="S2880" s="53"/>
      <c r="T2880" s="82"/>
      <c r="U2880" s="42"/>
      <c r="V2880" s="62"/>
      <c r="W2880" s="64"/>
      <c r="X2880" s="330"/>
      <c r="Y2880" s="330"/>
      <c r="Z2880" s="330"/>
      <c r="AA2880" s="223"/>
    </row>
    <row r="2881">
      <c r="A2881" s="42">
        <f t="shared" si="3"/>
        <v>2880</v>
      </c>
      <c r="B2881" s="53"/>
      <c r="C2881" s="53"/>
      <c r="D2881" s="42"/>
      <c r="E2881" s="42"/>
      <c r="F2881" s="53"/>
      <c r="G2881" s="53"/>
      <c r="H2881" s="53"/>
      <c r="I2881" s="53"/>
      <c r="J2881" s="53"/>
      <c r="K2881" s="53"/>
      <c r="L2881" s="53"/>
      <c r="M2881" s="53"/>
      <c r="N2881" s="62"/>
      <c r="O2881" s="62"/>
      <c r="P2881" s="62"/>
      <c r="Q2881" s="62"/>
      <c r="R2881" s="53"/>
      <c r="S2881" s="53"/>
      <c r="T2881" s="82"/>
      <c r="U2881" s="42"/>
      <c r="V2881" s="62"/>
      <c r="W2881" s="64"/>
      <c r="X2881" s="330"/>
      <c r="Y2881" s="330"/>
      <c r="Z2881" s="330"/>
      <c r="AA2881" s="223"/>
    </row>
    <row r="2882">
      <c r="A2882" s="42">
        <f t="shared" si="3"/>
        <v>2881</v>
      </c>
      <c r="B2882" s="53"/>
      <c r="C2882" s="53"/>
      <c r="D2882" s="42"/>
      <c r="E2882" s="42"/>
      <c r="F2882" s="53"/>
      <c r="G2882" s="53"/>
      <c r="H2882" s="53"/>
      <c r="I2882" s="53"/>
      <c r="J2882" s="53"/>
      <c r="K2882" s="53"/>
      <c r="L2882" s="53"/>
      <c r="M2882" s="53"/>
      <c r="N2882" s="62"/>
      <c r="O2882" s="62"/>
      <c r="P2882" s="62"/>
      <c r="Q2882" s="62"/>
      <c r="R2882" s="53"/>
      <c r="S2882" s="53"/>
      <c r="T2882" s="82"/>
      <c r="U2882" s="42"/>
      <c r="V2882" s="62"/>
      <c r="W2882" s="64"/>
      <c r="X2882" s="330"/>
      <c r="Y2882" s="330"/>
      <c r="Z2882" s="330"/>
      <c r="AA2882" s="223"/>
    </row>
    <row r="2883">
      <c r="A2883" s="42">
        <f t="shared" si="3"/>
        <v>2882</v>
      </c>
      <c r="B2883" s="53"/>
      <c r="C2883" s="53"/>
      <c r="D2883" s="42"/>
      <c r="E2883" s="42"/>
      <c r="F2883" s="53"/>
      <c r="G2883" s="53"/>
      <c r="H2883" s="53"/>
      <c r="I2883" s="53"/>
      <c r="J2883" s="53"/>
      <c r="K2883" s="53"/>
      <c r="L2883" s="53"/>
      <c r="M2883" s="53"/>
      <c r="N2883" s="62"/>
      <c r="O2883" s="62"/>
      <c r="P2883" s="62"/>
      <c r="Q2883" s="62"/>
      <c r="R2883" s="53"/>
      <c r="S2883" s="53"/>
      <c r="T2883" s="82"/>
      <c r="U2883" s="42"/>
      <c r="V2883" s="62"/>
      <c r="W2883" s="64"/>
      <c r="X2883" s="330"/>
      <c r="Y2883" s="330"/>
      <c r="Z2883" s="330"/>
      <c r="AA2883" s="223"/>
    </row>
    <row r="2884">
      <c r="A2884" s="42">
        <f t="shared" si="3"/>
        <v>2883</v>
      </c>
      <c r="B2884" s="53"/>
      <c r="C2884" s="53"/>
      <c r="D2884" s="42"/>
      <c r="E2884" s="42"/>
      <c r="F2884" s="53"/>
      <c r="G2884" s="53"/>
      <c r="H2884" s="53"/>
      <c r="I2884" s="53"/>
      <c r="J2884" s="53"/>
      <c r="K2884" s="53"/>
      <c r="L2884" s="53"/>
      <c r="M2884" s="53"/>
      <c r="N2884" s="62"/>
      <c r="O2884" s="62"/>
      <c r="P2884" s="62"/>
      <c r="Q2884" s="62"/>
      <c r="R2884" s="53"/>
      <c r="S2884" s="53"/>
      <c r="T2884" s="82"/>
      <c r="U2884" s="42"/>
      <c r="V2884" s="62"/>
      <c r="W2884" s="64"/>
      <c r="X2884" s="330"/>
      <c r="Y2884" s="330"/>
      <c r="Z2884" s="330"/>
      <c r="AA2884" s="223"/>
    </row>
    <row r="2885">
      <c r="A2885" s="42">
        <f t="shared" si="3"/>
        <v>2884</v>
      </c>
      <c r="B2885" s="53"/>
      <c r="C2885" s="53"/>
      <c r="D2885" s="42"/>
      <c r="E2885" s="42"/>
      <c r="F2885" s="53"/>
      <c r="G2885" s="53"/>
      <c r="H2885" s="53"/>
      <c r="I2885" s="53"/>
      <c r="J2885" s="53"/>
      <c r="K2885" s="53"/>
      <c r="L2885" s="53"/>
      <c r="M2885" s="53"/>
      <c r="N2885" s="62"/>
      <c r="O2885" s="62"/>
      <c r="P2885" s="62"/>
      <c r="Q2885" s="62"/>
      <c r="R2885" s="53"/>
      <c r="S2885" s="53"/>
      <c r="T2885" s="82"/>
      <c r="U2885" s="42"/>
      <c r="V2885" s="62"/>
      <c r="W2885" s="64"/>
      <c r="X2885" s="330"/>
      <c r="Y2885" s="330"/>
      <c r="Z2885" s="330"/>
      <c r="AA2885" s="223"/>
    </row>
    <row r="2886">
      <c r="A2886" s="42">
        <f t="shared" si="3"/>
        <v>2885</v>
      </c>
      <c r="B2886" s="53"/>
      <c r="C2886" s="53"/>
      <c r="D2886" s="42"/>
      <c r="E2886" s="42"/>
      <c r="F2886" s="53"/>
      <c r="G2886" s="53"/>
      <c r="H2886" s="53"/>
      <c r="I2886" s="53"/>
      <c r="J2886" s="53"/>
      <c r="K2886" s="53"/>
      <c r="L2886" s="53"/>
      <c r="M2886" s="53"/>
      <c r="N2886" s="62"/>
      <c r="O2886" s="62"/>
      <c r="P2886" s="62"/>
      <c r="Q2886" s="62"/>
      <c r="R2886" s="53"/>
      <c r="S2886" s="53"/>
      <c r="T2886" s="82"/>
      <c r="U2886" s="42"/>
      <c r="V2886" s="62"/>
      <c r="W2886" s="64"/>
      <c r="X2886" s="330"/>
      <c r="Y2886" s="330"/>
      <c r="Z2886" s="330"/>
      <c r="AA2886" s="223"/>
    </row>
    <row r="2887">
      <c r="A2887" s="42">
        <f t="shared" si="3"/>
        <v>2886</v>
      </c>
      <c r="B2887" s="53"/>
      <c r="C2887" s="53"/>
      <c r="D2887" s="42"/>
      <c r="E2887" s="42"/>
      <c r="F2887" s="53"/>
      <c r="G2887" s="53"/>
      <c r="H2887" s="53"/>
      <c r="I2887" s="53"/>
      <c r="J2887" s="53"/>
      <c r="K2887" s="53"/>
      <c r="L2887" s="53"/>
      <c r="M2887" s="53"/>
      <c r="N2887" s="62"/>
      <c r="O2887" s="62"/>
      <c r="P2887" s="62"/>
      <c r="Q2887" s="62"/>
      <c r="R2887" s="53"/>
      <c r="S2887" s="53"/>
      <c r="T2887" s="82"/>
      <c r="U2887" s="42"/>
      <c r="V2887" s="62"/>
      <c r="W2887" s="64"/>
      <c r="X2887" s="330"/>
      <c r="Y2887" s="330"/>
      <c r="Z2887" s="330"/>
      <c r="AA2887" s="223"/>
    </row>
    <row r="2888">
      <c r="A2888" s="42">
        <f t="shared" si="3"/>
        <v>2887</v>
      </c>
      <c r="B2888" s="53"/>
      <c r="C2888" s="53"/>
      <c r="D2888" s="42"/>
      <c r="E2888" s="42"/>
      <c r="F2888" s="53"/>
      <c r="G2888" s="53"/>
      <c r="H2888" s="53"/>
      <c r="I2888" s="53"/>
      <c r="J2888" s="53"/>
      <c r="K2888" s="53"/>
      <c r="L2888" s="53"/>
      <c r="M2888" s="53"/>
      <c r="N2888" s="62"/>
      <c r="O2888" s="62"/>
      <c r="P2888" s="62"/>
      <c r="Q2888" s="62"/>
      <c r="R2888" s="53"/>
      <c r="S2888" s="53"/>
      <c r="T2888" s="82"/>
      <c r="U2888" s="42"/>
      <c r="V2888" s="62"/>
      <c r="W2888" s="64"/>
      <c r="X2888" s="330"/>
      <c r="Y2888" s="330"/>
      <c r="Z2888" s="330"/>
      <c r="AA2888" s="223"/>
    </row>
    <row r="2889">
      <c r="A2889" s="42">
        <f t="shared" si="3"/>
        <v>2888</v>
      </c>
      <c r="B2889" s="53"/>
      <c r="C2889" s="53"/>
      <c r="D2889" s="42"/>
      <c r="E2889" s="42"/>
      <c r="F2889" s="53"/>
      <c r="G2889" s="53"/>
      <c r="H2889" s="53"/>
      <c r="I2889" s="53"/>
      <c r="J2889" s="53"/>
      <c r="K2889" s="53"/>
      <c r="L2889" s="53"/>
      <c r="M2889" s="53"/>
      <c r="N2889" s="62"/>
      <c r="O2889" s="62"/>
      <c r="P2889" s="62"/>
      <c r="Q2889" s="62"/>
      <c r="R2889" s="53"/>
      <c r="S2889" s="53"/>
      <c r="T2889" s="82"/>
      <c r="U2889" s="42"/>
      <c r="V2889" s="62"/>
      <c r="W2889" s="64"/>
      <c r="X2889" s="330"/>
      <c r="Y2889" s="330"/>
      <c r="Z2889" s="330"/>
      <c r="AA2889" s="223"/>
    </row>
    <row r="2890">
      <c r="A2890" s="42">
        <f t="shared" si="3"/>
        <v>2889</v>
      </c>
      <c r="B2890" s="53"/>
      <c r="C2890" s="53"/>
      <c r="D2890" s="42"/>
      <c r="E2890" s="42"/>
      <c r="F2890" s="53"/>
      <c r="G2890" s="53"/>
      <c r="H2890" s="53"/>
      <c r="I2890" s="53"/>
      <c r="J2890" s="53"/>
      <c r="K2890" s="53"/>
      <c r="L2890" s="53"/>
      <c r="M2890" s="53"/>
      <c r="N2890" s="62"/>
      <c r="O2890" s="62"/>
      <c r="P2890" s="62"/>
      <c r="Q2890" s="62"/>
      <c r="R2890" s="53"/>
      <c r="S2890" s="53"/>
      <c r="T2890" s="82"/>
      <c r="U2890" s="42"/>
      <c r="V2890" s="62"/>
      <c r="W2890" s="64"/>
      <c r="X2890" s="330"/>
      <c r="Y2890" s="330"/>
      <c r="Z2890" s="330"/>
      <c r="AA2890" s="223"/>
    </row>
    <row r="2891">
      <c r="A2891" s="42">
        <f t="shared" si="3"/>
        <v>2890</v>
      </c>
      <c r="B2891" s="53"/>
      <c r="C2891" s="53"/>
      <c r="D2891" s="42"/>
      <c r="E2891" s="42"/>
      <c r="F2891" s="53"/>
      <c r="G2891" s="53"/>
      <c r="H2891" s="53"/>
      <c r="I2891" s="53"/>
      <c r="J2891" s="53"/>
      <c r="K2891" s="53"/>
      <c r="L2891" s="53"/>
      <c r="M2891" s="53"/>
      <c r="N2891" s="62"/>
      <c r="O2891" s="62"/>
      <c r="P2891" s="62"/>
      <c r="Q2891" s="62"/>
      <c r="R2891" s="53"/>
      <c r="S2891" s="53"/>
      <c r="T2891" s="82"/>
      <c r="U2891" s="42"/>
      <c r="V2891" s="62"/>
      <c r="W2891" s="64"/>
      <c r="X2891" s="330"/>
      <c r="Y2891" s="330"/>
      <c r="Z2891" s="330"/>
      <c r="AA2891" s="223"/>
    </row>
    <row r="2892">
      <c r="A2892" s="42">
        <f t="shared" si="3"/>
        <v>2891</v>
      </c>
      <c r="B2892" s="53"/>
      <c r="C2892" s="53"/>
      <c r="D2892" s="42"/>
      <c r="E2892" s="42"/>
      <c r="F2892" s="53"/>
      <c r="G2892" s="53"/>
      <c r="H2892" s="53"/>
      <c r="I2892" s="53"/>
      <c r="J2892" s="53"/>
      <c r="K2892" s="53"/>
      <c r="L2892" s="53"/>
      <c r="M2892" s="53"/>
      <c r="N2892" s="62"/>
      <c r="O2892" s="62"/>
      <c r="P2892" s="62"/>
      <c r="Q2892" s="62"/>
      <c r="R2892" s="53"/>
      <c r="S2892" s="53"/>
      <c r="T2892" s="82"/>
      <c r="U2892" s="42"/>
      <c r="V2892" s="62"/>
      <c r="W2892" s="64"/>
      <c r="X2892" s="330"/>
      <c r="Y2892" s="330"/>
      <c r="Z2892" s="330"/>
      <c r="AA2892" s="223"/>
    </row>
    <row r="2893">
      <c r="A2893" s="42">
        <f t="shared" si="3"/>
        <v>2892</v>
      </c>
      <c r="B2893" s="53"/>
      <c r="C2893" s="53"/>
      <c r="D2893" s="42"/>
      <c r="E2893" s="42"/>
      <c r="F2893" s="53"/>
      <c r="G2893" s="53"/>
      <c r="H2893" s="53"/>
      <c r="I2893" s="53"/>
      <c r="J2893" s="53"/>
      <c r="K2893" s="53"/>
      <c r="L2893" s="53"/>
      <c r="M2893" s="53"/>
      <c r="N2893" s="62"/>
      <c r="O2893" s="62"/>
      <c r="P2893" s="62"/>
      <c r="Q2893" s="62"/>
      <c r="R2893" s="53"/>
      <c r="S2893" s="53"/>
      <c r="T2893" s="82"/>
      <c r="U2893" s="42"/>
      <c r="V2893" s="62"/>
      <c r="W2893" s="64"/>
      <c r="X2893" s="330"/>
      <c r="Y2893" s="330"/>
      <c r="Z2893" s="330"/>
      <c r="AA2893" s="223"/>
    </row>
    <row r="2894">
      <c r="A2894" s="42">
        <f t="shared" si="3"/>
        <v>2893</v>
      </c>
      <c r="B2894" s="53"/>
      <c r="C2894" s="53"/>
      <c r="D2894" s="42"/>
      <c r="E2894" s="42"/>
      <c r="F2894" s="53"/>
      <c r="G2894" s="53"/>
      <c r="H2894" s="53"/>
      <c r="I2894" s="53"/>
      <c r="J2894" s="53"/>
      <c r="K2894" s="53"/>
      <c r="L2894" s="53"/>
      <c r="M2894" s="53"/>
      <c r="N2894" s="62"/>
      <c r="O2894" s="62"/>
      <c r="P2894" s="62"/>
      <c r="Q2894" s="62"/>
      <c r="R2894" s="53"/>
      <c r="S2894" s="53"/>
      <c r="T2894" s="82"/>
      <c r="U2894" s="42"/>
      <c r="V2894" s="62"/>
      <c r="W2894" s="64"/>
      <c r="X2894" s="330"/>
      <c r="Y2894" s="330"/>
      <c r="Z2894" s="330"/>
      <c r="AA2894" s="223"/>
    </row>
    <row r="2895">
      <c r="A2895" s="42">
        <f t="shared" si="3"/>
        <v>2894</v>
      </c>
      <c r="B2895" s="53"/>
      <c r="C2895" s="53"/>
      <c r="D2895" s="42"/>
      <c r="E2895" s="42"/>
      <c r="F2895" s="53"/>
      <c r="G2895" s="53"/>
      <c r="H2895" s="53"/>
      <c r="I2895" s="53"/>
      <c r="J2895" s="53"/>
      <c r="K2895" s="53"/>
      <c r="L2895" s="53"/>
      <c r="M2895" s="53"/>
      <c r="N2895" s="62"/>
      <c r="O2895" s="62"/>
      <c r="P2895" s="62"/>
      <c r="Q2895" s="62"/>
      <c r="R2895" s="53"/>
      <c r="S2895" s="53"/>
      <c r="T2895" s="82"/>
      <c r="U2895" s="42"/>
      <c r="V2895" s="62"/>
      <c r="W2895" s="64"/>
      <c r="X2895" s="330"/>
      <c r="Y2895" s="330"/>
      <c r="Z2895" s="330"/>
      <c r="AA2895" s="223"/>
    </row>
    <row r="2896">
      <c r="A2896" s="42">
        <f t="shared" si="3"/>
        <v>2895</v>
      </c>
      <c r="B2896" s="53"/>
      <c r="C2896" s="53"/>
      <c r="D2896" s="42"/>
      <c r="E2896" s="42"/>
      <c r="F2896" s="53"/>
      <c r="G2896" s="53"/>
      <c r="H2896" s="53"/>
      <c r="I2896" s="53"/>
      <c r="J2896" s="53"/>
      <c r="K2896" s="53"/>
      <c r="L2896" s="53"/>
      <c r="M2896" s="53"/>
      <c r="N2896" s="62"/>
      <c r="O2896" s="62"/>
      <c r="P2896" s="62"/>
      <c r="Q2896" s="62"/>
      <c r="R2896" s="53"/>
      <c r="S2896" s="53"/>
      <c r="T2896" s="82"/>
      <c r="U2896" s="42"/>
      <c r="V2896" s="62"/>
      <c r="W2896" s="64"/>
      <c r="X2896" s="330"/>
      <c r="Y2896" s="330"/>
      <c r="Z2896" s="330"/>
      <c r="AA2896" s="223"/>
    </row>
    <row r="2897">
      <c r="A2897" s="42">
        <f t="shared" si="3"/>
        <v>2896</v>
      </c>
      <c r="B2897" s="53"/>
      <c r="C2897" s="53"/>
      <c r="D2897" s="42"/>
      <c r="E2897" s="42"/>
      <c r="F2897" s="53"/>
      <c r="G2897" s="53"/>
      <c r="H2897" s="53"/>
      <c r="I2897" s="53"/>
      <c r="J2897" s="53"/>
      <c r="K2897" s="53"/>
      <c r="L2897" s="53"/>
      <c r="M2897" s="53"/>
      <c r="N2897" s="62"/>
      <c r="O2897" s="62"/>
      <c r="P2897" s="62"/>
      <c r="Q2897" s="62"/>
      <c r="R2897" s="53"/>
      <c r="S2897" s="53"/>
      <c r="T2897" s="82"/>
      <c r="U2897" s="42"/>
      <c r="V2897" s="62"/>
      <c r="W2897" s="64"/>
      <c r="X2897" s="330"/>
      <c r="Y2897" s="330"/>
      <c r="Z2897" s="330"/>
      <c r="AA2897" s="223"/>
    </row>
    <row r="2898">
      <c r="A2898" s="42">
        <f t="shared" si="3"/>
        <v>2897</v>
      </c>
      <c r="B2898" s="53"/>
      <c r="C2898" s="53"/>
      <c r="D2898" s="42"/>
      <c r="E2898" s="42"/>
      <c r="F2898" s="53"/>
      <c r="G2898" s="53"/>
      <c r="H2898" s="53"/>
      <c r="I2898" s="53"/>
      <c r="J2898" s="53"/>
      <c r="K2898" s="53"/>
      <c r="L2898" s="53"/>
      <c r="M2898" s="53"/>
      <c r="N2898" s="62"/>
      <c r="O2898" s="62"/>
      <c r="P2898" s="62"/>
      <c r="Q2898" s="62"/>
      <c r="R2898" s="53"/>
      <c r="S2898" s="53"/>
      <c r="T2898" s="82"/>
      <c r="U2898" s="42"/>
      <c r="V2898" s="62"/>
      <c r="W2898" s="64"/>
      <c r="X2898" s="330"/>
      <c r="Y2898" s="330"/>
      <c r="Z2898" s="330"/>
      <c r="AA2898" s="223"/>
    </row>
    <row r="2899">
      <c r="A2899" s="42">
        <f t="shared" si="3"/>
        <v>2898</v>
      </c>
      <c r="B2899" s="53"/>
      <c r="C2899" s="53"/>
      <c r="D2899" s="42"/>
      <c r="E2899" s="42"/>
      <c r="F2899" s="53"/>
      <c r="G2899" s="53"/>
      <c r="H2899" s="53"/>
      <c r="I2899" s="53"/>
      <c r="J2899" s="53"/>
      <c r="K2899" s="53"/>
      <c r="L2899" s="53"/>
      <c r="M2899" s="53"/>
      <c r="N2899" s="62"/>
      <c r="O2899" s="62"/>
      <c r="P2899" s="62"/>
      <c r="Q2899" s="62"/>
      <c r="R2899" s="53"/>
      <c r="S2899" s="53"/>
      <c r="T2899" s="82"/>
      <c r="U2899" s="42"/>
      <c r="V2899" s="62"/>
      <c r="W2899" s="64"/>
      <c r="X2899" s="330"/>
      <c r="Y2899" s="330"/>
      <c r="Z2899" s="330"/>
      <c r="AA2899" s="223"/>
    </row>
    <row r="2900">
      <c r="A2900" s="42">
        <f t="shared" si="3"/>
        <v>2899</v>
      </c>
      <c r="B2900" s="53"/>
      <c r="C2900" s="53"/>
      <c r="D2900" s="42"/>
      <c r="E2900" s="42"/>
      <c r="F2900" s="53"/>
      <c r="G2900" s="53"/>
      <c r="H2900" s="53"/>
      <c r="I2900" s="53"/>
      <c r="J2900" s="53"/>
      <c r="K2900" s="53"/>
      <c r="L2900" s="53"/>
      <c r="M2900" s="53"/>
      <c r="N2900" s="62"/>
      <c r="O2900" s="62"/>
      <c r="P2900" s="62"/>
      <c r="Q2900" s="62"/>
      <c r="R2900" s="53"/>
      <c r="S2900" s="53"/>
      <c r="T2900" s="82"/>
      <c r="U2900" s="42"/>
      <c r="V2900" s="62"/>
      <c r="W2900" s="64"/>
      <c r="X2900" s="330"/>
      <c r="Y2900" s="330"/>
      <c r="Z2900" s="330"/>
      <c r="AA2900" s="223"/>
    </row>
    <row r="2901">
      <c r="A2901" s="42">
        <f t="shared" si="3"/>
        <v>2900</v>
      </c>
      <c r="B2901" s="53"/>
      <c r="C2901" s="53"/>
      <c r="D2901" s="42"/>
      <c r="E2901" s="42"/>
      <c r="F2901" s="53"/>
      <c r="G2901" s="53"/>
      <c r="H2901" s="53"/>
      <c r="I2901" s="53"/>
      <c r="J2901" s="53"/>
      <c r="K2901" s="53"/>
      <c r="L2901" s="53"/>
      <c r="M2901" s="53"/>
      <c r="N2901" s="62"/>
      <c r="O2901" s="62"/>
      <c r="P2901" s="62"/>
      <c r="Q2901" s="62"/>
      <c r="R2901" s="53"/>
      <c r="S2901" s="53"/>
      <c r="T2901" s="82"/>
      <c r="U2901" s="42"/>
      <c r="V2901" s="62"/>
      <c r="W2901" s="64"/>
      <c r="X2901" s="330"/>
      <c r="Y2901" s="330"/>
      <c r="Z2901" s="330"/>
      <c r="AA2901" s="223"/>
    </row>
    <row r="2902">
      <c r="A2902" s="42">
        <f t="shared" si="3"/>
        <v>2901</v>
      </c>
      <c r="B2902" s="53"/>
      <c r="C2902" s="53"/>
      <c r="D2902" s="42"/>
      <c r="E2902" s="42"/>
      <c r="F2902" s="53"/>
      <c r="G2902" s="53"/>
      <c r="H2902" s="53"/>
      <c r="I2902" s="53"/>
      <c r="J2902" s="53"/>
      <c r="K2902" s="53"/>
      <c r="L2902" s="53"/>
      <c r="M2902" s="53"/>
      <c r="N2902" s="62"/>
      <c r="O2902" s="62"/>
      <c r="P2902" s="62"/>
      <c r="Q2902" s="62"/>
      <c r="R2902" s="53"/>
      <c r="S2902" s="53"/>
      <c r="T2902" s="82"/>
      <c r="U2902" s="42"/>
      <c r="V2902" s="62"/>
      <c r="W2902" s="64"/>
      <c r="X2902" s="330"/>
      <c r="Y2902" s="330"/>
      <c r="Z2902" s="330"/>
      <c r="AA2902" s="223"/>
    </row>
    <row r="2903">
      <c r="A2903" s="42">
        <f t="shared" si="3"/>
        <v>2902</v>
      </c>
      <c r="B2903" s="53"/>
      <c r="C2903" s="53"/>
      <c r="D2903" s="42"/>
      <c r="E2903" s="42"/>
      <c r="F2903" s="53"/>
      <c r="G2903" s="53"/>
      <c r="H2903" s="53"/>
      <c r="I2903" s="53"/>
      <c r="J2903" s="53"/>
      <c r="K2903" s="53"/>
      <c r="L2903" s="53"/>
      <c r="M2903" s="53"/>
      <c r="N2903" s="62"/>
      <c r="O2903" s="62"/>
      <c r="P2903" s="62"/>
      <c r="Q2903" s="62"/>
      <c r="R2903" s="53"/>
      <c r="S2903" s="53"/>
      <c r="T2903" s="82"/>
      <c r="U2903" s="42"/>
      <c r="V2903" s="62"/>
      <c r="W2903" s="64"/>
      <c r="X2903" s="330"/>
      <c r="Y2903" s="330"/>
      <c r="Z2903" s="330"/>
      <c r="AA2903" s="223"/>
    </row>
    <row r="2904">
      <c r="A2904" s="42">
        <f t="shared" si="3"/>
        <v>2903</v>
      </c>
      <c r="B2904" s="53"/>
      <c r="C2904" s="53"/>
      <c r="D2904" s="42"/>
      <c r="E2904" s="42"/>
      <c r="F2904" s="53"/>
      <c r="G2904" s="53"/>
      <c r="H2904" s="53"/>
      <c r="I2904" s="53"/>
      <c r="J2904" s="53"/>
      <c r="K2904" s="53"/>
      <c r="L2904" s="53"/>
      <c r="M2904" s="53"/>
      <c r="N2904" s="62"/>
      <c r="O2904" s="62"/>
      <c r="P2904" s="62"/>
      <c r="Q2904" s="62"/>
      <c r="R2904" s="53"/>
      <c r="S2904" s="53"/>
      <c r="T2904" s="82"/>
      <c r="U2904" s="42"/>
      <c r="V2904" s="62"/>
      <c r="W2904" s="64"/>
      <c r="X2904" s="330"/>
      <c r="Y2904" s="330"/>
      <c r="Z2904" s="330"/>
      <c r="AA2904" s="223"/>
    </row>
    <row r="2905">
      <c r="A2905" s="42">
        <f t="shared" si="3"/>
        <v>2904</v>
      </c>
      <c r="B2905" s="53"/>
      <c r="C2905" s="53"/>
      <c r="D2905" s="42"/>
      <c r="E2905" s="42"/>
      <c r="F2905" s="53"/>
      <c r="G2905" s="53"/>
      <c r="H2905" s="53"/>
      <c r="I2905" s="53"/>
      <c r="J2905" s="53"/>
      <c r="K2905" s="53"/>
      <c r="L2905" s="53"/>
      <c r="M2905" s="53"/>
      <c r="N2905" s="62"/>
      <c r="O2905" s="62"/>
      <c r="P2905" s="62"/>
      <c r="Q2905" s="62"/>
      <c r="R2905" s="53"/>
      <c r="S2905" s="53"/>
      <c r="T2905" s="82"/>
      <c r="U2905" s="42"/>
      <c r="V2905" s="62"/>
      <c r="W2905" s="64"/>
      <c r="X2905" s="330"/>
      <c r="Y2905" s="330"/>
      <c r="Z2905" s="330"/>
      <c r="AA2905" s="223"/>
    </row>
    <row r="2906">
      <c r="A2906" s="42">
        <f t="shared" si="3"/>
        <v>2905</v>
      </c>
      <c r="B2906" s="53"/>
      <c r="C2906" s="53"/>
      <c r="D2906" s="42"/>
      <c r="E2906" s="42"/>
      <c r="F2906" s="53"/>
      <c r="G2906" s="53"/>
      <c r="H2906" s="53"/>
      <c r="I2906" s="53"/>
      <c r="J2906" s="53"/>
      <c r="K2906" s="53"/>
      <c r="L2906" s="53"/>
      <c r="M2906" s="53"/>
      <c r="N2906" s="62"/>
      <c r="O2906" s="62"/>
      <c r="P2906" s="62"/>
      <c r="Q2906" s="62"/>
      <c r="R2906" s="53"/>
      <c r="S2906" s="53"/>
      <c r="T2906" s="82"/>
      <c r="U2906" s="42"/>
      <c r="V2906" s="62"/>
      <c r="W2906" s="64"/>
      <c r="X2906" s="330"/>
      <c r="Y2906" s="330"/>
      <c r="Z2906" s="330"/>
      <c r="AA2906" s="223"/>
    </row>
    <row r="2907">
      <c r="A2907" s="42">
        <f t="shared" si="3"/>
        <v>2906</v>
      </c>
      <c r="B2907" s="53"/>
      <c r="C2907" s="53"/>
      <c r="D2907" s="42"/>
      <c r="E2907" s="42"/>
      <c r="F2907" s="53"/>
      <c r="G2907" s="53"/>
      <c r="H2907" s="53"/>
      <c r="I2907" s="53"/>
      <c r="J2907" s="53"/>
      <c r="K2907" s="53"/>
      <c r="L2907" s="53"/>
      <c r="M2907" s="53"/>
      <c r="N2907" s="62"/>
      <c r="O2907" s="62"/>
      <c r="P2907" s="62"/>
      <c r="Q2907" s="62"/>
      <c r="R2907" s="53"/>
      <c r="S2907" s="53"/>
      <c r="T2907" s="82"/>
      <c r="U2907" s="42"/>
      <c r="V2907" s="62"/>
      <c r="W2907" s="64"/>
      <c r="X2907" s="330"/>
      <c r="Y2907" s="330"/>
      <c r="Z2907" s="330"/>
      <c r="AA2907" s="223"/>
    </row>
    <row r="2908">
      <c r="A2908" s="42">
        <f t="shared" si="3"/>
        <v>2907</v>
      </c>
      <c r="B2908" s="53"/>
      <c r="C2908" s="53"/>
      <c r="D2908" s="42"/>
      <c r="E2908" s="42"/>
      <c r="F2908" s="53"/>
      <c r="G2908" s="53"/>
      <c r="H2908" s="53"/>
      <c r="I2908" s="53"/>
      <c r="J2908" s="53"/>
      <c r="K2908" s="53"/>
      <c r="L2908" s="53"/>
      <c r="M2908" s="53"/>
      <c r="N2908" s="62"/>
      <c r="O2908" s="62"/>
      <c r="P2908" s="62"/>
      <c r="Q2908" s="62"/>
      <c r="R2908" s="53"/>
      <c r="S2908" s="53"/>
      <c r="T2908" s="82"/>
      <c r="U2908" s="42"/>
      <c r="V2908" s="62"/>
      <c r="W2908" s="64"/>
      <c r="X2908" s="330"/>
      <c r="Y2908" s="330"/>
      <c r="Z2908" s="330"/>
      <c r="AA2908" s="223"/>
    </row>
    <row r="2909">
      <c r="A2909" s="42">
        <f t="shared" si="3"/>
        <v>2908</v>
      </c>
      <c r="B2909" s="53"/>
      <c r="C2909" s="53"/>
      <c r="D2909" s="42"/>
      <c r="E2909" s="42"/>
      <c r="F2909" s="53"/>
      <c r="G2909" s="53"/>
      <c r="H2909" s="53"/>
      <c r="I2909" s="53"/>
      <c r="J2909" s="53"/>
      <c r="K2909" s="53"/>
      <c r="L2909" s="53"/>
      <c r="M2909" s="53"/>
      <c r="N2909" s="62"/>
      <c r="O2909" s="62"/>
      <c r="P2909" s="62"/>
      <c r="Q2909" s="62"/>
      <c r="R2909" s="53"/>
      <c r="S2909" s="53"/>
      <c r="T2909" s="82"/>
      <c r="U2909" s="42"/>
      <c r="V2909" s="62"/>
      <c r="W2909" s="64"/>
      <c r="X2909" s="330"/>
      <c r="Y2909" s="330"/>
      <c r="Z2909" s="330"/>
      <c r="AA2909" s="223"/>
    </row>
    <row r="2910">
      <c r="A2910" s="42">
        <f t="shared" si="3"/>
        <v>2909</v>
      </c>
      <c r="B2910" s="53"/>
      <c r="C2910" s="53"/>
      <c r="D2910" s="42"/>
      <c r="E2910" s="42"/>
      <c r="F2910" s="53"/>
      <c r="G2910" s="53"/>
      <c r="H2910" s="53"/>
      <c r="I2910" s="53"/>
      <c r="J2910" s="53"/>
      <c r="K2910" s="53"/>
      <c r="L2910" s="53"/>
      <c r="M2910" s="53"/>
      <c r="N2910" s="62"/>
      <c r="O2910" s="62"/>
      <c r="P2910" s="62"/>
      <c r="Q2910" s="62"/>
      <c r="R2910" s="53"/>
      <c r="S2910" s="53"/>
      <c r="T2910" s="82"/>
      <c r="U2910" s="42"/>
      <c r="V2910" s="62"/>
      <c r="W2910" s="64"/>
      <c r="X2910" s="330"/>
      <c r="Y2910" s="330"/>
      <c r="Z2910" s="330"/>
      <c r="AA2910" s="223"/>
    </row>
    <row r="2911">
      <c r="A2911" s="42">
        <f t="shared" si="3"/>
        <v>2910</v>
      </c>
      <c r="B2911" s="53"/>
      <c r="C2911" s="53"/>
      <c r="D2911" s="42"/>
      <c r="E2911" s="42"/>
      <c r="F2911" s="53"/>
      <c r="G2911" s="53"/>
      <c r="H2911" s="53"/>
      <c r="I2911" s="53"/>
      <c r="J2911" s="53"/>
      <c r="K2911" s="53"/>
      <c r="L2911" s="53"/>
      <c r="M2911" s="53"/>
      <c r="N2911" s="62"/>
      <c r="O2911" s="62"/>
      <c r="P2911" s="62"/>
      <c r="Q2911" s="62"/>
      <c r="R2911" s="53"/>
      <c r="S2911" s="53"/>
      <c r="T2911" s="82"/>
      <c r="U2911" s="42"/>
      <c r="V2911" s="62"/>
      <c r="W2911" s="64"/>
      <c r="X2911" s="330"/>
      <c r="Y2911" s="330"/>
      <c r="Z2911" s="330"/>
      <c r="AA2911" s="223"/>
    </row>
    <row r="2912">
      <c r="A2912" s="42">
        <f t="shared" si="3"/>
        <v>2911</v>
      </c>
      <c r="B2912" s="53"/>
      <c r="C2912" s="53"/>
      <c r="D2912" s="42"/>
      <c r="E2912" s="42"/>
      <c r="F2912" s="53"/>
      <c r="G2912" s="53"/>
      <c r="H2912" s="53"/>
      <c r="I2912" s="53"/>
      <c r="J2912" s="53"/>
      <c r="K2912" s="53"/>
      <c r="L2912" s="53"/>
      <c r="M2912" s="53"/>
      <c r="N2912" s="62"/>
      <c r="O2912" s="62"/>
      <c r="P2912" s="62"/>
      <c r="Q2912" s="62"/>
      <c r="R2912" s="53"/>
      <c r="S2912" s="53"/>
      <c r="T2912" s="82"/>
      <c r="U2912" s="42"/>
      <c r="V2912" s="62"/>
      <c r="W2912" s="64"/>
      <c r="X2912" s="330"/>
      <c r="Y2912" s="330"/>
      <c r="Z2912" s="330"/>
      <c r="AA2912" s="223"/>
    </row>
    <row r="2913">
      <c r="A2913" s="42">
        <f t="shared" si="3"/>
        <v>2912</v>
      </c>
      <c r="B2913" s="53"/>
      <c r="C2913" s="53"/>
      <c r="D2913" s="42"/>
      <c r="E2913" s="42"/>
      <c r="F2913" s="53"/>
      <c r="G2913" s="53"/>
      <c r="H2913" s="53"/>
      <c r="I2913" s="53"/>
      <c r="J2913" s="53"/>
      <c r="K2913" s="53"/>
      <c r="L2913" s="53"/>
      <c r="M2913" s="53"/>
      <c r="N2913" s="62"/>
      <c r="O2913" s="62"/>
      <c r="P2913" s="62"/>
      <c r="Q2913" s="62"/>
      <c r="R2913" s="53"/>
      <c r="S2913" s="53"/>
      <c r="T2913" s="82"/>
      <c r="U2913" s="42"/>
      <c r="V2913" s="62"/>
      <c r="W2913" s="64"/>
      <c r="X2913" s="330"/>
      <c r="Y2913" s="330"/>
      <c r="Z2913" s="330"/>
      <c r="AA2913" s="223"/>
    </row>
    <row r="2914">
      <c r="A2914" s="42">
        <f t="shared" si="3"/>
        <v>2913</v>
      </c>
      <c r="B2914" s="53"/>
      <c r="C2914" s="53"/>
      <c r="D2914" s="42"/>
      <c r="E2914" s="42"/>
      <c r="F2914" s="53"/>
      <c r="G2914" s="53"/>
      <c r="H2914" s="53"/>
      <c r="I2914" s="53"/>
      <c r="J2914" s="53"/>
      <c r="K2914" s="53"/>
      <c r="L2914" s="53"/>
      <c r="M2914" s="53"/>
      <c r="N2914" s="62"/>
      <c r="O2914" s="62"/>
      <c r="P2914" s="62"/>
      <c r="Q2914" s="62"/>
      <c r="R2914" s="53"/>
      <c r="S2914" s="53"/>
      <c r="T2914" s="82"/>
      <c r="U2914" s="42"/>
      <c r="V2914" s="62"/>
      <c r="W2914" s="64"/>
      <c r="X2914" s="330"/>
      <c r="Y2914" s="330"/>
      <c r="Z2914" s="330"/>
      <c r="AA2914" s="223"/>
    </row>
    <row r="2915">
      <c r="A2915" s="42">
        <f t="shared" si="3"/>
        <v>2914</v>
      </c>
      <c r="B2915" s="53"/>
      <c r="C2915" s="53"/>
      <c r="D2915" s="42"/>
      <c r="E2915" s="42"/>
      <c r="F2915" s="53"/>
      <c r="G2915" s="53"/>
      <c r="H2915" s="53"/>
      <c r="I2915" s="53"/>
      <c r="J2915" s="53"/>
      <c r="K2915" s="53"/>
      <c r="L2915" s="53"/>
      <c r="M2915" s="53"/>
      <c r="N2915" s="62"/>
      <c r="O2915" s="62"/>
      <c r="P2915" s="62"/>
      <c r="Q2915" s="62"/>
      <c r="R2915" s="53"/>
      <c r="S2915" s="53"/>
      <c r="T2915" s="82"/>
      <c r="U2915" s="42"/>
      <c r="V2915" s="62"/>
      <c r="W2915" s="64"/>
      <c r="X2915" s="330"/>
      <c r="Y2915" s="330"/>
      <c r="Z2915" s="330"/>
      <c r="AA2915" s="223"/>
    </row>
    <row r="2916">
      <c r="A2916" s="42">
        <f t="shared" si="3"/>
        <v>2915</v>
      </c>
      <c r="B2916" s="53"/>
      <c r="C2916" s="53"/>
      <c r="D2916" s="42"/>
      <c r="E2916" s="42"/>
      <c r="F2916" s="53"/>
      <c r="G2916" s="53"/>
      <c r="H2916" s="53"/>
      <c r="I2916" s="53"/>
      <c r="J2916" s="53"/>
      <c r="K2916" s="53"/>
      <c r="L2916" s="53"/>
      <c r="M2916" s="53"/>
      <c r="N2916" s="62"/>
      <c r="O2916" s="62"/>
      <c r="P2916" s="62"/>
      <c r="Q2916" s="62"/>
      <c r="R2916" s="53"/>
      <c r="S2916" s="53"/>
      <c r="T2916" s="82"/>
      <c r="U2916" s="42"/>
      <c r="V2916" s="62"/>
      <c r="W2916" s="64"/>
      <c r="X2916" s="330"/>
      <c r="Y2916" s="330"/>
      <c r="Z2916" s="330"/>
      <c r="AA2916" s="223"/>
    </row>
    <row r="2917">
      <c r="A2917" s="42">
        <f t="shared" si="3"/>
        <v>2916</v>
      </c>
      <c r="B2917" s="53"/>
      <c r="C2917" s="53"/>
      <c r="D2917" s="42"/>
      <c r="E2917" s="42"/>
      <c r="F2917" s="53"/>
      <c r="G2917" s="53"/>
      <c r="H2917" s="53"/>
      <c r="I2917" s="53"/>
      <c r="J2917" s="53"/>
      <c r="K2917" s="53"/>
      <c r="L2917" s="53"/>
      <c r="M2917" s="53"/>
      <c r="N2917" s="62"/>
      <c r="O2917" s="62"/>
      <c r="P2917" s="62"/>
      <c r="Q2917" s="62"/>
      <c r="R2917" s="53"/>
      <c r="S2917" s="53"/>
      <c r="T2917" s="82"/>
      <c r="U2917" s="42"/>
      <c r="V2917" s="62"/>
      <c r="W2917" s="64"/>
      <c r="X2917" s="330"/>
      <c r="Y2917" s="330"/>
      <c r="Z2917" s="330"/>
      <c r="AA2917" s="223"/>
    </row>
    <row r="2918">
      <c r="A2918" s="42">
        <f t="shared" si="3"/>
        <v>2917</v>
      </c>
      <c r="B2918" s="53"/>
      <c r="C2918" s="53"/>
      <c r="D2918" s="42"/>
      <c r="E2918" s="42"/>
      <c r="F2918" s="53"/>
      <c r="G2918" s="53"/>
      <c r="H2918" s="53"/>
      <c r="I2918" s="53"/>
      <c r="J2918" s="53"/>
      <c r="K2918" s="53"/>
      <c r="L2918" s="53"/>
      <c r="M2918" s="53"/>
      <c r="N2918" s="62"/>
      <c r="O2918" s="62"/>
      <c r="P2918" s="62"/>
      <c r="Q2918" s="62"/>
      <c r="R2918" s="53"/>
      <c r="S2918" s="53"/>
      <c r="T2918" s="82"/>
      <c r="U2918" s="42"/>
      <c r="V2918" s="62"/>
      <c r="W2918" s="64"/>
      <c r="X2918" s="330"/>
      <c r="Y2918" s="330"/>
      <c r="Z2918" s="330"/>
      <c r="AA2918" s="223"/>
    </row>
    <row r="2919">
      <c r="A2919" s="42">
        <f t="shared" si="3"/>
        <v>2918</v>
      </c>
      <c r="B2919" s="53"/>
      <c r="C2919" s="53"/>
      <c r="D2919" s="42"/>
      <c r="E2919" s="42"/>
      <c r="F2919" s="53"/>
      <c r="G2919" s="53"/>
      <c r="H2919" s="53"/>
      <c r="I2919" s="53"/>
      <c r="J2919" s="53"/>
      <c r="K2919" s="53"/>
      <c r="L2919" s="53"/>
      <c r="M2919" s="53"/>
      <c r="N2919" s="62"/>
      <c r="O2919" s="62"/>
      <c r="P2919" s="62"/>
      <c r="Q2919" s="62"/>
      <c r="R2919" s="53"/>
      <c r="S2919" s="53"/>
      <c r="T2919" s="82"/>
      <c r="U2919" s="42"/>
      <c r="V2919" s="62"/>
      <c r="W2919" s="64"/>
      <c r="X2919" s="330"/>
      <c r="Y2919" s="330"/>
      <c r="Z2919" s="330"/>
      <c r="AA2919" s="223"/>
    </row>
    <row r="2920">
      <c r="A2920" s="42">
        <f t="shared" si="3"/>
        <v>2919</v>
      </c>
      <c r="B2920" s="53"/>
      <c r="C2920" s="53"/>
      <c r="D2920" s="42"/>
      <c r="E2920" s="42"/>
      <c r="F2920" s="53"/>
      <c r="G2920" s="53"/>
      <c r="H2920" s="53"/>
      <c r="I2920" s="53"/>
      <c r="J2920" s="53"/>
      <c r="K2920" s="53"/>
      <c r="L2920" s="53"/>
      <c r="M2920" s="53"/>
      <c r="N2920" s="62"/>
      <c r="O2920" s="62"/>
      <c r="P2920" s="62"/>
      <c r="Q2920" s="62"/>
      <c r="R2920" s="53"/>
      <c r="S2920" s="53"/>
      <c r="T2920" s="82"/>
      <c r="U2920" s="42"/>
      <c r="V2920" s="62"/>
      <c r="W2920" s="64"/>
      <c r="X2920" s="330"/>
      <c r="Y2920" s="330"/>
      <c r="Z2920" s="330"/>
      <c r="AA2920" s="223"/>
    </row>
    <row r="2921">
      <c r="A2921" s="42">
        <f t="shared" si="3"/>
        <v>2920</v>
      </c>
      <c r="B2921" s="53"/>
      <c r="C2921" s="53"/>
      <c r="D2921" s="42"/>
      <c r="E2921" s="42"/>
      <c r="F2921" s="53"/>
      <c r="G2921" s="53"/>
      <c r="H2921" s="53"/>
      <c r="I2921" s="53"/>
      <c r="J2921" s="53"/>
      <c r="K2921" s="53"/>
      <c r="L2921" s="53"/>
      <c r="M2921" s="53"/>
      <c r="N2921" s="62"/>
      <c r="O2921" s="62"/>
      <c r="P2921" s="62"/>
      <c r="Q2921" s="62"/>
      <c r="R2921" s="53"/>
      <c r="S2921" s="53"/>
      <c r="T2921" s="82"/>
      <c r="U2921" s="42"/>
      <c r="V2921" s="62"/>
      <c r="W2921" s="64"/>
      <c r="X2921" s="330"/>
      <c r="Y2921" s="330"/>
      <c r="Z2921" s="330"/>
      <c r="AA2921" s="223"/>
    </row>
    <row r="2922">
      <c r="A2922" s="42">
        <f t="shared" si="3"/>
        <v>2921</v>
      </c>
      <c r="B2922" s="53"/>
      <c r="C2922" s="53"/>
      <c r="D2922" s="42"/>
      <c r="E2922" s="42"/>
      <c r="F2922" s="53"/>
      <c r="G2922" s="53"/>
      <c r="H2922" s="53"/>
      <c r="I2922" s="53"/>
      <c r="J2922" s="53"/>
      <c r="K2922" s="53"/>
      <c r="L2922" s="53"/>
      <c r="M2922" s="53"/>
      <c r="N2922" s="62"/>
      <c r="O2922" s="62"/>
      <c r="P2922" s="62"/>
      <c r="Q2922" s="62"/>
      <c r="R2922" s="53"/>
      <c r="S2922" s="53"/>
      <c r="T2922" s="82"/>
      <c r="U2922" s="42"/>
      <c r="V2922" s="62"/>
      <c r="W2922" s="64"/>
      <c r="X2922" s="330"/>
      <c r="Y2922" s="330"/>
      <c r="Z2922" s="330"/>
      <c r="AA2922" s="223"/>
    </row>
    <row r="2923">
      <c r="A2923" s="42">
        <f t="shared" si="3"/>
        <v>2922</v>
      </c>
      <c r="B2923" s="53"/>
      <c r="C2923" s="53"/>
      <c r="D2923" s="42"/>
      <c r="E2923" s="42"/>
      <c r="F2923" s="53"/>
      <c r="G2923" s="53"/>
      <c r="H2923" s="53"/>
      <c r="I2923" s="53"/>
      <c r="J2923" s="53"/>
      <c r="K2923" s="53"/>
      <c r="L2923" s="53"/>
      <c r="M2923" s="53"/>
      <c r="N2923" s="62"/>
      <c r="O2923" s="62"/>
      <c r="P2923" s="62"/>
      <c r="Q2923" s="62"/>
      <c r="R2923" s="53"/>
      <c r="S2923" s="53"/>
      <c r="T2923" s="82"/>
      <c r="U2923" s="42"/>
      <c r="V2923" s="62"/>
      <c r="W2923" s="64"/>
      <c r="X2923" s="330"/>
      <c r="Y2923" s="330"/>
      <c r="Z2923" s="330"/>
      <c r="AA2923" s="223"/>
    </row>
    <row r="2924">
      <c r="A2924" s="42">
        <f t="shared" si="3"/>
        <v>2923</v>
      </c>
      <c r="B2924" s="53"/>
      <c r="C2924" s="53"/>
      <c r="D2924" s="42"/>
      <c r="E2924" s="42"/>
      <c r="F2924" s="53"/>
      <c r="G2924" s="53"/>
      <c r="H2924" s="53"/>
      <c r="I2924" s="53"/>
      <c r="J2924" s="53"/>
      <c r="K2924" s="53"/>
      <c r="L2924" s="53"/>
      <c r="M2924" s="53"/>
      <c r="N2924" s="62"/>
      <c r="O2924" s="62"/>
      <c r="P2924" s="62"/>
      <c r="Q2924" s="62"/>
      <c r="R2924" s="53"/>
      <c r="S2924" s="53"/>
      <c r="T2924" s="82"/>
      <c r="U2924" s="42"/>
      <c r="V2924" s="62"/>
      <c r="W2924" s="64"/>
      <c r="X2924" s="330"/>
      <c r="Y2924" s="330"/>
      <c r="Z2924" s="330"/>
      <c r="AA2924" s="223"/>
    </row>
    <row r="2925">
      <c r="A2925" s="42">
        <f t="shared" si="3"/>
        <v>2924</v>
      </c>
      <c r="B2925" s="53"/>
      <c r="C2925" s="53"/>
      <c r="D2925" s="42"/>
      <c r="E2925" s="42"/>
      <c r="F2925" s="53"/>
      <c r="G2925" s="53"/>
      <c r="H2925" s="53"/>
      <c r="I2925" s="53"/>
      <c r="J2925" s="53"/>
      <c r="K2925" s="53"/>
      <c r="L2925" s="53"/>
      <c r="M2925" s="53"/>
      <c r="N2925" s="62"/>
      <c r="O2925" s="62"/>
      <c r="P2925" s="62"/>
      <c r="Q2925" s="62"/>
      <c r="R2925" s="53"/>
      <c r="S2925" s="53"/>
      <c r="T2925" s="82"/>
      <c r="U2925" s="42"/>
      <c r="V2925" s="62"/>
      <c r="W2925" s="64"/>
      <c r="X2925" s="330"/>
      <c r="Y2925" s="330"/>
      <c r="Z2925" s="330"/>
      <c r="AA2925" s="223"/>
    </row>
    <row r="2926">
      <c r="A2926" s="42">
        <f t="shared" si="3"/>
        <v>2925</v>
      </c>
      <c r="B2926" s="53"/>
      <c r="C2926" s="53"/>
      <c r="D2926" s="42"/>
      <c r="E2926" s="42"/>
      <c r="F2926" s="53"/>
      <c r="G2926" s="53"/>
      <c r="H2926" s="53"/>
      <c r="I2926" s="53"/>
      <c r="J2926" s="53"/>
      <c r="K2926" s="53"/>
      <c r="L2926" s="53"/>
      <c r="M2926" s="53"/>
      <c r="N2926" s="62"/>
      <c r="O2926" s="62"/>
      <c r="P2926" s="62"/>
      <c r="Q2926" s="62"/>
      <c r="R2926" s="53"/>
      <c r="S2926" s="53"/>
      <c r="T2926" s="82"/>
      <c r="U2926" s="42"/>
      <c r="V2926" s="62"/>
      <c r="W2926" s="64"/>
      <c r="X2926" s="330"/>
      <c r="Y2926" s="330"/>
      <c r="Z2926" s="330"/>
      <c r="AA2926" s="223"/>
    </row>
    <row r="2927">
      <c r="A2927" s="42">
        <f t="shared" si="3"/>
        <v>2926</v>
      </c>
      <c r="B2927" s="53"/>
      <c r="C2927" s="53"/>
      <c r="D2927" s="42"/>
      <c r="E2927" s="42"/>
      <c r="F2927" s="53"/>
      <c r="G2927" s="53"/>
      <c r="H2927" s="53"/>
      <c r="I2927" s="53"/>
      <c r="J2927" s="53"/>
      <c r="K2927" s="53"/>
      <c r="L2927" s="53"/>
      <c r="M2927" s="53"/>
      <c r="N2927" s="62"/>
      <c r="O2927" s="62"/>
      <c r="P2927" s="62"/>
      <c r="Q2927" s="62"/>
      <c r="R2927" s="53"/>
      <c r="S2927" s="53"/>
      <c r="T2927" s="82"/>
      <c r="U2927" s="42"/>
      <c r="V2927" s="62"/>
      <c r="W2927" s="64"/>
      <c r="X2927" s="330"/>
      <c r="Y2927" s="330"/>
      <c r="Z2927" s="330"/>
      <c r="AA2927" s="223"/>
    </row>
    <row r="2928">
      <c r="A2928" s="42">
        <f t="shared" si="3"/>
        <v>2927</v>
      </c>
      <c r="B2928" s="53"/>
      <c r="C2928" s="53"/>
      <c r="D2928" s="42"/>
      <c r="E2928" s="42"/>
      <c r="F2928" s="53"/>
      <c r="G2928" s="53"/>
      <c r="H2928" s="53"/>
      <c r="I2928" s="53"/>
      <c r="J2928" s="53"/>
      <c r="K2928" s="53"/>
      <c r="L2928" s="53"/>
      <c r="M2928" s="53"/>
      <c r="N2928" s="62"/>
      <c r="O2928" s="62"/>
      <c r="P2928" s="62"/>
      <c r="Q2928" s="62"/>
      <c r="R2928" s="53"/>
      <c r="S2928" s="53"/>
      <c r="T2928" s="82"/>
      <c r="U2928" s="42"/>
      <c r="V2928" s="62"/>
      <c r="W2928" s="64"/>
      <c r="X2928" s="330"/>
      <c r="Y2928" s="330"/>
      <c r="Z2928" s="330"/>
      <c r="AA2928" s="223"/>
    </row>
    <row r="2929">
      <c r="A2929" s="42">
        <f t="shared" si="3"/>
        <v>2928</v>
      </c>
      <c r="B2929" s="53"/>
      <c r="C2929" s="53"/>
      <c r="D2929" s="42"/>
      <c r="E2929" s="42"/>
      <c r="F2929" s="53"/>
      <c r="G2929" s="53"/>
      <c r="H2929" s="53"/>
      <c r="I2929" s="53"/>
      <c r="J2929" s="53"/>
      <c r="K2929" s="53"/>
      <c r="L2929" s="53"/>
      <c r="M2929" s="53"/>
      <c r="N2929" s="62"/>
      <c r="O2929" s="62"/>
      <c r="P2929" s="62"/>
      <c r="Q2929" s="62"/>
      <c r="R2929" s="53"/>
      <c r="S2929" s="53"/>
      <c r="T2929" s="82"/>
      <c r="U2929" s="42"/>
      <c r="V2929" s="62"/>
      <c r="W2929" s="64"/>
      <c r="X2929" s="330"/>
      <c r="Y2929" s="330"/>
      <c r="Z2929" s="330"/>
      <c r="AA2929" s="223"/>
    </row>
    <row r="2930">
      <c r="A2930" s="42">
        <f t="shared" si="3"/>
        <v>2929</v>
      </c>
      <c r="B2930" s="53"/>
      <c r="C2930" s="53"/>
      <c r="D2930" s="42"/>
      <c r="E2930" s="42"/>
      <c r="F2930" s="53"/>
      <c r="G2930" s="53"/>
      <c r="H2930" s="53"/>
      <c r="I2930" s="53"/>
      <c r="J2930" s="53"/>
      <c r="K2930" s="53"/>
      <c r="L2930" s="53"/>
      <c r="M2930" s="53"/>
      <c r="N2930" s="62"/>
      <c r="O2930" s="62"/>
      <c r="P2930" s="62"/>
      <c r="Q2930" s="62"/>
      <c r="R2930" s="53"/>
      <c r="S2930" s="53"/>
      <c r="T2930" s="82"/>
      <c r="U2930" s="42"/>
      <c r="V2930" s="62"/>
      <c r="W2930" s="64"/>
      <c r="X2930" s="330"/>
      <c r="Y2930" s="330"/>
      <c r="Z2930" s="330"/>
      <c r="AA2930" s="223"/>
    </row>
    <row r="2931">
      <c r="A2931" s="42">
        <f t="shared" si="3"/>
        <v>2930</v>
      </c>
      <c r="B2931" s="53"/>
      <c r="C2931" s="53"/>
      <c r="D2931" s="42"/>
      <c r="E2931" s="42"/>
      <c r="F2931" s="53"/>
      <c r="G2931" s="53"/>
      <c r="H2931" s="53"/>
      <c r="I2931" s="53"/>
      <c r="J2931" s="53"/>
      <c r="K2931" s="53"/>
      <c r="L2931" s="53"/>
      <c r="M2931" s="53"/>
      <c r="N2931" s="62"/>
      <c r="O2931" s="62"/>
      <c r="P2931" s="62"/>
      <c r="Q2931" s="62"/>
      <c r="R2931" s="53"/>
      <c r="S2931" s="53"/>
      <c r="T2931" s="82"/>
      <c r="U2931" s="42"/>
      <c r="V2931" s="62"/>
      <c r="W2931" s="64"/>
      <c r="X2931" s="330"/>
      <c r="Y2931" s="330"/>
      <c r="Z2931" s="330"/>
      <c r="AA2931" s="223"/>
    </row>
    <row r="2932">
      <c r="A2932" s="42">
        <f t="shared" si="3"/>
        <v>2931</v>
      </c>
      <c r="B2932" s="53"/>
      <c r="C2932" s="53"/>
      <c r="D2932" s="42"/>
      <c r="E2932" s="42"/>
      <c r="F2932" s="53"/>
      <c r="G2932" s="53"/>
      <c r="H2932" s="53"/>
      <c r="I2932" s="53"/>
      <c r="J2932" s="53"/>
      <c r="K2932" s="53"/>
      <c r="L2932" s="53"/>
      <c r="M2932" s="53"/>
      <c r="N2932" s="62"/>
      <c r="O2932" s="62"/>
      <c r="P2932" s="62"/>
      <c r="Q2932" s="62"/>
      <c r="R2932" s="53"/>
      <c r="S2932" s="53"/>
      <c r="T2932" s="82"/>
      <c r="U2932" s="42"/>
      <c r="V2932" s="62"/>
      <c r="W2932" s="64"/>
      <c r="X2932" s="330"/>
      <c r="Y2932" s="330"/>
      <c r="Z2932" s="330"/>
      <c r="AA2932" s="223"/>
    </row>
    <row r="2933">
      <c r="A2933" s="42">
        <f t="shared" si="3"/>
        <v>2932</v>
      </c>
      <c r="B2933" s="53"/>
      <c r="C2933" s="53"/>
      <c r="D2933" s="42"/>
      <c r="E2933" s="42"/>
      <c r="F2933" s="53"/>
      <c r="G2933" s="53"/>
      <c r="H2933" s="53"/>
      <c r="I2933" s="53"/>
      <c r="J2933" s="53"/>
      <c r="K2933" s="53"/>
      <c r="L2933" s="53"/>
      <c r="M2933" s="53"/>
      <c r="N2933" s="62"/>
      <c r="O2933" s="62"/>
      <c r="P2933" s="62"/>
      <c r="Q2933" s="62"/>
      <c r="R2933" s="53"/>
      <c r="S2933" s="53"/>
      <c r="T2933" s="82"/>
      <c r="U2933" s="42"/>
      <c r="V2933" s="62"/>
      <c r="W2933" s="64"/>
      <c r="X2933" s="330"/>
      <c r="Y2933" s="330"/>
      <c r="Z2933" s="330"/>
      <c r="AA2933" s="223"/>
    </row>
    <row r="2934">
      <c r="A2934" s="42">
        <f t="shared" si="3"/>
        <v>2933</v>
      </c>
      <c r="B2934" s="53"/>
      <c r="C2934" s="53"/>
      <c r="D2934" s="42"/>
      <c r="E2934" s="42"/>
      <c r="F2934" s="53"/>
      <c r="G2934" s="53"/>
      <c r="H2934" s="53"/>
      <c r="I2934" s="53"/>
      <c r="J2934" s="53"/>
      <c r="K2934" s="53"/>
      <c r="L2934" s="53"/>
      <c r="M2934" s="53"/>
      <c r="N2934" s="62"/>
      <c r="O2934" s="62"/>
      <c r="P2934" s="62"/>
      <c r="Q2934" s="62"/>
      <c r="R2934" s="53"/>
      <c r="S2934" s="53"/>
      <c r="T2934" s="82"/>
      <c r="U2934" s="42"/>
      <c r="V2934" s="62"/>
      <c r="W2934" s="64"/>
      <c r="X2934" s="330"/>
      <c r="Y2934" s="330"/>
      <c r="Z2934" s="330"/>
      <c r="AA2934" s="223"/>
    </row>
    <row r="2935">
      <c r="A2935" s="42">
        <f t="shared" si="3"/>
        <v>2934</v>
      </c>
      <c r="B2935" s="53"/>
      <c r="C2935" s="53"/>
      <c r="D2935" s="42"/>
      <c r="E2935" s="42"/>
      <c r="F2935" s="53"/>
      <c r="G2935" s="53"/>
      <c r="H2935" s="53"/>
      <c r="I2935" s="53"/>
      <c r="J2935" s="53"/>
      <c r="K2935" s="53"/>
      <c r="L2935" s="53"/>
      <c r="M2935" s="53"/>
      <c r="N2935" s="62"/>
      <c r="O2935" s="62"/>
      <c r="P2935" s="62"/>
      <c r="Q2935" s="62"/>
      <c r="R2935" s="53"/>
      <c r="S2935" s="53"/>
      <c r="T2935" s="82"/>
      <c r="U2935" s="42"/>
      <c r="V2935" s="62"/>
      <c r="W2935" s="64"/>
      <c r="X2935" s="330"/>
      <c r="Y2935" s="330"/>
      <c r="Z2935" s="330"/>
      <c r="AA2935" s="223"/>
    </row>
    <row r="2936">
      <c r="A2936" s="42">
        <f t="shared" si="3"/>
        <v>2935</v>
      </c>
      <c r="B2936" s="53"/>
      <c r="C2936" s="53"/>
      <c r="D2936" s="42"/>
      <c r="E2936" s="42"/>
      <c r="F2936" s="53"/>
      <c r="G2936" s="53"/>
      <c r="H2936" s="53"/>
      <c r="I2936" s="53"/>
      <c r="J2936" s="53"/>
      <c r="K2936" s="53"/>
      <c r="L2936" s="53"/>
      <c r="M2936" s="53"/>
      <c r="N2936" s="62"/>
      <c r="O2936" s="62"/>
      <c r="P2936" s="62"/>
      <c r="Q2936" s="62"/>
      <c r="R2936" s="53"/>
      <c r="S2936" s="53"/>
      <c r="T2936" s="82"/>
      <c r="U2936" s="42"/>
      <c r="V2936" s="62"/>
      <c r="W2936" s="64"/>
      <c r="X2936" s="330"/>
      <c r="Y2936" s="330"/>
      <c r="Z2936" s="330"/>
      <c r="AA2936" s="223"/>
    </row>
    <row r="2937">
      <c r="A2937" s="42">
        <f t="shared" si="3"/>
        <v>2936</v>
      </c>
      <c r="B2937" s="53"/>
      <c r="C2937" s="53"/>
      <c r="D2937" s="42"/>
      <c r="E2937" s="42"/>
      <c r="F2937" s="53"/>
      <c r="G2937" s="53"/>
      <c r="H2937" s="53"/>
      <c r="I2937" s="53"/>
      <c r="J2937" s="53"/>
      <c r="K2937" s="53"/>
      <c r="L2937" s="53"/>
      <c r="M2937" s="53"/>
      <c r="N2937" s="62"/>
      <c r="O2937" s="62"/>
      <c r="P2937" s="62"/>
      <c r="Q2937" s="62"/>
      <c r="R2937" s="53"/>
      <c r="S2937" s="53"/>
      <c r="T2937" s="82"/>
      <c r="U2937" s="42"/>
      <c r="V2937" s="62"/>
      <c r="W2937" s="64"/>
      <c r="X2937" s="330"/>
      <c r="Y2937" s="330"/>
      <c r="Z2937" s="330"/>
      <c r="AA2937" s="223"/>
    </row>
    <row r="2938">
      <c r="A2938" s="42">
        <f t="shared" si="3"/>
        <v>2937</v>
      </c>
      <c r="B2938" s="53"/>
      <c r="C2938" s="53"/>
      <c r="D2938" s="42"/>
      <c r="E2938" s="42"/>
      <c r="F2938" s="53"/>
      <c r="G2938" s="53"/>
      <c r="H2938" s="53"/>
      <c r="I2938" s="53"/>
      <c r="J2938" s="53"/>
      <c r="K2938" s="53"/>
      <c r="L2938" s="53"/>
      <c r="M2938" s="53"/>
      <c r="N2938" s="62"/>
      <c r="O2938" s="62"/>
      <c r="P2938" s="62"/>
      <c r="Q2938" s="62"/>
      <c r="R2938" s="53"/>
      <c r="S2938" s="53"/>
      <c r="T2938" s="82"/>
      <c r="U2938" s="42"/>
      <c r="V2938" s="62"/>
      <c r="W2938" s="64"/>
      <c r="X2938" s="330"/>
      <c r="Y2938" s="330"/>
      <c r="Z2938" s="330"/>
      <c r="AA2938" s="223"/>
    </row>
    <row r="2939">
      <c r="A2939" s="42">
        <f t="shared" si="3"/>
        <v>2938</v>
      </c>
      <c r="B2939" s="53"/>
      <c r="C2939" s="53"/>
      <c r="D2939" s="42"/>
      <c r="E2939" s="42"/>
      <c r="F2939" s="53"/>
      <c r="G2939" s="53"/>
      <c r="H2939" s="53"/>
      <c r="I2939" s="53"/>
      <c r="J2939" s="53"/>
      <c r="K2939" s="53"/>
      <c r="L2939" s="53"/>
      <c r="M2939" s="53"/>
      <c r="N2939" s="62"/>
      <c r="O2939" s="62"/>
      <c r="P2939" s="62"/>
      <c r="Q2939" s="62"/>
      <c r="R2939" s="53"/>
      <c r="S2939" s="53"/>
      <c r="T2939" s="82"/>
      <c r="U2939" s="42"/>
      <c r="V2939" s="62"/>
      <c r="W2939" s="64"/>
      <c r="X2939" s="330"/>
      <c r="Y2939" s="330"/>
      <c r="Z2939" s="330"/>
      <c r="AA2939" s="223"/>
    </row>
    <row r="2940">
      <c r="A2940" s="42">
        <f t="shared" si="3"/>
        <v>2939</v>
      </c>
      <c r="B2940" s="53"/>
      <c r="C2940" s="53"/>
      <c r="D2940" s="42"/>
      <c r="E2940" s="42"/>
      <c r="F2940" s="53"/>
      <c r="G2940" s="53"/>
      <c r="H2940" s="53"/>
      <c r="I2940" s="53"/>
      <c r="J2940" s="53"/>
      <c r="K2940" s="53"/>
      <c r="L2940" s="53"/>
      <c r="M2940" s="53"/>
      <c r="N2940" s="62"/>
      <c r="O2940" s="62"/>
      <c r="P2940" s="62"/>
      <c r="Q2940" s="62"/>
      <c r="R2940" s="53"/>
      <c r="S2940" s="53"/>
      <c r="T2940" s="82"/>
      <c r="U2940" s="42"/>
      <c r="V2940" s="62"/>
      <c r="W2940" s="64"/>
      <c r="X2940" s="330"/>
      <c r="Y2940" s="330"/>
      <c r="Z2940" s="330"/>
      <c r="AA2940" s="223"/>
    </row>
    <row r="2941">
      <c r="A2941" s="42">
        <f t="shared" si="3"/>
        <v>2940</v>
      </c>
      <c r="B2941" s="53"/>
      <c r="C2941" s="53"/>
      <c r="D2941" s="42"/>
      <c r="E2941" s="42"/>
      <c r="F2941" s="53"/>
      <c r="G2941" s="53"/>
      <c r="H2941" s="53"/>
      <c r="I2941" s="53"/>
      <c r="J2941" s="53"/>
      <c r="K2941" s="53"/>
      <c r="L2941" s="53"/>
      <c r="M2941" s="53"/>
      <c r="N2941" s="62"/>
      <c r="O2941" s="62"/>
      <c r="P2941" s="62"/>
      <c r="Q2941" s="62"/>
      <c r="R2941" s="53"/>
      <c r="S2941" s="53"/>
      <c r="T2941" s="82"/>
      <c r="U2941" s="42"/>
      <c r="V2941" s="62"/>
      <c r="W2941" s="64"/>
      <c r="X2941" s="330"/>
      <c r="Y2941" s="330"/>
      <c r="Z2941" s="330"/>
      <c r="AA2941" s="223"/>
    </row>
    <row r="2942">
      <c r="A2942" s="42">
        <f t="shared" si="3"/>
        <v>2941</v>
      </c>
      <c r="B2942" s="53"/>
      <c r="C2942" s="53"/>
      <c r="D2942" s="42"/>
      <c r="E2942" s="42"/>
      <c r="F2942" s="53"/>
      <c r="G2942" s="53"/>
      <c r="H2942" s="53"/>
      <c r="I2942" s="53"/>
      <c r="J2942" s="53"/>
      <c r="K2942" s="53"/>
      <c r="L2942" s="53"/>
      <c r="M2942" s="53"/>
      <c r="N2942" s="62"/>
      <c r="O2942" s="62"/>
      <c r="P2942" s="62"/>
      <c r="Q2942" s="62"/>
      <c r="R2942" s="53"/>
      <c r="S2942" s="53"/>
      <c r="T2942" s="82"/>
      <c r="U2942" s="42"/>
      <c r="V2942" s="62"/>
      <c r="W2942" s="64"/>
      <c r="X2942" s="330"/>
      <c r="Y2942" s="330"/>
      <c r="Z2942" s="330"/>
      <c r="AA2942" s="223"/>
    </row>
    <row r="2943">
      <c r="A2943" s="42">
        <f t="shared" si="3"/>
        <v>2942</v>
      </c>
      <c r="B2943" s="53"/>
      <c r="C2943" s="53"/>
      <c r="D2943" s="42"/>
      <c r="E2943" s="42"/>
      <c r="F2943" s="53"/>
      <c r="G2943" s="53"/>
      <c r="H2943" s="53"/>
      <c r="I2943" s="53"/>
      <c r="J2943" s="53"/>
      <c r="K2943" s="53"/>
      <c r="L2943" s="53"/>
      <c r="M2943" s="53"/>
      <c r="N2943" s="62"/>
      <c r="O2943" s="62"/>
      <c r="P2943" s="62"/>
      <c r="Q2943" s="62"/>
      <c r="R2943" s="53"/>
      <c r="S2943" s="53"/>
      <c r="T2943" s="82"/>
      <c r="U2943" s="42"/>
      <c r="V2943" s="62"/>
      <c r="W2943" s="64"/>
      <c r="X2943" s="330"/>
      <c r="Y2943" s="330"/>
      <c r="Z2943" s="330"/>
      <c r="AA2943" s="223"/>
    </row>
    <row r="2944">
      <c r="A2944" s="42">
        <f t="shared" si="3"/>
        <v>2943</v>
      </c>
      <c r="B2944" s="53"/>
      <c r="C2944" s="53"/>
      <c r="D2944" s="42"/>
      <c r="E2944" s="42"/>
      <c r="F2944" s="53"/>
      <c r="G2944" s="53"/>
      <c r="H2944" s="53"/>
      <c r="I2944" s="53"/>
      <c r="J2944" s="53"/>
      <c r="K2944" s="53"/>
      <c r="L2944" s="53"/>
      <c r="M2944" s="53"/>
      <c r="N2944" s="62"/>
      <c r="O2944" s="62"/>
      <c r="P2944" s="62"/>
      <c r="Q2944" s="62"/>
      <c r="R2944" s="53"/>
      <c r="S2944" s="53"/>
      <c r="T2944" s="82"/>
      <c r="U2944" s="42"/>
      <c r="V2944" s="62"/>
      <c r="W2944" s="64"/>
      <c r="X2944" s="330"/>
      <c r="Y2944" s="330"/>
      <c r="Z2944" s="330"/>
      <c r="AA2944" s="223"/>
    </row>
    <row r="2945">
      <c r="A2945" s="42">
        <f t="shared" si="3"/>
        <v>2944</v>
      </c>
      <c r="B2945" s="53"/>
      <c r="C2945" s="53"/>
      <c r="D2945" s="42"/>
      <c r="E2945" s="42"/>
      <c r="F2945" s="53"/>
      <c r="G2945" s="53"/>
      <c r="H2945" s="53"/>
      <c r="I2945" s="53"/>
      <c r="J2945" s="53"/>
      <c r="K2945" s="53"/>
      <c r="L2945" s="53"/>
      <c r="M2945" s="53"/>
      <c r="N2945" s="62"/>
      <c r="O2945" s="62"/>
      <c r="P2945" s="62"/>
      <c r="Q2945" s="62"/>
      <c r="R2945" s="53"/>
      <c r="S2945" s="53"/>
      <c r="T2945" s="82"/>
      <c r="U2945" s="42"/>
      <c r="V2945" s="62"/>
      <c r="W2945" s="64"/>
      <c r="X2945" s="330"/>
      <c r="Y2945" s="330"/>
      <c r="Z2945" s="330"/>
      <c r="AA2945" s="223"/>
    </row>
    <row r="2946">
      <c r="A2946" s="42">
        <f t="shared" si="3"/>
        <v>2945</v>
      </c>
      <c r="B2946" s="53"/>
      <c r="C2946" s="53"/>
      <c r="D2946" s="42"/>
      <c r="E2946" s="42"/>
      <c r="F2946" s="53"/>
      <c r="G2946" s="53"/>
      <c r="H2946" s="53"/>
      <c r="I2946" s="53"/>
      <c r="J2946" s="53"/>
      <c r="K2946" s="53"/>
      <c r="L2946" s="53"/>
      <c r="M2946" s="53"/>
      <c r="N2946" s="62"/>
      <c r="O2946" s="62"/>
      <c r="P2946" s="62"/>
      <c r="Q2946" s="62"/>
      <c r="R2946" s="53"/>
      <c r="S2946" s="53"/>
      <c r="T2946" s="82"/>
      <c r="U2946" s="42"/>
      <c r="V2946" s="62"/>
      <c r="W2946" s="64"/>
      <c r="X2946" s="330"/>
      <c r="Y2946" s="330"/>
      <c r="Z2946" s="330"/>
      <c r="AA2946" s="223"/>
    </row>
    <row r="2947">
      <c r="A2947" s="42">
        <f t="shared" si="3"/>
        <v>2946</v>
      </c>
      <c r="B2947" s="53"/>
      <c r="C2947" s="53"/>
      <c r="D2947" s="42"/>
      <c r="E2947" s="42"/>
      <c r="F2947" s="53"/>
      <c r="G2947" s="53"/>
      <c r="H2947" s="53"/>
      <c r="I2947" s="53"/>
      <c r="J2947" s="53"/>
      <c r="K2947" s="53"/>
      <c r="L2947" s="53"/>
      <c r="M2947" s="53"/>
      <c r="N2947" s="62"/>
      <c r="O2947" s="62"/>
      <c r="P2947" s="62"/>
      <c r="Q2947" s="62"/>
      <c r="R2947" s="53"/>
      <c r="S2947" s="53"/>
      <c r="T2947" s="82"/>
      <c r="U2947" s="42"/>
      <c r="V2947" s="62"/>
      <c r="W2947" s="64"/>
      <c r="X2947" s="330"/>
      <c r="Y2947" s="330"/>
      <c r="Z2947" s="330"/>
      <c r="AA2947" s="223"/>
    </row>
    <row r="2948">
      <c r="A2948" s="42">
        <f t="shared" si="3"/>
        <v>2947</v>
      </c>
      <c r="B2948" s="53"/>
      <c r="C2948" s="53"/>
      <c r="D2948" s="42"/>
      <c r="E2948" s="42"/>
      <c r="F2948" s="53"/>
      <c r="G2948" s="53"/>
      <c r="H2948" s="53"/>
      <c r="I2948" s="53"/>
      <c r="J2948" s="53"/>
      <c r="K2948" s="53"/>
      <c r="L2948" s="53"/>
      <c r="M2948" s="53"/>
      <c r="N2948" s="62"/>
      <c r="O2948" s="62"/>
      <c r="P2948" s="62"/>
      <c r="Q2948" s="62"/>
      <c r="R2948" s="53"/>
      <c r="S2948" s="53"/>
      <c r="T2948" s="82"/>
      <c r="U2948" s="42"/>
      <c r="V2948" s="62"/>
      <c r="W2948" s="64"/>
      <c r="X2948" s="330"/>
      <c r="Y2948" s="330"/>
      <c r="Z2948" s="330"/>
      <c r="AA2948" s="223"/>
    </row>
    <row r="2949">
      <c r="A2949" s="42">
        <f t="shared" si="3"/>
        <v>2948</v>
      </c>
      <c r="B2949" s="53"/>
      <c r="C2949" s="53"/>
      <c r="D2949" s="42"/>
      <c r="E2949" s="42"/>
      <c r="F2949" s="53"/>
      <c r="G2949" s="53"/>
      <c r="H2949" s="53"/>
      <c r="I2949" s="53"/>
      <c r="J2949" s="53"/>
      <c r="K2949" s="53"/>
      <c r="L2949" s="53"/>
      <c r="M2949" s="53"/>
      <c r="N2949" s="62"/>
      <c r="O2949" s="62"/>
      <c r="P2949" s="62"/>
      <c r="Q2949" s="62"/>
      <c r="R2949" s="53"/>
      <c r="S2949" s="53"/>
      <c r="T2949" s="82"/>
      <c r="U2949" s="42"/>
      <c r="V2949" s="62"/>
      <c r="W2949" s="64"/>
      <c r="X2949" s="330"/>
      <c r="Y2949" s="330"/>
      <c r="Z2949" s="330"/>
      <c r="AA2949" s="223"/>
    </row>
    <row r="2950">
      <c r="A2950" s="42">
        <f t="shared" si="3"/>
        <v>2949</v>
      </c>
      <c r="B2950" s="53"/>
      <c r="C2950" s="53"/>
      <c r="D2950" s="42"/>
      <c r="E2950" s="42"/>
      <c r="F2950" s="53"/>
      <c r="G2950" s="53"/>
      <c r="H2950" s="53"/>
      <c r="I2950" s="53"/>
      <c r="J2950" s="53"/>
      <c r="K2950" s="53"/>
      <c r="L2950" s="53"/>
      <c r="M2950" s="53"/>
      <c r="N2950" s="62"/>
      <c r="O2950" s="62"/>
      <c r="P2950" s="62"/>
      <c r="Q2950" s="62"/>
      <c r="R2950" s="53"/>
      <c r="S2950" s="53"/>
      <c r="T2950" s="82"/>
      <c r="U2950" s="42"/>
      <c r="V2950" s="62"/>
      <c r="W2950" s="64"/>
      <c r="X2950" s="330"/>
      <c r="Y2950" s="330"/>
      <c r="Z2950" s="330"/>
      <c r="AA2950" s="223"/>
    </row>
    <row r="2951">
      <c r="A2951" s="42">
        <f t="shared" si="3"/>
        <v>2950</v>
      </c>
      <c r="B2951" s="53"/>
      <c r="C2951" s="53"/>
      <c r="D2951" s="42"/>
      <c r="E2951" s="42"/>
      <c r="F2951" s="53"/>
      <c r="G2951" s="53"/>
      <c r="H2951" s="53"/>
      <c r="I2951" s="53"/>
      <c r="J2951" s="53"/>
      <c r="K2951" s="53"/>
      <c r="L2951" s="53"/>
      <c r="M2951" s="53"/>
      <c r="N2951" s="62"/>
      <c r="O2951" s="62"/>
      <c r="P2951" s="62"/>
      <c r="Q2951" s="62"/>
      <c r="R2951" s="53"/>
      <c r="S2951" s="53"/>
      <c r="T2951" s="82"/>
      <c r="U2951" s="42"/>
      <c r="V2951" s="62"/>
      <c r="W2951" s="64"/>
      <c r="X2951" s="330"/>
      <c r="Y2951" s="330"/>
      <c r="Z2951" s="330"/>
      <c r="AA2951" s="223"/>
    </row>
    <row r="2952">
      <c r="A2952" s="42">
        <f t="shared" si="3"/>
        <v>2951</v>
      </c>
      <c r="B2952" s="53"/>
      <c r="C2952" s="53"/>
      <c r="D2952" s="42"/>
      <c r="E2952" s="42"/>
      <c r="F2952" s="53"/>
      <c r="G2952" s="53"/>
      <c r="H2952" s="53"/>
      <c r="I2952" s="53"/>
      <c r="J2952" s="53"/>
      <c r="K2952" s="53"/>
      <c r="L2952" s="53"/>
      <c r="M2952" s="53"/>
      <c r="N2952" s="62"/>
      <c r="O2952" s="62"/>
      <c r="P2952" s="62"/>
      <c r="Q2952" s="62"/>
      <c r="R2952" s="53"/>
      <c r="S2952" s="53"/>
      <c r="T2952" s="82"/>
      <c r="U2952" s="42"/>
      <c r="V2952" s="62"/>
      <c r="W2952" s="64"/>
      <c r="X2952" s="330"/>
      <c r="Y2952" s="330"/>
      <c r="Z2952" s="330"/>
      <c r="AA2952" s="223"/>
    </row>
    <row r="2953">
      <c r="A2953" s="42">
        <f t="shared" si="3"/>
        <v>2952</v>
      </c>
      <c r="B2953" s="53"/>
      <c r="C2953" s="53"/>
      <c r="D2953" s="42"/>
      <c r="E2953" s="42"/>
      <c r="F2953" s="53"/>
      <c r="G2953" s="53"/>
      <c r="H2953" s="53"/>
      <c r="I2953" s="53"/>
      <c r="J2953" s="53"/>
      <c r="K2953" s="53"/>
      <c r="L2953" s="53"/>
      <c r="M2953" s="53"/>
      <c r="N2953" s="62"/>
      <c r="O2953" s="62"/>
      <c r="P2953" s="62"/>
      <c r="Q2953" s="62"/>
      <c r="R2953" s="53"/>
      <c r="S2953" s="53"/>
      <c r="T2953" s="82"/>
      <c r="U2953" s="42"/>
      <c r="V2953" s="62"/>
      <c r="W2953" s="64"/>
      <c r="X2953" s="330"/>
      <c r="Y2953" s="330"/>
      <c r="Z2953" s="330"/>
      <c r="AA2953" s="223"/>
    </row>
    <row r="2954">
      <c r="A2954" s="42">
        <f t="shared" si="3"/>
        <v>2953</v>
      </c>
      <c r="B2954" s="53"/>
      <c r="C2954" s="53"/>
      <c r="D2954" s="42"/>
      <c r="E2954" s="42"/>
      <c r="F2954" s="53"/>
      <c r="G2954" s="53"/>
      <c r="H2954" s="53"/>
      <c r="I2954" s="53"/>
      <c r="J2954" s="53"/>
      <c r="K2954" s="53"/>
      <c r="L2954" s="53"/>
      <c r="M2954" s="53"/>
      <c r="N2954" s="62"/>
      <c r="O2954" s="62"/>
      <c r="P2954" s="62"/>
      <c r="Q2954" s="62"/>
      <c r="R2954" s="53"/>
      <c r="S2954" s="53"/>
      <c r="T2954" s="82"/>
      <c r="U2954" s="42"/>
      <c r="V2954" s="62"/>
      <c r="W2954" s="64"/>
      <c r="X2954" s="330"/>
      <c r="Y2954" s="330"/>
      <c r="Z2954" s="330"/>
      <c r="AA2954" s="223"/>
    </row>
    <row r="2955">
      <c r="A2955" s="42">
        <f t="shared" si="3"/>
        <v>2954</v>
      </c>
      <c r="B2955" s="53"/>
      <c r="C2955" s="53"/>
      <c r="D2955" s="42"/>
      <c r="E2955" s="42"/>
      <c r="F2955" s="53"/>
      <c r="G2955" s="53"/>
      <c r="H2955" s="53"/>
      <c r="I2955" s="53"/>
      <c r="J2955" s="53"/>
      <c r="K2955" s="53"/>
      <c r="L2955" s="53"/>
      <c r="M2955" s="53"/>
      <c r="N2955" s="62"/>
      <c r="O2955" s="62"/>
      <c r="P2955" s="62"/>
      <c r="Q2955" s="62"/>
      <c r="R2955" s="53"/>
      <c r="S2955" s="53"/>
      <c r="T2955" s="82"/>
      <c r="U2955" s="42"/>
      <c r="V2955" s="62"/>
      <c r="W2955" s="64"/>
      <c r="X2955" s="330"/>
      <c r="Y2955" s="330"/>
      <c r="Z2955" s="330"/>
      <c r="AA2955" s="223"/>
    </row>
    <row r="2956">
      <c r="A2956" s="42">
        <f t="shared" si="3"/>
        <v>2955</v>
      </c>
      <c r="B2956" s="53"/>
      <c r="C2956" s="53"/>
      <c r="D2956" s="42"/>
      <c r="E2956" s="42"/>
      <c r="F2956" s="53"/>
      <c r="G2956" s="53"/>
      <c r="H2956" s="53"/>
      <c r="I2956" s="53"/>
      <c r="J2956" s="53"/>
      <c r="K2956" s="53"/>
      <c r="L2956" s="53"/>
      <c r="M2956" s="53"/>
      <c r="N2956" s="62"/>
      <c r="O2956" s="62"/>
      <c r="P2956" s="62"/>
      <c r="Q2956" s="62"/>
      <c r="R2956" s="53"/>
      <c r="S2956" s="53"/>
      <c r="T2956" s="82"/>
      <c r="U2956" s="42"/>
      <c r="V2956" s="62"/>
      <c r="W2956" s="64"/>
      <c r="X2956" s="330"/>
      <c r="Y2956" s="330"/>
      <c r="Z2956" s="330"/>
      <c r="AA2956" s="223"/>
    </row>
    <row r="2957">
      <c r="A2957" s="42">
        <f t="shared" si="3"/>
        <v>2956</v>
      </c>
      <c r="B2957" s="53"/>
      <c r="C2957" s="53"/>
      <c r="D2957" s="42"/>
      <c r="E2957" s="42"/>
      <c r="F2957" s="53"/>
      <c r="G2957" s="53"/>
      <c r="H2957" s="53"/>
      <c r="I2957" s="53"/>
      <c r="J2957" s="53"/>
      <c r="K2957" s="53"/>
      <c r="L2957" s="53"/>
      <c r="M2957" s="53"/>
      <c r="N2957" s="62"/>
      <c r="O2957" s="62"/>
      <c r="P2957" s="62"/>
      <c r="Q2957" s="62"/>
      <c r="R2957" s="53"/>
      <c r="S2957" s="53"/>
      <c r="T2957" s="82"/>
      <c r="U2957" s="42"/>
      <c r="V2957" s="62"/>
      <c r="W2957" s="64"/>
      <c r="X2957" s="330"/>
      <c r="Y2957" s="330"/>
      <c r="Z2957" s="330"/>
      <c r="AA2957" s="223"/>
    </row>
    <row r="2958">
      <c r="A2958" s="42">
        <f t="shared" si="3"/>
        <v>2957</v>
      </c>
      <c r="B2958" s="53"/>
      <c r="C2958" s="53"/>
      <c r="D2958" s="42"/>
      <c r="E2958" s="42"/>
      <c r="F2958" s="53"/>
      <c r="G2958" s="53"/>
      <c r="H2958" s="53"/>
      <c r="I2958" s="53"/>
      <c r="J2958" s="53"/>
      <c r="K2958" s="53"/>
      <c r="L2958" s="53"/>
      <c r="M2958" s="53"/>
      <c r="N2958" s="62"/>
      <c r="O2958" s="62"/>
      <c r="P2958" s="62"/>
      <c r="Q2958" s="62"/>
      <c r="R2958" s="53"/>
      <c r="S2958" s="53"/>
      <c r="T2958" s="82"/>
      <c r="U2958" s="42"/>
      <c r="V2958" s="62"/>
      <c r="W2958" s="64"/>
      <c r="X2958" s="330"/>
      <c r="Y2958" s="330"/>
      <c r="Z2958" s="330"/>
      <c r="AA2958" s="223"/>
    </row>
    <row r="2959">
      <c r="A2959" s="42">
        <f t="shared" si="3"/>
        <v>2958</v>
      </c>
      <c r="B2959" s="53"/>
      <c r="C2959" s="53"/>
      <c r="D2959" s="42"/>
      <c r="E2959" s="42"/>
      <c r="F2959" s="53"/>
      <c r="G2959" s="53"/>
      <c r="H2959" s="53"/>
      <c r="I2959" s="53"/>
      <c r="J2959" s="53"/>
      <c r="K2959" s="53"/>
      <c r="L2959" s="53"/>
      <c r="M2959" s="53"/>
      <c r="N2959" s="62"/>
      <c r="O2959" s="62"/>
      <c r="P2959" s="62"/>
      <c r="Q2959" s="62"/>
      <c r="R2959" s="53"/>
      <c r="S2959" s="53"/>
      <c r="T2959" s="82"/>
      <c r="U2959" s="42"/>
      <c r="V2959" s="62"/>
      <c r="W2959" s="64"/>
      <c r="X2959" s="330"/>
      <c r="Y2959" s="330"/>
      <c r="Z2959" s="330"/>
      <c r="AA2959" s="223"/>
    </row>
    <row r="2960">
      <c r="A2960" s="42">
        <f t="shared" si="3"/>
        <v>2959</v>
      </c>
      <c r="B2960" s="53"/>
      <c r="C2960" s="53"/>
      <c r="D2960" s="42"/>
      <c r="E2960" s="42"/>
      <c r="F2960" s="53"/>
      <c r="G2960" s="53"/>
      <c r="H2960" s="53"/>
      <c r="I2960" s="53"/>
      <c r="J2960" s="53"/>
      <c r="K2960" s="53"/>
      <c r="L2960" s="53"/>
      <c r="M2960" s="53"/>
      <c r="N2960" s="62"/>
      <c r="O2960" s="62"/>
      <c r="P2960" s="62"/>
      <c r="Q2960" s="62"/>
      <c r="R2960" s="53"/>
      <c r="S2960" s="53"/>
      <c r="T2960" s="82"/>
      <c r="U2960" s="42"/>
      <c r="V2960" s="62"/>
      <c r="W2960" s="64"/>
      <c r="X2960" s="330"/>
      <c r="Y2960" s="330"/>
      <c r="Z2960" s="330"/>
      <c r="AA2960" s="223"/>
    </row>
    <row r="2961">
      <c r="A2961" s="42">
        <f t="shared" si="3"/>
        <v>2960</v>
      </c>
      <c r="B2961" s="53"/>
      <c r="C2961" s="53"/>
      <c r="D2961" s="42"/>
      <c r="E2961" s="42"/>
      <c r="F2961" s="53"/>
      <c r="G2961" s="53"/>
      <c r="H2961" s="53"/>
      <c r="I2961" s="53"/>
      <c r="J2961" s="53"/>
      <c r="K2961" s="53"/>
      <c r="L2961" s="53"/>
      <c r="M2961" s="53"/>
      <c r="N2961" s="62"/>
      <c r="O2961" s="62"/>
      <c r="P2961" s="62"/>
      <c r="Q2961" s="62"/>
      <c r="R2961" s="53"/>
      <c r="S2961" s="53"/>
      <c r="T2961" s="82"/>
      <c r="U2961" s="42"/>
      <c r="V2961" s="62"/>
      <c r="W2961" s="64"/>
      <c r="X2961" s="330"/>
      <c r="Y2961" s="330"/>
      <c r="Z2961" s="330"/>
      <c r="AA2961" s="223"/>
    </row>
    <row r="2962">
      <c r="A2962" s="42">
        <f t="shared" si="3"/>
        <v>2961</v>
      </c>
      <c r="B2962" s="53"/>
      <c r="C2962" s="53"/>
      <c r="D2962" s="42"/>
      <c r="E2962" s="42"/>
      <c r="F2962" s="53"/>
      <c r="G2962" s="53"/>
      <c r="H2962" s="53"/>
      <c r="I2962" s="53"/>
      <c r="J2962" s="53"/>
      <c r="K2962" s="53"/>
      <c r="L2962" s="53"/>
      <c r="M2962" s="53"/>
      <c r="N2962" s="62"/>
      <c r="O2962" s="62"/>
      <c r="P2962" s="62"/>
      <c r="Q2962" s="62"/>
      <c r="R2962" s="53"/>
      <c r="S2962" s="53"/>
      <c r="T2962" s="82"/>
      <c r="U2962" s="42"/>
      <c r="V2962" s="62"/>
      <c r="W2962" s="64"/>
      <c r="X2962" s="330"/>
      <c r="Y2962" s="330"/>
      <c r="Z2962" s="330"/>
      <c r="AA2962" s="223"/>
    </row>
    <row r="2963">
      <c r="A2963" s="42">
        <f t="shared" si="3"/>
        <v>2962</v>
      </c>
      <c r="B2963" s="53"/>
      <c r="C2963" s="53"/>
      <c r="D2963" s="42"/>
      <c r="E2963" s="42"/>
      <c r="F2963" s="53"/>
      <c r="G2963" s="53"/>
      <c r="H2963" s="53"/>
      <c r="I2963" s="53"/>
      <c r="J2963" s="53"/>
      <c r="K2963" s="53"/>
      <c r="L2963" s="53"/>
      <c r="M2963" s="53"/>
      <c r="N2963" s="62"/>
      <c r="O2963" s="62"/>
      <c r="P2963" s="62"/>
      <c r="Q2963" s="62"/>
      <c r="R2963" s="53"/>
      <c r="S2963" s="53"/>
      <c r="T2963" s="82"/>
      <c r="U2963" s="42"/>
      <c r="V2963" s="62"/>
      <c r="W2963" s="64"/>
      <c r="X2963" s="330"/>
      <c r="Y2963" s="330"/>
      <c r="Z2963" s="330"/>
      <c r="AA2963" s="223"/>
    </row>
    <row r="2964">
      <c r="A2964" s="42">
        <f t="shared" si="3"/>
        <v>2963</v>
      </c>
      <c r="B2964" s="53"/>
      <c r="C2964" s="53"/>
      <c r="D2964" s="42"/>
      <c r="E2964" s="42"/>
      <c r="F2964" s="53"/>
      <c r="G2964" s="53"/>
      <c r="H2964" s="53"/>
      <c r="I2964" s="53"/>
      <c r="J2964" s="53"/>
      <c r="K2964" s="53"/>
      <c r="L2964" s="53"/>
      <c r="M2964" s="53"/>
      <c r="N2964" s="62"/>
      <c r="O2964" s="62"/>
      <c r="P2964" s="62"/>
      <c r="Q2964" s="62"/>
      <c r="R2964" s="53"/>
      <c r="S2964" s="53"/>
      <c r="T2964" s="82"/>
      <c r="U2964" s="42"/>
      <c r="V2964" s="62"/>
      <c r="W2964" s="64"/>
      <c r="X2964" s="330"/>
      <c r="Y2964" s="330"/>
      <c r="Z2964" s="330"/>
      <c r="AA2964" s="223"/>
    </row>
    <row r="2965">
      <c r="A2965" s="42">
        <f t="shared" si="3"/>
        <v>2964</v>
      </c>
      <c r="B2965" s="53"/>
      <c r="C2965" s="53"/>
      <c r="D2965" s="42"/>
      <c r="E2965" s="42"/>
      <c r="F2965" s="53"/>
      <c r="G2965" s="53"/>
      <c r="H2965" s="53"/>
      <c r="I2965" s="53"/>
      <c r="J2965" s="53"/>
      <c r="K2965" s="53"/>
      <c r="L2965" s="53"/>
      <c r="M2965" s="53"/>
      <c r="N2965" s="62"/>
      <c r="O2965" s="62"/>
      <c r="P2965" s="62"/>
      <c r="Q2965" s="62"/>
      <c r="R2965" s="53"/>
      <c r="S2965" s="53"/>
      <c r="T2965" s="82"/>
      <c r="U2965" s="42"/>
      <c r="V2965" s="62"/>
      <c r="W2965" s="64"/>
      <c r="X2965" s="330"/>
      <c r="Y2965" s="330"/>
      <c r="Z2965" s="330"/>
      <c r="AA2965" s="223"/>
    </row>
    <row r="2966">
      <c r="A2966" s="42">
        <f t="shared" si="3"/>
        <v>2965</v>
      </c>
      <c r="B2966" s="53"/>
      <c r="C2966" s="53"/>
      <c r="D2966" s="42"/>
      <c r="E2966" s="42"/>
      <c r="F2966" s="53"/>
      <c r="G2966" s="53"/>
      <c r="H2966" s="53"/>
      <c r="I2966" s="53"/>
      <c r="J2966" s="53"/>
      <c r="K2966" s="53"/>
      <c r="L2966" s="53"/>
      <c r="M2966" s="53"/>
      <c r="N2966" s="62"/>
      <c r="O2966" s="62"/>
      <c r="P2966" s="62"/>
      <c r="Q2966" s="62"/>
      <c r="R2966" s="53"/>
      <c r="S2966" s="53"/>
      <c r="T2966" s="82"/>
      <c r="U2966" s="42"/>
      <c r="V2966" s="62"/>
      <c r="W2966" s="64"/>
      <c r="X2966" s="330"/>
      <c r="Y2966" s="330"/>
      <c r="Z2966" s="330"/>
      <c r="AA2966" s="223"/>
    </row>
    <row r="2967">
      <c r="A2967" s="42">
        <f t="shared" si="3"/>
        <v>2966</v>
      </c>
      <c r="B2967" s="53"/>
      <c r="C2967" s="53"/>
      <c r="D2967" s="42"/>
      <c r="E2967" s="42"/>
      <c r="F2967" s="53"/>
      <c r="G2967" s="53"/>
      <c r="H2967" s="53"/>
      <c r="I2967" s="53"/>
      <c r="J2967" s="53"/>
      <c r="K2967" s="53"/>
      <c r="L2967" s="53"/>
      <c r="M2967" s="53"/>
      <c r="N2967" s="62"/>
      <c r="O2967" s="62"/>
      <c r="P2967" s="62"/>
      <c r="Q2967" s="62"/>
      <c r="R2967" s="53"/>
      <c r="S2967" s="53"/>
      <c r="T2967" s="82"/>
      <c r="U2967" s="42"/>
      <c r="V2967" s="62"/>
      <c r="W2967" s="64"/>
      <c r="X2967" s="330"/>
      <c r="Y2967" s="330"/>
      <c r="Z2967" s="330"/>
      <c r="AA2967" s="223"/>
    </row>
    <row r="2968">
      <c r="A2968" s="42">
        <f t="shared" si="3"/>
        <v>2967</v>
      </c>
      <c r="B2968" s="53"/>
      <c r="C2968" s="53"/>
      <c r="D2968" s="42"/>
      <c r="E2968" s="42"/>
      <c r="F2968" s="53"/>
      <c r="G2968" s="53"/>
      <c r="H2968" s="53"/>
      <c r="I2968" s="53"/>
      <c r="J2968" s="53"/>
      <c r="K2968" s="53"/>
      <c r="L2968" s="53"/>
      <c r="M2968" s="53"/>
      <c r="N2968" s="62"/>
      <c r="O2968" s="62"/>
      <c r="P2968" s="62"/>
      <c r="Q2968" s="62"/>
      <c r="R2968" s="53"/>
      <c r="S2968" s="53"/>
      <c r="T2968" s="82"/>
      <c r="U2968" s="42"/>
      <c r="V2968" s="62"/>
      <c r="W2968" s="64"/>
      <c r="X2968" s="330"/>
      <c r="Y2968" s="330"/>
      <c r="Z2968" s="330"/>
      <c r="AA2968" s="223"/>
    </row>
    <row r="2969">
      <c r="A2969" s="42">
        <f t="shared" si="3"/>
        <v>2968</v>
      </c>
      <c r="B2969" s="53"/>
      <c r="C2969" s="53"/>
      <c r="D2969" s="42"/>
      <c r="E2969" s="42"/>
      <c r="F2969" s="53"/>
      <c r="G2969" s="53"/>
      <c r="H2969" s="53"/>
      <c r="I2969" s="53"/>
      <c r="J2969" s="53"/>
      <c r="K2969" s="53"/>
      <c r="L2969" s="53"/>
      <c r="M2969" s="53"/>
      <c r="N2969" s="62"/>
      <c r="O2969" s="62"/>
      <c r="P2969" s="62"/>
      <c r="Q2969" s="62"/>
      <c r="R2969" s="53"/>
      <c r="S2969" s="53"/>
      <c r="T2969" s="82"/>
      <c r="U2969" s="42"/>
      <c r="V2969" s="62"/>
      <c r="W2969" s="64"/>
      <c r="X2969" s="330"/>
      <c r="Y2969" s="330"/>
      <c r="Z2969" s="330"/>
      <c r="AA2969" s="223"/>
    </row>
    <row r="2970">
      <c r="A2970" s="42">
        <f t="shared" si="3"/>
        <v>2969</v>
      </c>
      <c r="B2970" s="53"/>
      <c r="C2970" s="53"/>
      <c r="D2970" s="42"/>
      <c r="E2970" s="42"/>
      <c r="F2970" s="53"/>
      <c r="G2970" s="53"/>
      <c r="H2970" s="53"/>
      <c r="I2970" s="53"/>
      <c r="J2970" s="53"/>
      <c r="K2970" s="53"/>
      <c r="L2970" s="53"/>
      <c r="M2970" s="53"/>
      <c r="N2970" s="62"/>
      <c r="O2970" s="62"/>
      <c r="P2970" s="62"/>
      <c r="Q2970" s="62"/>
      <c r="R2970" s="53"/>
      <c r="S2970" s="53"/>
      <c r="T2970" s="82"/>
      <c r="U2970" s="42"/>
      <c r="V2970" s="62"/>
      <c r="W2970" s="64"/>
      <c r="X2970" s="330"/>
      <c r="Y2970" s="330"/>
      <c r="Z2970" s="330"/>
      <c r="AA2970" s="223"/>
    </row>
    <row r="2971">
      <c r="A2971" s="42">
        <f t="shared" si="3"/>
        <v>2970</v>
      </c>
      <c r="B2971" s="53"/>
      <c r="C2971" s="53"/>
      <c r="D2971" s="42"/>
      <c r="E2971" s="42"/>
      <c r="F2971" s="53"/>
      <c r="G2971" s="53"/>
      <c r="H2971" s="53"/>
      <c r="I2971" s="53"/>
      <c r="J2971" s="53"/>
      <c r="K2971" s="53"/>
      <c r="L2971" s="53"/>
      <c r="M2971" s="53"/>
      <c r="N2971" s="62"/>
      <c r="O2971" s="62"/>
      <c r="P2971" s="62"/>
      <c r="Q2971" s="62"/>
      <c r="R2971" s="53"/>
      <c r="S2971" s="53"/>
      <c r="T2971" s="82"/>
      <c r="U2971" s="42"/>
      <c r="V2971" s="62"/>
      <c r="W2971" s="64"/>
      <c r="X2971" s="330"/>
      <c r="Y2971" s="330"/>
      <c r="Z2971" s="330"/>
      <c r="AA2971" s="223"/>
    </row>
    <row r="2972">
      <c r="A2972" s="42">
        <f t="shared" si="3"/>
        <v>2971</v>
      </c>
      <c r="B2972" s="53"/>
      <c r="C2972" s="53"/>
      <c r="D2972" s="42"/>
      <c r="E2972" s="42"/>
      <c r="F2972" s="53"/>
      <c r="G2972" s="53"/>
      <c r="H2972" s="53"/>
      <c r="I2972" s="53"/>
      <c r="J2972" s="53"/>
      <c r="K2972" s="53"/>
      <c r="L2972" s="53"/>
      <c r="M2972" s="53"/>
      <c r="N2972" s="62"/>
      <c r="O2972" s="62"/>
      <c r="P2972" s="62"/>
      <c r="Q2972" s="62"/>
      <c r="R2972" s="53"/>
      <c r="S2972" s="53"/>
      <c r="T2972" s="82"/>
      <c r="U2972" s="42"/>
      <c r="V2972" s="62"/>
      <c r="W2972" s="64"/>
      <c r="X2972" s="330"/>
      <c r="Y2972" s="330"/>
      <c r="Z2972" s="330"/>
      <c r="AA2972" s="223"/>
    </row>
    <row r="2973">
      <c r="A2973" s="42">
        <f t="shared" si="3"/>
        <v>2972</v>
      </c>
      <c r="B2973" s="53"/>
      <c r="C2973" s="53"/>
      <c r="D2973" s="42"/>
      <c r="E2973" s="42"/>
      <c r="F2973" s="53"/>
      <c r="G2973" s="53"/>
      <c r="H2973" s="53"/>
      <c r="I2973" s="53"/>
      <c r="J2973" s="53"/>
      <c r="K2973" s="53"/>
      <c r="L2973" s="53"/>
      <c r="M2973" s="53"/>
      <c r="N2973" s="62"/>
      <c r="O2973" s="62"/>
      <c r="P2973" s="62"/>
      <c r="Q2973" s="62"/>
      <c r="R2973" s="53"/>
      <c r="S2973" s="53"/>
      <c r="T2973" s="82"/>
      <c r="U2973" s="42"/>
      <c r="V2973" s="62"/>
      <c r="W2973" s="64"/>
      <c r="X2973" s="330"/>
      <c r="Y2973" s="330"/>
      <c r="Z2973" s="330"/>
      <c r="AA2973" s="223"/>
    </row>
    <row r="2974">
      <c r="A2974" s="42">
        <f t="shared" si="3"/>
        <v>2973</v>
      </c>
      <c r="B2974" s="53"/>
      <c r="C2974" s="53"/>
      <c r="D2974" s="42"/>
      <c r="E2974" s="42"/>
      <c r="F2974" s="53"/>
      <c r="G2974" s="53"/>
      <c r="H2974" s="53"/>
      <c r="I2974" s="53"/>
      <c r="J2974" s="53"/>
      <c r="K2974" s="53"/>
      <c r="L2974" s="53"/>
      <c r="M2974" s="53"/>
      <c r="N2974" s="62"/>
      <c r="O2974" s="62"/>
      <c r="P2974" s="62"/>
      <c r="Q2974" s="62"/>
      <c r="R2974" s="53"/>
      <c r="S2974" s="53"/>
      <c r="T2974" s="82"/>
      <c r="U2974" s="42"/>
      <c r="V2974" s="62"/>
      <c r="W2974" s="64"/>
      <c r="X2974" s="330"/>
      <c r="Y2974" s="330"/>
      <c r="Z2974" s="330"/>
      <c r="AA2974" s="223"/>
    </row>
    <row r="2975">
      <c r="A2975" s="42">
        <f t="shared" si="3"/>
        <v>2974</v>
      </c>
      <c r="B2975" s="53"/>
      <c r="C2975" s="53"/>
      <c r="D2975" s="42"/>
      <c r="E2975" s="42"/>
      <c r="F2975" s="53"/>
      <c r="G2975" s="53"/>
      <c r="H2975" s="53"/>
      <c r="I2975" s="53"/>
      <c r="J2975" s="53"/>
      <c r="K2975" s="53"/>
      <c r="L2975" s="53"/>
      <c r="M2975" s="53"/>
      <c r="N2975" s="62"/>
      <c r="O2975" s="62"/>
      <c r="P2975" s="62"/>
      <c r="Q2975" s="62"/>
      <c r="R2975" s="53"/>
      <c r="S2975" s="53"/>
      <c r="T2975" s="82"/>
      <c r="U2975" s="42"/>
      <c r="V2975" s="62"/>
      <c r="W2975" s="64"/>
      <c r="X2975" s="330"/>
      <c r="Y2975" s="330"/>
      <c r="Z2975" s="330"/>
      <c r="AA2975" s="223"/>
    </row>
    <row r="2976">
      <c r="A2976" s="42">
        <f t="shared" si="3"/>
        <v>2975</v>
      </c>
      <c r="B2976" s="53"/>
      <c r="C2976" s="53"/>
      <c r="D2976" s="42"/>
      <c r="E2976" s="42"/>
      <c r="F2976" s="53"/>
      <c r="G2976" s="53"/>
      <c r="H2976" s="53"/>
      <c r="I2976" s="53"/>
      <c r="J2976" s="53"/>
      <c r="K2976" s="53"/>
      <c r="L2976" s="53"/>
      <c r="M2976" s="53"/>
      <c r="N2976" s="62"/>
      <c r="O2976" s="62"/>
      <c r="P2976" s="62"/>
      <c r="Q2976" s="62"/>
      <c r="R2976" s="53"/>
      <c r="S2976" s="53"/>
      <c r="T2976" s="82"/>
      <c r="U2976" s="42"/>
      <c r="V2976" s="62"/>
      <c r="W2976" s="64"/>
      <c r="X2976" s="330"/>
      <c r="Y2976" s="330"/>
      <c r="Z2976" s="330"/>
      <c r="AA2976" s="223"/>
    </row>
    <row r="2977">
      <c r="A2977" s="42">
        <f t="shared" si="3"/>
        <v>2976</v>
      </c>
      <c r="B2977" s="53"/>
      <c r="C2977" s="53"/>
      <c r="D2977" s="42"/>
      <c r="E2977" s="42"/>
      <c r="F2977" s="53"/>
      <c r="G2977" s="53"/>
      <c r="H2977" s="53"/>
      <c r="I2977" s="53"/>
      <c r="J2977" s="53"/>
      <c r="K2977" s="53"/>
      <c r="L2977" s="53"/>
      <c r="M2977" s="53"/>
      <c r="N2977" s="62"/>
      <c r="O2977" s="62"/>
      <c r="P2977" s="62"/>
      <c r="Q2977" s="62"/>
      <c r="R2977" s="53"/>
      <c r="S2977" s="53"/>
      <c r="T2977" s="82"/>
      <c r="U2977" s="42"/>
      <c r="V2977" s="62"/>
      <c r="W2977" s="64"/>
      <c r="X2977" s="330"/>
      <c r="Y2977" s="330"/>
      <c r="Z2977" s="330"/>
      <c r="AA2977" s="223"/>
    </row>
    <row r="2978">
      <c r="A2978" s="42">
        <f t="shared" si="3"/>
        <v>2977</v>
      </c>
      <c r="B2978" s="53"/>
      <c r="C2978" s="53"/>
      <c r="D2978" s="42"/>
      <c r="E2978" s="42"/>
      <c r="F2978" s="53"/>
      <c r="G2978" s="53"/>
      <c r="H2978" s="53"/>
      <c r="I2978" s="53"/>
      <c r="J2978" s="53"/>
      <c r="K2978" s="53"/>
      <c r="L2978" s="53"/>
      <c r="M2978" s="53"/>
      <c r="N2978" s="62"/>
      <c r="O2978" s="62"/>
      <c r="P2978" s="62"/>
      <c r="Q2978" s="62"/>
      <c r="R2978" s="53"/>
      <c r="S2978" s="53"/>
      <c r="T2978" s="82"/>
      <c r="U2978" s="42"/>
      <c r="V2978" s="62"/>
      <c r="W2978" s="64"/>
      <c r="X2978" s="330"/>
      <c r="Y2978" s="330"/>
      <c r="Z2978" s="330"/>
      <c r="AA2978" s="223"/>
    </row>
    <row r="2979">
      <c r="A2979" s="42">
        <f t="shared" si="3"/>
        <v>2978</v>
      </c>
      <c r="B2979" s="53"/>
      <c r="C2979" s="53"/>
      <c r="D2979" s="42"/>
      <c r="E2979" s="42"/>
      <c r="F2979" s="53"/>
      <c r="G2979" s="53"/>
      <c r="H2979" s="53"/>
      <c r="I2979" s="53"/>
      <c r="J2979" s="53"/>
      <c r="K2979" s="53"/>
      <c r="L2979" s="53"/>
      <c r="M2979" s="53"/>
      <c r="N2979" s="62"/>
      <c r="O2979" s="62"/>
      <c r="P2979" s="62"/>
      <c r="Q2979" s="62"/>
      <c r="R2979" s="53"/>
      <c r="S2979" s="53"/>
      <c r="T2979" s="82"/>
      <c r="U2979" s="42"/>
      <c r="V2979" s="62"/>
      <c r="W2979" s="64"/>
      <c r="X2979" s="330"/>
      <c r="Y2979" s="330"/>
      <c r="Z2979" s="330"/>
      <c r="AA2979" s="223"/>
    </row>
    <row r="2980">
      <c r="A2980" s="42">
        <f t="shared" si="3"/>
        <v>2979</v>
      </c>
      <c r="B2980" s="53"/>
      <c r="C2980" s="53"/>
      <c r="D2980" s="42"/>
      <c r="E2980" s="42"/>
      <c r="F2980" s="53"/>
      <c r="G2980" s="53"/>
      <c r="H2980" s="53"/>
      <c r="I2980" s="53"/>
      <c r="J2980" s="53"/>
      <c r="K2980" s="53"/>
      <c r="L2980" s="53"/>
      <c r="M2980" s="53"/>
      <c r="N2980" s="62"/>
      <c r="O2980" s="62"/>
      <c r="P2980" s="62"/>
      <c r="Q2980" s="62"/>
      <c r="R2980" s="53"/>
      <c r="S2980" s="53"/>
      <c r="T2980" s="82"/>
      <c r="U2980" s="42"/>
      <c r="V2980" s="62"/>
      <c r="W2980" s="64"/>
      <c r="X2980" s="330"/>
      <c r="Y2980" s="330"/>
      <c r="Z2980" s="330"/>
      <c r="AA2980" s="223"/>
    </row>
    <row r="2981">
      <c r="A2981" s="42">
        <f t="shared" si="3"/>
        <v>2980</v>
      </c>
      <c r="B2981" s="53"/>
      <c r="C2981" s="53"/>
      <c r="D2981" s="42"/>
      <c r="E2981" s="42"/>
      <c r="F2981" s="53"/>
      <c r="G2981" s="53"/>
      <c r="H2981" s="53"/>
      <c r="I2981" s="53"/>
      <c r="J2981" s="53"/>
      <c r="K2981" s="53"/>
      <c r="L2981" s="53"/>
      <c r="M2981" s="53"/>
      <c r="N2981" s="62"/>
      <c r="O2981" s="62"/>
      <c r="P2981" s="62"/>
      <c r="Q2981" s="62"/>
      <c r="R2981" s="53"/>
      <c r="S2981" s="53"/>
      <c r="T2981" s="82"/>
      <c r="U2981" s="42"/>
      <c r="V2981" s="62"/>
      <c r="W2981" s="64"/>
      <c r="X2981" s="330"/>
      <c r="Y2981" s="330"/>
      <c r="Z2981" s="330"/>
      <c r="AA2981" s="223"/>
    </row>
    <row r="2982">
      <c r="A2982" s="42">
        <f t="shared" si="3"/>
        <v>2981</v>
      </c>
      <c r="B2982" s="53"/>
      <c r="C2982" s="53"/>
      <c r="D2982" s="42"/>
      <c r="E2982" s="42"/>
      <c r="F2982" s="53"/>
      <c r="G2982" s="53"/>
      <c r="H2982" s="53"/>
      <c r="I2982" s="53"/>
      <c r="J2982" s="53"/>
      <c r="K2982" s="53"/>
      <c r="L2982" s="53"/>
      <c r="M2982" s="53"/>
      <c r="N2982" s="62"/>
      <c r="O2982" s="62"/>
      <c r="P2982" s="62"/>
      <c r="Q2982" s="62"/>
      <c r="R2982" s="53"/>
      <c r="S2982" s="53"/>
      <c r="T2982" s="82"/>
      <c r="U2982" s="42"/>
      <c r="V2982" s="62"/>
      <c r="W2982" s="64"/>
      <c r="X2982" s="330"/>
      <c r="Y2982" s="330"/>
      <c r="Z2982" s="330"/>
      <c r="AA2982" s="223"/>
    </row>
    <row r="2983">
      <c r="A2983" s="42">
        <f t="shared" si="3"/>
        <v>2982</v>
      </c>
      <c r="B2983" s="53"/>
      <c r="C2983" s="53"/>
      <c r="D2983" s="42"/>
      <c r="E2983" s="42"/>
      <c r="F2983" s="53"/>
      <c r="G2983" s="53"/>
      <c r="H2983" s="53"/>
      <c r="I2983" s="53"/>
      <c r="J2983" s="53"/>
      <c r="K2983" s="53"/>
      <c r="L2983" s="53"/>
      <c r="M2983" s="53"/>
      <c r="N2983" s="62"/>
      <c r="O2983" s="62"/>
      <c r="P2983" s="62"/>
      <c r="Q2983" s="62"/>
      <c r="R2983" s="53"/>
      <c r="S2983" s="53"/>
      <c r="T2983" s="82"/>
      <c r="U2983" s="42"/>
      <c r="V2983" s="62"/>
      <c r="W2983" s="64"/>
      <c r="X2983" s="330"/>
      <c r="Y2983" s="330"/>
      <c r="Z2983" s="330"/>
      <c r="AA2983" s="223"/>
    </row>
    <row r="2984">
      <c r="A2984" s="42">
        <f t="shared" si="3"/>
        <v>2983</v>
      </c>
      <c r="B2984" s="53"/>
      <c r="C2984" s="53"/>
      <c r="D2984" s="42"/>
      <c r="E2984" s="42"/>
      <c r="F2984" s="53"/>
      <c r="G2984" s="53"/>
      <c r="H2984" s="53"/>
      <c r="I2984" s="53"/>
      <c r="J2984" s="53"/>
      <c r="K2984" s="53"/>
      <c r="L2984" s="53"/>
      <c r="M2984" s="53"/>
      <c r="N2984" s="62"/>
      <c r="O2984" s="62"/>
      <c r="P2984" s="62"/>
      <c r="Q2984" s="62"/>
      <c r="R2984" s="53"/>
      <c r="S2984" s="53"/>
      <c r="T2984" s="82"/>
      <c r="U2984" s="42"/>
      <c r="V2984" s="62"/>
      <c r="W2984" s="64"/>
      <c r="X2984" s="330"/>
      <c r="Y2984" s="330"/>
      <c r="Z2984" s="330"/>
      <c r="AA2984" s="223"/>
    </row>
    <row r="2985">
      <c r="A2985" s="42">
        <f t="shared" si="3"/>
        <v>2984</v>
      </c>
      <c r="B2985" s="53"/>
      <c r="C2985" s="53"/>
      <c r="D2985" s="42"/>
      <c r="E2985" s="42"/>
      <c r="F2985" s="53"/>
      <c r="G2985" s="53"/>
      <c r="H2985" s="53"/>
      <c r="I2985" s="53"/>
      <c r="J2985" s="53"/>
      <c r="K2985" s="53"/>
      <c r="L2985" s="53"/>
      <c r="M2985" s="53"/>
      <c r="N2985" s="62"/>
      <c r="O2985" s="62"/>
      <c r="P2985" s="62"/>
      <c r="Q2985" s="62"/>
      <c r="R2985" s="53"/>
      <c r="S2985" s="53"/>
      <c r="T2985" s="82"/>
      <c r="U2985" s="42"/>
      <c r="V2985" s="62"/>
      <c r="W2985" s="64"/>
      <c r="X2985" s="330"/>
      <c r="Y2985" s="330"/>
      <c r="Z2985" s="330"/>
      <c r="AA2985" s="223"/>
    </row>
    <row r="2986">
      <c r="A2986" s="42">
        <f t="shared" si="3"/>
        <v>2985</v>
      </c>
      <c r="B2986" s="53"/>
      <c r="C2986" s="53"/>
      <c r="D2986" s="42"/>
      <c r="E2986" s="42"/>
      <c r="F2986" s="53"/>
      <c r="G2986" s="53"/>
      <c r="H2986" s="53"/>
      <c r="I2986" s="53"/>
      <c r="J2986" s="53"/>
      <c r="K2986" s="53"/>
      <c r="L2986" s="53"/>
      <c r="M2986" s="53"/>
      <c r="N2986" s="62"/>
      <c r="O2986" s="62"/>
      <c r="P2986" s="62"/>
      <c r="Q2986" s="62"/>
      <c r="R2986" s="53"/>
      <c r="S2986" s="53"/>
      <c r="T2986" s="82"/>
      <c r="U2986" s="42"/>
      <c r="V2986" s="62"/>
      <c r="W2986" s="64"/>
      <c r="X2986" s="330"/>
      <c r="Y2986" s="330"/>
      <c r="Z2986" s="330"/>
      <c r="AA2986" s="223"/>
    </row>
    <row r="2987">
      <c r="A2987" s="42">
        <f t="shared" si="3"/>
        <v>2986</v>
      </c>
      <c r="B2987" s="53"/>
      <c r="C2987" s="53"/>
      <c r="D2987" s="42"/>
      <c r="E2987" s="42"/>
      <c r="F2987" s="53"/>
      <c r="G2987" s="53"/>
      <c r="H2987" s="53"/>
      <c r="I2987" s="53"/>
      <c r="J2987" s="53"/>
      <c r="K2987" s="53"/>
      <c r="L2987" s="53"/>
      <c r="M2987" s="53"/>
      <c r="N2987" s="62"/>
      <c r="O2987" s="62"/>
      <c r="P2987" s="62"/>
      <c r="Q2987" s="62"/>
      <c r="R2987" s="53"/>
      <c r="S2987" s="53"/>
      <c r="T2987" s="82"/>
      <c r="U2987" s="42"/>
      <c r="V2987" s="62"/>
      <c r="W2987" s="64"/>
      <c r="X2987" s="330"/>
      <c r="Y2987" s="330"/>
      <c r="Z2987" s="330"/>
      <c r="AA2987" s="223"/>
    </row>
    <row r="2988">
      <c r="A2988" s="42">
        <f t="shared" si="3"/>
        <v>2987</v>
      </c>
      <c r="B2988" s="53"/>
      <c r="C2988" s="53"/>
      <c r="D2988" s="42"/>
      <c r="E2988" s="42"/>
      <c r="F2988" s="53"/>
      <c r="G2988" s="53"/>
      <c r="H2988" s="53"/>
      <c r="I2988" s="53"/>
      <c r="J2988" s="53"/>
      <c r="K2988" s="53"/>
      <c r="L2988" s="53"/>
      <c r="M2988" s="53"/>
      <c r="N2988" s="62"/>
      <c r="O2988" s="62"/>
      <c r="P2988" s="62"/>
      <c r="Q2988" s="62"/>
      <c r="R2988" s="53"/>
      <c r="S2988" s="53"/>
      <c r="T2988" s="82"/>
      <c r="U2988" s="42"/>
      <c r="V2988" s="62"/>
      <c r="W2988" s="64"/>
      <c r="X2988" s="330"/>
      <c r="Y2988" s="330"/>
      <c r="Z2988" s="330"/>
      <c r="AA2988" s="223"/>
    </row>
    <row r="2989">
      <c r="A2989" s="42">
        <f t="shared" si="3"/>
        <v>2988</v>
      </c>
      <c r="B2989" s="53"/>
      <c r="C2989" s="53"/>
      <c r="D2989" s="42"/>
      <c r="E2989" s="42"/>
      <c r="F2989" s="53"/>
      <c r="G2989" s="53"/>
      <c r="H2989" s="53"/>
      <c r="I2989" s="53"/>
      <c r="J2989" s="53"/>
      <c r="K2989" s="53"/>
      <c r="L2989" s="53"/>
      <c r="M2989" s="53"/>
      <c r="N2989" s="62"/>
      <c r="O2989" s="62"/>
      <c r="P2989" s="62"/>
      <c r="Q2989" s="62"/>
      <c r="R2989" s="53"/>
      <c r="S2989" s="53"/>
      <c r="T2989" s="82"/>
      <c r="U2989" s="42"/>
      <c r="V2989" s="62"/>
      <c r="W2989" s="64"/>
      <c r="X2989" s="330"/>
      <c r="Y2989" s="330"/>
      <c r="Z2989" s="330"/>
      <c r="AA2989" s="223"/>
    </row>
    <row r="2990">
      <c r="A2990" s="42">
        <f t="shared" si="3"/>
        <v>2989</v>
      </c>
      <c r="B2990" s="53"/>
      <c r="C2990" s="53"/>
      <c r="D2990" s="42"/>
      <c r="E2990" s="42"/>
      <c r="F2990" s="53"/>
      <c r="G2990" s="53"/>
      <c r="H2990" s="53"/>
      <c r="I2990" s="53"/>
      <c r="J2990" s="53"/>
      <c r="K2990" s="53"/>
      <c r="L2990" s="53"/>
      <c r="M2990" s="53"/>
      <c r="N2990" s="62"/>
      <c r="O2990" s="62"/>
      <c r="P2990" s="62"/>
      <c r="Q2990" s="62"/>
      <c r="R2990" s="53"/>
      <c r="S2990" s="53"/>
      <c r="T2990" s="82"/>
      <c r="U2990" s="42"/>
      <c r="V2990" s="62"/>
      <c r="W2990" s="64"/>
      <c r="X2990" s="330"/>
      <c r="Y2990" s="330"/>
      <c r="Z2990" s="330"/>
      <c r="AA2990" s="223"/>
    </row>
    <row r="2991">
      <c r="A2991" s="42">
        <f t="shared" si="3"/>
        <v>2990</v>
      </c>
      <c r="B2991" s="53"/>
      <c r="C2991" s="53"/>
      <c r="D2991" s="42"/>
      <c r="E2991" s="42"/>
      <c r="F2991" s="53"/>
      <c r="G2991" s="53"/>
      <c r="H2991" s="53"/>
      <c r="I2991" s="53"/>
      <c r="J2991" s="53"/>
      <c r="K2991" s="53"/>
      <c r="L2991" s="53"/>
      <c r="M2991" s="53"/>
      <c r="N2991" s="62"/>
      <c r="O2991" s="62"/>
      <c r="P2991" s="62"/>
      <c r="Q2991" s="62"/>
      <c r="R2991" s="53"/>
      <c r="S2991" s="53"/>
      <c r="T2991" s="82"/>
      <c r="U2991" s="42"/>
      <c r="V2991" s="62"/>
      <c r="W2991" s="64"/>
      <c r="X2991" s="330"/>
      <c r="Y2991" s="330"/>
      <c r="Z2991" s="330"/>
      <c r="AA2991" s="223"/>
    </row>
    <row r="2992">
      <c r="A2992" s="42">
        <f t="shared" si="3"/>
        <v>2991</v>
      </c>
      <c r="B2992" s="53"/>
      <c r="C2992" s="53"/>
      <c r="D2992" s="42"/>
      <c r="E2992" s="42"/>
      <c r="F2992" s="53"/>
      <c r="G2992" s="53"/>
      <c r="H2992" s="53"/>
      <c r="I2992" s="53"/>
      <c r="J2992" s="53"/>
      <c r="K2992" s="53"/>
      <c r="L2992" s="53"/>
      <c r="M2992" s="53"/>
      <c r="N2992" s="62"/>
      <c r="O2992" s="62"/>
      <c r="P2992" s="62"/>
      <c r="Q2992" s="62"/>
      <c r="R2992" s="53"/>
      <c r="S2992" s="53"/>
      <c r="T2992" s="82"/>
      <c r="U2992" s="42"/>
      <c r="V2992" s="62"/>
      <c r="W2992" s="64"/>
      <c r="X2992" s="330"/>
      <c r="Y2992" s="330"/>
      <c r="Z2992" s="330"/>
      <c r="AA2992" s="223"/>
    </row>
    <row r="2993">
      <c r="A2993" s="42">
        <f t="shared" si="3"/>
        <v>2992</v>
      </c>
      <c r="B2993" s="53"/>
      <c r="C2993" s="53"/>
      <c r="D2993" s="42"/>
      <c r="E2993" s="42"/>
      <c r="F2993" s="53"/>
      <c r="G2993" s="53"/>
      <c r="H2993" s="53"/>
      <c r="I2993" s="53"/>
      <c r="J2993" s="53"/>
      <c r="K2993" s="53"/>
      <c r="L2993" s="53"/>
      <c r="M2993" s="53"/>
      <c r="N2993" s="62"/>
      <c r="O2993" s="62"/>
      <c r="P2993" s="62"/>
      <c r="Q2993" s="62"/>
      <c r="R2993" s="53"/>
      <c r="S2993" s="53"/>
      <c r="T2993" s="82"/>
      <c r="U2993" s="42"/>
      <c r="V2993" s="62"/>
      <c r="W2993" s="64"/>
      <c r="X2993" s="330"/>
      <c r="Y2993" s="330"/>
      <c r="Z2993" s="330"/>
      <c r="AA2993" s="223"/>
    </row>
    <row r="2994">
      <c r="A2994" s="42">
        <f t="shared" si="3"/>
        <v>2993</v>
      </c>
      <c r="B2994" s="53"/>
      <c r="C2994" s="53"/>
      <c r="D2994" s="42"/>
      <c r="E2994" s="42"/>
      <c r="F2994" s="53"/>
      <c r="G2994" s="53"/>
      <c r="H2994" s="53"/>
      <c r="I2994" s="53"/>
      <c r="J2994" s="53"/>
      <c r="K2994" s="53"/>
      <c r="L2994" s="53"/>
      <c r="M2994" s="53"/>
      <c r="N2994" s="62"/>
      <c r="O2994" s="62"/>
      <c r="P2994" s="62"/>
      <c r="Q2994" s="62"/>
      <c r="R2994" s="53"/>
      <c r="S2994" s="53"/>
      <c r="T2994" s="82"/>
      <c r="U2994" s="42"/>
      <c r="V2994" s="62"/>
      <c r="W2994" s="64"/>
      <c r="X2994" s="330"/>
      <c r="Y2994" s="330"/>
      <c r="Z2994" s="330"/>
      <c r="AA2994" s="223"/>
    </row>
    <row r="2995">
      <c r="A2995" s="42">
        <f t="shared" si="3"/>
        <v>2994</v>
      </c>
      <c r="B2995" s="53"/>
      <c r="C2995" s="53"/>
      <c r="D2995" s="42"/>
      <c r="E2995" s="42"/>
      <c r="F2995" s="53"/>
      <c r="G2995" s="53"/>
      <c r="H2995" s="53"/>
      <c r="I2995" s="53"/>
      <c r="J2995" s="53"/>
      <c r="K2995" s="53"/>
      <c r="L2995" s="53"/>
      <c r="M2995" s="53"/>
      <c r="N2995" s="62"/>
      <c r="O2995" s="62"/>
      <c r="P2995" s="62"/>
      <c r="Q2995" s="62"/>
      <c r="R2995" s="53"/>
      <c r="S2995" s="53"/>
      <c r="T2995" s="82"/>
      <c r="U2995" s="42"/>
      <c r="V2995" s="62"/>
      <c r="W2995" s="64"/>
      <c r="X2995" s="330"/>
      <c r="Y2995" s="330"/>
      <c r="Z2995" s="330"/>
      <c r="AA2995" s="223"/>
    </row>
    <row r="2996">
      <c r="A2996" s="42">
        <f t="shared" si="3"/>
        <v>2995</v>
      </c>
      <c r="B2996" s="53"/>
      <c r="C2996" s="53"/>
      <c r="D2996" s="42"/>
      <c r="E2996" s="42"/>
      <c r="F2996" s="53"/>
      <c r="G2996" s="53"/>
      <c r="H2996" s="53"/>
      <c r="I2996" s="53"/>
      <c r="J2996" s="53"/>
      <c r="K2996" s="53"/>
      <c r="L2996" s="53"/>
      <c r="M2996" s="53"/>
      <c r="N2996" s="62"/>
      <c r="O2996" s="62"/>
      <c r="P2996" s="62"/>
      <c r="Q2996" s="62"/>
      <c r="R2996" s="53"/>
      <c r="S2996" s="53"/>
      <c r="T2996" s="82"/>
      <c r="U2996" s="42"/>
      <c r="V2996" s="62"/>
      <c r="W2996" s="64"/>
      <c r="X2996" s="330"/>
      <c r="Y2996" s="330"/>
      <c r="Z2996" s="330"/>
      <c r="AA2996" s="223"/>
    </row>
    <row r="2997">
      <c r="A2997" s="42">
        <f t="shared" si="3"/>
        <v>2996</v>
      </c>
      <c r="B2997" s="53"/>
      <c r="C2997" s="53"/>
      <c r="D2997" s="42"/>
      <c r="E2997" s="42"/>
      <c r="F2997" s="53"/>
      <c r="G2997" s="53"/>
      <c r="H2997" s="53"/>
      <c r="I2997" s="53"/>
      <c r="J2997" s="53"/>
      <c r="K2997" s="53"/>
      <c r="L2997" s="53"/>
      <c r="M2997" s="53"/>
      <c r="N2997" s="62"/>
      <c r="O2997" s="62"/>
      <c r="P2997" s="62"/>
      <c r="Q2997" s="62"/>
      <c r="R2997" s="53"/>
      <c r="S2997" s="53"/>
      <c r="T2997" s="82"/>
      <c r="U2997" s="42"/>
      <c r="V2997" s="62"/>
      <c r="W2997" s="64"/>
      <c r="X2997" s="330"/>
      <c r="Y2997" s="330"/>
      <c r="Z2997" s="330"/>
      <c r="AA2997" s="223"/>
    </row>
    <row r="2998">
      <c r="A2998" s="42">
        <f t="shared" si="3"/>
        <v>2997</v>
      </c>
      <c r="B2998" s="53"/>
      <c r="C2998" s="53"/>
      <c r="D2998" s="42"/>
      <c r="E2998" s="42"/>
      <c r="F2998" s="53"/>
      <c r="G2998" s="53"/>
      <c r="H2998" s="53"/>
      <c r="I2998" s="53"/>
      <c r="J2998" s="53"/>
      <c r="K2998" s="53"/>
      <c r="L2998" s="53"/>
      <c r="M2998" s="53"/>
      <c r="N2998" s="62"/>
      <c r="O2998" s="62"/>
      <c r="P2998" s="62"/>
      <c r="Q2998" s="62"/>
      <c r="R2998" s="53"/>
      <c r="S2998" s="53"/>
      <c r="T2998" s="82"/>
      <c r="U2998" s="42"/>
      <c r="V2998" s="62"/>
      <c r="W2998" s="64"/>
      <c r="X2998" s="330"/>
      <c r="Y2998" s="330"/>
      <c r="Z2998" s="330"/>
      <c r="AA2998" s="223"/>
    </row>
    <row r="2999">
      <c r="A2999" s="42">
        <f t="shared" si="3"/>
        <v>2998</v>
      </c>
      <c r="B2999" s="53"/>
      <c r="C2999" s="53"/>
      <c r="D2999" s="42"/>
      <c r="E2999" s="42"/>
      <c r="F2999" s="53"/>
      <c r="G2999" s="53"/>
      <c r="H2999" s="53"/>
      <c r="I2999" s="53"/>
      <c r="J2999" s="53"/>
      <c r="K2999" s="53"/>
      <c r="L2999" s="53"/>
      <c r="M2999" s="53"/>
      <c r="N2999" s="62"/>
      <c r="O2999" s="62"/>
      <c r="P2999" s="62"/>
      <c r="Q2999" s="62"/>
      <c r="R2999" s="53"/>
      <c r="S2999" s="53"/>
      <c r="T2999" s="82"/>
      <c r="U2999" s="42"/>
      <c r="V2999" s="62"/>
      <c r="W2999" s="64"/>
      <c r="X2999" s="330"/>
      <c r="Y2999" s="330"/>
      <c r="Z2999" s="330"/>
      <c r="AA2999" s="223"/>
    </row>
    <row r="3000">
      <c r="A3000" s="42">
        <f t="shared" si="3"/>
        <v>2999</v>
      </c>
      <c r="B3000" s="53"/>
      <c r="C3000" s="53"/>
      <c r="D3000" s="42"/>
      <c r="E3000" s="42"/>
      <c r="F3000" s="53"/>
      <c r="G3000" s="53"/>
      <c r="H3000" s="53"/>
      <c r="I3000" s="53"/>
      <c r="J3000" s="53"/>
      <c r="K3000" s="53"/>
      <c r="L3000" s="53"/>
      <c r="M3000" s="53"/>
      <c r="N3000" s="62"/>
      <c r="O3000" s="62"/>
      <c r="P3000" s="62"/>
      <c r="Q3000" s="62"/>
      <c r="R3000" s="53"/>
      <c r="S3000" s="53"/>
      <c r="T3000" s="82"/>
      <c r="U3000" s="42"/>
      <c r="V3000" s="62"/>
      <c r="W3000" s="64"/>
      <c r="X3000" s="330"/>
      <c r="Y3000" s="330"/>
      <c r="Z3000" s="330"/>
      <c r="AA3000" s="223"/>
    </row>
    <row r="3001">
      <c r="A3001" s="42">
        <f t="shared" si="3"/>
        <v>3000</v>
      </c>
      <c r="B3001" s="53"/>
      <c r="C3001" s="53"/>
      <c r="D3001" s="42"/>
      <c r="E3001" s="42"/>
      <c r="F3001" s="53"/>
      <c r="G3001" s="53"/>
      <c r="H3001" s="53"/>
      <c r="I3001" s="53"/>
      <c r="J3001" s="53"/>
      <c r="K3001" s="53"/>
      <c r="L3001" s="53"/>
      <c r="M3001" s="53"/>
      <c r="N3001" s="62"/>
      <c r="O3001" s="62"/>
      <c r="P3001" s="62"/>
      <c r="Q3001" s="62"/>
      <c r="R3001" s="53"/>
      <c r="S3001" s="53"/>
      <c r="T3001" s="82"/>
      <c r="U3001" s="42"/>
      <c r="V3001" s="62"/>
      <c r="W3001" s="64"/>
      <c r="X3001" s="330"/>
      <c r="Y3001" s="330"/>
      <c r="Z3001" s="330"/>
      <c r="AA3001" s="223"/>
    </row>
    <row r="3002">
      <c r="A3002" s="42">
        <f t="shared" si="3"/>
        <v>3001</v>
      </c>
      <c r="B3002" s="53"/>
      <c r="C3002" s="53"/>
      <c r="D3002" s="42"/>
      <c r="E3002" s="42"/>
      <c r="F3002" s="53"/>
      <c r="G3002" s="53"/>
      <c r="H3002" s="53"/>
      <c r="I3002" s="53"/>
      <c r="J3002" s="53"/>
      <c r="K3002" s="53"/>
      <c r="L3002" s="53"/>
      <c r="M3002" s="53"/>
      <c r="N3002" s="62"/>
      <c r="O3002" s="62"/>
      <c r="P3002" s="62"/>
      <c r="Q3002" s="62"/>
      <c r="R3002" s="53"/>
      <c r="S3002" s="53"/>
      <c r="T3002" s="82"/>
      <c r="U3002" s="42"/>
      <c r="V3002" s="62"/>
      <c r="W3002" s="64"/>
      <c r="X3002" s="330"/>
      <c r="Y3002" s="330"/>
      <c r="Z3002" s="330"/>
      <c r="AA3002" s="223"/>
    </row>
    <row r="3003">
      <c r="A3003" s="42">
        <f t="shared" si="3"/>
        <v>3002</v>
      </c>
      <c r="B3003" s="53"/>
      <c r="C3003" s="53"/>
      <c r="D3003" s="42"/>
      <c r="E3003" s="42"/>
      <c r="F3003" s="53"/>
      <c r="G3003" s="53"/>
      <c r="H3003" s="53"/>
      <c r="I3003" s="53"/>
      <c r="J3003" s="53"/>
      <c r="K3003" s="53"/>
      <c r="L3003" s="53"/>
      <c r="M3003" s="53"/>
      <c r="N3003" s="62"/>
      <c r="O3003" s="62"/>
      <c r="P3003" s="62"/>
      <c r="Q3003" s="62"/>
      <c r="R3003" s="53"/>
      <c r="S3003" s="53"/>
      <c r="T3003" s="82"/>
      <c r="U3003" s="42"/>
      <c r="V3003" s="62"/>
      <c r="W3003" s="64"/>
      <c r="X3003" s="330"/>
      <c r="Y3003" s="330"/>
      <c r="Z3003" s="330"/>
      <c r="AA3003" s="223"/>
    </row>
    <row r="3004">
      <c r="A3004" s="42">
        <f t="shared" si="3"/>
        <v>3003</v>
      </c>
      <c r="B3004" s="53"/>
      <c r="C3004" s="53"/>
      <c r="D3004" s="42"/>
      <c r="E3004" s="42"/>
      <c r="F3004" s="53"/>
      <c r="G3004" s="53"/>
      <c r="H3004" s="53"/>
      <c r="I3004" s="53"/>
      <c r="J3004" s="53"/>
      <c r="K3004" s="53"/>
      <c r="L3004" s="53"/>
      <c r="M3004" s="53"/>
      <c r="N3004" s="62"/>
      <c r="O3004" s="62"/>
      <c r="P3004" s="62"/>
      <c r="Q3004" s="62"/>
      <c r="R3004" s="53"/>
      <c r="S3004" s="53"/>
      <c r="T3004" s="82"/>
      <c r="U3004" s="42"/>
      <c r="V3004" s="62"/>
      <c r="W3004" s="64"/>
      <c r="X3004" s="330"/>
      <c r="Y3004" s="330"/>
      <c r="Z3004" s="330"/>
      <c r="AA3004" s="223"/>
    </row>
    <row r="3005">
      <c r="A3005" s="42">
        <f t="shared" si="3"/>
        <v>3004</v>
      </c>
      <c r="B3005" s="53"/>
      <c r="C3005" s="53"/>
      <c r="D3005" s="42"/>
      <c r="E3005" s="42"/>
      <c r="F3005" s="53"/>
      <c r="G3005" s="53"/>
      <c r="H3005" s="53"/>
      <c r="I3005" s="53"/>
      <c r="J3005" s="53"/>
      <c r="K3005" s="53"/>
      <c r="L3005" s="53"/>
      <c r="M3005" s="53"/>
      <c r="N3005" s="62"/>
      <c r="O3005" s="62"/>
      <c r="P3005" s="62"/>
      <c r="Q3005" s="62"/>
      <c r="R3005" s="53"/>
      <c r="S3005" s="53"/>
      <c r="T3005" s="82"/>
      <c r="U3005" s="42"/>
      <c r="V3005" s="62"/>
      <c r="W3005" s="64"/>
      <c r="X3005" s="330"/>
      <c r="Y3005" s="330"/>
      <c r="Z3005" s="330"/>
      <c r="AA3005" s="223"/>
    </row>
    <row r="3006">
      <c r="A3006" s="42">
        <f t="shared" si="3"/>
        <v>3005</v>
      </c>
      <c r="B3006" s="53"/>
      <c r="C3006" s="53"/>
      <c r="D3006" s="42"/>
      <c r="E3006" s="42"/>
      <c r="F3006" s="53"/>
      <c r="G3006" s="53"/>
      <c r="H3006" s="53"/>
      <c r="I3006" s="53"/>
      <c r="J3006" s="53"/>
      <c r="K3006" s="53"/>
      <c r="L3006" s="53"/>
      <c r="M3006" s="53"/>
      <c r="N3006" s="62"/>
      <c r="O3006" s="62"/>
      <c r="P3006" s="62"/>
      <c r="Q3006" s="62"/>
      <c r="R3006" s="53"/>
      <c r="S3006" s="53"/>
      <c r="T3006" s="82"/>
      <c r="U3006" s="42"/>
      <c r="V3006" s="62"/>
      <c r="W3006" s="64"/>
      <c r="X3006" s="330"/>
      <c r="Y3006" s="330"/>
      <c r="Z3006" s="330"/>
      <c r="AA3006" s="223"/>
    </row>
    <row r="3007">
      <c r="A3007" s="42">
        <f t="shared" si="3"/>
        <v>3006</v>
      </c>
      <c r="B3007" s="53"/>
      <c r="C3007" s="53"/>
      <c r="D3007" s="42"/>
      <c r="E3007" s="42"/>
      <c r="F3007" s="53"/>
      <c r="G3007" s="53"/>
      <c r="H3007" s="53"/>
      <c r="I3007" s="53"/>
      <c r="J3007" s="53"/>
      <c r="K3007" s="53"/>
      <c r="L3007" s="53"/>
      <c r="M3007" s="53"/>
      <c r="N3007" s="62"/>
      <c r="O3007" s="62"/>
      <c r="P3007" s="62"/>
      <c r="Q3007" s="62"/>
      <c r="R3007" s="53"/>
      <c r="S3007" s="53"/>
      <c r="T3007" s="82"/>
      <c r="U3007" s="42"/>
      <c r="V3007" s="62"/>
      <c r="W3007" s="64"/>
      <c r="X3007" s="330"/>
      <c r="Y3007" s="330"/>
      <c r="Z3007" s="330"/>
      <c r="AA3007" s="223"/>
    </row>
    <row r="3008">
      <c r="A3008" s="42">
        <f t="shared" si="3"/>
        <v>3007</v>
      </c>
      <c r="B3008" s="53"/>
      <c r="C3008" s="53"/>
      <c r="D3008" s="42"/>
      <c r="E3008" s="42"/>
      <c r="F3008" s="53"/>
      <c r="G3008" s="53"/>
      <c r="H3008" s="53"/>
      <c r="I3008" s="53"/>
      <c r="J3008" s="53"/>
      <c r="K3008" s="53"/>
      <c r="L3008" s="53"/>
      <c r="M3008" s="53"/>
      <c r="N3008" s="62"/>
      <c r="O3008" s="62"/>
      <c r="P3008" s="62"/>
      <c r="Q3008" s="62"/>
      <c r="R3008" s="53"/>
      <c r="S3008" s="53"/>
      <c r="T3008" s="82"/>
      <c r="U3008" s="42"/>
      <c r="V3008" s="62"/>
      <c r="W3008" s="64"/>
      <c r="X3008" s="330"/>
      <c r="Y3008" s="330"/>
      <c r="Z3008" s="330"/>
      <c r="AA3008" s="223"/>
    </row>
    <row r="3009">
      <c r="A3009" s="42">
        <f t="shared" si="3"/>
        <v>3008</v>
      </c>
      <c r="B3009" s="53"/>
      <c r="C3009" s="53"/>
      <c r="D3009" s="42"/>
      <c r="E3009" s="42"/>
      <c r="F3009" s="53"/>
      <c r="G3009" s="53"/>
      <c r="H3009" s="53"/>
      <c r="I3009" s="53"/>
      <c r="J3009" s="53"/>
      <c r="K3009" s="53"/>
      <c r="L3009" s="53"/>
      <c r="M3009" s="53"/>
      <c r="N3009" s="62"/>
      <c r="O3009" s="62"/>
      <c r="P3009" s="62"/>
      <c r="Q3009" s="62"/>
      <c r="R3009" s="53"/>
      <c r="S3009" s="53"/>
      <c r="T3009" s="82"/>
      <c r="U3009" s="42"/>
      <c r="V3009" s="62"/>
      <c r="W3009" s="64"/>
      <c r="X3009" s="330"/>
      <c r="Y3009" s="330"/>
      <c r="Z3009" s="330"/>
      <c r="AA3009" s="223"/>
    </row>
    <row r="3010">
      <c r="A3010" s="42">
        <f t="shared" si="3"/>
        <v>3009</v>
      </c>
      <c r="B3010" s="53"/>
      <c r="C3010" s="53"/>
      <c r="D3010" s="42"/>
      <c r="E3010" s="42"/>
      <c r="F3010" s="53"/>
      <c r="G3010" s="53"/>
      <c r="H3010" s="53"/>
      <c r="I3010" s="53"/>
      <c r="J3010" s="53"/>
      <c r="K3010" s="53"/>
      <c r="L3010" s="53"/>
      <c r="M3010" s="53"/>
      <c r="N3010" s="62"/>
      <c r="O3010" s="62"/>
      <c r="P3010" s="62"/>
      <c r="Q3010" s="62"/>
      <c r="R3010" s="53"/>
      <c r="S3010" s="53"/>
      <c r="T3010" s="82"/>
      <c r="U3010" s="42"/>
      <c r="V3010" s="62"/>
      <c r="W3010" s="64"/>
      <c r="X3010" s="330"/>
      <c r="Y3010" s="330"/>
      <c r="Z3010" s="330"/>
      <c r="AA3010" s="223"/>
    </row>
    <row r="3011">
      <c r="A3011" s="42">
        <f t="shared" si="3"/>
        <v>3010</v>
      </c>
      <c r="B3011" s="53"/>
      <c r="C3011" s="53"/>
      <c r="D3011" s="42"/>
      <c r="E3011" s="42"/>
      <c r="F3011" s="53"/>
      <c r="G3011" s="53"/>
      <c r="H3011" s="53"/>
      <c r="I3011" s="53"/>
      <c r="J3011" s="53"/>
      <c r="K3011" s="53"/>
      <c r="L3011" s="53"/>
      <c r="M3011" s="53"/>
      <c r="N3011" s="62"/>
      <c r="O3011" s="62"/>
      <c r="P3011" s="62"/>
      <c r="Q3011" s="62"/>
      <c r="R3011" s="53"/>
      <c r="S3011" s="53"/>
      <c r="T3011" s="82"/>
      <c r="U3011" s="42"/>
      <c r="V3011" s="62"/>
      <c r="W3011" s="64"/>
      <c r="X3011" s="330"/>
      <c r="Y3011" s="330"/>
      <c r="Z3011" s="330"/>
      <c r="AA3011" s="223"/>
    </row>
    <row r="3012">
      <c r="A3012" s="42">
        <f t="shared" si="3"/>
        <v>3011</v>
      </c>
      <c r="B3012" s="53"/>
      <c r="C3012" s="53"/>
      <c r="D3012" s="42"/>
      <c r="E3012" s="42"/>
      <c r="F3012" s="53"/>
      <c r="G3012" s="53"/>
      <c r="H3012" s="53"/>
      <c r="I3012" s="53"/>
      <c r="J3012" s="53"/>
      <c r="K3012" s="53"/>
      <c r="L3012" s="53"/>
      <c r="M3012" s="53"/>
      <c r="N3012" s="62"/>
      <c r="O3012" s="62"/>
      <c r="P3012" s="62"/>
      <c r="Q3012" s="62"/>
      <c r="R3012" s="53"/>
      <c r="S3012" s="53"/>
      <c r="T3012" s="82"/>
      <c r="U3012" s="42"/>
      <c r="V3012" s="62"/>
      <c r="W3012" s="64"/>
      <c r="X3012" s="330"/>
      <c r="Y3012" s="330"/>
      <c r="Z3012" s="330"/>
      <c r="AA3012" s="223"/>
    </row>
    <row r="3013">
      <c r="A3013" s="42">
        <f t="shared" si="3"/>
        <v>3012</v>
      </c>
      <c r="B3013" s="53"/>
      <c r="C3013" s="53"/>
      <c r="D3013" s="42"/>
      <c r="E3013" s="42"/>
      <c r="F3013" s="53"/>
      <c r="G3013" s="53"/>
      <c r="H3013" s="53"/>
      <c r="I3013" s="53"/>
      <c r="J3013" s="53"/>
      <c r="K3013" s="53"/>
      <c r="L3013" s="53"/>
      <c r="M3013" s="53"/>
      <c r="N3013" s="62"/>
      <c r="O3013" s="62"/>
      <c r="P3013" s="62"/>
      <c r="Q3013" s="62"/>
      <c r="R3013" s="53"/>
      <c r="S3013" s="53"/>
      <c r="T3013" s="82"/>
      <c r="U3013" s="42"/>
      <c r="V3013" s="62"/>
      <c r="W3013" s="64"/>
      <c r="X3013" s="330"/>
      <c r="Y3013" s="330"/>
      <c r="Z3013" s="330"/>
      <c r="AA3013" s="223"/>
    </row>
    <row r="3014">
      <c r="A3014" s="42">
        <f t="shared" si="3"/>
        <v>3013</v>
      </c>
      <c r="B3014" s="53"/>
      <c r="C3014" s="53"/>
      <c r="D3014" s="42"/>
      <c r="E3014" s="42"/>
      <c r="F3014" s="53"/>
      <c r="G3014" s="53"/>
      <c r="H3014" s="53"/>
      <c r="I3014" s="53"/>
      <c r="J3014" s="53"/>
      <c r="K3014" s="53"/>
      <c r="L3014" s="53"/>
      <c r="M3014" s="53"/>
      <c r="N3014" s="62"/>
      <c r="O3014" s="62"/>
      <c r="P3014" s="62"/>
      <c r="Q3014" s="62"/>
      <c r="R3014" s="53"/>
      <c r="S3014" s="53"/>
      <c r="T3014" s="82"/>
      <c r="U3014" s="42"/>
      <c r="V3014" s="62"/>
      <c r="W3014" s="64"/>
      <c r="X3014" s="330"/>
      <c r="Y3014" s="330"/>
      <c r="Z3014" s="330"/>
      <c r="AA3014" s="223"/>
    </row>
    <row r="3015">
      <c r="A3015" s="42">
        <f t="shared" si="3"/>
        <v>3014</v>
      </c>
      <c r="B3015" s="53"/>
      <c r="C3015" s="53"/>
      <c r="D3015" s="42"/>
      <c r="E3015" s="42"/>
      <c r="F3015" s="53"/>
      <c r="G3015" s="53"/>
      <c r="H3015" s="53"/>
      <c r="I3015" s="53"/>
      <c r="J3015" s="53"/>
      <c r="K3015" s="53"/>
      <c r="L3015" s="53"/>
      <c r="M3015" s="53"/>
      <c r="N3015" s="62"/>
      <c r="O3015" s="62"/>
      <c r="P3015" s="62"/>
      <c r="Q3015" s="62"/>
      <c r="R3015" s="53"/>
      <c r="S3015" s="53"/>
      <c r="T3015" s="82"/>
      <c r="U3015" s="42"/>
      <c r="V3015" s="62"/>
      <c r="W3015" s="64"/>
      <c r="X3015" s="330"/>
      <c r="Y3015" s="330"/>
      <c r="Z3015" s="330"/>
      <c r="AA3015" s="223"/>
    </row>
    <row r="3016">
      <c r="A3016" s="42">
        <f t="shared" si="3"/>
        <v>3015</v>
      </c>
      <c r="B3016" s="53"/>
      <c r="C3016" s="53"/>
      <c r="D3016" s="42"/>
      <c r="E3016" s="42"/>
      <c r="F3016" s="53"/>
      <c r="G3016" s="53"/>
      <c r="H3016" s="53"/>
      <c r="I3016" s="53"/>
      <c r="J3016" s="53"/>
      <c r="K3016" s="53"/>
      <c r="L3016" s="53"/>
      <c r="M3016" s="53"/>
      <c r="N3016" s="62"/>
      <c r="O3016" s="62"/>
      <c r="P3016" s="62"/>
      <c r="Q3016" s="62"/>
      <c r="R3016" s="53"/>
      <c r="S3016" s="53"/>
      <c r="T3016" s="82"/>
      <c r="U3016" s="42"/>
      <c r="V3016" s="62"/>
      <c r="W3016" s="64"/>
      <c r="X3016" s="330"/>
      <c r="Y3016" s="330"/>
      <c r="Z3016" s="330"/>
      <c r="AA3016" s="223"/>
    </row>
    <row r="3017">
      <c r="A3017" s="42">
        <f t="shared" si="3"/>
        <v>3016</v>
      </c>
      <c r="B3017" s="53"/>
      <c r="C3017" s="53"/>
      <c r="D3017" s="42"/>
      <c r="E3017" s="42"/>
      <c r="F3017" s="53"/>
      <c r="G3017" s="53"/>
      <c r="H3017" s="53"/>
      <c r="I3017" s="53"/>
      <c r="J3017" s="53"/>
      <c r="K3017" s="53"/>
      <c r="L3017" s="53"/>
      <c r="M3017" s="53"/>
      <c r="N3017" s="62"/>
      <c r="O3017" s="62"/>
      <c r="P3017" s="62"/>
      <c r="Q3017" s="62"/>
      <c r="R3017" s="53"/>
      <c r="S3017" s="53"/>
      <c r="T3017" s="82"/>
      <c r="U3017" s="42"/>
      <c r="V3017" s="62"/>
      <c r="W3017" s="64"/>
      <c r="X3017" s="330"/>
      <c r="Y3017" s="330"/>
      <c r="Z3017" s="330"/>
      <c r="AA3017" s="223"/>
    </row>
    <row r="3018">
      <c r="A3018" s="42">
        <f t="shared" si="3"/>
        <v>3017</v>
      </c>
      <c r="B3018" s="53"/>
      <c r="C3018" s="53"/>
      <c r="D3018" s="42"/>
      <c r="E3018" s="42"/>
      <c r="F3018" s="53"/>
      <c r="G3018" s="53"/>
      <c r="H3018" s="53"/>
      <c r="I3018" s="53"/>
      <c r="J3018" s="53"/>
      <c r="K3018" s="53"/>
      <c r="L3018" s="53"/>
      <c r="M3018" s="53"/>
      <c r="N3018" s="62"/>
      <c r="O3018" s="62"/>
      <c r="P3018" s="62"/>
      <c r="Q3018" s="62"/>
      <c r="R3018" s="53"/>
      <c r="S3018" s="53"/>
      <c r="T3018" s="82"/>
      <c r="U3018" s="42"/>
      <c r="V3018" s="62"/>
      <c r="W3018" s="64"/>
      <c r="X3018" s="330"/>
      <c r="Y3018" s="330"/>
      <c r="Z3018" s="330"/>
      <c r="AA3018" s="223"/>
    </row>
    <row r="3019">
      <c r="A3019" s="42">
        <f t="shared" si="3"/>
        <v>3018</v>
      </c>
      <c r="B3019" s="53"/>
      <c r="C3019" s="53"/>
      <c r="D3019" s="42"/>
      <c r="E3019" s="42"/>
      <c r="F3019" s="53"/>
      <c r="G3019" s="53"/>
      <c r="H3019" s="53"/>
      <c r="I3019" s="53"/>
      <c r="J3019" s="53"/>
      <c r="K3019" s="53"/>
      <c r="L3019" s="53"/>
      <c r="M3019" s="53"/>
      <c r="N3019" s="62"/>
      <c r="O3019" s="62"/>
      <c r="P3019" s="62"/>
      <c r="Q3019" s="62"/>
      <c r="R3019" s="53"/>
      <c r="S3019" s="53"/>
      <c r="T3019" s="82"/>
      <c r="U3019" s="42"/>
      <c r="V3019" s="62"/>
      <c r="W3019" s="64"/>
      <c r="X3019" s="330"/>
      <c r="Y3019" s="330"/>
      <c r="Z3019" s="330"/>
      <c r="AA3019" s="223"/>
    </row>
    <row r="3020">
      <c r="A3020" s="42">
        <f t="shared" si="3"/>
        <v>3019</v>
      </c>
      <c r="B3020" s="53"/>
      <c r="C3020" s="53"/>
      <c r="D3020" s="42"/>
      <c r="E3020" s="42"/>
      <c r="F3020" s="53"/>
      <c r="G3020" s="53"/>
      <c r="H3020" s="53"/>
      <c r="I3020" s="53"/>
      <c r="J3020" s="53"/>
      <c r="K3020" s="53"/>
      <c r="L3020" s="53"/>
      <c r="M3020" s="53"/>
      <c r="N3020" s="62"/>
      <c r="O3020" s="62"/>
      <c r="P3020" s="62"/>
      <c r="Q3020" s="62"/>
      <c r="R3020" s="53"/>
      <c r="S3020" s="53"/>
      <c r="T3020" s="82"/>
      <c r="U3020" s="42"/>
      <c r="V3020" s="62"/>
      <c r="W3020" s="64"/>
      <c r="X3020" s="330"/>
      <c r="Y3020" s="330"/>
      <c r="Z3020" s="330"/>
      <c r="AA3020" s="223"/>
    </row>
    <row r="3021">
      <c r="A3021" s="42">
        <f t="shared" si="3"/>
        <v>3020</v>
      </c>
      <c r="B3021" s="53"/>
      <c r="C3021" s="53"/>
      <c r="D3021" s="42"/>
      <c r="E3021" s="42"/>
      <c r="F3021" s="53"/>
      <c r="G3021" s="53"/>
      <c r="H3021" s="53"/>
      <c r="I3021" s="53"/>
      <c r="J3021" s="53"/>
      <c r="K3021" s="53"/>
      <c r="L3021" s="53"/>
      <c r="M3021" s="53"/>
      <c r="N3021" s="62"/>
      <c r="O3021" s="62"/>
      <c r="P3021" s="62"/>
      <c r="Q3021" s="62"/>
      <c r="R3021" s="53"/>
      <c r="S3021" s="53"/>
      <c r="T3021" s="82"/>
      <c r="U3021" s="42"/>
      <c r="V3021" s="62"/>
      <c r="W3021" s="64"/>
      <c r="X3021" s="330"/>
      <c r="Y3021" s="330"/>
      <c r="Z3021" s="330"/>
      <c r="AA3021" s="223"/>
    </row>
    <row r="3022">
      <c r="A3022" s="42">
        <f t="shared" si="3"/>
        <v>3021</v>
      </c>
      <c r="B3022" s="53"/>
      <c r="C3022" s="53"/>
      <c r="D3022" s="42"/>
      <c r="E3022" s="42"/>
      <c r="F3022" s="53"/>
      <c r="G3022" s="53"/>
      <c r="H3022" s="53"/>
      <c r="I3022" s="53"/>
      <c r="J3022" s="53"/>
      <c r="K3022" s="53"/>
      <c r="L3022" s="53"/>
      <c r="M3022" s="53"/>
      <c r="N3022" s="62"/>
      <c r="O3022" s="62"/>
      <c r="P3022" s="62"/>
      <c r="Q3022" s="62"/>
      <c r="R3022" s="53"/>
      <c r="S3022" s="53"/>
      <c r="T3022" s="82"/>
      <c r="U3022" s="42"/>
      <c r="V3022" s="62"/>
      <c r="W3022" s="64"/>
      <c r="X3022" s="330"/>
      <c r="Y3022" s="330"/>
      <c r="Z3022" s="330"/>
      <c r="AA3022" s="223"/>
    </row>
    <row r="3023">
      <c r="A3023" s="42">
        <f t="shared" si="3"/>
        <v>3022</v>
      </c>
      <c r="B3023" s="53"/>
      <c r="C3023" s="53"/>
      <c r="D3023" s="42"/>
      <c r="E3023" s="42"/>
      <c r="F3023" s="53"/>
      <c r="G3023" s="53"/>
      <c r="H3023" s="53"/>
      <c r="I3023" s="53"/>
      <c r="J3023" s="53"/>
      <c r="K3023" s="53"/>
      <c r="L3023" s="53"/>
      <c r="M3023" s="53"/>
      <c r="N3023" s="62"/>
      <c r="O3023" s="62"/>
      <c r="P3023" s="62"/>
      <c r="Q3023" s="62"/>
      <c r="R3023" s="53"/>
      <c r="S3023" s="53"/>
      <c r="T3023" s="82"/>
      <c r="U3023" s="42"/>
      <c r="V3023" s="62"/>
      <c r="W3023" s="64"/>
      <c r="X3023" s="330"/>
      <c r="Y3023" s="330"/>
      <c r="Z3023" s="330"/>
      <c r="AA3023" s="223"/>
    </row>
    <row r="3024">
      <c r="A3024" s="42">
        <f t="shared" si="3"/>
        <v>3023</v>
      </c>
      <c r="B3024" s="53"/>
      <c r="C3024" s="53"/>
      <c r="D3024" s="42"/>
      <c r="E3024" s="42"/>
      <c r="F3024" s="53"/>
      <c r="G3024" s="53"/>
      <c r="H3024" s="53"/>
      <c r="I3024" s="53"/>
      <c r="J3024" s="53"/>
      <c r="K3024" s="53"/>
      <c r="L3024" s="53"/>
      <c r="M3024" s="53"/>
      <c r="N3024" s="62"/>
      <c r="O3024" s="62"/>
      <c r="P3024" s="62"/>
      <c r="Q3024" s="62"/>
      <c r="R3024" s="53"/>
      <c r="S3024" s="53"/>
      <c r="T3024" s="82"/>
      <c r="U3024" s="42"/>
      <c r="V3024" s="62"/>
      <c r="W3024" s="64"/>
      <c r="X3024" s="330"/>
      <c r="Y3024" s="330"/>
      <c r="Z3024" s="330"/>
      <c r="AA3024" s="223"/>
    </row>
    <row r="3025">
      <c r="A3025" s="42">
        <f t="shared" si="3"/>
        <v>3024</v>
      </c>
      <c r="B3025" s="53"/>
      <c r="C3025" s="53"/>
      <c r="D3025" s="42"/>
      <c r="E3025" s="42"/>
      <c r="F3025" s="53"/>
      <c r="G3025" s="53"/>
      <c r="H3025" s="53"/>
      <c r="I3025" s="53"/>
      <c r="J3025" s="53"/>
      <c r="K3025" s="53"/>
      <c r="L3025" s="53"/>
      <c r="M3025" s="53"/>
      <c r="N3025" s="62"/>
      <c r="O3025" s="62"/>
      <c r="P3025" s="62"/>
      <c r="Q3025" s="62"/>
      <c r="R3025" s="53"/>
      <c r="S3025" s="53"/>
      <c r="T3025" s="82"/>
      <c r="U3025" s="42"/>
      <c r="V3025" s="62"/>
      <c r="W3025" s="64"/>
      <c r="X3025" s="330"/>
      <c r="Y3025" s="330"/>
      <c r="Z3025" s="330"/>
      <c r="AA3025" s="223"/>
    </row>
    <row r="3026">
      <c r="A3026" s="42">
        <f t="shared" si="3"/>
        <v>3025</v>
      </c>
      <c r="B3026" s="53"/>
      <c r="C3026" s="53"/>
      <c r="D3026" s="42"/>
      <c r="E3026" s="42"/>
      <c r="F3026" s="53"/>
      <c r="G3026" s="53"/>
      <c r="H3026" s="53"/>
      <c r="I3026" s="53"/>
      <c r="J3026" s="53"/>
      <c r="K3026" s="53"/>
      <c r="L3026" s="53"/>
      <c r="M3026" s="53"/>
      <c r="N3026" s="62"/>
      <c r="O3026" s="62"/>
      <c r="P3026" s="62"/>
      <c r="Q3026" s="62"/>
      <c r="R3026" s="53"/>
      <c r="S3026" s="53"/>
      <c r="T3026" s="82"/>
      <c r="U3026" s="42"/>
      <c r="V3026" s="62"/>
      <c r="W3026" s="64"/>
      <c r="X3026" s="330"/>
      <c r="Y3026" s="330"/>
      <c r="Z3026" s="330"/>
      <c r="AA3026" s="223"/>
    </row>
    <row r="3027">
      <c r="A3027" s="42">
        <f t="shared" si="3"/>
        <v>3026</v>
      </c>
      <c r="B3027" s="53"/>
      <c r="C3027" s="53"/>
      <c r="D3027" s="42"/>
      <c r="E3027" s="42"/>
      <c r="F3027" s="53"/>
      <c r="G3027" s="53"/>
      <c r="H3027" s="53"/>
      <c r="I3027" s="53"/>
      <c r="J3027" s="53"/>
      <c r="K3027" s="53"/>
      <c r="L3027" s="53"/>
      <c r="M3027" s="53"/>
      <c r="N3027" s="62"/>
      <c r="O3027" s="62"/>
      <c r="P3027" s="62"/>
      <c r="Q3027" s="62"/>
      <c r="R3027" s="53"/>
      <c r="S3027" s="53"/>
      <c r="T3027" s="82"/>
      <c r="U3027" s="42"/>
      <c r="V3027" s="62"/>
      <c r="W3027" s="64"/>
      <c r="X3027" s="330"/>
      <c r="Y3027" s="330"/>
      <c r="Z3027" s="330"/>
      <c r="AA3027" s="223"/>
    </row>
    <row r="3028">
      <c r="A3028" s="42">
        <f t="shared" si="3"/>
        <v>3027</v>
      </c>
      <c r="B3028" s="53"/>
      <c r="C3028" s="53"/>
      <c r="D3028" s="42"/>
      <c r="E3028" s="42"/>
      <c r="F3028" s="53"/>
      <c r="G3028" s="53"/>
      <c r="H3028" s="53"/>
      <c r="I3028" s="53"/>
      <c r="J3028" s="53"/>
      <c r="K3028" s="53"/>
      <c r="L3028" s="53"/>
      <c r="M3028" s="53"/>
      <c r="N3028" s="62"/>
      <c r="O3028" s="62"/>
      <c r="P3028" s="62"/>
      <c r="Q3028" s="62"/>
      <c r="R3028" s="53"/>
      <c r="S3028" s="53"/>
      <c r="T3028" s="82"/>
      <c r="U3028" s="42"/>
      <c r="V3028" s="62"/>
      <c r="W3028" s="64"/>
      <c r="X3028" s="330"/>
      <c r="Y3028" s="330"/>
      <c r="Z3028" s="330"/>
      <c r="AA3028" s="223"/>
    </row>
    <row r="3029">
      <c r="A3029" s="42">
        <f t="shared" si="3"/>
        <v>3028</v>
      </c>
      <c r="B3029" s="53"/>
      <c r="C3029" s="53"/>
      <c r="D3029" s="42"/>
      <c r="E3029" s="42"/>
      <c r="F3029" s="53"/>
      <c r="G3029" s="53"/>
      <c r="H3029" s="53"/>
      <c r="I3029" s="53"/>
      <c r="J3029" s="53"/>
      <c r="K3029" s="53"/>
      <c r="L3029" s="53"/>
      <c r="M3029" s="53"/>
      <c r="N3029" s="62"/>
      <c r="O3029" s="62"/>
      <c r="P3029" s="62"/>
      <c r="Q3029" s="62"/>
      <c r="R3029" s="53"/>
      <c r="S3029" s="53"/>
      <c r="T3029" s="82"/>
      <c r="U3029" s="42"/>
      <c r="V3029" s="62"/>
      <c r="W3029" s="64"/>
      <c r="X3029" s="330"/>
      <c r="Y3029" s="330"/>
      <c r="Z3029" s="330"/>
      <c r="AA3029" s="223"/>
    </row>
    <row r="3030">
      <c r="A3030" s="42">
        <f t="shared" si="3"/>
        <v>3029</v>
      </c>
      <c r="B3030" s="53"/>
      <c r="C3030" s="53"/>
      <c r="D3030" s="42"/>
      <c r="E3030" s="42"/>
      <c r="F3030" s="53"/>
      <c r="G3030" s="53"/>
      <c r="H3030" s="53"/>
      <c r="I3030" s="53"/>
      <c r="J3030" s="53"/>
      <c r="K3030" s="53"/>
      <c r="L3030" s="53"/>
      <c r="M3030" s="53"/>
      <c r="N3030" s="62"/>
      <c r="O3030" s="62"/>
      <c r="P3030" s="62"/>
      <c r="Q3030" s="62"/>
      <c r="R3030" s="53"/>
      <c r="S3030" s="53"/>
      <c r="T3030" s="82"/>
      <c r="U3030" s="42"/>
      <c r="V3030" s="62"/>
      <c r="W3030" s="64"/>
      <c r="X3030" s="330"/>
      <c r="Y3030" s="330"/>
      <c r="Z3030" s="330"/>
      <c r="AA3030" s="223"/>
    </row>
    <row r="3031">
      <c r="A3031" s="42">
        <f t="shared" si="3"/>
        <v>3030</v>
      </c>
      <c r="B3031" s="53"/>
      <c r="C3031" s="53"/>
      <c r="D3031" s="42"/>
      <c r="E3031" s="42"/>
      <c r="F3031" s="53"/>
      <c r="G3031" s="53"/>
      <c r="H3031" s="53"/>
      <c r="I3031" s="53"/>
      <c r="J3031" s="53"/>
      <c r="K3031" s="53"/>
      <c r="L3031" s="53"/>
      <c r="M3031" s="53"/>
      <c r="N3031" s="62"/>
      <c r="O3031" s="62"/>
      <c r="P3031" s="62"/>
      <c r="Q3031" s="62"/>
      <c r="R3031" s="53"/>
      <c r="S3031" s="53"/>
      <c r="T3031" s="82"/>
      <c r="U3031" s="42"/>
      <c r="V3031" s="62"/>
      <c r="W3031" s="64"/>
      <c r="X3031" s="330"/>
      <c r="Y3031" s="330"/>
      <c r="Z3031" s="330"/>
      <c r="AA3031" s="223"/>
    </row>
    <row r="3032">
      <c r="A3032" s="42">
        <f t="shared" si="3"/>
        <v>3031</v>
      </c>
      <c r="B3032" s="53"/>
      <c r="C3032" s="53"/>
      <c r="D3032" s="42"/>
      <c r="E3032" s="42"/>
      <c r="F3032" s="53"/>
      <c r="G3032" s="53"/>
      <c r="H3032" s="53"/>
      <c r="I3032" s="53"/>
      <c r="J3032" s="53"/>
      <c r="K3032" s="53"/>
      <c r="L3032" s="53"/>
      <c r="M3032" s="53"/>
      <c r="N3032" s="62"/>
      <c r="O3032" s="62"/>
      <c r="P3032" s="62"/>
      <c r="Q3032" s="62"/>
      <c r="R3032" s="53"/>
      <c r="S3032" s="53"/>
      <c r="T3032" s="82"/>
      <c r="U3032" s="42"/>
      <c r="V3032" s="62"/>
      <c r="W3032" s="64"/>
      <c r="X3032" s="330"/>
      <c r="Y3032" s="330"/>
      <c r="Z3032" s="330"/>
      <c r="AA3032" s="223"/>
    </row>
    <row r="3033">
      <c r="A3033" s="42">
        <f t="shared" si="3"/>
        <v>3032</v>
      </c>
      <c r="B3033" s="53"/>
      <c r="C3033" s="53"/>
      <c r="D3033" s="42"/>
      <c r="E3033" s="42"/>
      <c r="F3033" s="53"/>
      <c r="G3033" s="53"/>
      <c r="H3033" s="53"/>
      <c r="I3033" s="53"/>
      <c r="J3033" s="53"/>
      <c r="K3033" s="53"/>
      <c r="L3033" s="53"/>
      <c r="M3033" s="53"/>
      <c r="N3033" s="62"/>
      <c r="O3033" s="62"/>
      <c r="P3033" s="62"/>
      <c r="Q3033" s="62"/>
      <c r="R3033" s="53"/>
      <c r="S3033" s="53"/>
      <c r="T3033" s="82"/>
      <c r="U3033" s="42"/>
      <c r="V3033" s="62"/>
      <c r="W3033" s="64"/>
      <c r="X3033" s="330"/>
      <c r="Y3033" s="330"/>
      <c r="Z3033" s="330"/>
      <c r="AA3033" s="223"/>
    </row>
    <row r="3034">
      <c r="A3034" s="42">
        <f t="shared" si="3"/>
        <v>3033</v>
      </c>
      <c r="B3034" s="53"/>
      <c r="C3034" s="53"/>
      <c r="D3034" s="42"/>
      <c r="E3034" s="42"/>
      <c r="F3034" s="53"/>
      <c r="G3034" s="53"/>
      <c r="H3034" s="53"/>
      <c r="I3034" s="53"/>
      <c r="J3034" s="53"/>
      <c r="K3034" s="53"/>
      <c r="L3034" s="53"/>
      <c r="M3034" s="53"/>
      <c r="N3034" s="62"/>
      <c r="O3034" s="62"/>
      <c r="P3034" s="62"/>
      <c r="Q3034" s="62"/>
      <c r="R3034" s="53"/>
      <c r="S3034" s="53"/>
      <c r="T3034" s="82"/>
      <c r="U3034" s="42"/>
      <c r="V3034" s="62"/>
      <c r="W3034" s="64"/>
      <c r="X3034" s="330"/>
      <c r="Y3034" s="330"/>
      <c r="Z3034" s="330"/>
      <c r="AA3034" s="223"/>
    </row>
    <row r="3035">
      <c r="A3035" s="42">
        <f t="shared" si="3"/>
        <v>3034</v>
      </c>
      <c r="B3035" s="53"/>
      <c r="C3035" s="53"/>
      <c r="D3035" s="42"/>
      <c r="E3035" s="42"/>
      <c r="F3035" s="53"/>
      <c r="G3035" s="53"/>
      <c r="H3035" s="53"/>
      <c r="I3035" s="53"/>
      <c r="J3035" s="53"/>
      <c r="K3035" s="53"/>
      <c r="L3035" s="53"/>
      <c r="M3035" s="53"/>
      <c r="N3035" s="62"/>
      <c r="O3035" s="62"/>
      <c r="P3035" s="62"/>
      <c r="Q3035" s="62"/>
      <c r="R3035" s="53"/>
      <c r="S3035" s="53"/>
      <c r="T3035" s="82"/>
      <c r="U3035" s="42"/>
      <c r="V3035" s="62"/>
      <c r="W3035" s="64"/>
      <c r="X3035" s="330"/>
      <c r="Y3035" s="330"/>
      <c r="Z3035" s="330"/>
      <c r="AA3035" s="223"/>
    </row>
    <row r="3036">
      <c r="A3036" s="42">
        <f t="shared" si="3"/>
        <v>3035</v>
      </c>
      <c r="B3036" s="53"/>
      <c r="C3036" s="53"/>
      <c r="D3036" s="42"/>
      <c r="E3036" s="42"/>
      <c r="F3036" s="53"/>
      <c r="G3036" s="53"/>
      <c r="H3036" s="53"/>
      <c r="I3036" s="53"/>
      <c r="J3036" s="53"/>
      <c r="K3036" s="53"/>
      <c r="L3036" s="53"/>
      <c r="M3036" s="53"/>
      <c r="N3036" s="62"/>
      <c r="O3036" s="62"/>
      <c r="P3036" s="62"/>
      <c r="Q3036" s="62"/>
      <c r="R3036" s="53"/>
      <c r="S3036" s="53"/>
      <c r="T3036" s="82"/>
      <c r="U3036" s="42"/>
      <c r="V3036" s="62"/>
      <c r="W3036" s="64"/>
      <c r="X3036" s="330"/>
      <c r="Y3036" s="330"/>
      <c r="Z3036" s="330"/>
      <c r="AA3036" s="223"/>
    </row>
    <row r="3037">
      <c r="A3037" s="42">
        <f t="shared" si="3"/>
        <v>3036</v>
      </c>
      <c r="B3037" s="53"/>
      <c r="C3037" s="53"/>
      <c r="D3037" s="42"/>
      <c r="E3037" s="42"/>
      <c r="F3037" s="53"/>
      <c r="G3037" s="53"/>
      <c r="H3037" s="53"/>
      <c r="I3037" s="53"/>
      <c r="J3037" s="53"/>
      <c r="K3037" s="53"/>
      <c r="L3037" s="53"/>
      <c r="M3037" s="53"/>
      <c r="N3037" s="62"/>
      <c r="O3037" s="62"/>
      <c r="P3037" s="62"/>
      <c r="Q3037" s="62"/>
      <c r="R3037" s="53"/>
      <c r="S3037" s="53"/>
      <c r="T3037" s="82"/>
      <c r="U3037" s="42"/>
      <c r="V3037" s="62"/>
      <c r="W3037" s="64"/>
      <c r="X3037" s="330"/>
      <c r="Y3037" s="330"/>
      <c r="Z3037" s="330"/>
      <c r="AA3037" s="223"/>
    </row>
    <row r="3038">
      <c r="A3038" s="42">
        <f t="shared" si="3"/>
        <v>3037</v>
      </c>
      <c r="B3038" s="53"/>
      <c r="C3038" s="53"/>
      <c r="D3038" s="42"/>
      <c r="E3038" s="42"/>
      <c r="F3038" s="53"/>
      <c r="G3038" s="53"/>
      <c r="H3038" s="53"/>
      <c r="I3038" s="53"/>
      <c r="J3038" s="53"/>
      <c r="K3038" s="53"/>
      <c r="L3038" s="53"/>
      <c r="M3038" s="53"/>
      <c r="N3038" s="62"/>
      <c r="O3038" s="62"/>
      <c r="P3038" s="62"/>
      <c r="Q3038" s="62"/>
      <c r="R3038" s="53"/>
      <c r="S3038" s="53"/>
      <c r="T3038" s="82"/>
      <c r="U3038" s="42"/>
      <c r="V3038" s="62"/>
      <c r="W3038" s="64"/>
      <c r="X3038" s="330"/>
      <c r="Y3038" s="330"/>
      <c r="Z3038" s="330"/>
      <c r="AA3038" s="223"/>
    </row>
    <row r="3039">
      <c r="A3039" s="42">
        <f t="shared" si="3"/>
        <v>3038</v>
      </c>
      <c r="B3039" s="53"/>
      <c r="C3039" s="53"/>
      <c r="D3039" s="42"/>
      <c r="E3039" s="42"/>
      <c r="F3039" s="53"/>
      <c r="G3039" s="53"/>
      <c r="H3039" s="53"/>
      <c r="I3039" s="53"/>
      <c r="J3039" s="53"/>
      <c r="K3039" s="53"/>
      <c r="L3039" s="53"/>
      <c r="M3039" s="53"/>
      <c r="N3039" s="62"/>
      <c r="O3039" s="62"/>
      <c r="P3039" s="62"/>
      <c r="Q3039" s="62"/>
      <c r="R3039" s="53"/>
      <c r="S3039" s="53"/>
      <c r="T3039" s="82"/>
      <c r="U3039" s="42"/>
      <c r="V3039" s="62"/>
      <c r="W3039" s="64"/>
      <c r="X3039" s="330"/>
      <c r="Y3039" s="330"/>
      <c r="Z3039" s="330"/>
      <c r="AA3039" s="223"/>
    </row>
    <row r="3040">
      <c r="A3040" s="42">
        <f t="shared" si="3"/>
        <v>3039</v>
      </c>
      <c r="B3040" s="53"/>
      <c r="C3040" s="53"/>
      <c r="D3040" s="42"/>
      <c r="E3040" s="42"/>
      <c r="F3040" s="53"/>
      <c r="G3040" s="53"/>
      <c r="H3040" s="53"/>
      <c r="I3040" s="53"/>
      <c r="J3040" s="53"/>
      <c r="K3040" s="53"/>
      <c r="L3040" s="53"/>
      <c r="M3040" s="53"/>
      <c r="N3040" s="62"/>
      <c r="O3040" s="62"/>
      <c r="P3040" s="62"/>
      <c r="Q3040" s="62"/>
      <c r="R3040" s="53"/>
      <c r="S3040" s="53"/>
      <c r="T3040" s="82"/>
      <c r="U3040" s="42"/>
      <c r="V3040" s="62"/>
      <c r="W3040" s="64"/>
      <c r="X3040" s="330"/>
      <c r="Y3040" s="330"/>
      <c r="Z3040" s="330"/>
      <c r="AA3040" s="223"/>
    </row>
    <row r="3041">
      <c r="A3041" s="42">
        <f t="shared" si="3"/>
        <v>3040</v>
      </c>
      <c r="B3041" s="53"/>
      <c r="C3041" s="53"/>
      <c r="D3041" s="42"/>
      <c r="E3041" s="42"/>
      <c r="F3041" s="53"/>
      <c r="G3041" s="53"/>
      <c r="H3041" s="53"/>
      <c r="I3041" s="53"/>
      <c r="J3041" s="53"/>
      <c r="K3041" s="53"/>
      <c r="L3041" s="53"/>
      <c r="M3041" s="53"/>
      <c r="N3041" s="62"/>
      <c r="O3041" s="62"/>
      <c r="P3041" s="62"/>
      <c r="Q3041" s="62"/>
      <c r="R3041" s="53"/>
      <c r="S3041" s="53"/>
      <c r="T3041" s="82"/>
      <c r="U3041" s="42"/>
      <c r="V3041" s="62"/>
      <c r="W3041" s="64"/>
      <c r="X3041" s="330"/>
      <c r="Y3041" s="330"/>
      <c r="Z3041" s="330"/>
      <c r="AA3041" s="223"/>
    </row>
    <row r="3042">
      <c r="A3042" s="42">
        <f t="shared" si="3"/>
        <v>3041</v>
      </c>
      <c r="B3042" s="53"/>
      <c r="C3042" s="53"/>
      <c r="D3042" s="42"/>
      <c r="E3042" s="42"/>
      <c r="F3042" s="53"/>
      <c r="G3042" s="53"/>
      <c r="H3042" s="53"/>
      <c r="I3042" s="53"/>
      <c r="J3042" s="53"/>
      <c r="K3042" s="53"/>
      <c r="L3042" s="53"/>
      <c r="M3042" s="53"/>
      <c r="N3042" s="62"/>
      <c r="O3042" s="62"/>
      <c r="P3042" s="62"/>
      <c r="Q3042" s="62"/>
      <c r="R3042" s="53"/>
      <c r="S3042" s="53"/>
      <c r="T3042" s="82"/>
      <c r="U3042" s="42"/>
      <c r="V3042" s="62"/>
      <c r="W3042" s="64"/>
      <c r="X3042" s="330"/>
      <c r="Y3042" s="330"/>
      <c r="Z3042" s="330"/>
      <c r="AA3042" s="223"/>
    </row>
    <row r="3043">
      <c r="A3043" s="42">
        <f t="shared" si="3"/>
        <v>3042</v>
      </c>
      <c r="B3043" s="53"/>
      <c r="C3043" s="53"/>
      <c r="D3043" s="42"/>
      <c r="E3043" s="42"/>
      <c r="F3043" s="53"/>
      <c r="G3043" s="53"/>
      <c r="H3043" s="53"/>
      <c r="I3043" s="53"/>
      <c r="J3043" s="53"/>
      <c r="K3043" s="53"/>
      <c r="L3043" s="53"/>
      <c r="M3043" s="53"/>
      <c r="N3043" s="62"/>
      <c r="O3043" s="62"/>
      <c r="P3043" s="62"/>
      <c r="Q3043" s="62"/>
      <c r="R3043" s="53"/>
      <c r="S3043" s="53"/>
      <c r="T3043" s="82"/>
      <c r="U3043" s="42"/>
      <c r="V3043" s="62"/>
      <c r="W3043" s="64"/>
      <c r="X3043" s="330"/>
      <c r="Y3043" s="330"/>
      <c r="Z3043" s="330"/>
      <c r="AA3043" s="223"/>
    </row>
    <row r="3044">
      <c r="A3044" s="42">
        <f t="shared" si="3"/>
        <v>3043</v>
      </c>
      <c r="B3044" s="53"/>
      <c r="C3044" s="53"/>
      <c r="D3044" s="42"/>
      <c r="E3044" s="42"/>
      <c r="F3044" s="53"/>
      <c r="G3044" s="53"/>
      <c r="H3044" s="53"/>
      <c r="I3044" s="53"/>
      <c r="J3044" s="53"/>
      <c r="K3044" s="53"/>
      <c r="L3044" s="53"/>
      <c r="M3044" s="53"/>
      <c r="N3044" s="62"/>
      <c r="O3044" s="62"/>
      <c r="P3044" s="62"/>
      <c r="Q3044" s="62"/>
      <c r="R3044" s="53"/>
      <c r="S3044" s="53"/>
      <c r="T3044" s="82"/>
      <c r="U3044" s="42"/>
      <c r="V3044" s="62"/>
      <c r="W3044" s="64"/>
      <c r="X3044" s="330"/>
      <c r="Y3044" s="330"/>
      <c r="Z3044" s="330"/>
      <c r="AA3044" s="223"/>
    </row>
    <row r="3045">
      <c r="A3045" s="42">
        <f t="shared" si="3"/>
        <v>3044</v>
      </c>
      <c r="B3045" s="53"/>
      <c r="C3045" s="53"/>
      <c r="D3045" s="42"/>
      <c r="E3045" s="42"/>
      <c r="F3045" s="53"/>
      <c r="G3045" s="53"/>
      <c r="H3045" s="53"/>
      <c r="I3045" s="53"/>
      <c r="J3045" s="53"/>
      <c r="K3045" s="53"/>
      <c r="L3045" s="53"/>
      <c r="M3045" s="53"/>
      <c r="N3045" s="62"/>
      <c r="O3045" s="62"/>
      <c r="P3045" s="62"/>
      <c r="Q3045" s="62"/>
      <c r="R3045" s="53"/>
      <c r="S3045" s="53"/>
      <c r="T3045" s="82"/>
      <c r="U3045" s="42"/>
      <c r="V3045" s="62"/>
      <c r="W3045" s="64"/>
      <c r="X3045" s="330"/>
      <c r="Y3045" s="330"/>
      <c r="Z3045" s="330"/>
      <c r="AA3045" s="223"/>
    </row>
    <row r="3046">
      <c r="A3046" s="42">
        <f t="shared" si="3"/>
        <v>3045</v>
      </c>
      <c r="B3046" s="53"/>
      <c r="C3046" s="53"/>
      <c r="D3046" s="42"/>
      <c r="E3046" s="42"/>
      <c r="F3046" s="53"/>
      <c r="G3046" s="53"/>
      <c r="H3046" s="53"/>
      <c r="I3046" s="53"/>
      <c r="J3046" s="53"/>
      <c r="K3046" s="53"/>
      <c r="L3046" s="53"/>
      <c r="M3046" s="53"/>
      <c r="N3046" s="62"/>
      <c r="O3046" s="62"/>
      <c r="P3046" s="62"/>
      <c r="Q3046" s="62"/>
      <c r="R3046" s="53"/>
      <c r="S3046" s="53"/>
      <c r="T3046" s="82"/>
      <c r="U3046" s="42"/>
      <c r="V3046" s="62"/>
      <c r="W3046" s="64"/>
      <c r="X3046" s="330"/>
      <c r="Y3046" s="330"/>
      <c r="Z3046" s="330"/>
      <c r="AA3046" s="223"/>
    </row>
    <row r="3047">
      <c r="A3047" s="42">
        <f t="shared" si="3"/>
        <v>3046</v>
      </c>
      <c r="B3047" s="53"/>
      <c r="C3047" s="53"/>
      <c r="D3047" s="42"/>
      <c r="E3047" s="42"/>
      <c r="F3047" s="53"/>
      <c r="G3047" s="53"/>
      <c r="H3047" s="53"/>
      <c r="I3047" s="53"/>
      <c r="J3047" s="53"/>
      <c r="K3047" s="53"/>
      <c r="L3047" s="53"/>
      <c r="M3047" s="53"/>
      <c r="N3047" s="62"/>
      <c r="O3047" s="62"/>
      <c r="P3047" s="62"/>
      <c r="Q3047" s="62"/>
      <c r="R3047" s="53"/>
      <c r="S3047" s="53"/>
      <c r="T3047" s="82"/>
      <c r="U3047" s="42"/>
      <c r="V3047" s="62"/>
      <c r="W3047" s="64"/>
      <c r="X3047" s="330"/>
      <c r="Y3047" s="330"/>
      <c r="Z3047" s="330"/>
      <c r="AA3047" s="223"/>
    </row>
    <row r="3048">
      <c r="A3048" s="42">
        <f t="shared" si="3"/>
        <v>3047</v>
      </c>
      <c r="B3048" s="53"/>
      <c r="C3048" s="53"/>
      <c r="D3048" s="42"/>
      <c r="E3048" s="42"/>
      <c r="F3048" s="53"/>
      <c r="G3048" s="53"/>
      <c r="H3048" s="53"/>
      <c r="I3048" s="53"/>
      <c r="J3048" s="53"/>
      <c r="K3048" s="53"/>
      <c r="L3048" s="53"/>
      <c r="M3048" s="53"/>
      <c r="N3048" s="62"/>
      <c r="O3048" s="62"/>
      <c r="P3048" s="62"/>
      <c r="Q3048" s="62"/>
      <c r="R3048" s="53"/>
      <c r="S3048" s="53"/>
      <c r="T3048" s="82"/>
      <c r="U3048" s="42"/>
      <c r="V3048" s="62"/>
      <c r="W3048" s="64"/>
      <c r="X3048" s="330"/>
      <c r="Y3048" s="330"/>
      <c r="Z3048" s="330"/>
      <c r="AA3048" s="223"/>
    </row>
    <row r="3049">
      <c r="A3049" s="42">
        <f t="shared" si="3"/>
        <v>3048</v>
      </c>
      <c r="B3049" s="53"/>
      <c r="C3049" s="53"/>
      <c r="D3049" s="42"/>
      <c r="E3049" s="42"/>
      <c r="F3049" s="53"/>
      <c r="G3049" s="53"/>
      <c r="H3049" s="53"/>
      <c r="I3049" s="53"/>
      <c r="J3049" s="53"/>
      <c r="K3049" s="53"/>
      <c r="L3049" s="53"/>
      <c r="M3049" s="53"/>
      <c r="N3049" s="62"/>
      <c r="O3049" s="62"/>
      <c r="P3049" s="62"/>
      <c r="Q3049" s="62"/>
      <c r="R3049" s="53"/>
      <c r="S3049" s="53"/>
      <c r="T3049" s="82"/>
      <c r="U3049" s="42"/>
      <c r="V3049" s="62"/>
      <c r="W3049" s="64"/>
      <c r="X3049" s="330"/>
      <c r="Y3049" s="330"/>
      <c r="Z3049" s="330"/>
      <c r="AA3049" s="223"/>
    </row>
    <row r="3050">
      <c r="A3050" s="42">
        <f t="shared" si="3"/>
        <v>3049</v>
      </c>
      <c r="B3050" s="53"/>
      <c r="C3050" s="53"/>
      <c r="D3050" s="42"/>
      <c r="E3050" s="42"/>
      <c r="F3050" s="53"/>
      <c r="G3050" s="53"/>
      <c r="H3050" s="53"/>
      <c r="I3050" s="53"/>
      <c r="J3050" s="53"/>
      <c r="K3050" s="53"/>
      <c r="L3050" s="53"/>
      <c r="M3050" s="53"/>
      <c r="N3050" s="62"/>
      <c r="O3050" s="62"/>
      <c r="P3050" s="62"/>
      <c r="Q3050" s="62"/>
      <c r="R3050" s="53"/>
      <c r="S3050" s="53"/>
      <c r="T3050" s="82"/>
      <c r="U3050" s="42"/>
      <c r="V3050" s="62"/>
      <c r="W3050" s="64"/>
      <c r="X3050" s="330"/>
      <c r="Y3050" s="330"/>
      <c r="Z3050" s="330"/>
      <c r="AA3050" s="223"/>
    </row>
    <row r="3051">
      <c r="A3051" s="42">
        <f t="shared" si="3"/>
        <v>3050</v>
      </c>
      <c r="B3051" s="53"/>
      <c r="C3051" s="53"/>
      <c r="D3051" s="42"/>
      <c r="E3051" s="42"/>
      <c r="F3051" s="53"/>
      <c r="G3051" s="53"/>
      <c r="H3051" s="53"/>
      <c r="I3051" s="53"/>
      <c r="J3051" s="53"/>
      <c r="K3051" s="53"/>
      <c r="L3051" s="53"/>
      <c r="M3051" s="53"/>
      <c r="N3051" s="62"/>
      <c r="O3051" s="62"/>
      <c r="P3051" s="62"/>
      <c r="Q3051" s="62"/>
      <c r="R3051" s="53"/>
      <c r="S3051" s="53"/>
      <c r="T3051" s="82"/>
      <c r="U3051" s="42"/>
      <c r="V3051" s="62"/>
      <c r="W3051" s="64"/>
      <c r="X3051" s="330"/>
      <c r="Y3051" s="330"/>
      <c r="Z3051" s="330"/>
      <c r="AA3051" s="223"/>
    </row>
    <row r="3052">
      <c r="A3052" s="42">
        <f t="shared" si="3"/>
        <v>3051</v>
      </c>
      <c r="B3052" s="53"/>
      <c r="C3052" s="53"/>
      <c r="D3052" s="42"/>
      <c r="E3052" s="42"/>
      <c r="F3052" s="53"/>
      <c r="G3052" s="53"/>
      <c r="H3052" s="53"/>
      <c r="I3052" s="53"/>
      <c r="J3052" s="53"/>
      <c r="K3052" s="53"/>
      <c r="L3052" s="53"/>
      <c r="M3052" s="53"/>
      <c r="N3052" s="62"/>
      <c r="O3052" s="62"/>
      <c r="P3052" s="62"/>
      <c r="Q3052" s="62"/>
      <c r="R3052" s="53"/>
      <c r="S3052" s="53"/>
      <c r="T3052" s="82"/>
      <c r="U3052" s="42"/>
      <c r="V3052" s="62"/>
      <c r="W3052" s="64"/>
      <c r="X3052" s="330"/>
      <c r="Y3052" s="330"/>
      <c r="Z3052" s="330"/>
      <c r="AA3052" s="223"/>
    </row>
    <row r="3053">
      <c r="A3053" s="42">
        <f t="shared" si="3"/>
        <v>3052</v>
      </c>
      <c r="B3053" s="53"/>
      <c r="C3053" s="53"/>
      <c r="D3053" s="42"/>
      <c r="E3053" s="42"/>
      <c r="F3053" s="53"/>
      <c r="G3053" s="53"/>
      <c r="H3053" s="53"/>
      <c r="I3053" s="53"/>
      <c r="J3053" s="53"/>
      <c r="K3053" s="53"/>
      <c r="L3053" s="53"/>
      <c r="M3053" s="53"/>
      <c r="N3053" s="62"/>
      <c r="O3053" s="62"/>
      <c r="P3053" s="62"/>
      <c r="Q3053" s="62"/>
      <c r="R3053" s="53"/>
      <c r="S3053" s="53"/>
      <c r="T3053" s="82"/>
      <c r="U3053" s="42"/>
      <c r="V3053" s="62"/>
      <c r="W3053" s="64"/>
      <c r="X3053" s="330"/>
      <c r="Y3053" s="330"/>
      <c r="Z3053" s="330"/>
      <c r="AA3053" s="223"/>
    </row>
    <row r="3054">
      <c r="A3054" s="42">
        <f t="shared" si="3"/>
        <v>3053</v>
      </c>
      <c r="B3054" s="53"/>
      <c r="C3054" s="53"/>
      <c r="D3054" s="42"/>
      <c r="E3054" s="42"/>
      <c r="F3054" s="53"/>
      <c r="G3054" s="53"/>
      <c r="H3054" s="53"/>
      <c r="I3054" s="53"/>
      <c r="J3054" s="53"/>
      <c r="K3054" s="53"/>
      <c r="L3054" s="53"/>
      <c r="M3054" s="53"/>
      <c r="N3054" s="62"/>
      <c r="O3054" s="62"/>
      <c r="P3054" s="62"/>
      <c r="Q3054" s="62"/>
      <c r="R3054" s="53"/>
      <c r="S3054" s="53"/>
      <c r="T3054" s="82"/>
      <c r="U3054" s="42"/>
      <c r="V3054" s="62"/>
      <c r="W3054" s="64"/>
      <c r="X3054" s="330"/>
      <c r="Y3054" s="330"/>
      <c r="Z3054" s="330"/>
      <c r="AA3054" s="223"/>
    </row>
    <row r="3055">
      <c r="A3055" s="42">
        <f t="shared" si="3"/>
        <v>3054</v>
      </c>
      <c r="B3055" s="53"/>
      <c r="C3055" s="53"/>
      <c r="D3055" s="42"/>
      <c r="E3055" s="42"/>
      <c r="F3055" s="53"/>
      <c r="G3055" s="53"/>
      <c r="H3055" s="53"/>
      <c r="I3055" s="53"/>
      <c r="J3055" s="53"/>
      <c r="K3055" s="53"/>
      <c r="L3055" s="53"/>
      <c r="M3055" s="53"/>
      <c r="N3055" s="62"/>
      <c r="O3055" s="62"/>
      <c r="P3055" s="62"/>
      <c r="Q3055" s="62"/>
      <c r="R3055" s="53"/>
      <c r="S3055" s="53"/>
      <c r="T3055" s="82"/>
      <c r="U3055" s="42"/>
      <c r="V3055" s="62"/>
      <c r="W3055" s="64"/>
      <c r="X3055" s="330"/>
      <c r="Y3055" s="330"/>
      <c r="Z3055" s="330"/>
      <c r="AA3055" s="223"/>
    </row>
    <row r="3056">
      <c r="A3056" s="42">
        <f t="shared" si="3"/>
        <v>3055</v>
      </c>
      <c r="B3056" s="53"/>
      <c r="C3056" s="53"/>
      <c r="D3056" s="42"/>
      <c r="E3056" s="42"/>
      <c r="F3056" s="53"/>
      <c r="G3056" s="53"/>
      <c r="H3056" s="53"/>
      <c r="I3056" s="53"/>
      <c r="J3056" s="53"/>
      <c r="K3056" s="53"/>
      <c r="L3056" s="53"/>
      <c r="M3056" s="53"/>
      <c r="N3056" s="62"/>
      <c r="O3056" s="62"/>
      <c r="P3056" s="62"/>
      <c r="Q3056" s="62"/>
      <c r="R3056" s="53"/>
      <c r="S3056" s="53"/>
      <c r="T3056" s="82"/>
      <c r="U3056" s="42"/>
      <c r="V3056" s="62"/>
      <c r="W3056" s="64"/>
      <c r="X3056" s="330"/>
      <c r="Y3056" s="330"/>
      <c r="Z3056" s="330"/>
      <c r="AA3056" s="223"/>
    </row>
    <row r="3057">
      <c r="A3057" s="42">
        <f t="shared" si="3"/>
        <v>3056</v>
      </c>
      <c r="B3057" s="53"/>
      <c r="C3057" s="53"/>
      <c r="D3057" s="42"/>
      <c r="E3057" s="42"/>
      <c r="F3057" s="53"/>
      <c r="G3057" s="53"/>
      <c r="H3057" s="53"/>
      <c r="I3057" s="53"/>
      <c r="J3057" s="53"/>
      <c r="K3057" s="53"/>
      <c r="L3057" s="53"/>
      <c r="M3057" s="53"/>
      <c r="N3057" s="62"/>
      <c r="O3057" s="62"/>
      <c r="P3057" s="62"/>
      <c r="Q3057" s="62"/>
      <c r="R3057" s="53"/>
      <c r="S3057" s="53"/>
      <c r="T3057" s="82"/>
      <c r="U3057" s="42"/>
      <c r="V3057" s="62"/>
      <c r="W3057" s="64"/>
      <c r="X3057" s="330"/>
      <c r="Y3057" s="330"/>
      <c r="Z3057" s="330"/>
      <c r="AA3057" s="223"/>
    </row>
    <row r="3058">
      <c r="A3058" s="42">
        <f t="shared" si="3"/>
        <v>3057</v>
      </c>
      <c r="B3058" s="53"/>
      <c r="C3058" s="53"/>
      <c r="D3058" s="42"/>
      <c r="E3058" s="42"/>
      <c r="F3058" s="53"/>
      <c r="G3058" s="53"/>
      <c r="H3058" s="53"/>
      <c r="I3058" s="53"/>
      <c r="J3058" s="53"/>
      <c r="K3058" s="53"/>
      <c r="L3058" s="53"/>
      <c r="M3058" s="53"/>
      <c r="N3058" s="62"/>
      <c r="O3058" s="62"/>
      <c r="P3058" s="62"/>
      <c r="Q3058" s="62"/>
      <c r="R3058" s="53"/>
      <c r="S3058" s="53"/>
      <c r="T3058" s="82"/>
      <c r="U3058" s="42"/>
      <c r="V3058" s="62"/>
      <c r="W3058" s="64"/>
      <c r="X3058" s="330"/>
      <c r="Y3058" s="330"/>
      <c r="Z3058" s="330"/>
      <c r="AA3058" s="223"/>
    </row>
    <row r="3059">
      <c r="A3059" s="42">
        <f t="shared" si="3"/>
        <v>3058</v>
      </c>
      <c r="B3059" s="53"/>
      <c r="C3059" s="53"/>
      <c r="D3059" s="42"/>
      <c r="E3059" s="42"/>
      <c r="F3059" s="53"/>
      <c r="G3059" s="53"/>
      <c r="H3059" s="53"/>
      <c r="I3059" s="53"/>
      <c r="J3059" s="53"/>
      <c r="K3059" s="53"/>
      <c r="L3059" s="53"/>
      <c r="M3059" s="53"/>
      <c r="N3059" s="62"/>
      <c r="O3059" s="62"/>
      <c r="P3059" s="62"/>
      <c r="Q3059" s="62"/>
      <c r="R3059" s="53"/>
      <c r="S3059" s="53"/>
      <c r="T3059" s="82"/>
      <c r="U3059" s="42"/>
      <c r="V3059" s="62"/>
      <c r="W3059" s="64"/>
      <c r="X3059" s="330"/>
      <c r="Y3059" s="330"/>
      <c r="Z3059" s="330"/>
      <c r="AA3059" s="223"/>
    </row>
    <row r="3060">
      <c r="A3060" s="42">
        <f t="shared" si="3"/>
        <v>3059</v>
      </c>
      <c r="B3060" s="53"/>
      <c r="C3060" s="53"/>
      <c r="D3060" s="42"/>
      <c r="E3060" s="42"/>
      <c r="F3060" s="53"/>
      <c r="G3060" s="53"/>
      <c r="H3060" s="53"/>
      <c r="I3060" s="53"/>
      <c r="J3060" s="53"/>
      <c r="K3060" s="53"/>
      <c r="L3060" s="53"/>
      <c r="M3060" s="53"/>
      <c r="N3060" s="62"/>
      <c r="O3060" s="62"/>
      <c r="P3060" s="62"/>
      <c r="Q3060" s="62"/>
      <c r="R3060" s="53"/>
      <c r="S3060" s="53"/>
      <c r="T3060" s="82"/>
      <c r="U3060" s="42"/>
      <c r="V3060" s="62"/>
      <c r="W3060" s="64"/>
      <c r="X3060" s="330"/>
      <c r="Y3060" s="330"/>
      <c r="Z3060" s="330"/>
      <c r="AA3060" s="223"/>
    </row>
    <row r="3061">
      <c r="A3061" s="42">
        <f t="shared" si="3"/>
        <v>3060</v>
      </c>
      <c r="B3061" s="53"/>
      <c r="C3061" s="53"/>
      <c r="D3061" s="42"/>
      <c r="E3061" s="42"/>
      <c r="F3061" s="53"/>
      <c r="G3061" s="53"/>
      <c r="H3061" s="53"/>
      <c r="I3061" s="53"/>
      <c r="J3061" s="53"/>
      <c r="K3061" s="53"/>
      <c r="L3061" s="53"/>
      <c r="M3061" s="53"/>
      <c r="N3061" s="62"/>
      <c r="O3061" s="62"/>
      <c r="P3061" s="62"/>
      <c r="Q3061" s="62"/>
      <c r="R3061" s="53"/>
      <c r="S3061" s="53"/>
      <c r="T3061" s="82"/>
      <c r="U3061" s="42"/>
      <c r="V3061" s="62"/>
      <c r="W3061" s="64"/>
      <c r="X3061" s="330"/>
      <c r="Y3061" s="330"/>
      <c r="Z3061" s="330"/>
      <c r="AA3061" s="223"/>
    </row>
    <row r="3062">
      <c r="A3062" s="42">
        <f t="shared" si="3"/>
        <v>3061</v>
      </c>
      <c r="B3062" s="53"/>
      <c r="C3062" s="53"/>
      <c r="D3062" s="42"/>
      <c r="E3062" s="42"/>
      <c r="F3062" s="53"/>
      <c r="G3062" s="53"/>
      <c r="H3062" s="53"/>
      <c r="I3062" s="53"/>
      <c r="J3062" s="53"/>
      <c r="K3062" s="53"/>
      <c r="L3062" s="53"/>
      <c r="M3062" s="53"/>
      <c r="N3062" s="62"/>
      <c r="O3062" s="62"/>
      <c r="P3062" s="62"/>
      <c r="Q3062" s="62"/>
      <c r="R3062" s="53"/>
      <c r="S3062" s="53"/>
      <c r="T3062" s="82"/>
      <c r="U3062" s="42"/>
      <c r="V3062" s="62"/>
      <c r="W3062" s="64"/>
      <c r="X3062" s="330"/>
      <c r="Y3062" s="330"/>
      <c r="Z3062" s="330"/>
      <c r="AA3062" s="223"/>
    </row>
    <row r="3063">
      <c r="A3063" s="42">
        <f t="shared" si="3"/>
        <v>3062</v>
      </c>
      <c r="B3063" s="53"/>
      <c r="C3063" s="53"/>
      <c r="D3063" s="42"/>
      <c r="E3063" s="42"/>
      <c r="F3063" s="53"/>
      <c r="G3063" s="53"/>
      <c r="H3063" s="53"/>
      <c r="I3063" s="53"/>
      <c r="J3063" s="53"/>
      <c r="K3063" s="53"/>
      <c r="L3063" s="53"/>
      <c r="M3063" s="53"/>
      <c r="N3063" s="62"/>
      <c r="O3063" s="62"/>
      <c r="P3063" s="62"/>
      <c r="Q3063" s="62"/>
      <c r="R3063" s="53"/>
      <c r="S3063" s="53"/>
      <c r="T3063" s="82"/>
      <c r="U3063" s="42"/>
      <c r="V3063" s="62"/>
      <c r="W3063" s="64"/>
      <c r="X3063" s="330"/>
      <c r="Y3063" s="330"/>
      <c r="Z3063" s="330"/>
      <c r="AA3063" s="223"/>
    </row>
    <row r="3064">
      <c r="A3064" s="42">
        <f t="shared" si="3"/>
        <v>3063</v>
      </c>
      <c r="B3064" s="53"/>
      <c r="C3064" s="53"/>
      <c r="D3064" s="42"/>
      <c r="E3064" s="42"/>
      <c r="F3064" s="53"/>
      <c r="G3064" s="53"/>
      <c r="H3064" s="53"/>
      <c r="I3064" s="53"/>
      <c r="J3064" s="53"/>
      <c r="K3064" s="53"/>
      <c r="L3064" s="53"/>
      <c r="M3064" s="53"/>
      <c r="N3064" s="62"/>
      <c r="O3064" s="62"/>
      <c r="P3064" s="62"/>
      <c r="Q3064" s="62"/>
      <c r="R3064" s="53"/>
      <c r="S3064" s="53"/>
      <c r="T3064" s="82"/>
      <c r="U3064" s="42"/>
      <c r="V3064" s="62"/>
      <c r="W3064" s="64"/>
      <c r="X3064" s="330"/>
      <c r="Y3064" s="330"/>
      <c r="Z3064" s="330"/>
      <c r="AA3064" s="223"/>
    </row>
    <row r="3065">
      <c r="A3065" s="42">
        <f t="shared" si="3"/>
        <v>3064</v>
      </c>
      <c r="B3065" s="53"/>
      <c r="C3065" s="53"/>
      <c r="D3065" s="42"/>
      <c r="E3065" s="42"/>
      <c r="F3065" s="53"/>
      <c r="G3065" s="53"/>
      <c r="H3065" s="53"/>
      <c r="I3065" s="53"/>
      <c r="J3065" s="53"/>
      <c r="K3065" s="53"/>
      <c r="L3065" s="53"/>
      <c r="M3065" s="53"/>
      <c r="N3065" s="62"/>
      <c r="O3065" s="62"/>
      <c r="P3065" s="62"/>
      <c r="Q3065" s="62"/>
      <c r="R3065" s="53"/>
      <c r="S3065" s="53"/>
      <c r="T3065" s="82"/>
      <c r="U3065" s="42"/>
      <c r="V3065" s="62"/>
      <c r="W3065" s="64"/>
      <c r="X3065" s="330"/>
      <c r="Y3065" s="330"/>
      <c r="Z3065" s="330"/>
      <c r="AA3065" s="223"/>
    </row>
    <row r="3066">
      <c r="A3066" s="42">
        <f t="shared" si="3"/>
        <v>3065</v>
      </c>
      <c r="B3066" s="53"/>
      <c r="C3066" s="53"/>
      <c r="D3066" s="42"/>
      <c r="E3066" s="42"/>
      <c r="F3066" s="53"/>
      <c r="G3066" s="53"/>
      <c r="H3066" s="53"/>
      <c r="I3066" s="53"/>
      <c r="J3066" s="53"/>
      <c r="K3066" s="53"/>
      <c r="L3066" s="53"/>
      <c r="M3066" s="53"/>
      <c r="N3066" s="62"/>
      <c r="O3066" s="62"/>
      <c r="P3066" s="62"/>
      <c r="Q3066" s="62"/>
      <c r="R3066" s="53"/>
      <c r="S3066" s="53"/>
      <c r="T3066" s="82"/>
      <c r="U3066" s="42"/>
      <c r="V3066" s="62"/>
      <c r="W3066" s="64"/>
      <c r="X3066" s="330"/>
      <c r="Y3066" s="330"/>
      <c r="Z3066" s="330"/>
      <c r="AA3066" s="223"/>
    </row>
    <row r="3067">
      <c r="A3067" s="42">
        <f t="shared" si="3"/>
        <v>3066</v>
      </c>
      <c r="B3067" s="53"/>
      <c r="C3067" s="53"/>
      <c r="D3067" s="42"/>
      <c r="E3067" s="42"/>
      <c r="F3067" s="53"/>
      <c r="G3067" s="53"/>
      <c r="H3067" s="53"/>
      <c r="I3067" s="53"/>
      <c r="J3067" s="53"/>
      <c r="K3067" s="53"/>
      <c r="L3067" s="53"/>
      <c r="M3067" s="53"/>
      <c r="N3067" s="62"/>
      <c r="O3067" s="62"/>
      <c r="P3067" s="62"/>
      <c r="Q3067" s="62"/>
      <c r="R3067" s="53"/>
      <c r="S3067" s="53"/>
      <c r="T3067" s="82"/>
      <c r="U3067" s="42"/>
      <c r="V3067" s="62"/>
      <c r="W3067" s="64"/>
      <c r="X3067" s="330"/>
      <c r="Y3067" s="330"/>
      <c r="Z3067" s="330"/>
      <c r="AA3067" s="223"/>
    </row>
    <row r="3068">
      <c r="A3068" s="42">
        <f t="shared" si="3"/>
        <v>3067</v>
      </c>
      <c r="B3068" s="53"/>
      <c r="C3068" s="53"/>
      <c r="D3068" s="42"/>
      <c r="E3068" s="42"/>
      <c r="F3068" s="53"/>
      <c r="G3068" s="53"/>
      <c r="H3068" s="53"/>
      <c r="I3068" s="53"/>
      <c r="J3068" s="53"/>
      <c r="K3068" s="53"/>
      <c r="L3068" s="53"/>
      <c r="M3068" s="53"/>
      <c r="N3068" s="62"/>
      <c r="O3068" s="62"/>
      <c r="P3068" s="62"/>
      <c r="Q3068" s="62"/>
      <c r="R3068" s="53"/>
      <c r="S3068" s="53"/>
      <c r="T3068" s="82"/>
      <c r="U3068" s="42"/>
      <c r="V3068" s="62"/>
      <c r="W3068" s="64"/>
      <c r="X3068" s="330"/>
      <c r="Y3068" s="330"/>
      <c r="Z3068" s="330"/>
      <c r="AA3068" s="223"/>
    </row>
    <row r="3069">
      <c r="A3069" s="42">
        <f t="shared" si="3"/>
        <v>3068</v>
      </c>
      <c r="B3069" s="53"/>
      <c r="C3069" s="53"/>
      <c r="D3069" s="42"/>
      <c r="E3069" s="42"/>
      <c r="F3069" s="53"/>
      <c r="G3069" s="53"/>
      <c r="H3069" s="53"/>
      <c r="I3069" s="53"/>
      <c r="J3069" s="53"/>
      <c r="K3069" s="53"/>
      <c r="L3069" s="53"/>
      <c r="M3069" s="53"/>
      <c r="N3069" s="62"/>
      <c r="O3069" s="62"/>
      <c r="P3069" s="62"/>
      <c r="Q3069" s="62"/>
      <c r="R3069" s="53"/>
      <c r="S3069" s="53"/>
      <c r="T3069" s="82"/>
      <c r="U3069" s="42"/>
      <c r="V3069" s="62"/>
      <c r="W3069" s="64"/>
      <c r="X3069" s="330"/>
      <c r="Y3069" s="330"/>
      <c r="Z3069" s="330"/>
      <c r="AA3069" s="223"/>
    </row>
    <row r="3070">
      <c r="A3070" s="42">
        <f t="shared" si="3"/>
        <v>3069</v>
      </c>
      <c r="B3070" s="53"/>
      <c r="C3070" s="53"/>
      <c r="D3070" s="42"/>
      <c r="E3070" s="42"/>
      <c r="F3070" s="53"/>
      <c r="G3070" s="53"/>
      <c r="H3070" s="53"/>
      <c r="I3070" s="53"/>
      <c r="J3070" s="53"/>
      <c r="K3070" s="53"/>
      <c r="L3070" s="53"/>
      <c r="M3070" s="53"/>
      <c r="N3070" s="62"/>
      <c r="O3070" s="62"/>
      <c r="P3070" s="62"/>
      <c r="Q3070" s="62"/>
      <c r="R3070" s="53"/>
      <c r="S3070" s="53"/>
      <c r="T3070" s="82"/>
      <c r="U3070" s="42"/>
      <c r="V3070" s="62"/>
      <c r="W3070" s="64"/>
      <c r="X3070" s="330"/>
      <c r="Y3070" s="330"/>
      <c r="Z3070" s="330"/>
      <c r="AA3070" s="223"/>
    </row>
    <row r="3071">
      <c r="A3071" s="42">
        <f t="shared" si="3"/>
        <v>3070</v>
      </c>
      <c r="B3071" s="53"/>
      <c r="C3071" s="53"/>
      <c r="D3071" s="42"/>
      <c r="E3071" s="42"/>
      <c r="F3071" s="53"/>
      <c r="G3071" s="53"/>
      <c r="H3071" s="53"/>
      <c r="I3071" s="53"/>
      <c r="J3071" s="53"/>
      <c r="K3071" s="53"/>
      <c r="L3071" s="53"/>
      <c r="M3071" s="53"/>
      <c r="N3071" s="62"/>
      <c r="O3071" s="62"/>
      <c r="P3071" s="62"/>
      <c r="Q3071" s="62"/>
      <c r="R3071" s="53"/>
      <c r="S3071" s="53"/>
      <c r="T3071" s="82"/>
      <c r="U3071" s="42"/>
      <c r="V3071" s="62"/>
      <c r="W3071" s="64"/>
      <c r="X3071" s="330"/>
      <c r="Y3071" s="330"/>
      <c r="Z3071" s="330"/>
      <c r="AA3071" s="223"/>
    </row>
    <row r="3072">
      <c r="A3072" s="42">
        <f t="shared" si="3"/>
        <v>3071</v>
      </c>
      <c r="B3072" s="53"/>
      <c r="C3072" s="53"/>
      <c r="D3072" s="42"/>
      <c r="E3072" s="42"/>
      <c r="F3072" s="53"/>
      <c r="G3072" s="53"/>
      <c r="H3072" s="53"/>
      <c r="I3072" s="53"/>
      <c r="J3072" s="53"/>
      <c r="K3072" s="53"/>
      <c r="L3072" s="53"/>
      <c r="M3072" s="53"/>
      <c r="N3072" s="62"/>
      <c r="O3072" s="62"/>
      <c r="P3072" s="62"/>
      <c r="Q3072" s="62"/>
      <c r="R3072" s="53"/>
      <c r="S3072" s="53"/>
      <c r="T3072" s="82"/>
      <c r="U3072" s="42"/>
      <c r="V3072" s="62"/>
      <c r="W3072" s="64"/>
      <c r="X3072" s="330"/>
      <c r="Y3072" s="330"/>
      <c r="Z3072" s="330"/>
      <c r="AA3072" s="223"/>
    </row>
    <row r="3073">
      <c r="A3073" s="42">
        <f t="shared" si="3"/>
        <v>3072</v>
      </c>
      <c r="B3073" s="53"/>
      <c r="C3073" s="53"/>
      <c r="D3073" s="42"/>
      <c r="E3073" s="42"/>
      <c r="F3073" s="53"/>
      <c r="G3073" s="53"/>
      <c r="H3073" s="53"/>
      <c r="I3073" s="53"/>
      <c r="J3073" s="53"/>
      <c r="K3073" s="53"/>
      <c r="L3073" s="53"/>
      <c r="M3073" s="53"/>
      <c r="N3073" s="62"/>
      <c r="O3073" s="62"/>
      <c r="P3073" s="62"/>
      <c r="Q3073" s="62"/>
      <c r="R3073" s="53"/>
      <c r="S3073" s="53"/>
      <c r="T3073" s="82"/>
      <c r="U3073" s="42"/>
      <c r="V3073" s="62"/>
      <c r="W3073" s="64"/>
      <c r="X3073" s="330"/>
      <c r="Y3073" s="330"/>
      <c r="Z3073" s="330"/>
      <c r="AA3073" s="223"/>
    </row>
    <row r="3074">
      <c r="A3074" s="42">
        <f t="shared" si="3"/>
        <v>3073</v>
      </c>
      <c r="B3074" s="53"/>
      <c r="C3074" s="53"/>
      <c r="D3074" s="42"/>
      <c r="E3074" s="42"/>
      <c r="F3074" s="53"/>
      <c r="G3074" s="53"/>
      <c r="H3074" s="53"/>
      <c r="I3074" s="53"/>
      <c r="J3074" s="53"/>
      <c r="K3074" s="53"/>
      <c r="L3074" s="53"/>
      <c r="M3074" s="53"/>
      <c r="N3074" s="62"/>
      <c r="O3074" s="62"/>
      <c r="P3074" s="62"/>
      <c r="Q3074" s="62"/>
      <c r="R3074" s="53"/>
      <c r="S3074" s="53"/>
      <c r="T3074" s="82"/>
      <c r="U3074" s="42"/>
      <c r="V3074" s="62"/>
      <c r="W3074" s="64"/>
      <c r="X3074" s="330"/>
      <c r="Y3074" s="330"/>
      <c r="Z3074" s="330"/>
      <c r="AA3074" s="223"/>
    </row>
    <row r="3075">
      <c r="A3075" s="42">
        <f t="shared" si="3"/>
        <v>3074</v>
      </c>
      <c r="B3075" s="53"/>
      <c r="C3075" s="53"/>
      <c r="D3075" s="42"/>
      <c r="E3075" s="42"/>
      <c r="F3075" s="53"/>
      <c r="G3075" s="53"/>
      <c r="H3075" s="53"/>
      <c r="I3075" s="53"/>
      <c r="J3075" s="53"/>
      <c r="K3075" s="53"/>
      <c r="L3075" s="53"/>
      <c r="M3075" s="53"/>
      <c r="N3075" s="62"/>
      <c r="O3075" s="62"/>
      <c r="P3075" s="62"/>
      <c r="Q3075" s="62"/>
      <c r="R3075" s="53"/>
      <c r="S3075" s="53"/>
      <c r="T3075" s="82"/>
      <c r="U3075" s="42"/>
      <c r="V3075" s="62"/>
      <c r="W3075" s="64"/>
      <c r="X3075" s="330"/>
      <c r="Y3075" s="330"/>
      <c r="Z3075" s="330"/>
      <c r="AA3075" s="223"/>
    </row>
    <row r="3076">
      <c r="A3076" s="42">
        <f t="shared" si="3"/>
        <v>3075</v>
      </c>
      <c r="B3076" s="53"/>
      <c r="C3076" s="53"/>
      <c r="D3076" s="42"/>
      <c r="E3076" s="42"/>
      <c r="F3076" s="53"/>
      <c r="G3076" s="53"/>
      <c r="H3076" s="53"/>
      <c r="I3076" s="53"/>
      <c r="J3076" s="53"/>
      <c r="K3076" s="53"/>
      <c r="L3076" s="53"/>
      <c r="M3076" s="53"/>
      <c r="N3076" s="62"/>
      <c r="O3076" s="62"/>
      <c r="P3076" s="62"/>
      <c r="Q3076" s="62"/>
      <c r="R3076" s="53"/>
      <c r="S3076" s="53"/>
      <c r="T3076" s="82"/>
      <c r="U3076" s="42"/>
      <c r="V3076" s="62"/>
      <c r="W3076" s="64"/>
      <c r="X3076" s="330"/>
      <c r="Y3076" s="330"/>
      <c r="Z3076" s="330"/>
      <c r="AA3076" s="223"/>
    </row>
    <row r="3077">
      <c r="A3077" s="42">
        <f t="shared" si="3"/>
        <v>3076</v>
      </c>
      <c r="B3077" s="53"/>
      <c r="C3077" s="53"/>
      <c r="D3077" s="42"/>
      <c r="E3077" s="42"/>
      <c r="F3077" s="53"/>
      <c r="G3077" s="53"/>
      <c r="H3077" s="53"/>
      <c r="I3077" s="53"/>
      <c r="J3077" s="53"/>
      <c r="K3077" s="53"/>
      <c r="L3077" s="53"/>
      <c r="M3077" s="53"/>
      <c r="N3077" s="62"/>
      <c r="O3077" s="62"/>
      <c r="P3077" s="62"/>
      <c r="Q3077" s="62"/>
      <c r="R3077" s="53"/>
      <c r="S3077" s="53"/>
      <c r="T3077" s="82"/>
      <c r="U3077" s="42"/>
      <c r="V3077" s="62"/>
      <c r="W3077" s="64"/>
      <c r="X3077" s="330"/>
      <c r="Y3077" s="330"/>
      <c r="Z3077" s="330"/>
      <c r="AA3077" s="223"/>
    </row>
    <row r="3078">
      <c r="A3078" s="42">
        <f t="shared" si="3"/>
        <v>3077</v>
      </c>
      <c r="B3078" s="53"/>
      <c r="C3078" s="53"/>
      <c r="D3078" s="42"/>
      <c r="E3078" s="42"/>
      <c r="F3078" s="53"/>
      <c r="G3078" s="53"/>
      <c r="H3078" s="53"/>
      <c r="I3078" s="53"/>
      <c r="J3078" s="53"/>
      <c r="K3078" s="53"/>
      <c r="L3078" s="53"/>
      <c r="M3078" s="53"/>
      <c r="N3078" s="62"/>
      <c r="O3078" s="62"/>
      <c r="P3078" s="62"/>
      <c r="Q3078" s="62"/>
      <c r="R3078" s="53"/>
      <c r="S3078" s="53"/>
      <c r="T3078" s="82"/>
      <c r="U3078" s="42"/>
      <c r="V3078" s="62"/>
      <c r="W3078" s="64"/>
      <c r="X3078" s="330"/>
      <c r="Y3078" s="330"/>
      <c r="Z3078" s="330"/>
      <c r="AA3078" s="223"/>
    </row>
    <row r="3079">
      <c r="A3079" s="42">
        <f t="shared" si="3"/>
        <v>3078</v>
      </c>
      <c r="B3079" s="53"/>
      <c r="C3079" s="53"/>
      <c r="D3079" s="42"/>
      <c r="E3079" s="42"/>
      <c r="F3079" s="53"/>
      <c r="G3079" s="53"/>
      <c r="H3079" s="53"/>
      <c r="I3079" s="53"/>
      <c r="J3079" s="53"/>
      <c r="K3079" s="53"/>
      <c r="L3079" s="53"/>
      <c r="M3079" s="53"/>
      <c r="N3079" s="62"/>
      <c r="O3079" s="62"/>
      <c r="P3079" s="62"/>
      <c r="Q3079" s="62"/>
      <c r="R3079" s="53"/>
      <c r="S3079" s="53"/>
      <c r="T3079" s="82"/>
      <c r="U3079" s="42"/>
      <c r="V3079" s="62"/>
      <c r="W3079" s="64"/>
      <c r="X3079" s="330"/>
      <c r="Y3079" s="330"/>
      <c r="Z3079" s="330"/>
      <c r="AA3079" s="223"/>
    </row>
    <row r="3080">
      <c r="A3080" s="42">
        <f t="shared" si="3"/>
        <v>3079</v>
      </c>
      <c r="B3080" s="53"/>
      <c r="C3080" s="53"/>
      <c r="D3080" s="42"/>
      <c r="E3080" s="42"/>
      <c r="F3080" s="53"/>
      <c r="G3080" s="53"/>
      <c r="H3080" s="53"/>
      <c r="I3080" s="53"/>
      <c r="J3080" s="53"/>
      <c r="K3080" s="53"/>
      <c r="L3080" s="53"/>
      <c r="M3080" s="53"/>
      <c r="N3080" s="62"/>
      <c r="O3080" s="62"/>
      <c r="P3080" s="62"/>
      <c r="Q3080" s="62"/>
      <c r="R3080" s="53"/>
      <c r="S3080" s="53"/>
      <c r="T3080" s="82"/>
      <c r="U3080" s="42"/>
      <c r="V3080" s="62"/>
      <c r="W3080" s="64"/>
      <c r="X3080" s="330"/>
      <c r="Y3080" s="330"/>
      <c r="Z3080" s="330"/>
      <c r="AA3080" s="223"/>
    </row>
    <row r="3081">
      <c r="A3081" s="42">
        <f t="shared" si="3"/>
        <v>3080</v>
      </c>
      <c r="B3081" s="53"/>
      <c r="C3081" s="53"/>
      <c r="D3081" s="42"/>
      <c r="E3081" s="42"/>
      <c r="F3081" s="53"/>
      <c r="G3081" s="53"/>
      <c r="H3081" s="53"/>
      <c r="I3081" s="53"/>
      <c r="J3081" s="53"/>
      <c r="K3081" s="53"/>
      <c r="L3081" s="53"/>
      <c r="M3081" s="53"/>
      <c r="N3081" s="62"/>
      <c r="O3081" s="62"/>
      <c r="P3081" s="62"/>
      <c r="Q3081" s="62"/>
      <c r="R3081" s="53"/>
      <c r="S3081" s="53"/>
      <c r="T3081" s="82"/>
      <c r="U3081" s="42"/>
      <c r="V3081" s="62"/>
      <c r="W3081" s="64"/>
      <c r="X3081" s="330"/>
      <c r="Y3081" s="330"/>
      <c r="Z3081" s="330"/>
      <c r="AA3081" s="223"/>
    </row>
    <row r="3082">
      <c r="A3082" s="42">
        <f t="shared" si="3"/>
        <v>3081</v>
      </c>
      <c r="B3082" s="53"/>
      <c r="C3082" s="53"/>
      <c r="D3082" s="42"/>
      <c r="E3082" s="42"/>
      <c r="F3082" s="53"/>
      <c r="G3082" s="53"/>
      <c r="H3082" s="53"/>
      <c r="I3082" s="53"/>
      <c r="J3082" s="53"/>
      <c r="K3082" s="53"/>
      <c r="L3082" s="53"/>
      <c r="M3082" s="53"/>
      <c r="N3082" s="62"/>
      <c r="O3082" s="62"/>
      <c r="P3082" s="62"/>
      <c r="Q3082" s="62"/>
      <c r="R3082" s="53"/>
      <c r="S3082" s="53"/>
      <c r="T3082" s="82"/>
      <c r="U3082" s="42"/>
      <c r="V3082" s="62"/>
      <c r="W3082" s="64"/>
      <c r="X3082" s="330"/>
      <c r="Y3082" s="330"/>
      <c r="Z3082" s="330"/>
      <c r="AA3082" s="223"/>
    </row>
    <row r="3083">
      <c r="A3083" s="42">
        <f t="shared" si="3"/>
        <v>3082</v>
      </c>
      <c r="B3083" s="53"/>
      <c r="C3083" s="53"/>
      <c r="D3083" s="42"/>
      <c r="E3083" s="42"/>
      <c r="F3083" s="53"/>
      <c r="G3083" s="53"/>
      <c r="H3083" s="53"/>
      <c r="I3083" s="53"/>
      <c r="J3083" s="53"/>
      <c r="K3083" s="53"/>
      <c r="L3083" s="53"/>
      <c r="M3083" s="53"/>
      <c r="N3083" s="62"/>
      <c r="O3083" s="62"/>
      <c r="P3083" s="62"/>
      <c r="Q3083" s="62"/>
      <c r="R3083" s="53"/>
      <c r="S3083" s="53"/>
      <c r="T3083" s="82"/>
      <c r="U3083" s="42"/>
      <c r="V3083" s="62"/>
      <c r="W3083" s="64"/>
      <c r="X3083" s="330"/>
      <c r="Y3083" s="330"/>
      <c r="Z3083" s="330"/>
      <c r="AA3083" s="223"/>
    </row>
    <row r="3084">
      <c r="A3084" s="42">
        <f t="shared" si="3"/>
        <v>3083</v>
      </c>
      <c r="B3084" s="53"/>
      <c r="C3084" s="53"/>
      <c r="D3084" s="42"/>
      <c r="E3084" s="42"/>
      <c r="F3084" s="53"/>
      <c r="G3084" s="53"/>
      <c r="H3084" s="53"/>
      <c r="I3084" s="53"/>
      <c r="J3084" s="53"/>
      <c r="K3084" s="53"/>
      <c r="L3084" s="53"/>
      <c r="M3084" s="53"/>
      <c r="N3084" s="62"/>
      <c r="O3084" s="62"/>
      <c r="P3084" s="62"/>
      <c r="Q3084" s="62"/>
      <c r="R3084" s="53"/>
      <c r="S3084" s="53"/>
      <c r="T3084" s="82"/>
      <c r="U3084" s="42"/>
      <c r="V3084" s="62"/>
      <c r="W3084" s="64"/>
      <c r="X3084" s="330"/>
      <c r="Y3084" s="330"/>
      <c r="Z3084" s="330"/>
      <c r="AA3084" s="223"/>
    </row>
    <row r="3085">
      <c r="A3085" s="42">
        <f t="shared" si="3"/>
        <v>3084</v>
      </c>
      <c r="B3085" s="53"/>
      <c r="C3085" s="53"/>
      <c r="D3085" s="42"/>
      <c r="E3085" s="42"/>
      <c r="F3085" s="53"/>
      <c r="G3085" s="53"/>
      <c r="H3085" s="53"/>
      <c r="I3085" s="53"/>
      <c r="J3085" s="53"/>
      <c r="K3085" s="53"/>
      <c r="L3085" s="53"/>
      <c r="M3085" s="53"/>
      <c r="N3085" s="62"/>
      <c r="O3085" s="62"/>
      <c r="P3085" s="62"/>
      <c r="Q3085" s="62"/>
      <c r="R3085" s="53"/>
      <c r="S3085" s="53"/>
      <c r="T3085" s="82"/>
      <c r="U3085" s="42"/>
      <c r="V3085" s="62"/>
      <c r="W3085" s="64"/>
      <c r="X3085" s="330"/>
      <c r="Y3085" s="330"/>
      <c r="Z3085" s="330"/>
      <c r="AA3085" s="223"/>
    </row>
    <row r="3086">
      <c r="A3086" s="42">
        <f t="shared" si="3"/>
        <v>3085</v>
      </c>
      <c r="B3086" s="53"/>
      <c r="C3086" s="53"/>
      <c r="D3086" s="42"/>
      <c r="E3086" s="42"/>
      <c r="F3086" s="53"/>
      <c r="G3086" s="53"/>
      <c r="H3086" s="53"/>
      <c r="I3086" s="53"/>
      <c r="J3086" s="53"/>
      <c r="K3086" s="53"/>
      <c r="L3086" s="53"/>
      <c r="M3086" s="53"/>
      <c r="N3086" s="62"/>
      <c r="O3086" s="62"/>
      <c r="P3086" s="62"/>
      <c r="Q3086" s="62"/>
      <c r="R3086" s="53"/>
      <c r="S3086" s="53"/>
      <c r="T3086" s="82"/>
      <c r="U3086" s="42"/>
      <c r="V3086" s="62"/>
      <c r="W3086" s="64"/>
      <c r="X3086" s="330"/>
      <c r="Y3086" s="330"/>
      <c r="Z3086" s="330"/>
      <c r="AA3086" s="223"/>
    </row>
    <row r="3087">
      <c r="A3087" s="42">
        <f t="shared" si="3"/>
        <v>3086</v>
      </c>
      <c r="B3087" s="53"/>
      <c r="C3087" s="53"/>
      <c r="D3087" s="42"/>
      <c r="E3087" s="42"/>
      <c r="F3087" s="53"/>
      <c r="G3087" s="53"/>
      <c r="H3087" s="53"/>
      <c r="I3087" s="53"/>
      <c r="J3087" s="53"/>
      <c r="K3087" s="53"/>
      <c r="L3087" s="53"/>
      <c r="M3087" s="53"/>
      <c r="N3087" s="62"/>
      <c r="O3087" s="62"/>
      <c r="P3087" s="62"/>
      <c r="Q3087" s="62"/>
      <c r="R3087" s="53"/>
      <c r="S3087" s="53"/>
      <c r="T3087" s="82"/>
      <c r="U3087" s="42"/>
      <c r="V3087" s="62"/>
      <c r="W3087" s="64"/>
      <c r="X3087" s="330"/>
      <c r="Y3087" s="330"/>
      <c r="Z3087" s="330"/>
      <c r="AA3087" s="223"/>
    </row>
    <row r="3088">
      <c r="A3088" s="42">
        <f t="shared" si="3"/>
        <v>3087</v>
      </c>
      <c r="B3088" s="53"/>
      <c r="C3088" s="53"/>
      <c r="D3088" s="42"/>
      <c r="E3088" s="42"/>
      <c r="F3088" s="53"/>
      <c r="G3088" s="53"/>
      <c r="H3088" s="53"/>
      <c r="I3088" s="53"/>
      <c r="J3088" s="53"/>
      <c r="K3088" s="53"/>
      <c r="L3088" s="53"/>
      <c r="M3088" s="53"/>
      <c r="N3088" s="62"/>
      <c r="O3088" s="62"/>
      <c r="P3088" s="62"/>
      <c r="Q3088" s="62"/>
      <c r="R3088" s="53"/>
      <c r="S3088" s="53"/>
      <c r="T3088" s="82"/>
      <c r="U3088" s="42"/>
      <c r="V3088" s="62"/>
      <c r="W3088" s="64"/>
      <c r="X3088" s="330"/>
      <c r="Y3088" s="330"/>
      <c r="Z3088" s="330"/>
      <c r="AA3088" s="223"/>
    </row>
    <row r="3089">
      <c r="A3089" s="42">
        <f t="shared" si="3"/>
        <v>3088</v>
      </c>
      <c r="B3089" s="53"/>
      <c r="C3089" s="53"/>
      <c r="D3089" s="42"/>
      <c r="E3089" s="42"/>
      <c r="F3089" s="53"/>
      <c r="G3089" s="53"/>
      <c r="H3089" s="53"/>
      <c r="I3089" s="53"/>
      <c r="J3089" s="53"/>
      <c r="K3089" s="53"/>
      <c r="L3089" s="53"/>
      <c r="M3089" s="53"/>
      <c r="N3089" s="62"/>
      <c r="O3089" s="62"/>
      <c r="P3089" s="62"/>
      <c r="Q3089" s="62"/>
      <c r="R3089" s="53"/>
      <c r="S3089" s="53"/>
      <c r="T3089" s="82"/>
      <c r="U3089" s="42"/>
      <c r="V3089" s="62"/>
      <c r="W3089" s="64"/>
      <c r="X3089" s="330"/>
      <c r="Y3089" s="330"/>
      <c r="Z3089" s="330"/>
      <c r="AA3089" s="223"/>
    </row>
    <row r="3090">
      <c r="A3090" s="42">
        <f t="shared" si="3"/>
        <v>3089</v>
      </c>
      <c r="B3090" s="53"/>
      <c r="C3090" s="53"/>
      <c r="D3090" s="42"/>
      <c r="E3090" s="42"/>
      <c r="F3090" s="53"/>
      <c r="G3090" s="53"/>
      <c r="H3090" s="53"/>
      <c r="I3090" s="53"/>
      <c r="J3090" s="53"/>
      <c r="K3090" s="53"/>
      <c r="L3090" s="53"/>
      <c r="M3090" s="53"/>
      <c r="N3090" s="62"/>
      <c r="O3090" s="62"/>
      <c r="P3090" s="62"/>
      <c r="Q3090" s="62"/>
      <c r="R3090" s="53"/>
      <c r="S3090" s="53"/>
      <c r="T3090" s="82"/>
      <c r="U3090" s="42"/>
      <c r="V3090" s="62"/>
      <c r="W3090" s="64"/>
      <c r="X3090" s="330"/>
      <c r="Y3090" s="330"/>
      <c r="Z3090" s="330"/>
      <c r="AA3090" s="223"/>
    </row>
    <row r="3091">
      <c r="A3091" s="42">
        <f t="shared" si="3"/>
        <v>3090</v>
      </c>
      <c r="B3091" s="53"/>
      <c r="C3091" s="53"/>
      <c r="D3091" s="42"/>
      <c r="E3091" s="42"/>
      <c r="F3091" s="53"/>
      <c r="G3091" s="53"/>
      <c r="H3091" s="53"/>
      <c r="I3091" s="53"/>
      <c r="J3091" s="53"/>
      <c r="K3091" s="53"/>
      <c r="L3091" s="53"/>
      <c r="M3091" s="53"/>
      <c r="N3091" s="62"/>
      <c r="O3091" s="62"/>
      <c r="P3091" s="62"/>
      <c r="Q3091" s="62"/>
      <c r="R3091" s="53"/>
      <c r="S3091" s="53"/>
      <c r="T3091" s="82"/>
      <c r="U3091" s="42"/>
      <c r="V3091" s="62"/>
      <c r="W3091" s="64"/>
      <c r="X3091" s="330"/>
      <c r="Y3091" s="330"/>
      <c r="Z3091" s="330"/>
      <c r="AA3091" s="223"/>
    </row>
    <row r="3092">
      <c r="A3092" s="42">
        <f t="shared" si="3"/>
        <v>3091</v>
      </c>
      <c r="B3092" s="53"/>
      <c r="C3092" s="53"/>
      <c r="D3092" s="42"/>
      <c r="E3092" s="42"/>
      <c r="F3092" s="53"/>
      <c r="G3092" s="53"/>
      <c r="H3092" s="53"/>
      <c r="I3092" s="53"/>
      <c r="J3092" s="53"/>
      <c r="K3092" s="53"/>
      <c r="L3092" s="53"/>
      <c r="M3092" s="53"/>
      <c r="N3092" s="62"/>
      <c r="O3092" s="62"/>
      <c r="P3092" s="62"/>
      <c r="Q3092" s="62"/>
      <c r="R3092" s="53"/>
      <c r="S3092" s="53"/>
      <c r="T3092" s="82"/>
      <c r="U3092" s="42"/>
      <c r="V3092" s="62"/>
      <c r="W3092" s="64"/>
      <c r="X3092" s="330"/>
      <c r="Y3092" s="330"/>
      <c r="Z3092" s="330"/>
      <c r="AA3092" s="223"/>
    </row>
    <row r="3093">
      <c r="A3093" s="42">
        <f t="shared" si="3"/>
        <v>3092</v>
      </c>
      <c r="B3093" s="53"/>
      <c r="C3093" s="53"/>
      <c r="D3093" s="42"/>
      <c r="E3093" s="42"/>
      <c r="F3093" s="53"/>
      <c r="G3093" s="53"/>
      <c r="H3093" s="53"/>
      <c r="I3093" s="53"/>
      <c r="J3093" s="53"/>
      <c r="K3093" s="53"/>
      <c r="L3093" s="53"/>
      <c r="M3093" s="53"/>
      <c r="N3093" s="62"/>
      <c r="O3093" s="62"/>
      <c r="P3093" s="62"/>
      <c r="Q3093" s="62"/>
      <c r="R3093" s="53"/>
      <c r="S3093" s="53"/>
      <c r="T3093" s="82"/>
      <c r="U3093" s="42"/>
      <c r="V3093" s="62"/>
      <c r="W3093" s="64"/>
      <c r="X3093" s="330"/>
      <c r="Y3093" s="330"/>
      <c r="Z3093" s="330"/>
      <c r="AA3093" s="223"/>
    </row>
    <row r="3094">
      <c r="A3094" s="42">
        <f t="shared" si="3"/>
        <v>3093</v>
      </c>
      <c r="B3094" s="53"/>
      <c r="C3094" s="53"/>
      <c r="D3094" s="42"/>
      <c r="E3094" s="42"/>
      <c r="F3094" s="53"/>
      <c r="G3094" s="53"/>
      <c r="H3094" s="53"/>
      <c r="I3094" s="53"/>
      <c r="J3094" s="53"/>
      <c r="K3094" s="53"/>
      <c r="L3094" s="53"/>
      <c r="M3094" s="53"/>
      <c r="N3094" s="62"/>
      <c r="O3094" s="62"/>
      <c r="P3094" s="62"/>
      <c r="Q3094" s="62"/>
      <c r="R3094" s="53"/>
      <c r="S3094" s="53"/>
      <c r="T3094" s="82"/>
      <c r="U3094" s="42"/>
      <c r="V3094" s="62"/>
      <c r="W3094" s="64"/>
      <c r="X3094" s="330"/>
      <c r="Y3094" s="330"/>
      <c r="Z3094" s="330"/>
      <c r="AA3094" s="223"/>
    </row>
    <row r="3095">
      <c r="A3095" s="42">
        <f t="shared" si="3"/>
        <v>3094</v>
      </c>
      <c r="B3095" s="53"/>
      <c r="C3095" s="53"/>
      <c r="D3095" s="42"/>
      <c r="E3095" s="42"/>
      <c r="F3095" s="53"/>
      <c r="G3095" s="53"/>
      <c r="H3095" s="53"/>
      <c r="I3095" s="53"/>
      <c r="J3095" s="53"/>
      <c r="K3095" s="53"/>
      <c r="L3095" s="53"/>
      <c r="M3095" s="53"/>
      <c r="N3095" s="62"/>
      <c r="O3095" s="62"/>
      <c r="P3095" s="62"/>
      <c r="Q3095" s="62"/>
      <c r="R3095" s="53"/>
      <c r="S3095" s="53"/>
      <c r="T3095" s="82"/>
      <c r="U3095" s="42"/>
      <c r="V3095" s="62"/>
      <c r="W3095" s="64"/>
      <c r="X3095" s="330"/>
      <c r="Y3095" s="330"/>
      <c r="Z3095" s="330"/>
      <c r="AA3095" s="223"/>
    </row>
    <row r="3096">
      <c r="A3096" s="42">
        <f t="shared" si="3"/>
        <v>3095</v>
      </c>
      <c r="B3096" s="53"/>
      <c r="C3096" s="53"/>
      <c r="D3096" s="42"/>
      <c r="E3096" s="42"/>
      <c r="F3096" s="53"/>
      <c r="G3096" s="53"/>
      <c r="H3096" s="53"/>
      <c r="I3096" s="53"/>
      <c r="J3096" s="53"/>
      <c r="K3096" s="53"/>
      <c r="L3096" s="53"/>
      <c r="M3096" s="53"/>
      <c r="N3096" s="62"/>
      <c r="O3096" s="62"/>
      <c r="P3096" s="62"/>
      <c r="Q3096" s="62"/>
      <c r="R3096" s="53"/>
      <c r="S3096" s="53"/>
      <c r="T3096" s="82"/>
      <c r="U3096" s="42"/>
      <c r="V3096" s="62"/>
      <c r="W3096" s="64"/>
      <c r="X3096" s="330"/>
      <c r="Y3096" s="330"/>
      <c r="Z3096" s="330"/>
      <c r="AA3096" s="223"/>
    </row>
    <row r="3097">
      <c r="A3097" s="42">
        <f t="shared" si="3"/>
        <v>3096</v>
      </c>
      <c r="B3097" s="53"/>
      <c r="C3097" s="53"/>
      <c r="D3097" s="42"/>
      <c r="E3097" s="42"/>
      <c r="F3097" s="53"/>
      <c r="G3097" s="53"/>
      <c r="H3097" s="53"/>
      <c r="I3097" s="53"/>
      <c r="J3097" s="53"/>
      <c r="K3097" s="53"/>
      <c r="L3097" s="53"/>
      <c r="M3097" s="53"/>
      <c r="N3097" s="62"/>
      <c r="O3097" s="62"/>
      <c r="P3097" s="62"/>
      <c r="Q3097" s="62"/>
      <c r="R3097" s="53"/>
      <c r="S3097" s="53"/>
      <c r="T3097" s="82"/>
      <c r="U3097" s="42"/>
      <c r="V3097" s="62"/>
      <c r="W3097" s="64"/>
      <c r="X3097" s="330"/>
      <c r="Y3097" s="330"/>
      <c r="Z3097" s="330"/>
      <c r="AA3097" s="223"/>
    </row>
    <row r="3098">
      <c r="A3098" s="42">
        <f t="shared" si="3"/>
        <v>3097</v>
      </c>
      <c r="B3098" s="53"/>
      <c r="C3098" s="53"/>
      <c r="D3098" s="42"/>
      <c r="E3098" s="42"/>
      <c r="F3098" s="53"/>
      <c r="G3098" s="53"/>
      <c r="H3098" s="53"/>
      <c r="I3098" s="53"/>
      <c r="J3098" s="53"/>
      <c r="K3098" s="53"/>
      <c r="L3098" s="53"/>
      <c r="M3098" s="53"/>
      <c r="N3098" s="62"/>
      <c r="O3098" s="62"/>
      <c r="P3098" s="62"/>
      <c r="Q3098" s="62"/>
      <c r="R3098" s="53"/>
      <c r="S3098" s="53"/>
      <c r="T3098" s="82"/>
      <c r="U3098" s="42"/>
      <c r="V3098" s="62"/>
      <c r="W3098" s="64"/>
      <c r="X3098" s="330"/>
      <c r="Y3098" s="330"/>
      <c r="Z3098" s="330"/>
      <c r="AA3098" s="223"/>
    </row>
    <row r="3099">
      <c r="A3099" s="42">
        <f t="shared" si="3"/>
        <v>3098</v>
      </c>
      <c r="B3099" s="53"/>
      <c r="C3099" s="53"/>
      <c r="D3099" s="42"/>
      <c r="E3099" s="42"/>
      <c r="F3099" s="53"/>
      <c r="G3099" s="53"/>
      <c r="H3099" s="53"/>
      <c r="I3099" s="53"/>
      <c r="J3099" s="53"/>
      <c r="K3099" s="53"/>
      <c r="L3099" s="53"/>
      <c r="M3099" s="53"/>
      <c r="N3099" s="62"/>
      <c r="O3099" s="62"/>
      <c r="P3099" s="62"/>
      <c r="Q3099" s="62"/>
      <c r="R3099" s="53"/>
      <c r="S3099" s="53"/>
      <c r="T3099" s="82"/>
      <c r="U3099" s="42"/>
      <c r="V3099" s="62"/>
      <c r="W3099" s="64"/>
      <c r="X3099" s="330"/>
      <c r="Y3099" s="330"/>
      <c r="Z3099" s="330"/>
      <c r="AA3099" s="223"/>
    </row>
    <row r="3100">
      <c r="A3100" s="42">
        <f t="shared" si="3"/>
        <v>3099</v>
      </c>
      <c r="B3100" s="53"/>
      <c r="C3100" s="53"/>
      <c r="D3100" s="42"/>
      <c r="E3100" s="42"/>
      <c r="F3100" s="53"/>
      <c r="G3100" s="53"/>
      <c r="H3100" s="53"/>
      <c r="I3100" s="53"/>
      <c r="J3100" s="53"/>
      <c r="K3100" s="53"/>
      <c r="L3100" s="53"/>
      <c r="M3100" s="53"/>
      <c r="N3100" s="62"/>
      <c r="O3100" s="62"/>
      <c r="P3100" s="62"/>
      <c r="Q3100" s="62"/>
      <c r="R3100" s="53"/>
      <c r="S3100" s="53"/>
      <c r="T3100" s="82"/>
      <c r="U3100" s="42"/>
      <c r="V3100" s="62"/>
      <c r="W3100" s="64"/>
      <c r="X3100" s="330"/>
      <c r="Y3100" s="330"/>
      <c r="Z3100" s="330"/>
      <c r="AA3100" s="223"/>
    </row>
    <row r="3101">
      <c r="A3101" s="42">
        <f t="shared" si="3"/>
        <v>3100</v>
      </c>
      <c r="B3101" s="53"/>
      <c r="C3101" s="53"/>
      <c r="D3101" s="42"/>
      <c r="E3101" s="42"/>
      <c r="F3101" s="53"/>
      <c r="G3101" s="53"/>
      <c r="H3101" s="53"/>
      <c r="I3101" s="53"/>
      <c r="J3101" s="53"/>
      <c r="K3101" s="53"/>
      <c r="L3101" s="53"/>
      <c r="M3101" s="53"/>
      <c r="N3101" s="62"/>
      <c r="O3101" s="62"/>
      <c r="P3101" s="62"/>
      <c r="Q3101" s="62"/>
      <c r="R3101" s="53"/>
      <c r="S3101" s="53"/>
      <c r="T3101" s="82"/>
      <c r="U3101" s="42"/>
      <c r="V3101" s="62"/>
      <c r="W3101" s="64"/>
      <c r="X3101" s="330"/>
      <c r="Y3101" s="330"/>
      <c r="Z3101" s="330"/>
      <c r="AA3101" s="223"/>
    </row>
    <row r="3102">
      <c r="A3102" s="42">
        <f t="shared" si="3"/>
        <v>3101</v>
      </c>
      <c r="B3102" s="53"/>
      <c r="C3102" s="53"/>
      <c r="D3102" s="42"/>
      <c r="E3102" s="42"/>
      <c r="F3102" s="53"/>
      <c r="G3102" s="53"/>
      <c r="H3102" s="53"/>
      <c r="I3102" s="53"/>
      <c r="J3102" s="53"/>
      <c r="K3102" s="53"/>
      <c r="L3102" s="53"/>
      <c r="M3102" s="53"/>
      <c r="N3102" s="62"/>
      <c r="O3102" s="62"/>
      <c r="P3102" s="62"/>
      <c r="Q3102" s="62"/>
      <c r="R3102" s="53"/>
      <c r="S3102" s="53"/>
      <c r="T3102" s="82"/>
      <c r="U3102" s="42"/>
      <c r="V3102" s="62"/>
      <c r="W3102" s="64"/>
      <c r="X3102" s="330"/>
      <c r="Y3102" s="330"/>
      <c r="Z3102" s="330"/>
      <c r="AA3102" s="223"/>
    </row>
    <row r="3103">
      <c r="A3103" s="42">
        <f t="shared" si="3"/>
        <v>3102</v>
      </c>
      <c r="B3103" s="53"/>
      <c r="C3103" s="53"/>
      <c r="D3103" s="42"/>
      <c r="E3103" s="42"/>
      <c r="F3103" s="53"/>
      <c r="G3103" s="53"/>
      <c r="H3103" s="53"/>
      <c r="I3103" s="53"/>
      <c r="J3103" s="53"/>
      <c r="K3103" s="53"/>
      <c r="L3103" s="53"/>
      <c r="M3103" s="53"/>
      <c r="N3103" s="62"/>
      <c r="O3103" s="62"/>
      <c r="P3103" s="62"/>
      <c r="Q3103" s="62"/>
      <c r="R3103" s="53"/>
      <c r="S3103" s="53"/>
      <c r="T3103" s="82"/>
      <c r="U3103" s="42"/>
      <c r="V3103" s="62"/>
      <c r="W3103" s="64"/>
      <c r="X3103" s="330"/>
      <c r="Y3103" s="330"/>
      <c r="Z3103" s="330"/>
      <c r="AA3103" s="223"/>
    </row>
    <row r="3104">
      <c r="A3104" s="42">
        <f t="shared" si="3"/>
        <v>3103</v>
      </c>
      <c r="B3104" s="53"/>
      <c r="C3104" s="53"/>
      <c r="D3104" s="42"/>
      <c r="E3104" s="42"/>
      <c r="F3104" s="53"/>
      <c r="G3104" s="53"/>
      <c r="H3104" s="53"/>
      <c r="I3104" s="53"/>
      <c r="J3104" s="53"/>
      <c r="K3104" s="53"/>
      <c r="L3104" s="53"/>
      <c r="M3104" s="53"/>
      <c r="N3104" s="62"/>
      <c r="O3104" s="62"/>
      <c r="P3104" s="62"/>
      <c r="Q3104" s="62"/>
      <c r="R3104" s="53"/>
      <c r="S3104" s="53"/>
      <c r="T3104" s="82"/>
      <c r="U3104" s="42"/>
      <c r="V3104" s="62"/>
      <c r="W3104" s="64"/>
      <c r="X3104" s="330"/>
      <c r="Y3104" s="330"/>
      <c r="Z3104" s="330"/>
      <c r="AA3104" s="223"/>
    </row>
    <row r="3105">
      <c r="A3105" s="42">
        <f t="shared" si="3"/>
        <v>3104</v>
      </c>
      <c r="B3105" s="53"/>
      <c r="C3105" s="53"/>
      <c r="D3105" s="42"/>
      <c r="E3105" s="42"/>
      <c r="F3105" s="53"/>
      <c r="G3105" s="53"/>
      <c r="H3105" s="53"/>
      <c r="I3105" s="53"/>
      <c r="J3105" s="53"/>
      <c r="K3105" s="53"/>
      <c r="L3105" s="53"/>
      <c r="M3105" s="53"/>
      <c r="N3105" s="62"/>
      <c r="O3105" s="62"/>
      <c r="P3105" s="62"/>
      <c r="Q3105" s="62"/>
      <c r="R3105" s="53"/>
      <c r="S3105" s="53"/>
      <c r="T3105" s="82"/>
      <c r="U3105" s="42"/>
      <c r="V3105" s="62"/>
      <c r="W3105" s="64"/>
      <c r="X3105" s="330"/>
      <c r="Y3105" s="330"/>
      <c r="Z3105" s="330"/>
      <c r="AA3105" s="223"/>
    </row>
    <row r="3106">
      <c r="A3106" s="42">
        <f t="shared" si="3"/>
        <v>3105</v>
      </c>
      <c r="B3106" s="53"/>
      <c r="C3106" s="53"/>
      <c r="D3106" s="42"/>
      <c r="E3106" s="42"/>
      <c r="F3106" s="53"/>
      <c r="G3106" s="53"/>
      <c r="H3106" s="53"/>
      <c r="I3106" s="53"/>
      <c r="J3106" s="53"/>
      <c r="K3106" s="53"/>
      <c r="L3106" s="53"/>
      <c r="M3106" s="53"/>
      <c r="N3106" s="62"/>
      <c r="O3106" s="62"/>
      <c r="P3106" s="62"/>
      <c r="Q3106" s="62"/>
      <c r="R3106" s="53"/>
      <c r="S3106" s="53"/>
      <c r="T3106" s="82"/>
      <c r="U3106" s="42"/>
      <c r="V3106" s="62"/>
      <c r="W3106" s="64"/>
      <c r="X3106" s="330"/>
      <c r="Y3106" s="330"/>
      <c r="Z3106" s="330"/>
      <c r="AA3106" s="223"/>
    </row>
    <row r="3107">
      <c r="A3107" s="42">
        <f t="shared" si="3"/>
        <v>3106</v>
      </c>
      <c r="B3107" s="53"/>
      <c r="C3107" s="53"/>
      <c r="D3107" s="42"/>
      <c r="E3107" s="42"/>
      <c r="F3107" s="53"/>
      <c r="G3107" s="53"/>
      <c r="H3107" s="53"/>
      <c r="I3107" s="53"/>
      <c r="J3107" s="53"/>
      <c r="K3107" s="53"/>
      <c r="L3107" s="53"/>
      <c r="M3107" s="53"/>
      <c r="N3107" s="62"/>
      <c r="O3107" s="62"/>
      <c r="P3107" s="62"/>
      <c r="Q3107" s="62"/>
      <c r="R3107" s="53"/>
      <c r="S3107" s="53"/>
      <c r="T3107" s="82"/>
      <c r="U3107" s="42"/>
      <c r="V3107" s="62"/>
      <c r="W3107" s="64"/>
      <c r="X3107" s="330"/>
      <c r="Y3107" s="330"/>
      <c r="Z3107" s="330"/>
      <c r="AA3107" s="223"/>
    </row>
    <row r="3108">
      <c r="A3108" s="42">
        <f t="shared" si="3"/>
        <v>3107</v>
      </c>
      <c r="B3108" s="53"/>
      <c r="C3108" s="53"/>
      <c r="D3108" s="42"/>
      <c r="E3108" s="42"/>
      <c r="F3108" s="53"/>
      <c r="G3108" s="53"/>
      <c r="H3108" s="53"/>
      <c r="I3108" s="53"/>
      <c r="J3108" s="53"/>
      <c r="K3108" s="53"/>
      <c r="L3108" s="53"/>
      <c r="M3108" s="53"/>
      <c r="N3108" s="62"/>
      <c r="O3108" s="62"/>
      <c r="P3108" s="62"/>
      <c r="Q3108" s="62"/>
      <c r="R3108" s="53"/>
      <c r="S3108" s="53"/>
      <c r="T3108" s="82"/>
      <c r="U3108" s="42"/>
      <c r="V3108" s="62"/>
      <c r="W3108" s="64"/>
      <c r="X3108" s="330"/>
      <c r="Y3108" s="330"/>
      <c r="Z3108" s="330"/>
      <c r="AA3108" s="223"/>
    </row>
    <row r="3109">
      <c r="A3109" s="42">
        <f t="shared" si="3"/>
        <v>3108</v>
      </c>
      <c r="B3109" s="53"/>
      <c r="C3109" s="53"/>
      <c r="D3109" s="42"/>
      <c r="E3109" s="42"/>
      <c r="F3109" s="53"/>
      <c r="G3109" s="53"/>
      <c r="H3109" s="53"/>
      <c r="I3109" s="53"/>
      <c r="J3109" s="53"/>
      <c r="K3109" s="53"/>
      <c r="L3109" s="53"/>
      <c r="M3109" s="53"/>
      <c r="N3109" s="62"/>
      <c r="O3109" s="62"/>
      <c r="P3109" s="62"/>
      <c r="Q3109" s="62"/>
      <c r="R3109" s="53"/>
      <c r="S3109" s="53"/>
      <c r="T3109" s="82"/>
      <c r="U3109" s="42"/>
      <c r="V3109" s="62"/>
      <c r="W3109" s="64"/>
      <c r="X3109" s="330"/>
      <c r="Y3109" s="330"/>
      <c r="Z3109" s="330"/>
      <c r="AA3109" s="223"/>
    </row>
    <row r="3110">
      <c r="A3110" s="42">
        <f t="shared" si="3"/>
        <v>3109</v>
      </c>
      <c r="B3110" s="53"/>
      <c r="C3110" s="53"/>
      <c r="D3110" s="42"/>
      <c r="E3110" s="42"/>
      <c r="F3110" s="53"/>
      <c r="G3110" s="53"/>
      <c r="H3110" s="53"/>
      <c r="I3110" s="53"/>
      <c r="J3110" s="53"/>
      <c r="K3110" s="53"/>
      <c r="L3110" s="53"/>
      <c r="M3110" s="53"/>
      <c r="N3110" s="62"/>
      <c r="O3110" s="62"/>
      <c r="P3110" s="62"/>
      <c r="Q3110" s="62"/>
      <c r="R3110" s="53"/>
      <c r="S3110" s="53"/>
      <c r="T3110" s="82"/>
      <c r="U3110" s="42"/>
      <c r="V3110" s="62"/>
      <c r="W3110" s="64"/>
      <c r="X3110" s="330"/>
      <c r="Y3110" s="330"/>
      <c r="Z3110" s="330"/>
      <c r="AA3110" s="223"/>
    </row>
    <row r="3111">
      <c r="A3111" s="42">
        <f t="shared" si="3"/>
        <v>3110</v>
      </c>
      <c r="B3111" s="53"/>
      <c r="C3111" s="53"/>
      <c r="D3111" s="42"/>
      <c r="E3111" s="42"/>
      <c r="F3111" s="53"/>
      <c r="G3111" s="53"/>
      <c r="H3111" s="53"/>
      <c r="I3111" s="53"/>
      <c r="J3111" s="53"/>
      <c r="K3111" s="53"/>
      <c r="L3111" s="53"/>
      <c r="M3111" s="53"/>
      <c r="N3111" s="62"/>
      <c r="O3111" s="62"/>
      <c r="P3111" s="62"/>
      <c r="Q3111" s="62"/>
      <c r="R3111" s="53"/>
      <c r="S3111" s="53"/>
      <c r="T3111" s="82"/>
      <c r="U3111" s="42"/>
      <c r="V3111" s="62"/>
      <c r="W3111" s="64"/>
      <c r="X3111" s="330"/>
      <c r="Y3111" s="330"/>
      <c r="Z3111" s="330"/>
      <c r="AA3111" s="223"/>
    </row>
    <row r="3112">
      <c r="A3112" s="42">
        <f t="shared" si="3"/>
        <v>3111</v>
      </c>
      <c r="B3112" s="53"/>
      <c r="C3112" s="53"/>
      <c r="D3112" s="42"/>
      <c r="E3112" s="42"/>
      <c r="F3112" s="53"/>
      <c r="G3112" s="53"/>
      <c r="H3112" s="53"/>
      <c r="I3112" s="53"/>
      <c r="J3112" s="53"/>
      <c r="K3112" s="53"/>
      <c r="L3112" s="53"/>
      <c r="M3112" s="53"/>
      <c r="N3112" s="62"/>
      <c r="O3112" s="62"/>
      <c r="P3112" s="62"/>
      <c r="Q3112" s="62"/>
      <c r="R3112" s="53"/>
      <c r="S3112" s="53"/>
      <c r="T3112" s="82"/>
      <c r="U3112" s="42"/>
      <c r="V3112" s="62"/>
      <c r="W3112" s="64"/>
      <c r="X3112" s="330"/>
      <c r="Y3112" s="330"/>
      <c r="Z3112" s="330"/>
      <c r="AA3112" s="223"/>
    </row>
    <row r="3113">
      <c r="A3113" s="42">
        <f t="shared" si="3"/>
        <v>3112</v>
      </c>
      <c r="B3113" s="53"/>
      <c r="C3113" s="53"/>
      <c r="D3113" s="42"/>
      <c r="E3113" s="42"/>
      <c r="F3113" s="53"/>
      <c r="G3113" s="53"/>
      <c r="H3113" s="53"/>
      <c r="I3113" s="53"/>
      <c r="J3113" s="53"/>
      <c r="K3113" s="53"/>
      <c r="L3113" s="53"/>
      <c r="M3113" s="53"/>
      <c r="N3113" s="62"/>
      <c r="O3113" s="62"/>
      <c r="P3113" s="62"/>
      <c r="Q3113" s="62"/>
      <c r="R3113" s="53"/>
      <c r="S3113" s="53"/>
      <c r="T3113" s="82"/>
      <c r="U3113" s="42"/>
      <c r="V3113" s="62"/>
      <c r="W3113" s="64"/>
      <c r="X3113" s="330"/>
      <c r="Y3113" s="330"/>
      <c r="Z3113" s="330"/>
      <c r="AA3113" s="223"/>
    </row>
    <row r="3114">
      <c r="A3114" s="42">
        <f t="shared" si="3"/>
        <v>3113</v>
      </c>
      <c r="B3114" s="53"/>
      <c r="C3114" s="53"/>
      <c r="D3114" s="42"/>
      <c r="E3114" s="42"/>
      <c r="F3114" s="53"/>
      <c r="G3114" s="53"/>
      <c r="H3114" s="53"/>
      <c r="I3114" s="53"/>
      <c r="J3114" s="53"/>
      <c r="K3114" s="53"/>
      <c r="L3114" s="53"/>
      <c r="M3114" s="53"/>
      <c r="N3114" s="62"/>
      <c r="O3114" s="62"/>
      <c r="P3114" s="62"/>
      <c r="Q3114" s="62"/>
      <c r="R3114" s="53"/>
      <c r="S3114" s="53"/>
      <c r="T3114" s="82"/>
      <c r="U3114" s="42"/>
      <c r="V3114" s="62"/>
      <c r="W3114" s="64"/>
      <c r="X3114" s="330"/>
      <c r="Y3114" s="330"/>
      <c r="Z3114" s="330"/>
      <c r="AA3114" s="223"/>
    </row>
    <row r="3115">
      <c r="A3115" s="42">
        <f t="shared" si="3"/>
        <v>3114</v>
      </c>
      <c r="B3115" s="53"/>
      <c r="C3115" s="53"/>
      <c r="D3115" s="42"/>
      <c r="E3115" s="42"/>
      <c r="F3115" s="53"/>
      <c r="G3115" s="53"/>
      <c r="H3115" s="53"/>
      <c r="I3115" s="53"/>
      <c r="J3115" s="53"/>
      <c r="K3115" s="53"/>
      <c r="L3115" s="53"/>
      <c r="M3115" s="53"/>
      <c r="N3115" s="62"/>
      <c r="O3115" s="62"/>
      <c r="P3115" s="62"/>
      <c r="Q3115" s="62"/>
      <c r="R3115" s="53"/>
      <c r="S3115" s="53"/>
      <c r="T3115" s="82"/>
      <c r="U3115" s="42"/>
      <c r="V3115" s="62"/>
      <c r="W3115" s="64"/>
      <c r="X3115" s="330"/>
      <c r="Y3115" s="330"/>
      <c r="Z3115" s="330"/>
      <c r="AA3115" s="223"/>
    </row>
    <row r="3116">
      <c r="A3116" s="42">
        <f t="shared" si="3"/>
        <v>3115</v>
      </c>
      <c r="B3116" s="53"/>
      <c r="C3116" s="53"/>
      <c r="D3116" s="42"/>
      <c r="E3116" s="42"/>
      <c r="F3116" s="53"/>
      <c r="G3116" s="53"/>
      <c r="H3116" s="53"/>
      <c r="I3116" s="53"/>
      <c r="J3116" s="53"/>
      <c r="K3116" s="53"/>
      <c r="L3116" s="53"/>
      <c r="M3116" s="53"/>
      <c r="N3116" s="62"/>
      <c r="O3116" s="62"/>
      <c r="P3116" s="62"/>
      <c r="Q3116" s="62"/>
      <c r="R3116" s="53"/>
      <c r="S3116" s="53"/>
      <c r="T3116" s="82"/>
      <c r="U3116" s="42"/>
      <c r="V3116" s="62"/>
      <c r="W3116" s="64"/>
      <c r="X3116" s="330"/>
      <c r="Y3116" s="330"/>
      <c r="Z3116" s="330"/>
      <c r="AA3116" s="223"/>
    </row>
    <row r="3117">
      <c r="A3117" s="42">
        <f t="shared" si="3"/>
        <v>3116</v>
      </c>
      <c r="B3117" s="53"/>
      <c r="C3117" s="53"/>
      <c r="D3117" s="42"/>
      <c r="E3117" s="42"/>
      <c r="F3117" s="53"/>
      <c r="G3117" s="53"/>
      <c r="H3117" s="53"/>
      <c r="I3117" s="53"/>
      <c r="J3117" s="53"/>
      <c r="K3117" s="53"/>
      <c r="L3117" s="53"/>
      <c r="M3117" s="53"/>
      <c r="N3117" s="62"/>
      <c r="O3117" s="62"/>
      <c r="P3117" s="62"/>
      <c r="Q3117" s="62"/>
      <c r="R3117" s="53"/>
      <c r="S3117" s="53"/>
      <c r="T3117" s="82"/>
      <c r="U3117" s="42"/>
      <c r="V3117" s="62"/>
      <c r="W3117" s="64"/>
      <c r="X3117" s="330"/>
      <c r="Y3117" s="330"/>
      <c r="Z3117" s="330"/>
      <c r="AA3117" s="223"/>
    </row>
    <row r="3118">
      <c r="A3118" s="42">
        <f t="shared" si="3"/>
        <v>3117</v>
      </c>
      <c r="B3118" s="53"/>
      <c r="C3118" s="53"/>
      <c r="D3118" s="42"/>
      <c r="E3118" s="42"/>
      <c r="F3118" s="53"/>
      <c r="G3118" s="53"/>
      <c r="H3118" s="53"/>
      <c r="I3118" s="53"/>
      <c r="J3118" s="53"/>
      <c r="K3118" s="53"/>
      <c r="L3118" s="53"/>
      <c r="M3118" s="53"/>
      <c r="N3118" s="62"/>
      <c r="O3118" s="62"/>
      <c r="P3118" s="62"/>
      <c r="Q3118" s="62"/>
      <c r="R3118" s="53"/>
      <c r="S3118" s="53"/>
      <c r="T3118" s="82"/>
      <c r="U3118" s="42"/>
      <c r="V3118" s="62"/>
      <c r="W3118" s="64"/>
      <c r="X3118" s="330"/>
      <c r="Y3118" s="330"/>
      <c r="Z3118" s="330"/>
      <c r="AA3118" s="223"/>
    </row>
    <row r="3119">
      <c r="A3119" s="42">
        <f t="shared" si="3"/>
        <v>3118</v>
      </c>
      <c r="B3119" s="53"/>
      <c r="C3119" s="53"/>
      <c r="D3119" s="42"/>
      <c r="E3119" s="42"/>
      <c r="F3119" s="53"/>
      <c r="G3119" s="53"/>
      <c r="H3119" s="53"/>
      <c r="I3119" s="53"/>
      <c r="J3119" s="53"/>
      <c r="K3119" s="53"/>
      <c r="L3119" s="53"/>
      <c r="M3119" s="53"/>
      <c r="N3119" s="62"/>
      <c r="O3119" s="62"/>
      <c r="P3119" s="62"/>
      <c r="Q3119" s="62"/>
      <c r="R3119" s="53"/>
      <c r="S3119" s="53"/>
      <c r="T3119" s="82"/>
      <c r="U3119" s="42"/>
      <c r="V3119" s="62"/>
      <c r="W3119" s="64"/>
      <c r="X3119" s="330"/>
      <c r="Y3119" s="330"/>
      <c r="Z3119" s="330"/>
      <c r="AA3119" s="223"/>
    </row>
    <row r="3120">
      <c r="A3120" s="42">
        <f t="shared" si="3"/>
        <v>3119</v>
      </c>
      <c r="B3120" s="53"/>
      <c r="C3120" s="53"/>
      <c r="D3120" s="42"/>
      <c r="E3120" s="42"/>
      <c r="F3120" s="53"/>
      <c r="G3120" s="53"/>
      <c r="H3120" s="53"/>
      <c r="I3120" s="53"/>
      <c r="J3120" s="53"/>
      <c r="K3120" s="53"/>
      <c r="L3120" s="53"/>
      <c r="M3120" s="53"/>
      <c r="N3120" s="62"/>
      <c r="O3120" s="62"/>
      <c r="P3120" s="62"/>
      <c r="Q3120" s="62"/>
      <c r="R3120" s="53"/>
      <c r="S3120" s="53"/>
      <c r="T3120" s="82"/>
      <c r="U3120" s="42"/>
      <c r="V3120" s="62"/>
      <c r="W3120" s="64"/>
      <c r="X3120" s="330"/>
      <c r="Y3120" s="330"/>
      <c r="Z3120" s="330"/>
      <c r="AA3120" s="223"/>
    </row>
    <row r="3121">
      <c r="A3121" s="42">
        <f t="shared" si="3"/>
        <v>3120</v>
      </c>
      <c r="B3121" s="53"/>
      <c r="C3121" s="53"/>
      <c r="D3121" s="42"/>
      <c r="E3121" s="42"/>
      <c r="F3121" s="53"/>
      <c r="G3121" s="53"/>
      <c r="H3121" s="53"/>
      <c r="I3121" s="53"/>
      <c r="J3121" s="53"/>
      <c r="K3121" s="53"/>
      <c r="L3121" s="53"/>
      <c r="M3121" s="53"/>
      <c r="N3121" s="62"/>
      <c r="O3121" s="62"/>
      <c r="P3121" s="62"/>
      <c r="Q3121" s="62"/>
      <c r="R3121" s="53"/>
      <c r="S3121" s="53"/>
      <c r="T3121" s="82"/>
      <c r="U3121" s="42"/>
      <c r="V3121" s="62"/>
      <c r="W3121" s="64"/>
      <c r="X3121" s="330"/>
      <c r="Y3121" s="330"/>
      <c r="Z3121" s="330"/>
      <c r="AA3121" s="223"/>
    </row>
    <row r="3122">
      <c r="A3122" s="42">
        <f t="shared" si="3"/>
        <v>3121</v>
      </c>
      <c r="B3122" s="53"/>
      <c r="C3122" s="53"/>
      <c r="D3122" s="42"/>
      <c r="E3122" s="42"/>
      <c r="F3122" s="53"/>
      <c r="G3122" s="53"/>
      <c r="H3122" s="53"/>
      <c r="I3122" s="53"/>
      <c r="J3122" s="53"/>
      <c r="K3122" s="53"/>
      <c r="L3122" s="53"/>
      <c r="M3122" s="53"/>
      <c r="N3122" s="62"/>
      <c r="O3122" s="62"/>
      <c r="P3122" s="62"/>
      <c r="Q3122" s="62"/>
      <c r="R3122" s="53"/>
      <c r="S3122" s="53"/>
      <c r="T3122" s="82"/>
      <c r="U3122" s="42"/>
      <c r="V3122" s="62"/>
      <c r="W3122" s="64"/>
      <c r="X3122" s="330"/>
      <c r="Y3122" s="330"/>
      <c r="Z3122" s="330"/>
      <c r="AA3122" s="223"/>
    </row>
    <row r="3123">
      <c r="A3123" s="42">
        <f t="shared" si="3"/>
        <v>3122</v>
      </c>
      <c r="B3123" s="53"/>
      <c r="C3123" s="53"/>
      <c r="D3123" s="42"/>
      <c r="E3123" s="42"/>
      <c r="F3123" s="53"/>
      <c r="G3123" s="53"/>
      <c r="H3123" s="53"/>
      <c r="I3123" s="53"/>
      <c r="J3123" s="53"/>
      <c r="K3123" s="53"/>
      <c r="L3123" s="53"/>
      <c r="M3123" s="53"/>
      <c r="N3123" s="62"/>
      <c r="O3123" s="62"/>
      <c r="P3123" s="62"/>
      <c r="Q3123" s="62"/>
      <c r="R3123" s="53"/>
      <c r="S3123" s="53"/>
      <c r="T3123" s="82"/>
      <c r="U3123" s="42"/>
      <c r="V3123" s="62"/>
      <c r="W3123" s="64"/>
      <c r="X3123" s="330"/>
      <c r="Y3123" s="330"/>
      <c r="Z3123" s="330"/>
      <c r="AA3123" s="223"/>
    </row>
    <row r="3124">
      <c r="A3124" s="42">
        <f t="shared" si="3"/>
        <v>3123</v>
      </c>
      <c r="B3124" s="53"/>
      <c r="C3124" s="53"/>
      <c r="D3124" s="42"/>
      <c r="E3124" s="42"/>
      <c r="F3124" s="53"/>
      <c r="G3124" s="53"/>
      <c r="H3124" s="53"/>
      <c r="I3124" s="53"/>
      <c r="J3124" s="53"/>
      <c r="K3124" s="53"/>
      <c r="L3124" s="53"/>
      <c r="M3124" s="53"/>
      <c r="N3124" s="62"/>
      <c r="O3124" s="62"/>
      <c r="P3124" s="62"/>
      <c r="Q3124" s="62"/>
      <c r="R3124" s="53"/>
      <c r="S3124" s="53"/>
      <c r="T3124" s="82"/>
      <c r="U3124" s="42"/>
      <c r="V3124" s="62"/>
      <c r="W3124" s="64"/>
      <c r="X3124" s="330"/>
      <c r="Y3124" s="330"/>
      <c r="Z3124" s="330"/>
      <c r="AA3124" s="223"/>
    </row>
    <row r="3125">
      <c r="A3125" s="42">
        <f t="shared" si="3"/>
        <v>3124</v>
      </c>
      <c r="B3125" s="53"/>
      <c r="C3125" s="53"/>
      <c r="D3125" s="42"/>
      <c r="E3125" s="42"/>
      <c r="F3125" s="53"/>
      <c r="G3125" s="53"/>
      <c r="H3125" s="53"/>
      <c r="I3125" s="53"/>
      <c r="J3125" s="53"/>
      <c r="K3125" s="53"/>
      <c r="L3125" s="53"/>
      <c r="M3125" s="53"/>
      <c r="N3125" s="62"/>
      <c r="O3125" s="62"/>
      <c r="P3125" s="62"/>
      <c r="Q3125" s="62"/>
      <c r="R3125" s="53"/>
      <c r="S3125" s="53"/>
      <c r="T3125" s="82"/>
      <c r="U3125" s="42"/>
      <c r="V3125" s="62"/>
      <c r="W3125" s="64"/>
      <c r="X3125" s="330"/>
      <c r="Y3125" s="330"/>
      <c r="Z3125" s="330"/>
      <c r="AA3125" s="223"/>
    </row>
    <row r="3126">
      <c r="A3126" s="42">
        <f t="shared" si="3"/>
        <v>3125</v>
      </c>
      <c r="B3126" s="53"/>
      <c r="C3126" s="53"/>
      <c r="D3126" s="42"/>
      <c r="E3126" s="42"/>
      <c r="F3126" s="53"/>
      <c r="G3126" s="53"/>
      <c r="H3126" s="53"/>
      <c r="I3126" s="53"/>
      <c r="J3126" s="53"/>
      <c r="K3126" s="53"/>
      <c r="L3126" s="53"/>
      <c r="M3126" s="53"/>
      <c r="N3126" s="62"/>
      <c r="O3126" s="62"/>
      <c r="P3126" s="62"/>
      <c r="Q3126" s="62"/>
      <c r="R3126" s="53"/>
      <c r="S3126" s="53"/>
      <c r="T3126" s="82"/>
      <c r="U3126" s="42"/>
      <c r="V3126" s="62"/>
      <c r="W3126" s="64"/>
      <c r="X3126" s="330"/>
      <c r="Y3126" s="330"/>
      <c r="Z3126" s="330"/>
      <c r="AA3126" s="223"/>
    </row>
    <row r="3127">
      <c r="A3127" s="42">
        <f t="shared" si="3"/>
        <v>3126</v>
      </c>
      <c r="B3127" s="53"/>
      <c r="C3127" s="53"/>
      <c r="D3127" s="42"/>
      <c r="E3127" s="42"/>
      <c r="F3127" s="53"/>
      <c r="G3127" s="53"/>
      <c r="H3127" s="53"/>
      <c r="I3127" s="53"/>
      <c r="J3127" s="53"/>
      <c r="K3127" s="53"/>
      <c r="L3127" s="53"/>
      <c r="M3127" s="53"/>
      <c r="N3127" s="62"/>
      <c r="O3127" s="62"/>
      <c r="P3127" s="62"/>
      <c r="Q3127" s="62"/>
      <c r="R3127" s="53"/>
      <c r="S3127" s="53"/>
      <c r="T3127" s="82"/>
      <c r="U3127" s="42"/>
      <c r="V3127" s="62"/>
      <c r="W3127" s="64"/>
      <c r="X3127" s="330"/>
      <c r="Y3127" s="330"/>
      <c r="Z3127" s="330"/>
      <c r="AA3127" s="223"/>
    </row>
    <row r="3128">
      <c r="A3128" s="42">
        <f t="shared" si="3"/>
        <v>3127</v>
      </c>
      <c r="B3128" s="53"/>
      <c r="C3128" s="53"/>
      <c r="D3128" s="42"/>
      <c r="E3128" s="42"/>
      <c r="F3128" s="53"/>
      <c r="G3128" s="53"/>
      <c r="H3128" s="53"/>
      <c r="I3128" s="53"/>
      <c r="J3128" s="53"/>
      <c r="K3128" s="53"/>
      <c r="L3128" s="53"/>
      <c r="M3128" s="53"/>
      <c r="N3128" s="62"/>
      <c r="O3128" s="62"/>
      <c r="P3128" s="62"/>
      <c r="Q3128" s="62"/>
      <c r="R3128" s="53"/>
      <c r="S3128" s="53"/>
      <c r="T3128" s="82"/>
      <c r="U3128" s="42"/>
      <c r="V3128" s="62"/>
      <c r="W3128" s="64"/>
      <c r="X3128" s="330"/>
      <c r="Y3128" s="330"/>
      <c r="Z3128" s="330"/>
      <c r="AA3128" s="223"/>
    </row>
    <row r="3129">
      <c r="A3129" s="42">
        <f t="shared" si="3"/>
        <v>3128</v>
      </c>
      <c r="B3129" s="53"/>
      <c r="C3129" s="53"/>
      <c r="D3129" s="42"/>
      <c r="E3129" s="42"/>
      <c r="F3129" s="53"/>
      <c r="G3129" s="53"/>
      <c r="H3129" s="53"/>
      <c r="I3129" s="53"/>
      <c r="J3129" s="53"/>
      <c r="K3129" s="53"/>
      <c r="L3129" s="53"/>
      <c r="M3129" s="53"/>
      <c r="N3129" s="62"/>
      <c r="O3129" s="62"/>
      <c r="P3129" s="62"/>
      <c r="Q3129" s="62"/>
      <c r="R3129" s="53"/>
      <c r="S3129" s="53"/>
      <c r="T3129" s="82"/>
      <c r="U3129" s="42"/>
      <c r="V3129" s="62"/>
      <c r="W3129" s="64"/>
      <c r="X3129" s="330"/>
      <c r="Y3129" s="330"/>
      <c r="Z3129" s="330"/>
      <c r="AA3129" s="223"/>
    </row>
    <row r="3130">
      <c r="A3130" s="42">
        <f t="shared" si="3"/>
        <v>3129</v>
      </c>
      <c r="B3130" s="53"/>
      <c r="C3130" s="53"/>
      <c r="D3130" s="42"/>
      <c r="E3130" s="42"/>
      <c r="F3130" s="53"/>
      <c r="G3130" s="53"/>
      <c r="H3130" s="53"/>
      <c r="I3130" s="53"/>
      <c r="J3130" s="53"/>
      <c r="K3130" s="53"/>
      <c r="L3130" s="53"/>
      <c r="M3130" s="53"/>
      <c r="N3130" s="62"/>
      <c r="O3130" s="62"/>
      <c r="P3130" s="62"/>
      <c r="Q3130" s="62"/>
      <c r="R3130" s="53"/>
      <c r="S3130" s="53"/>
      <c r="T3130" s="82"/>
      <c r="U3130" s="42"/>
      <c r="V3130" s="62"/>
      <c r="W3130" s="64"/>
      <c r="X3130" s="330"/>
      <c r="Y3130" s="330"/>
      <c r="Z3130" s="330"/>
      <c r="AA3130" s="223"/>
    </row>
    <row r="3131">
      <c r="A3131" s="42">
        <f t="shared" si="3"/>
        <v>3130</v>
      </c>
      <c r="B3131" s="53"/>
      <c r="C3131" s="53"/>
      <c r="D3131" s="42"/>
      <c r="E3131" s="42"/>
      <c r="F3131" s="53"/>
      <c r="G3131" s="53"/>
      <c r="H3131" s="53"/>
      <c r="I3131" s="53"/>
      <c r="J3131" s="53"/>
      <c r="K3131" s="53"/>
      <c r="L3131" s="53"/>
      <c r="M3131" s="53"/>
      <c r="N3131" s="62"/>
      <c r="O3131" s="62"/>
      <c r="P3131" s="62"/>
      <c r="Q3131" s="62"/>
      <c r="R3131" s="53"/>
      <c r="S3131" s="53"/>
      <c r="T3131" s="82"/>
      <c r="U3131" s="42"/>
      <c r="V3131" s="62"/>
      <c r="W3131" s="64"/>
      <c r="X3131" s="330"/>
      <c r="Y3131" s="330"/>
      <c r="Z3131" s="330"/>
      <c r="AA3131" s="223"/>
    </row>
    <row r="3132">
      <c r="A3132" s="42">
        <f t="shared" si="3"/>
        <v>3131</v>
      </c>
      <c r="B3132" s="53"/>
      <c r="C3132" s="53"/>
      <c r="D3132" s="42"/>
      <c r="E3132" s="42"/>
      <c r="F3132" s="53"/>
      <c r="G3132" s="53"/>
      <c r="H3132" s="53"/>
      <c r="I3132" s="53"/>
      <c r="J3132" s="53"/>
      <c r="K3132" s="53"/>
      <c r="L3132" s="53"/>
      <c r="M3132" s="53"/>
      <c r="N3132" s="62"/>
      <c r="O3132" s="62"/>
      <c r="P3132" s="62"/>
      <c r="Q3132" s="62"/>
      <c r="R3132" s="53"/>
      <c r="S3132" s="53"/>
      <c r="T3132" s="82"/>
      <c r="U3132" s="42"/>
      <c r="V3132" s="62"/>
      <c r="W3132" s="64"/>
      <c r="X3132" s="330"/>
      <c r="Y3132" s="330"/>
      <c r="Z3132" s="330"/>
      <c r="AA3132" s="223"/>
    </row>
    <row r="3133">
      <c r="A3133" s="42">
        <f t="shared" si="3"/>
        <v>3132</v>
      </c>
      <c r="B3133" s="53"/>
      <c r="C3133" s="53"/>
      <c r="D3133" s="42"/>
      <c r="E3133" s="42"/>
      <c r="F3133" s="53"/>
      <c r="G3133" s="53"/>
      <c r="H3133" s="53"/>
      <c r="I3133" s="53"/>
      <c r="J3133" s="53"/>
      <c r="K3133" s="53"/>
      <c r="L3133" s="53"/>
      <c r="M3133" s="53"/>
      <c r="N3133" s="62"/>
      <c r="O3133" s="62"/>
      <c r="P3133" s="62"/>
      <c r="Q3133" s="62"/>
      <c r="R3133" s="53"/>
      <c r="S3133" s="53"/>
      <c r="T3133" s="82"/>
      <c r="U3133" s="42"/>
      <c r="V3133" s="62"/>
      <c r="W3133" s="64"/>
      <c r="X3133" s="330"/>
      <c r="Y3133" s="330"/>
      <c r="Z3133" s="330"/>
      <c r="AA3133" s="223"/>
    </row>
    <row r="3134">
      <c r="A3134" s="42">
        <f t="shared" si="3"/>
        <v>3133</v>
      </c>
      <c r="B3134" s="53"/>
      <c r="C3134" s="53"/>
      <c r="D3134" s="42"/>
      <c r="E3134" s="42"/>
      <c r="F3134" s="53"/>
      <c r="G3134" s="53"/>
      <c r="H3134" s="53"/>
      <c r="I3134" s="53"/>
      <c r="J3134" s="53"/>
      <c r="K3134" s="53"/>
      <c r="L3134" s="53"/>
      <c r="M3134" s="53"/>
      <c r="N3134" s="62"/>
      <c r="O3134" s="62"/>
      <c r="P3134" s="62"/>
      <c r="Q3134" s="62"/>
      <c r="R3134" s="53"/>
      <c r="S3134" s="53"/>
      <c r="T3134" s="82"/>
      <c r="U3134" s="42"/>
      <c r="V3134" s="62"/>
      <c r="W3134" s="64"/>
      <c r="X3134" s="330"/>
      <c r="Y3134" s="330"/>
      <c r="Z3134" s="330"/>
      <c r="AA3134" s="223"/>
    </row>
    <row r="3135">
      <c r="A3135" s="42">
        <f t="shared" si="3"/>
        <v>3134</v>
      </c>
      <c r="B3135" s="53"/>
      <c r="C3135" s="53"/>
      <c r="D3135" s="42"/>
      <c r="E3135" s="42"/>
      <c r="F3135" s="53"/>
      <c r="G3135" s="53"/>
      <c r="H3135" s="53"/>
      <c r="I3135" s="53"/>
      <c r="J3135" s="53"/>
      <c r="K3135" s="53"/>
      <c r="L3135" s="53"/>
      <c r="M3135" s="53"/>
      <c r="N3135" s="62"/>
      <c r="O3135" s="62"/>
      <c r="P3135" s="62"/>
      <c r="Q3135" s="62"/>
      <c r="R3135" s="53"/>
      <c r="S3135" s="53"/>
      <c r="T3135" s="82"/>
      <c r="U3135" s="42"/>
      <c r="V3135" s="62"/>
      <c r="W3135" s="64"/>
      <c r="X3135" s="330"/>
      <c r="Y3135" s="330"/>
      <c r="Z3135" s="330"/>
      <c r="AA3135" s="223"/>
    </row>
    <row r="3136">
      <c r="A3136" s="42">
        <f t="shared" si="3"/>
        <v>3135</v>
      </c>
      <c r="B3136" s="53"/>
      <c r="C3136" s="53"/>
      <c r="D3136" s="42"/>
      <c r="E3136" s="42"/>
      <c r="F3136" s="53"/>
      <c r="G3136" s="53"/>
      <c r="H3136" s="53"/>
      <c r="I3136" s="53"/>
      <c r="J3136" s="53"/>
      <c r="K3136" s="53"/>
      <c r="L3136" s="53"/>
      <c r="M3136" s="53"/>
      <c r="N3136" s="62"/>
      <c r="O3136" s="62"/>
      <c r="P3136" s="62"/>
      <c r="Q3136" s="62"/>
      <c r="R3136" s="53"/>
      <c r="S3136" s="53"/>
      <c r="T3136" s="82"/>
      <c r="U3136" s="42"/>
      <c r="V3136" s="62"/>
      <c r="W3136" s="64"/>
      <c r="X3136" s="330"/>
      <c r="Y3136" s="330"/>
      <c r="Z3136" s="330"/>
      <c r="AA3136" s="223"/>
    </row>
    <row r="3137">
      <c r="A3137" s="42">
        <f t="shared" si="3"/>
        <v>3136</v>
      </c>
      <c r="B3137" s="53"/>
      <c r="C3137" s="53"/>
      <c r="D3137" s="42"/>
      <c r="E3137" s="42"/>
      <c r="F3137" s="53"/>
      <c r="G3137" s="53"/>
      <c r="H3137" s="53"/>
      <c r="I3137" s="53"/>
      <c r="J3137" s="53"/>
      <c r="K3137" s="53"/>
      <c r="L3137" s="53"/>
      <c r="M3137" s="53"/>
      <c r="N3137" s="62"/>
      <c r="O3137" s="62"/>
      <c r="P3137" s="62"/>
      <c r="Q3137" s="62"/>
      <c r="R3137" s="53"/>
      <c r="S3137" s="53"/>
      <c r="T3137" s="82"/>
      <c r="U3137" s="42"/>
      <c r="V3137" s="62"/>
      <c r="W3137" s="64"/>
      <c r="X3137" s="330"/>
      <c r="Y3137" s="330"/>
      <c r="Z3137" s="330"/>
      <c r="AA3137" s="223"/>
    </row>
    <row r="3138">
      <c r="A3138" s="42">
        <f t="shared" si="3"/>
        <v>3137</v>
      </c>
      <c r="B3138" s="53"/>
      <c r="C3138" s="53"/>
      <c r="D3138" s="42"/>
      <c r="E3138" s="42"/>
      <c r="F3138" s="53"/>
      <c r="G3138" s="53"/>
      <c r="H3138" s="53"/>
      <c r="I3138" s="53"/>
      <c r="J3138" s="53"/>
      <c r="K3138" s="53"/>
      <c r="L3138" s="53"/>
      <c r="M3138" s="53"/>
      <c r="N3138" s="62"/>
      <c r="O3138" s="62"/>
      <c r="P3138" s="62"/>
      <c r="Q3138" s="62"/>
      <c r="R3138" s="53"/>
      <c r="S3138" s="53"/>
      <c r="T3138" s="82"/>
      <c r="U3138" s="42"/>
      <c r="V3138" s="62"/>
      <c r="W3138" s="64"/>
      <c r="X3138" s="330"/>
      <c r="Y3138" s="330"/>
      <c r="Z3138" s="330"/>
      <c r="AA3138" s="223"/>
    </row>
    <row r="3139">
      <c r="A3139" s="42">
        <f t="shared" si="3"/>
        <v>3138</v>
      </c>
      <c r="B3139" s="53"/>
      <c r="C3139" s="53"/>
      <c r="D3139" s="42"/>
      <c r="E3139" s="42"/>
      <c r="F3139" s="53"/>
      <c r="G3139" s="53"/>
      <c r="H3139" s="53"/>
      <c r="I3139" s="53"/>
      <c r="J3139" s="53"/>
      <c r="K3139" s="53"/>
      <c r="L3139" s="53"/>
      <c r="M3139" s="53"/>
      <c r="N3139" s="62"/>
      <c r="O3139" s="62"/>
      <c r="P3139" s="62"/>
      <c r="Q3139" s="62"/>
      <c r="R3139" s="53"/>
      <c r="S3139" s="53"/>
      <c r="T3139" s="82"/>
      <c r="U3139" s="42"/>
      <c r="V3139" s="62"/>
      <c r="W3139" s="64"/>
      <c r="X3139" s="330"/>
      <c r="Y3139" s="330"/>
      <c r="Z3139" s="330"/>
      <c r="AA3139" s="223"/>
    </row>
    <row r="3140">
      <c r="A3140" s="42">
        <f t="shared" si="3"/>
        <v>3139</v>
      </c>
      <c r="B3140" s="53"/>
      <c r="C3140" s="53"/>
      <c r="D3140" s="42"/>
      <c r="E3140" s="42"/>
      <c r="F3140" s="53"/>
      <c r="G3140" s="53"/>
      <c r="H3140" s="53"/>
      <c r="I3140" s="53"/>
      <c r="J3140" s="53"/>
      <c r="K3140" s="53"/>
      <c r="L3140" s="53"/>
      <c r="M3140" s="53"/>
      <c r="N3140" s="62"/>
      <c r="O3140" s="62"/>
      <c r="P3140" s="62"/>
      <c r="Q3140" s="62"/>
      <c r="R3140" s="53"/>
      <c r="S3140" s="53"/>
      <c r="T3140" s="82"/>
      <c r="U3140" s="42"/>
      <c r="V3140" s="62"/>
      <c r="W3140" s="64"/>
      <c r="X3140" s="330"/>
      <c r="Y3140" s="330"/>
      <c r="Z3140" s="330"/>
      <c r="AA3140" s="223"/>
    </row>
    <row r="3141">
      <c r="A3141" s="42">
        <f t="shared" si="3"/>
        <v>3140</v>
      </c>
      <c r="B3141" s="53"/>
      <c r="C3141" s="53"/>
      <c r="D3141" s="42"/>
      <c r="E3141" s="42"/>
      <c r="F3141" s="53"/>
      <c r="G3141" s="53"/>
      <c r="H3141" s="53"/>
      <c r="I3141" s="53"/>
      <c r="J3141" s="53"/>
      <c r="K3141" s="53"/>
      <c r="L3141" s="53"/>
      <c r="M3141" s="53"/>
      <c r="N3141" s="62"/>
      <c r="O3141" s="62"/>
      <c r="P3141" s="62"/>
      <c r="Q3141" s="62"/>
      <c r="R3141" s="53"/>
      <c r="S3141" s="53"/>
      <c r="T3141" s="82"/>
      <c r="U3141" s="42"/>
      <c r="V3141" s="62"/>
      <c r="W3141" s="64"/>
      <c r="X3141" s="330"/>
      <c r="Y3141" s="330"/>
      <c r="Z3141" s="330"/>
      <c r="AA3141" s="223"/>
    </row>
    <row r="3142">
      <c r="A3142" s="42">
        <f t="shared" si="3"/>
        <v>3141</v>
      </c>
      <c r="B3142" s="53"/>
      <c r="C3142" s="53"/>
      <c r="D3142" s="42"/>
      <c r="E3142" s="42"/>
      <c r="F3142" s="53"/>
      <c r="G3142" s="53"/>
      <c r="H3142" s="53"/>
      <c r="I3142" s="53"/>
      <c r="J3142" s="53"/>
      <c r="K3142" s="53"/>
      <c r="L3142" s="53"/>
      <c r="M3142" s="53"/>
      <c r="N3142" s="62"/>
      <c r="O3142" s="62"/>
      <c r="P3142" s="62"/>
      <c r="Q3142" s="62"/>
      <c r="R3142" s="53"/>
      <c r="S3142" s="53"/>
      <c r="T3142" s="82"/>
      <c r="U3142" s="42"/>
      <c r="V3142" s="62"/>
      <c r="W3142" s="64"/>
      <c r="X3142" s="330"/>
      <c r="Y3142" s="330"/>
      <c r="Z3142" s="330"/>
      <c r="AA3142" s="223"/>
    </row>
    <row r="3143">
      <c r="A3143" s="42">
        <f t="shared" si="3"/>
        <v>3142</v>
      </c>
      <c r="B3143" s="53"/>
      <c r="C3143" s="53"/>
      <c r="D3143" s="42"/>
      <c r="E3143" s="42"/>
      <c r="F3143" s="53"/>
      <c r="G3143" s="53"/>
      <c r="H3143" s="53"/>
      <c r="I3143" s="53"/>
      <c r="J3143" s="53"/>
      <c r="K3143" s="53"/>
      <c r="L3143" s="53"/>
      <c r="M3143" s="53"/>
      <c r="N3143" s="62"/>
      <c r="O3143" s="62"/>
      <c r="P3143" s="62"/>
      <c r="Q3143" s="62"/>
      <c r="R3143" s="53"/>
      <c r="S3143" s="53"/>
      <c r="T3143" s="82"/>
      <c r="U3143" s="42"/>
      <c r="V3143" s="62"/>
      <c r="W3143" s="64"/>
      <c r="X3143" s="330"/>
      <c r="Y3143" s="330"/>
      <c r="Z3143" s="330"/>
      <c r="AA3143" s="223"/>
    </row>
    <row r="3144">
      <c r="A3144" s="42">
        <f t="shared" si="3"/>
        <v>3143</v>
      </c>
      <c r="B3144" s="53"/>
      <c r="C3144" s="53"/>
      <c r="D3144" s="42"/>
      <c r="E3144" s="42"/>
      <c r="F3144" s="53"/>
      <c r="G3144" s="53"/>
      <c r="H3144" s="53"/>
      <c r="I3144" s="53"/>
      <c r="J3144" s="53"/>
      <c r="K3144" s="53"/>
      <c r="L3144" s="53"/>
      <c r="M3144" s="53"/>
      <c r="N3144" s="62"/>
      <c r="O3144" s="62"/>
      <c r="P3144" s="62"/>
      <c r="Q3144" s="62"/>
      <c r="R3144" s="53"/>
      <c r="S3144" s="53"/>
      <c r="T3144" s="82"/>
      <c r="U3144" s="42"/>
      <c r="V3144" s="62"/>
      <c r="W3144" s="64"/>
      <c r="X3144" s="330"/>
      <c r="Y3144" s="330"/>
      <c r="Z3144" s="330"/>
      <c r="AA3144" s="223"/>
    </row>
    <row r="3145">
      <c r="A3145" s="42">
        <f t="shared" si="3"/>
        <v>3144</v>
      </c>
      <c r="B3145" s="53"/>
      <c r="C3145" s="53"/>
      <c r="D3145" s="42"/>
      <c r="E3145" s="42"/>
      <c r="F3145" s="53"/>
      <c r="G3145" s="53"/>
      <c r="H3145" s="53"/>
      <c r="I3145" s="53"/>
      <c r="J3145" s="53"/>
      <c r="K3145" s="53"/>
      <c r="L3145" s="53"/>
      <c r="M3145" s="53"/>
      <c r="N3145" s="62"/>
      <c r="O3145" s="62"/>
      <c r="P3145" s="62"/>
      <c r="Q3145" s="62"/>
      <c r="R3145" s="53"/>
      <c r="S3145" s="53"/>
      <c r="T3145" s="82"/>
      <c r="U3145" s="42"/>
      <c r="V3145" s="62"/>
      <c r="W3145" s="64"/>
      <c r="X3145" s="330"/>
      <c r="Y3145" s="330"/>
      <c r="Z3145" s="330"/>
      <c r="AA3145" s="223"/>
    </row>
    <row r="3146">
      <c r="A3146" s="42">
        <f t="shared" si="3"/>
        <v>3145</v>
      </c>
      <c r="B3146" s="53"/>
      <c r="C3146" s="53"/>
      <c r="D3146" s="42"/>
      <c r="E3146" s="42"/>
      <c r="F3146" s="53"/>
      <c r="G3146" s="53"/>
      <c r="H3146" s="53"/>
      <c r="I3146" s="53"/>
      <c r="J3146" s="53"/>
      <c r="K3146" s="53"/>
      <c r="L3146" s="53"/>
      <c r="M3146" s="53"/>
      <c r="N3146" s="62"/>
      <c r="O3146" s="62"/>
      <c r="P3146" s="62"/>
      <c r="Q3146" s="62"/>
      <c r="R3146" s="53"/>
      <c r="S3146" s="53"/>
      <c r="T3146" s="82"/>
      <c r="U3146" s="42"/>
      <c r="V3146" s="62"/>
      <c r="W3146" s="64"/>
      <c r="X3146" s="330"/>
      <c r="Y3146" s="330"/>
      <c r="Z3146" s="330"/>
      <c r="AA3146" s="223"/>
    </row>
    <row r="3147">
      <c r="A3147" s="42">
        <f t="shared" si="3"/>
        <v>3146</v>
      </c>
      <c r="B3147" s="53"/>
      <c r="C3147" s="53"/>
      <c r="D3147" s="42"/>
      <c r="E3147" s="42"/>
      <c r="F3147" s="53"/>
      <c r="G3147" s="53"/>
      <c r="H3147" s="53"/>
      <c r="I3147" s="53"/>
      <c r="J3147" s="53"/>
      <c r="K3147" s="53"/>
      <c r="L3147" s="53"/>
      <c r="M3147" s="53"/>
      <c r="N3147" s="62"/>
      <c r="O3147" s="62"/>
      <c r="P3147" s="62"/>
      <c r="Q3147" s="62"/>
      <c r="R3147" s="53"/>
      <c r="S3147" s="53"/>
      <c r="T3147" s="82"/>
      <c r="U3147" s="42"/>
      <c r="V3147" s="62"/>
      <c r="W3147" s="64"/>
      <c r="X3147" s="330"/>
      <c r="Y3147" s="330"/>
      <c r="Z3147" s="330"/>
      <c r="AA3147" s="223"/>
    </row>
    <row r="3148">
      <c r="A3148" s="42">
        <f t="shared" si="3"/>
        <v>3147</v>
      </c>
      <c r="B3148" s="53"/>
      <c r="C3148" s="53"/>
      <c r="D3148" s="42"/>
      <c r="E3148" s="42"/>
      <c r="F3148" s="53"/>
      <c r="G3148" s="53"/>
      <c r="H3148" s="53"/>
      <c r="I3148" s="53"/>
      <c r="J3148" s="53"/>
      <c r="K3148" s="53"/>
      <c r="L3148" s="53"/>
      <c r="M3148" s="53"/>
      <c r="N3148" s="62"/>
      <c r="O3148" s="62"/>
      <c r="P3148" s="62"/>
      <c r="Q3148" s="62"/>
      <c r="R3148" s="53"/>
      <c r="S3148" s="53"/>
      <c r="T3148" s="82"/>
      <c r="U3148" s="42"/>
      <c r="V3148" s="62"/>
      <c r="W3148" s="64"/>
      <c r="X3148" s="330"/>
      <c r="Y3148" s="330"/>
      <c r="Z3148" s="330"/>
      <c r="AA3148" s="223"/>
    </row>
    <row r="3149">
      <c r="A3149" s="42">
        <f t="shared" si="3"/>
        <v>3148</v>
      </c>
      <c r="B3149" s="53"/>
      <c r="C3149" s="53"/>
      <c r="D3149" s="42"/>
      <c r="E3149" s="42"/>
      <c r="F3149" s="53"/>
      <c r="G3149" s="53"/>
      <c r="H3149" s="53"/>
      <c r="I3149" s="53"/>
      <c r="J3149" s="53"/>
      <c r="K3149" s="53"/>
      <c r="L3149" s="53"/>
      <c r="M3149" s="53"/>
      <c r="N3149" s="62"/>
      <c r="O3149" s="62"/>
      <c r="P3149" s="62"/>
      <c r="Q3149" s="62"/>
      <c r="R3149" s="53"/>
      <c r="S3149" s="53"/>
      <c r="T3149" s="82"/>
      <c r="U3149" s="42"/>
      <c r="V3149" s="62"/>
      <c r="W3149" s="64"/>
      <c r="X3149" s="330"/>
      <c r="Y3149" s="330"/>
      <c r="Z3149" s="330"/>
      <c r="AA3149" s="223"/>
    </row>
    <row r="3150">
      <c r="A3150" s="42">
        <f t="shared" si="3"/>
        <v>3149</v>
      </c>
      <c r="B3150" s="53"/>
      <c r="C3150" s="53"/>
      <c r="D3150" s="42"/>
      <c r="E3150" s="42"/>
      <c r="F3150" s="53"/>
      <c r="G3150" s="53"/>
      <c r="H3150" s="53"/>
      <c r="I3150" s="53"/>
      <c r="J3150" s="53"/>
      <c r="K3150" s="53"/>
      <c r="L3150" s="53"/>
      <c r="M3150" s="53"/>
      <c r="N3150" s="62"/>
      <c r="O3150" s="62"/>
      <c r="P3150" s="62"/>
      <c r="Q3150" s="62"/>
      <c r="R3150" s="53"/>
      <c r="S3150" s="53"/>
      <c r="T3150" s="82"/>
      <c r="U3150" s="42"/>
      <c r="V3150" s="62"/>
      <c r="W3150" s="64"/>
      <c r="X3150" s="330"/>
      <c r="Y3150" s="330"/>
      <c r="Z3150" s="330"/>
      <c r="AA3150" s="223"/>
    </row>
    <row r="3151">
      <c r="A3151" s="42">
        <f t="shared" si="3"/>
        <v>3150</v>
      </c>
      <c r="B3151" s="53"/>
      <c r="C3151" s="53"/>
      <c r="D3151" s="42"/>
      <c r="E3151" s="42"/>
      <c r="F3151" s="53"/>
      <c r="G3151" s="53"/>
      <c r="H3151" s="53"/>
      <c r="I3151" s="53"/>
      <c r="J3151" s="53"/>
      <c r="K3151" s="53"/>
      <c r="L3151" s="53"/>
      <c r="M3151" s="53"/>
      <c r="N3151" s="62"/>
      <c r="O3151" s="62"/>
      <c r="P3151" s="62"/>
      <c r="Q3151" s="62"/>
      <c r="R3151" s="53"/>
      <c r="S3151" s="53"/>
      <c r="T3151" s="82"/>
      <c r="U3151" s="42"/>
      <c r="V3151" s="62"/>
      <c r="W3151" s="64"/>
      <c r="X3151" s="330"/>
      <c r="Y3151" s="330"/>
      <c r="Z3151" s="330"/>
      <c r="AA3151" s="223"/>
    </row>
    <row r="3152">
      <c r="A3152" s="42">
        <f t="shared" si="3"/>
        <v>3151</v>
      </c>
      <c r="B3152" s="53"/>
      <c r="C3152" s="53"/>
      <c r="D3152" s="42"/>
      <c r="E3152" s="42"/>
      <c r="F3152" s="53"/>
      <c r="G3152" s="53"/>
      <c r="H3152" s="53"/>
      <c r="I3152" s="53"/>
      <c r="J3152" s="53"/>
      <c r="K3152" s="53"/>
      <c r="L3152" s="53"/>
      <c r="M3152" s="53"/>
      <c r="N3152" s="62"/>
      <c r="O3152" s="62"/>
      <c r="P3152" s="62"/>
      <c r="Q3152" s="62"/>
      <c r="R3152" s="53"/>
      <c r="S3152" s="53"/>
      <c r="T3152" s="82"/>
      <c r="U3152" s="42"/>
      <c r="V3152" s="62"/>
      <c r="W3152" s="64"/>
      <c r="X3152" s="330"/>
      <c r="Y3152" s="330"/>
      <c r="Z3152" s="330"/>
      <c r="AA3152" s="223"/>
    </row>
    <row r="3153">
      <c r="A3153" s="42">
        <f t="shared" si="3"/>
        <v>3152</v>
      </c>
      <c r="B3153" s="53"/>
      <c r="C3153" s="53"/>
      <c r="D3153" s="42"/>
      <c r="E3153" s="42"/>
      <c r="F3153" s="53"/>
      <c r="G3153" s="53"/>
      <c r="H3153" s="53"/>
      <c r="I3153" s="53"/>
      <c r="J3153" s="53"/>
      <c r="K3153" s="53"/>
      <c r="L3153" s="53"/>
      <c r="M3153" s="53"/>
      <c r="N3153" s="62"/>
      <c r="O3153" s="62"/>
      <c r="P3153" s="62"/>
      <c r="Q3153" s="62"/>
      <c r="R3153" s="53"/>
      <c r="S3153" s="53"/>
      <c r="T3153" s="82"/>
      <c r="U3153" s="42"/>
      <c r="V3153" s="62"/>
      <c r="W3153" s="64"/>
      <c r="X3153" s="330"/>
      <c r="Y3153" s="330"/>
      <c r="Z3153" s="330"/>
      <c r="AA3153" s="223"/>
    </row>
    <row r="3154">
      <c r="A3154" s="42">
        <f t="shared" si="3"/>
        <v>3153</v>
      </c>
      <c r="B3154" s="53"/>
      <c r="C3154" s="53"/>
      <c r="D3154" s="42"/>
      <c r="E3154" s="42"/>
      <c r="F3154" s="53"/>
      <c r="G3154" s="53"/>
      <c r="H3154" s="53"/>
      <c r="I3154" s="53"/>
      <c r="J3154" s="53"/>
      <c r="K3154" s="53"/>
      <c r="L3154" s="53"/>
      <c r="M3154" s="53"/>
      <c r="N3154" s="62"/>
      <c r="O3154" s="62"/>
      <c r="P3154" s="62"/>
      <c r="Q3154" s="62"/>
      <c r="R3154" s="53"/>
      <c r="S3154" s="53"/>
      <c r="T3154" s="82"/>
      <c r="U3154" s="42"/>
      <c r="V3154" s="62"/>
      <c r="W3154" s="64"/>
      <c r="X3154" s="330"/>
      <c r="Y3154" s="330"/>
      <c r="Z3154" s="330"/>
      <c r="AA3154" s="223"/>
    </row>
    <row r="3155">
      <c r="A3155" s="42">
        <f t="shared" si="3"/>
        <v>3154</v>
      </c>
      <c r="B3155" s="53"/>
      <c r="C3155" s="53"/>
      <c r="D3155" s="42"/>
      <c r="E3155" s="42"/>
      <c r="F3155" s="53"/>
      <c r="G3155" s="53"/>
      <c r="H3155" s="53"/>
      <c r="I3155" s="53"/>
      <c r="J3155" s="53"/>
      <c r="K3155" s="53"/>
      <c r="L3155" s="53"/>
      <c r="M3155" s="53"/>
      <c r="N3155" s="62"/>
      <c r="O3155" s="62"/>
      <c r="P3155" s="62"/>
      <c r="Q3155" s="62"/>
      <c r="R3155" s="53"/>
      <c r="S3155" s="53"/>
      <c r="T3155" s="82"/>
      <c r="U3155" s="42"/>
      <c r="V3155" s="62"/>
      <c r="W3155" s="64"/>
      <c r="X3155" s="330"/>
      <c r="Y3155" s="330"/>
      <c r="Z3155" s="330"/>
      <c r="AA3155" s="223"/>
    </row>
    <row r="3156">
      <c r="A3156" s="42">
        <f t="shared" si="3"/>
        <v>3155</v>
      </c>
      <c r="B3156" s="53"/>
      <c r="C3156" s="53"/>
      <c r="D3156" s="42"/>
      <c r="E3156" s="42"/>
      <c r="F3156" s="53"/>
      <c r="G3156" s="53"/>
      <c r="H3156" s="53"/>
      <c r="I3156" s="53"/>
      <c r="J3156" s="53"/>
      <c r="K3156" s="53"/>
      <c r="L3156" s="53"/>
      <c r="M3156" s="53"/>
      <c r="N3156" s="62"/>
      <c r="O3156" s="62"/>
      <c r="P3156" s="62"/>
      <c r="Q3156" s="62"/>
      <c r="R3156" s="53"/>
      <c r="S3156" s="53"/>
      <c r="T3156" s="82"/>
      <c r="U3156" s="42"/>
      <c r="V3156" s="62"/>
      <c r="W3156" s="64"/>
      <c r="X3156" s="330"/>
      <c r="Y3156" s="330"/>
      <c r="Z3156" s="330"/>
      <c r="AA3156" s="223"/>
    </row>
    <row r="3157">
      <c r="A3157" s="42">
        <f t="shared" si="3"/>
        <v>3156</v>
      </c>
      <c r="B3157" s="53"/>
      <c r="C3157" s="53"/>
      <c r="D3157" s="42"/>
      <c r="E3157" s="42"/>
      <c r="F3157" s="53"/>
      <c r="G3157" s="53"/>
      <c r="H3157" s="53"/>
      <c r="I3157" s="53"/>
      <c r="J3157" s="53"/>
      <c r="K3157" s="53"/>
      <c r="L3157" s="53"/>
      <c r="M3157" s="53"/>
      <c r="N3157" s="62"/>
      <c r="O3157" s="62"/>
      <c r="P3157" s="62"/>
      <c r="Q3157" s="62"/>
      <c r="R3157" s="53"/>
      <c r="S3157" s="53"/>
      <c r="T3157" s="82"/>
      <c r="U3157" s="42"/>
      <c r="V3157" s="62"/>
      <c r="W3157" s="64"/>
      <c r="X3157" s="330"/>
      <c r="Y3157" s="330"/>
      <c r="Z3157" s="330"/>
      <c r="AA3157" s="223"/>
    </row>
    <row r="3158">
      <c r="A3158" s="42">
        <f t="shared" si="3"/>
        <v>3157</v>
      </c>
      <c r="B3158" s="53"/>
      <c r="C3158" s="53"/>
      <c r="D3158" s="42"/>
      <c r="E3158" s="42"/>
      <c r="F3158" s="53"/>
      <c r="G3158" s="53"/>
      <c r="H3158" s="53"/>
      <c r="I3158" s="53"/>
      <c r="J3158" s="53"/>
      <c r="K3158" s="53"/>
      <c r="L3158" s="53"/>
      <c r="M3158" s="53"/>
      <c r="N3158" s="62"/>
      <c r="O3158" s="62"/>
      <c r="P3158" s="62"/>
      <c r="Q3158" s="62"/>
      <c r="R3158" s="53"/>
      <c r="S3158" s="53"/>
      <c r="T3158" s="82"/>
      <c r="U3158" s="42"/>
      <c r="V3158" s="62"/>
      <c r="W3158" s="64"/>
      <c r="X3158" s="330"/>
      <c r="Y3158" s="330"/>
      <c r="Z3158" s="330"/>
      <c r="AA3158" s="223"/>
    </row>
    <row r="3159">
      <c r="A3159" s="42">
        <f t="shared" si="3"/>
        <v>3158</v>
      </c>
      <c r="B3159" s="53"/>
      <c r="C3159" s="53"/>
      <c r="D3159" s="42"/>
      <c r="E3159" s="42"/>
      <c r="F3159" s="53"/>
      <c r="G3159" s="53"/>
      <c r="H3159" s="53"/>
      <c r="I3159" s="53"/>
      <c r="J3159" s="53"/>
      <c r="K3159" s="53"/>
      <c r="L3159" s="53"/>
      <c r="M3159" s="53"/>
      <c r="N3159" s="62"/>
      <c r="O3159" s="62"/>
      <c r="P3159" s="62"/>
      <c r="Q3159" s="62"/>
      <c r="R3159" s="53"/>
      <c r="S3159" s="53"/>
      <c r="T3159" s="82"/>
      <c r="U3159" s="42"/>
      <c r="V3159" s="62"/>
      <c r="W3159" s="64"/>
      <c r="X3159" s="330"/>
      <c r="Y3159" s="330"/>
      <c r="Z3159" s="330"/>
      <c r="AA3159" s="223"/>
    </row>
    <row r="3160">
      <c r="A3160" s="42">
        <f t="shared" si="3"/>
        <v>3159</v>
      </c>
      <c r="B3160" s="53"/>
      <c r="C3160" s="53"/>
      <c r="D3160" s="42"/>
      <c r="E3160" s="42"/>
      <c r="F3160" s="53"/>
      <c r="G3160" s="53"/>
      <c r="H3160" s="53"/>
      <c r="I3160" s="53"/>
      <c r="J3160" s="53"/>
      <c r="K3160" s="53"/>
      <c r="L3160" s="53"/>
      <c r="M3160" s="53"/>
      <c r="N3160" s="62"/>
      <c r="O3160" s="62"/>
      <c r="P3160" s="62"/>
      <c r="Q3160" s="62"/>
      <c r="R3160" s="53"/>
      <c r="S3160" s="53"/>
      <c r="T3160" s="82"/>
      <c r="U3160" s="42"/>
      <c r="V3160" s="62"/>
      <c r="W3160" s="64"/>
      <c r="X3160" s="330"/>
      <c r="Y3160" s="330"/>
      <c r="Z3160" s="330"/>
      <c r="AA3160" s="223"/>
    </row>
    <row r="3161">
      <c r="A3161" s="42">
        <f t="shared" si="3"/>
        <v>3160</v>
      </c>
      <c r="B3161" s="53"/>
      <c r="C3161" s="53"/>
      <c r="D3161" s="42"/>
      <c r="E3161" s="42"/>
      <c r="F3161" s="53"/>
      <c r="G3161" s="53"/>
      <c r="H3161" s="53"/>
      <c r="I3161" s="53"/>
      <c r="J3161" s="53"/>
      <c r="K3161" s="53"/>
      <c r="L3161" s="53"/>
      <c r="M3161" s="53"/>
      <c r="N3161" s="62"/>
      <c r="O3161" s="62"/>
      <c r="P3161" s="62"/>
      <c r="Q3161" s="62"/>
      <c r="R3161" s="53"/>
      <c r="S3161" s="53"/>
      <c r="T3161" s="82"/>
      <c r="U3161" s="42"/>
      <c r="V3161" s="62"/>
      <c r="W3161" s="64"/>
      <c r="X3161" s="330"/>
      <c r="Y3161" s="330"/>
      <c r="Z3161" s="330"/>
      <c r="AA3161" s="223"/>
    </row>
    <row r="3162">
      <c r="A3162" s="42">
        <f t="shared" si="3"/>
        <v>3161</v>
      </c>
      <c r="B3162" s="53"/>
      <c r="C3162" s="53"/>
      <c r="D3162" s="42"/>
      <c r="E3162" s="42"/>
      <c r="F3162" s="53"/>
      <c r="G3162" s="53"/>
      <c r="H3162" s="53"/>
      <c r="I3162" s="53"/>
      <c r="J3162" s="53"/>
      <c r="K3162" s="53"/>
      <c r="L3162" s="53"/>
      <c r="M3162" s="53"/>
      <c r="N3162" s="62"/>
      <c r="O3162" s="62"/>
      <c r="P3162" s="62"/>
      <c r="Q3162" s="62"/>
      <c r="R3162" s="53"/>
      <c r="S3162" s="53"/>
      <c r="T3162" s="82"/>
      <c r="U3162" s="42"/>
      <c r="V3162" s="62"/>
      <c r="W3162" s="64"/>
      <c r="X3162" s="330"/>
      <c r="Y3162" s="330"/>
      <c r="Z3162" s="330"/>
      <c r="AA3162" s="223"/>
    </row>
    <row r="3163">
      <c r="A3163" s="42">
        <f t="shared" si="3"/>
        <v>3162</v>
      </c>
      <c r="B3163" s="53"/>
      <c r="C3163" s="53"/>
      <c r="D3163" s="42"/>
      <c r="E3163" s="42"/>
      <c r="F3163" s="53"/>
      <c r="G3163" s="53"/>
      <c r="H3163" s="53"/>
      <c r="I3163" s="53"/>
      <c r="J3163" s="53"/>
      <c r="K3163" s="53"/>
      <c r="L3163" s="53"/>
      <c r="M3163" s="53"/>
      <c r="N3163" s="62"/>
      <c r="O3163" s="62"/>
      <c r="P3163" s="62"/>
      <c r="Q3163" s="62"/>
      <c r="R3163" s="53"/>
      <c r="S3163" s="53"/>
      <c r="T3163" s="82"/>
      <c r="U3163" s="42"/>
      <c r="V3163" s="62"/>
      <c r="W3163" s="64"/>
      <c r="X3163" s="330"/>
      <c r="Y3163" s="330"/>
      <c r="Z3163" s="330"/>
      <c r="AA3163" s="223"/>
    </row>
    <row r="3164">
      <c r="A3164" s="42">
        <f t="shared" si="3"/>
        <v>3163</v>
      </c>
      <c r="B3164" s="53"/>
      <c r="C3164" s="53"/>
      <c r="D3164" s="42"/>
      <c r="E3164" s="42"/>
      <c r="F3164" s="53"/>
      <c r="G3164" s="53"/>
      <c r="H3164" s="53"/>
      <c r="I3164" s="53"/>
      <c r="J3164" s="53"/>
      <c r="K3164" s="53"/>
      <c r="L3164" s="53"/>
      <c r="M3164" s="53"/>
      <c r="N3164" s="62"/>
      <c r="O3164" s="62"/>
      <c r="P3164" s="62"/>
      <c r="Q3164" s="62"/>
      <c r="R3164" s="53"/>
      <c r="S3164" s="53"/>
      <c r="T3164" s="82"/>
      <c r="U3164" s="42"/>
      <c r="V3164" s="62"/>
      <c r="W3164" s="64"/>
      <c r="X3164" s="330"/>
      <c r="Y3164" s="330"/>
      <c r="Z3164" s="330"/>
      <c r="AA3164" s="223"/>
    </row>
    <row r="3165">
      <c r="A3165" s="42">
        <f t="shared" si="3"/>
        <v>3164</v>
      </c>
      <c r="B3165" s="53"/>
      <c r="C3165" s="53"/>
      <c r="D3165" s="42"/>
      <c r="E3165" s="42"/>
      <c r="F3165" s="53"/>
      <c r="G3165" s="53"/>
      <c r="H3165" s="53"/>
      <c r="I3165" s="53"/>
      <c r="J3165" s="53"/>
      <c r="K3165" s="53"/>
      <c r="L3165" s="53"/>
      <c r="M3165" s="53"/>
      <c r="N3165" s="62"/>
      <c r="O3165" s="62"/>
      <c r="P3165" s="62"/>
      <c r="Q3165" s="62"/>
      <c r="R3165" s="53"/>
      <c r="S3165" s="53"/>
      <c r="T3165" s="82"/>
      <c r="U3165" s="42"/>
      <c r="V3165" s="62"/>
      <c r="W3165" s="64"/>
      <c r="X3165" s="330"/>
      <c r="Y3165" s="330"/>
      <c r="Z3165" s="330"/>
      <c r="AA3165" s="223"/>
    </row>
    <row r="3166">
      <c r="A3166" s="42">
        <f t="shared" si="3"/>
        <v>3165</v>
      </c>
      <c r="B3166" s="53"/>
      <c r="C3166" s="53"/>
      <c r="D3166" s="42"/>
      <c r="E3166" s="42"/>
      <c r="F3166" s="53"/>
      <c r="G3166" s="53"/>
      <c r="H3166" s="53"/>
      <c r="I3166" s="53"/>
      <c r="J3166" s="53"/>
      <c r="K3166" s="53"/>
      <c r="L3166" s="53"/>
      <c r="M3166" s="53"/>
      <c r="N3166" s="62"/>
      <c r="O3166" s="62"/>
      <c r="P3166" s="62"/>
      <c r="Q3166" s="62"/>
      <c r="R3166" s="53"/>
      <c r="S3166" s="53"/>
      <c r="T3166" s="82"/>
      <c r="U3166" s="42"/>
      <c r="V3166" s="62"/>
      <c r="W3166" s="64"/>
      <c r="X3166" s="330"/>
      <c r="Y3166" s="330"/>
      <c r="Z3166" s="330"/>
      <c r="AA3166" s="223"/>
    </row>
    <row r="3167">
      <c r="A3167" s="42">
        <f t="shared" si="3"/>
        <v>3166</v>
      </c>
      <c r="B3167" s="53"/>
      <c r="C3167" s="53"/>
      <c r="D3167" s="42"/>
      <c r="E3167" s="42"/>
      <c r="F3167" s="53"/>
      <c r="G3167" s="53"/>
      <c r="H3167" s="53"/>
      <c r="I3167" s="53"/>
      <c r="J3167" s="53"/>
      <c r="K3167" s="53"/>
      <c r="L3167" s="53"/>
      <c r="M3167" s="53"/>
      <c r="N3167" s="62"/>
      <c r="O3167" s="62"/>
      <c r="P3167" s="62"/>
      <c r="Q3167" s="62"/>
      <c r="R3167" s="53"/>
      <c r="S3167" s="53"/>
      <c r="T3167" s="82"/>
      <c r="U3167" s="42"/>
      <c r="V3167" s="62"/>
      <c r="W3167" s="64"/>
      <c r="X3167" s="330"/>
      <c r="Y3167" s="330"/>
      <c r="Z3167" s="330"/>
      <c r="AA3167" s="223"/>
    </row>
    <row r="3168">
      <c r="A3168" s="42">
        <f t="shared" si="3"/>
        <v>3167</v>
      </c>
      <c r="B3168" s="53"/>
      <c r="C3168" s="53"/>
      <c r="D3168" s="42"/>
      <c r="E3168" s="42"/>
      <c r="F3168" s="53"/>
      <c r="G3168" s="53"/>
      <c r="H3168" s="53"/>
      <c r="I3168" s="53"/>
      <c r="J3168" s="53"/>
      <c r="K3168" s="53"/>
      <c r="L3168" s="53"/>
      <c r="M3168" s="53"/>
      <c r="N3168" s="62"/>
      <c r="O3168" s="62"/>
      <c r="P3168" s="62"/>
      <c r="Q3168" s="62"/>
      <c r="R3168" s="53"/>
      <c r="S3168" s="53"/>
      <c r="T3168" s="82"/>
      <c r="U3168" s="42"/>
      <c r="V3168" s="62"/>
      <c r="W3168" s="64"/>
      <c r="X3168" s="330"/>
      <c r="Y3168" s="330"/>
      <c r="Z3168" s="330"/>
      <c r="AA3168" s="223"/>
    </row>
    <row r="3169">
      <c r="A3169" s="42">
        <f t="shared" si="3"/>
        <v>3168</v>
      </c>
      <c r="B3169" s="53"/>
      <c r="C3169" s="53"/>
      <c r="D3169" s="42"/>
      <c r="E3169" s="42"/>
      <c r="F3169" s="53"/>
      <c r="G3169" s="53"/>
      <c r="H3169" s="53"/>
      <c r="I3169" s="53"/>
      <c r="J3169" s="53"/>
      <c r="K3169" s="53"/>
      <c r="L3169" s="53"/>
      <c r="M3169" s="53"/>
      <c r="N3169" s="62"/>
      <c r="O3169" s="62"/>
      <c r="P3169" s="62"/>
      <c r="Q3169" s="62"/>
      <c r="R3169" s="53"/>
      <c r="S3169" s="53"/>
      <c r="T3169" s="82"/>
      <c r="U3169" s="42"/>
      <c r="V3169" s="62"/>
      <c r="W3169" s="64"/>
      <c r="X3169" s="330"/>
      <c r="Y3169" s="330"/>
      <c r="Z3169" s="330"/>
      <c r="AA3169" s="223"/>
    </row>
    <row r="3170">
      <c r="A3170" s="42">
        <f t="shared" si="3"/>
        <v>3169</v>
      </c>
      <c r="B3170" s="53"/>
      <c r="C3170" s="53"/>
      <c r="D3170" s="42"/>
      <c r="E3170" s="42"/>
      <c r="F3170" s="53"/>
      <c r="G3170" s="53"/>
      <c r="H3170" s="53"/>
      <c r="I3170" s="53"/>
      <c r="J3170" s="53"/>
      <c r="K3170" s="53"/>
      <c r="L3170" s="53"/>
      <c r="M3170" s="53"/>
      <c r="N3170" s="62"/>
      <c r="O3170" s="62"/>
      <c r="P3170" s="62"/>
      <c r="Q3170" s="62"/>
      <c r="R3170" s="53"/>
      <c r="S3170" s="53"/>
      <c r="T3170" s="82"/>
      <c r="U3170" s="42"/>
      <c r="V3170" s="62"/>
      <c r="W3170" s="64"/>
      <c r="X3170" s="330"/>
      <c r="Y3170" s="330"/>
      <c r="Z3170" s="330"/>
      <c r="AA3170" s="223"/>
    </row>
    <row r="3171">
      <c r="A3171" s="42">
        <f t="shared" si="3"/>
        <v>3170</v>
      </c>
      <c r="B3171" s="53"/>
      <c r="C3171" s="53"/>
      <c r="D3171" s="42"/>
      <c r="E3171" s="42"/>
      <c r="F3171" s="53"/>
      <c r="G3171" s="53"/>
      <c r="H3171" s="53"/>
      <c r="I3171" s="53"/>
      <c r="J3171" s="53"/>
      <c r="K3171" s="53"/>
      <c r="L3171" s="53"/>
      <c r="M3171" s="53"/>
      <c r="N3171" s="62"/>
      <c r="O3171" s="62"/>
      <c r="P3171" s="62"/>
      <c r="Q3171" s="62"/>
      <c r="R3171" s="53"/>
      <c r="S3171" s="53"/>
      <c r="T3171" s="82"/>
      <c r="U3171" s="42"/>
      <c r="V3171" s="62"/>
      <c r="W3171" s="64"/>
      <c r="X3171" s="330"/>
      <c r="Y3171" s="330"/>
      <c r="Z3171" s="330"/>
      <c r="AA3171" s="223"/>
    </row>
    <row r="3172">
      <c r="A3172" s="42">
        <f t="shared" si="3"/>
        <v>3171</v>
      </c>
      <c r="B3172" s="53"/>
      <c r="C3172" s="53"/>
      <c r="D3172" s="42"/>
      <c r="E3172" s="42"/>
      <c r="F3172" s="53"/>
      <c r="G3172" s="53"/>
      <c r="H3172" s="53"/>
      <c r="I3172" s="53"/>
      <c r="J3172" s="53"/>
      <c r="K3172" s="53"/>
      <c r="L3172" s="53"/>
      <c r="M3172" s="53"/>
      <c r="N3172" s="62"/>
      <c r="O3172" s="62"/>
      <c r="P3172" s="62"/>
      <c r="Q3172" s="62"/>
      <c r="R3172" s="53"/>
      <c r="S3172" s="53"/>
      <c r="T3172" s="82"/>
      <c r="U3172" s="42"/>
      <c r="V3172" s="62"/>
      <c r="W3172" s="64"/>
      <c r="X3172" s="330"/>
      <c r="Y3172" s="330"/>
      <c r="Z3172" s="330"/>
      <c r="AA3172" s="223"/>
    </row>
    <row r="3173">
      <c r="A3173" s="42">
        <f t="shared" si="3"/>
        <v>3172</v>
      </c>
      <c r="B3173" s="53"/>
      <c r="C3173" s="53"/>
      <c r="D3173" s="42"/>
      <c r="E3173" s="42"/>
      <c r="F3173" s="53"/>
      <c r="G3173" s="53"/>
      <c r="H3173" s="53"/>
      <c r="I3173" s="53"/>
      <c r="J3173" s="53"/>
      <c r="K3173" s="53"/>
      <c r="L3173" s="53"/>
      <c r="M3173" s="53"/>
      <c r="N3173" s="62"/>
      <c r="O3173" s="62"/>
      <c r="P3173" s="62"/>
      <c r="Q3173" s="62"/>
      <c r="R3173" s="53"/>
      <c r="S3173" s="53"/>
      <c r="T3173" s="82"/>
      <c r="U3173" s="42"/>
      <c r="V3173" s="62"/>
      <c r="W3173" s="64"/>
      <c r="X3173" s="330"/>
      <c r="Y3173" s="330"/>
      <c r="Z3173" s="330"/>
      <c r="AA3173" s="223"/>
    </row>
    <row r="3174">
      <c r="A3174" s="42">
        <f t="shared" si="3"/>
        <v>3173</v>
      </c>
      <c r="B3174" s="53"/>
      <c r="C3174" s="53"/>
      <c r="D3174" s="42"/>
      <c r="E3174" s="42"/>
      <c r="F3174" s="53"/>
      <c r="G3174" s="53"/>
      <c r="H3174" s="53"/>
      <c r="I3174" s="53"/>
      <c r="J3174" s="53"/>
      <c r="K3174" s="53"/>
      <c r="L3174" s="53"/>
      <c r="M3174" s="53"/>
      <c r="N3174" s="62"/>
      <c r="O3174" s="62"/>
      <c r="P3174" s="62"/>
      <c r="Q3174" s="62"/>
      <c r="R3174" s="53"/>
      <c r="S3174" s="53"/>
      <c r="T3174" s="82"/>
      <c r="U3174" s="42"/>
      <c r="V3174" s="62"/>
      <c r="W3174" s="64"/>
      <c r="X3174" s="330"/>
      <c r="Y3174" s="330"/>
      <c r="Z3174" s="330"/>
      <c r="AA3174" s="223"/>
    </row>
    <row r="3175">
      <c r="A3175" s="42">
        <f t="shared" si="3"/>
        <v>3174</v>
      </c>
      <c r="B3175" s="53"/>
      <c r="C3175" s="53"/>
      <c r="D3175" s="42"/>
      <c r="E3175" s="42"/>
      <c r="F3175" s="53"/>
      <c r="G3175" s="53"/>
      <c r="H3175" s="53"/>
      <c r="I3175" s="53"/>
      <c r="J3175" s="53"/>
      <c r="K3175" s="53"/>
      <c r="L3175" s="53"/>
      <c r="M3175" s="53"/>
      <c r="N3175" s="62"/>
      <c r="O3175" s="62"/>
      <c r="P3175" s="62"/>
      <c r="Q3175" s="62"/>
      <c r="R3175" s="53"/>
      <c r="S3175" s="53"/>
      <c r="T3175" s="82"/>
      <c r="U3175" s="42"/>
      <c r="V3175" s="62"/>
      <c r="W3175" s="64"/>
      <c r="X3175" s="330"/>
      <c r="Y3175" s="330"/>
      <c r="Z3175" s="330"/>
      <c r="AA3175" s="223"/>
    </row>
    <row r="3176">
      <c r="A3176" s="42">
        <f t="shared" si="3"/>
        <v>3175</v>
      </c>
      <c r="B3176" s="53"/>
      <c r="C3176" s="53"/>
      <c r="D3176" s="42"/>
      <c r="E3176" s="42"/>
      <c r="F3176" s="53"/>
      <c r="G3176" s="53"/>
      <c r="H3176" s="53"/>
      <c r="I3176" s="53"/>
      <c r="J3176" s="53"/>
      <c r="K3176" s="53"/>
      <c r="L3176" s="53"/>
      <c r="M3176" s="53"/>
      <c r="N3176" s="62"/>
      <c r="O3176" s="62"/>
      <c r="P3176" s="62"/>
      <c r="Q3176" s="62"/>
      <c r="R3176" s="53"/>
      <c r="S3176" s="53"/>
      <c r="T3176" s="82"/>
      <c r="U3176" s="42"/>
      <c r="V3176" s="62"/>
      <c r="W3176" s="64"/>
      <c r="X3176" s="330"/>
      <c r="Y3176" s="330"/>
      <c r="Z3176" s="330"/>
      <c r="AA3176" s="223"/>
    </row>
    <row r="3177">
      <c r="A3177" s="42">
        <f t="shared" si="3"/>
        <v>3176</v>
      </c>
      <c r="B3177" s="53"/>
      <c r="C3177" s="53"/>
      <c r="D3177" s="42"/>
      <c r="E3177" s="42"/>
      <c r="F3177" s="53"/>
      <c r="G3177" s="53"/>
      <c r="H3177" s="53"/>
      <c r="I3177" s="53"/>
      <c r="J3177" s="53"/>
      <c r="K3177" s="53"/>
      <c r="L3177" s="53"/>
      <c r="M3177" s="53"/>
      <c r="N3177" s="62"/>
      <c r="O3177" s="62"/>
      <c r="P3177" s="62"/>
      <c r="Q3177" s="62"/>
      <c r="R3177" s="53"/>
      <c r="S3177" s="53"/>
      <c r="T3177" s="82"/>
      <c r="U3177" s="42"/>
      <c r="V3177" s="62"/>
      <c r="W3177" s="64"/>
      <c r="X3177" s="330"/>
      <c r="Y3177" s="330"/>
      <c r="Z3177" s="330"/>
      <c r="AA3177" s="223"/>
    </row>
    <row r="3178">
      <c r="A3178" s="42">
        <f t="shared" si="3"/>
        <v>3177</v>
      </c>
      <c r="B3178" s="53"/>
      <c r="C3178" s="53"/>
      <c r="D3178" s="42"/>
      <c r="E3178" s="42"/>
      <c r="F3178" s="53"/>
      <c r="G3178" s="53"/>
      <c r="H3178" s="53"/>
      <c r="I3178" s="53"/>
      <c r="J3178" s="53"/>
      <c r="K3178" s="53"/>
      <c r="L3178" s="53"/>
      <c r="M3178" s="53"/>
      <c r="N3178" s="62"/>
      <c r="O3178" s="62"/>
      <c r="P3178" s="62"/>
      <c r="Q3178" s="62"/>
      <c r="R3178" s="53"/>
      <c r="S3178" s="53"/>
      <c r="T3178" s="82"/>
      <c r="U3178" s="42"/>
      <c r="V3178" s="62"/>
      <c r="W3178" s="64"/>
      <c r="X3178" s="330"/>
      <c r="Y3178" s="330"/>
      <c r="Z3178" s="330"/>
      <c r="AA3178" s="223"/>
    </row>
    <row r="3179">
      <c r="A3179" s="42">
        <f t="shared" si="3"/>
        <v>3178</v>
      </c>
      <c r="B3179" s="53"/>
      <c r="C3179" s="53"/>
      <c r="D3179" s="42"/>
      <c r="E3179" s="42"/>
      <c r="F3179" s="53"/>
      <c r="G3179" s="53"/>
      <c r="H3179" s="53"/>
      <c r="I3179" s="53"/>
      <c r="J3179" s="53"/>
      <c r="K3179" s="53"/>
      <c r="L3179" s="53"/>
      <c r="M3179" s="53"/>
      <c r="N3179" s="62"/>
      <c r="O3179" s="62"/>
      <c r="P3179" s="62"/>
      <c r="Q3179" s="62"/>
      <c r="R3179" s="53"/>
      <c r="S3179" s="53"/>
      <c r="T3179" s="82"/>
      <c r="U3179" s="42"/>
      <c r="V3179" s="62"/>
      <c r="W3179" s="64"/>
      <c r="X3179" s="330"/>
      <c r="Y3179" s="330"/>
      <c r="Z3179" s="330"/>
      <c r="AA3179" s="223"/>
    </row>
    <row r="3180">
      <c r="A3180" s="42">
        <f t="shared" si="3"/>
        <v>3179</v>
      </c>
      <c r="B3180" s="53"/>
      <c r="C3180" s="53"/>
      <c r="D3180" s="42"/>
      <c r="E3180" s="42"/>
      <c r="F3180" s="53"/>
      <c r="G3180" s="53"/>
      <c r="H3180" s="53"/>
      <c r="I3180" s="53"/>
      <c r="J3180" s="53"/>
      <c r="K3180" s="53"/>
      <c r="L3180" s="53"/>
      <c r="M3180" s="53"/>
      <c r="N3180" s="62"/>
      <c r="O3180" s="62"/>
      <c r="P3180" s="62"/>
      <c r="Q3180" s="62"/>
      <c r="R3180" s="53"/>
      <c r="S3180" s="53"/>
      <c r="T3180" s="82"/>
      <c r="U3180" s="42"/>
      <c r="V3180" s="62"/>
      <c r="W3180" s="64"/>
      <c r="X3180" s="330"/>
      <c r="Y3180" s="330"/>
      <c r="Z3180" s="330"/>
      <c r="AA3180" s="223"/>
    </row>
    <row r="3181">
      <c r="A3181" s="42">
        <f t="shared" si="3"/>
        <v>3180</v>
      </c>
      <c r="B3181" s="53"/>
      <c r="C3181" s="53"/>
      <c r="D3181" s="42"/>
      <c r="E3181" s="42"/>
      <c r="F3181" s="53"/>
      <c r="G3181" s="53"/>
      <c r="H3181" s="53"/>
      <c r="I3181" s="53"/>
      <c r="J3181" s="53"/>
      <c r="K3181" s="53"/>
      <c r="L3181" s="53"/>
      <c r="M3181" s="53"/>
      <c r="N3181" s="62"/>
      <c r="O3181" s="62"/>
      <c r="P3181" s="62"/>
      <c r="Q3181" s="62"/>
      <c r="R3181" s="53"/>
      <c r="S3181" s="53"/>
      <c r="T3181" s="82"/>
      <c r="U3181" s="42"/>
      <c r="V3181" s="62"/>
      <c r="W3181" s="64"/>
      <c r="X3181" s="330"/>
      <c r="Y3181" s="330"/>
      <c r="Z3181" s="330"/>
      <c r="AA3181" s="223"/>
    </row>
    <row r="3182">
      <c r="A3182" s="42">
        <f t="shared" si="3"/>
        <v>3181</v>
      </c>
      <c r="B3182" s="53"/>
      <c r="C3182" s="53"/>
      <c r="D3182" s="42"/>
      <c r="E3182" s="42"/>
      <c r="F3182" s="53"/>
      <c r="G3182" s="53"/>
      <c r="H3182" s="53"/>
      <c r="I3182" s="53"/>
      <c r="J3182" s="53"/>
      <c r="K3182" s="53"/>
      <c r="L3182" s="53"/>
      <c r="M3182" s="53"/>
      <c r="N3182" s="62"/>
      <c r="O3182" s="62"/>
      <c r="P3182" s="62"/>
      <c r="Q3182" s="62"/>
      <c r="R3182" s="53"/>
      <c r="S3182" s="53"/>
      <c r="T3182" s="82"/>
      <c r="U3182" s="42"/>
      <c r="V3182" s="62"/>
      <c r="W3182" s="64"/>
      <c r="X3182" s="330"/>
      <c r="Y3182" s="330"/>
      <c r="Z3182" s="330"/>
      <c r="AA3182" s="223"/>
    </row>
    <row r="3183">
      <c r="A3183" s="42">
        <f t="shared" si="3"/>
        <v>3182</v>
      </c>
      <c r="B3183" s="53"/>
      <c r="C3183" s="53"/>
      <c r="D3183" s="42"/>
      <c r="E3183" s="42"/>
      <c r="F3183" s="53"/>
      <c r="G3183" s="53"/>
      <c r="H3183" s="53"/>
      <c r="I3183" s="53"/>
      <c r="J3183" s="53"/>
      <c r="K3183" s="53"/>
      <c r="L3183" s="53"/>
      <c r="M3183" s="53"/>
      <c r="N3183" s="62"/>
      <c r="O3183" s="62"/>
      <c r="P3183" s="62"/>
      <c r="Q3183" s="62"/>
      <c r="R3183" s="53"/>
      <c r="S3183" s="53"/>
      <c r="T3183" s="82"/>
      <c r="U3183" s="42"/>
      <c r="V3183" s="62"/>
      <c r="W3183" s="64"/>
      <c r="X3183" s="330"/>
      <c r="Y3183" s="330"/>
      <c r="Z3183" s="330"/>
      <c r="AA3183" s="223"/>
    </row>
    <row r="3184">
      <c r="A3184" s="42">
        <f t="shared" si="3"/>
        <v>3183</v>
      </c>
      <c r="B3184" s="53"/>
      <c r="C3184" s="53"/>
      <c r="D3184" s="42"/>
      <c r="E3184" s="42"/>
      <c r="F3184" s="53"/>
      <c r="G3184" s="53"/>
      <c r="H3184" s="53"/>
      <c r="I3184" s="53"/>
      <c r="J3184" s="53"/>
      <c r="K3184" s="53"/>
      <c r="L3184" s="53"/>
      <c r="M3184" s="53"/>
      <c r="N3184" s="62"/>
      <c r="O3184" s="62"/>
      <c r="P3184" s="62"/>
      <c r="Q3184" s="62"/>
      <c r="R3184" s="53"/>
      <c r="S3184" s="53"/>
      <c r="T3184" s="82"/>
      <c r="U3184" s="42"/>
      <c r="V3184" s="62"/>
      <c r="W3184" s="64"/>
      <c r="X3184" s="330"/>
      <c r="Y3184" s="330"/>
      <c r="Z3184" s="330"/>
      <c r="AA3184" s="223"/>
    </row>
    <row r="3185">
      <c r="A3185" s="42">
        <f t="shared" si="3"/>
        <v>3184</v>
      </c>
      <c r="B3185" s="53"/>
      <c r="C3185" s="53"/>
      <c r="D3185" s="42"/>
      <c r="E3185" s="42"/>
      <c r="F3185" s="53"/>
      <c r="G3185" s="53"/>
      <c r="H3185" s="53"/>
      <c r="I3185" s="53"/>
      <c r="J3185" s="53"/>
      <c r="K3185" s="53"/>
      <c r="L3185" s="53"/>
      <c r="M3185" s="53"/>
      <c r="N3185" s="62"/>
      <c r="O3185" s="62"/>
      <c r="P3185" s="62"/>
      <c r="Q3185" s="62"/>
      <c r="R3185" s="53"/>
      <c r="S3185" s="53"/>
      <c r="T3185" s="82"/>
      <c r="U3185" s="42"/>
      <c r="V3185" s="62"/>
      <c r="W3185" s="64"/>
      <c r="X3185" s="330"/>
      <c r="Y3185" s="330"/>
      <c r="Z3185" s="330"/>
      <c r="AA3185" s="223"/>
    </row>
    <row r="3186">
      <c r="A3186" s="42">
        <f t="shared" si="3"/>
        <v>3185</v>
      </c>
      <c r="B3186" s="53"/>
      <c r="C3186" s="53"/>
      <c r="D3186" s="42"/>
      <c r="E3186" s="42"/>
      <c r="F3186" s="53"/>
      <c r="G3186" s="53"/>
      <c r="H3186" s="53"/>
      <c r="I3186" s="53"/>
      <c r="J3186" s="53"/>
      <c r="K3186" s="53"/>
      <c r="L3186" s="53"/>
      <c r="M3186" s="53"/>
      <c r="N3186" s="62"/>
      <c r="O3186" s="62"/>
      <c r="P3186" s="62"/>
      <c r="Q3186" s="62"/>
      <c r="R3186" s="53"/>
      <c r="S3186" s="53"/>
      <c r="T3186" s="82"/>
      <c r="U3186" s="42"/>
      <c r="V3186" s="62"/>
      <c r="W3186" s="64"/>
      <c r="X3186" s="330"/>
      <c r="Y3186" s="330"/>
      <c r="Z3186" s="330"/>
      <c r="AA3186" s="223"/>
    </row>
    <row r="3187">
      <c r="A3187" s="42">
        <f t="shared" si="3"/>
        <v>3186</v>
      </c>
      <c r="B3187" s="53"/>
      <c r="C3187" s="53"/>
      <c r="D3187" s="42"/>
      <c r="E3187" s="42"/>
      <c r="F3187" s="53"/>
      <c r="G3187" s="53"/>
      <c r="H3187" s="53"/>
      <c r="I3187" s="53"/>
      <c r="J3187" s="53"/>
      <c r="K3187" s="53"/>
      <c r="L3187" s="53"/>
      <c r="M3187" s="53"/>
      <c r="N3187" s="62"/>
      <c r="O3187" s="62"/>
      <c r="P3187" s="62"/>
      <c r="Q3187" s="62"/>
      <c r="R3187" s="53"/>
      <c r="S3187" s="53"/>
      <c r="T3187" s="82"/>
      <c r="U3187" s="42"/>
      <c r="V3187" s="62"/>
      <c r="W3187" s="64"/>
      <c r="X3187" s="330"/>
      <c r="Y3187" s="330"/>
      <c r="Z3187" s="330"/>
      <c r="AA3187" s="223"/>
    </row>
    <row r="3188">
      <c r="A3188" s="42">
        <f t="shared" si="3"/>
        <v>3187</v>
      </c>
      <c r="B3188" s="53"/>
      <c r="C3188" s="53"/>
      <c r="D3188" s="42"/>
      <c r="E3188" s="42"/>
      <c r="F3188" s="53"/>
      <c r="G3188" s="53"/>
      <c r="H3188" s="53"/>
      <c r="I3188" s="53"/>
      <c r="J3188" s="53"/>
      <c r="K3188" s="53"/>
      <c r="L3188" s="53"/>
      <c r="M3188" s="53"/>
      <c r="N3188" s="62"/>
      <c r="O3188" s="62"/>
      <c r="P3188" s="62"/>
      <c r="Q3188" s="62"/>
      <c r="R3188" s="53"/>
      <c r="S3188" s="53"/>
      <c r="T3188" s="82"/>
      <c r="U3188" s="42"/>
      <c r="V3188" s="62"/>
      <c r="W3188" s="64"/>
      <c r="X3188" s="330"/>
      <c r="Y3188" s="330"/>
      <c r="Z3188" s="330"/>
      <c r="AA3188" s="223"/>
    </row>
    <row r="3189">
      <c r="A3189" s="42">
        <f t="shared" si="3"/>
        <v>3188</v>
      </c>
      <c r="B3189" s="53"/>
      <c r="C3189" s="53"/>
      <c r="D3189" s="42"/>
      <c r="E3189" s="42"/>
      <c r="F3189" s="53"/>
      <c r="G3189" s="53"/>
      <c r="H3189" s="53"/>
      <c r="I3189" s="53"/>
      <c r="J3189" s="53"/>
      <c r="K3189" s="53"/>
      <c r="L3189" s="53"/>
      <c r="M3189" s="53"/>
      <c r="N3189" s="62"/>
      <c r="O3189" s="62"/>
      <c r="P3189" s="62"/>
      <c r="Q3189" s="62"/>
      <c r="R3189" s="53"/>
      <c r="S3189" s="53"/>
      <c r="T3189" s="82"/>
      <c r="U3189" s="42"/>
      <c r="V3189" s="62"/>
      <c r="W3189" s="64"/>
      <c r="X3189" s="330"/>
      <c r="Y3189" s="330"/>
      <c r="Z3189" s="330"/>
      <c r="AA3189" s="223"/>
    </row>
    <row r="3190">
      <c r="A3190" s="42">
        <f t="shared" si="3"/>
        <v>3189</v>
      </c>
      <c r="B3190" s="53"/>
      <c r="C3190" s="53"/>
      <c r="D3190" s="42"/>
      <c r="E3190" s="42"/>
      <c r="F3190" s="53"/>
      <c r="G3190" s="53"/>
      <c r="H3190" s="53"/>
      <c r="I3190" s="53"/>
      <c r="J3190" s="53"/>
      <c r="K3190" s="53"/>
      <c r="L3190" s="53"/>
      <c r="M3190" s="53"/>
      <c r="N3190" s="62"/>
      <c r="O3190" s="62"/>
      <c r="P3190" s="62"/>
      <c r="Q3190" s="62"/>
      <c r="R3190" s="53"/>
      <c r="S3190" s="53"/>
      <c r="T3190" s="82"/>
      <c r="U3190" s="42"/>
      <c r="V3190" s="62"/>
      <c r="W3190" s="64"/>
      <c r="X3190" s="330"/>
      <c r="Y3190" s="330"/>
      <c r="Z3190" s="330"/>
      <c r="AA3190" s="223"/>
    </row>
    <row r="3191">
      <c r="A3191" s="42">
        <f t="shared" si="3"/>
        <v>3190</v>
      </c>
      <c r="B3191" s="53"/>
      <c r="C3191" s="53"/>
      <c r="D3191" s="42"/>
      <c r="E3191" s="42"/>
      <c r="F3191" s="53"/>
      <c r="G3191" s="53"/>
      <c r="H3191" s="53"/>
      <c r="I3191" s="53"/>
      <c r="J3191" s="53"/>
      <c r="K3191" s="53"/>
      <c r="L3191" s="53"/>
      <c r="M3191" s="53"/>
      <c r="N3191" s="62"/>
      <c r="O3191" s="62"/>
      <c r="P3191" s="62"/>
      <c r="Q3191" s="62"/>
      <c r="R3191" s="53"/>
      <c r="S3191" s="53"/>
      <c r="T3191" s="82"/>
      <c r="U3191" s="42"/>
      <c r="V3191" s="62"/>
      <c r="W3191" s="64"/>
      <c r="X3191" s="330"/>
      <c r="Y3191" s="330"/>
      <c r="Z3191" s="330"/>
      <c r="AA3191" s="223"/>
    </row>
    <row r="3192">
      <c r="A3192" s="42">
        <f t="shared" si="3"/>
        <v>3191</v>
      </c>
      <c r="B3192" s="53"/>
      <c r="C3192" s="53"/>
      <c r="D3192" s="42"/>
      <c r="E3192" s="42"/>
      <c r="F3192" s="53"/>
      <c r="G3192" s="53"/>
      <c r="H3192" s="53"/>
      <c r="I3192" s="53"/>
      <c r="J3192" s="53"/>
      <c r="K3192" s="53"/>
      <c r="L3192" s="53"/>
      <c r="M3192" s="53"/>
      <c r="N3192" s="62"/>
      <c r="O3192" s="62"/>
      <c r="P3192" s="62"/>
      <c r="Q3192" s="62"/>
      <c r="R3192" s="53"/>
      <c r="S3192" s="53"/>
      <c r="T3192" s="82"/>
      <c r="U3192" s="42"/>
      <c r="V3192" s="62"/>
      <c r="W3192" s="64"/>
      <c r="X3192" s="330"/>
      <c r="Y3192" s="330"/>
      <c r="Z3192" s="330"/>
      <c r="AA3192" s="223"/>
    </row>
    <row r="3193">
      <c r="A3193" s="42">
        <f t="shared" si="3"/>
        <v>3192</v>
      </c>
      <c r="B3193" s="53"/>
      <c r="C3193" s="53"/>
      <c r="D3193" s="42"/>
      <c r="E3193" s="42"/>
      <c r="F3193" s="53"/>
      <c r="G3193" s="53"/>
      <c r="H3193" s="53"/>
      <c r="I3193" s="53"/>
      <c r="J3193" s="53"/>
      <c r="K3193" s="53"/>
      <c r="L3193" s="53"/>
      <c r="M3193" s="53"/>
      <c r="N3193" s="62"/>
      <c r="O3193" s="62"/>
      <c r="P3193" s="62"/>
      <c r="Q3193" s="62"/>
      <c r="R3193" s="53"/>
      <c r="S3193" s="53"/>
      <c r="T3193" s="82"/>
      <c r="U3193" s="42"/>
      <c r="V3193" s="62"/>
      <c r="W3193" s="64"/>
      <c r="X3193" s="330"/>
      <c r="Y3193" s="330"/>
      <c r="Z3193" s="330"/>
      <c r="AA3193" s="223"/>
    </row>
    <row r="3194">
      <c r="A3194" s="42">
        <f t="shared" si="3"/>
        <v>3193</v>
      </c>
      <c r="B3194" s="53"/>
      <c r="C3194" s="53"/>
      <c r="D3194" s="42"/>
      <c r="E3194" s="42"/>
      <c r="F3194" s="53"/>
      <c r="G3194" s="53"/>
      <c r="H3194" s="53"/>
      <c r="I3194" s="53"/>
      <c r="J3194" s="53"/>
      <c r="K3194" s="53"/>
      <c r="L3194" s="53"/>
      <c r="M3194" s="53"/>
      <c r="N3194" s="62"/>
      <c r="O3194" s="62"/>
      <c r="P3194" s="62"/>
      <c r="Q3194" s="62"/>
      <c r="R3194" s="53"/>
      <c r="S3194" s="53"/>
      <c r="T3194" s="82"/>
      <c r="U3194" s="42"/>
      <c r="V3194" s="62"/>
      <c r="W3194" s="64"/>
      <c r="X3194" s="330"/>
      <c r="Y3194" s="330"/>
      <c r="Z3194" s="330"/>
      <c r="AA3194" s="223"/>
    </row>
    <row r="3195">
      <c r="A3195" s="42">
        <f t="shared" si="3"/>
        <v>3194</v>
      </c>
      <c r="B3195" s="53"/>
      <c r="C3195" s="53"/>
      <c r="D3195" s="42"/>
      <c r="E3195" s="42"/>
      <c r="F3195" s="53"/>
      <c r="G3195" s="53"/>
      <c r="H3195" s="53"/>
      <c r="I3195" s="53"/>
      <c r="J3195" s="53"/>
      <c r="K3195" s="53"/>
      <c r="L3195" s="53"/>
      <c r="M3195" s="53"/>
      <c r="N3195" s="62"/>
      <c r="O3195" s="62"/>
      <c r="P3195" s="62"/>
      <c r="Q3195" s="62"/>
      <c r="R3195" s="53"/>
      <c r="S3195" s="53"/>
      <c r="T3195" s="82"/>
      <c r="U3195" s="42"/>
      <c r="V3195" s="62"/>
      <c r="W3195" s="64"/>
      <c r="X3195" s="330"/>
      <c r="Y3195" s="330"/>
      <c r="Z3195" s="330"/>
      <c r="AA3195" s="223"/>
    </row>
    <row r="3196">
      <c r="A3196" s="42">
        <f t="shared" si="3"/>
        <v>3195</v>
      </c>
      <c r="B3196" s="53"/>
      <c r="C3196" s="53"/>
      <c r="D3196" s="42"/>
      <c r="E3196" s="42"/>
      <c r="F3196" s="53"/>
      <c r="G3196" s="53"/>
      <c r="H3196" s="53"/>
      <c r="I3196" s="53"/>
      <c r="J3196" s="53"/>
      <c r="K3196" s="53"/>
      <c r="L3196" s="53"/>
      <c r="M3196" s="53"/>
      <c r="N3196" s="62"/>
      <c r="O3196" s="62"/>
      <c r="P3196" s="62"/>
      <c r="Q3196" s="62"/>
      <c r="R3196" s="53"/>
      <c r="S3196" s="53"/>
      <c r="T3196" s="82"/>
      <c r="U3196" s="42"/>
      <c r="V3196" s="62"/>
      <c r="W3196" s="64"/>
      <c r="X3196" s="330"/>
      <c r="Y3196" s="330"/>
      <c r="Z3196" s="330"/>
      <c r="AA3196" s="223"/>
    </row>
    <row r="3197">
      <c r="A3197" s="42">
        <f t="shared" si="3"/>
        <v>3196</v>
      </c>
      <c r="B3197" s="53"/>
      <c r="C3197" s="53"/>
      <c r="D3197" s="42"/>
      <c r="E3197" s="42"/>
      <c r="F3197" s="53"/>
      <c r="G3197" s="53"/>
      <c r="H3197" s="53"/>
      <c r="I3197" s="53"/>
      <c r="J3197" s="53"/>
      <c r="K3197" s="53"/>
      <c r="L3197" s="53"/>
      <c r="M3197" s="53"/>
      <c r="N3197" s="62"/>
      <c r="O3197" s="62"/>
      <c r="P3197" s="62"/>
      <c r="Q3197" s="62"/>
      <c r="R3197" s="53"/>
      <c r="S3197" s="53"/>
      <c r="T3197" s="82"/>
      <c r="U3197" s="42"/>
      <c r="V3197" s="62"/>
      <c r="W3197" s="64"/>
      <c r="X3197" s="330"/>
      <c r="Y3197" s="330"/>
      <c r="Z3197" s="330"/>
      <c r="AA3197" s="223"/>
    </row>
    <row r="3198">
      <c r="A3198" s="42">
        <f t="shared" si="3"/>
        <v>3197</v>
      </c>
      <c r="B3198" s="53"/>
      <c r="C3198" s="53"/>
      <c r="D3198" s="42"/>
      <c r="E3198" s="42"/>
      <c r="F3198" s="53"/>
      <c r="G3198" s="53"/>
      <c r="H3198" s="53"/>
      <c r="I3198" s="53"/>
      <c r="J3198" s="53"/>
      <c r="K3198" s="53"/>
      <c r="L3198" s="53"/>
      <c r="M3198" s="53"/>
      <c r="N3198" s="62"/>
      <c r="O3198" s="62"/>
      <c r="P3198" s="62"/>
      <c r="Q3198" s="62"/>
      <c r="R3198" s="53"/>
      <c r="S3198" s="53"/>
      <c r="T3198" s="82"/>
      <c r="U3198" s="42"/>
      <c r="V3198" s="62"/>
      <c r="W3198" s="64"/>
      <c r="X3198" s="330"/>
      <c r="Y3198" s="330"/>
      <c r="Z3198" s="330"/>
      <c r="AA3198" s="223"/>
    </row>
    <row r="3199">
      <c r="A3199" s="42">
        <f t="shared" si="3"/>
        <v>3198</v>
      </c>
      <c r="B3199" s="53"/>
      <c r="C3199" s="53"/>
      <c r="D3199" s="42"/>
      <c r="E3199" s="42"/>
      <c r="F3199" s="53"/>
      <c r="G3199" s="53"/>
      <c r="H3199" s="53"/>
      <c r="I3199" s="53"/>
      <c r="J3199" s="53"/>
      <c r="K3199" s="53"/>
      <c r="L3199" s="53"/>
      <c r="M3199" s="53"/>
      <c r="N3199" s="62"/>
      <c r="O3199" s="62"/>
      <c r="P3199" s="62"/>
      <c r="Q3199" s="62"/>
      <c r="R3199" s="53"/>
      <c r="S3199" s="53"/>
      <c r="T3199" s="82"/>
      <c r="U3199" s="42"/>
      <c r="V3199" s="62"/>
      <c r="W3199" s="64"/>
      <c r="X3199" s="330"/>
      <c r="Y3199" s="330"/>
      <c r="Z3199" s="330"/>
      <c r="AA3199" s="223"/>
    </row>
    <row r="3200">
      <c r="A3200" s="42">
        <f t="shared" si="3"/>
        <v>3199</v>
      </c>
      <c r="B3200" s="53"/>
      <c r="C3200" s="53"/>
      <c r="D3200" s="42"/>
      <c r="E3200" s="42"/>
      <c r="F3200" s="53"/>
      <c r="G3200" s="53"/>
      <c r="H3200" s="53"/>
      <c r="I3200" s="53"/>
      <c r="J3200" s="53"/>
      <c r="K3200" s="53"/>
      <c r="L3200" s="53"/>
      <c r="M3200" s="53"/>
      <c r="N3200" s="62"/>
      <c r="O3200" s="62"/>
      <c r="P3200" s="62"/>
      <c r="Q3200" s="62"/>
      <c r="R3200" s="53"/>
      <c r="S3200" s="53"/>
      <c r="T3200" s="82"/>
      <c r="U3200" s="42"/>
      <c r="V3200" s="62"/>
      <c r="W3200" s="64"/>
      <c r="X3200" s="330"/>
      <c r="Y3200" s="330"/>
      <c r="Z3200" s="330"/>
      <c r="AA3200" s="223"/>
    </row>
    <row r="3201">
      <c r="A3201" s="42">
        <f t="shared" si="3"/>
        <v>3200</v>
      </c>
      <c r="B3201" s="53"/>
      <c r="C3201" s="53"/>
      <c r="D3201" s="42"/>
      <c r="E3201" s="42"/>
      <c r="F3201" s="53"/>
      <c r="G3201" s="53"/>
      <c r="H3201" s="53"/>
      <c r="I3201" s="53"/>
      <c r="J3201" s="53"/>
      <c r="K3201" s="53"/>
      <c r="L3201" s="53"/>
      <c r="M3201" s="53"/>
      <c r="N3201" s="62"/>
      <c r="O3201" s="62"/>
      <c r="P3201" s="62"/>
      <c r="Q3201" s="62"/>
      <c r="R3201" s="53"/>
      <c r="S3201" s="53"/>
      <c r="T3201" s="82"/>
      <c r="U3201" s="42"/>
      <c r="V3201" s="62"/>
      <c r="W3201" s="64"/>
      <c r="X3201" s="330"/>
      <c r="Y3201" s="330"/>
      <c r="Z3201" s="330"/>
      <c r="AA3201" s="223"/>
    </row>
    <row r="3202">
      <c r="A3202" s="42">
        <f t="shared" si="3"/>
        <v>3201</v>
      </c>
      <c r="B3202" s="53"/>
      <c r="C3202" s="53"/>
      <c r="D3202" s="42"/>
      <c r="E3202" s="42"/>
      <c r="F3202" s="53"/>
      <c r="G3202" s="53"/>
      <c r="H3202" s="53"/>
      <c r="I3202" s="53"/>
      <c r="J3202" s="53"/>
      <c r="K3202" s="53"/>
      <c r="L3202" s="53"/>
      <c r="M3202" s="53"/>
      <c r="N3202" s="62"/>
      <c r="O3202" s="62"/>
      <c r="P3202" s="62"/>
      <c r="Q3202" s="62"/>
      <c r="R3202" s="53"/>
      <c r="S3202" s="53"/>
      <c r="T3202" s="82"/>
      <c r="U3202" s="42"/>
      <c r="V3202" s="62"/>
      <c r="W3202" s="64"/>
      <c r="X3202" s="330"/>
      <c r="Y3202" s="330"/>
      <c r="Z3202" s="330"/>
      <c r="AA3202" s="223"/>
    </row>
    <row r="3203">
      <c r="A3203" s="42">
        <f t="shared" si="3"/>
        <v>3202</v>
      </c>
      <c r="B3203" s="53"/>
      <c r="C3203" s="53"/>
      <c r="D3203" s="42"/>
      <c r="E3203" s="42"/>
      <c r="F3203" s="53"/>
      <c r="G3203" s="53"/>
      <c r="H3203" s="53"/>
      <c r="I3203" s="53"/>
      <c r="J3203" s="53"/>
      <c r="K3203" s="53"/>
      <c r="L3203" s="53"/>
      <c r="M3203" s="53"/>
      <c r="N3203" s="62"/>
      <c r="O3203" s="62"/>
      <c r="P3203" s="62"/>
      <c r="Q3203" s="62"/>
      <c r="R3203" s="53"/>
      <c r="S3203" s="53"/>
      <c r="T3203" s="82"/>
      <c r="U3203" s="42"/>
      <c r="V3203" s="62"/>
      <c r="W3203" s="64"/>
      <c r="X3203" s="330"/>
      <c r="Y3203" s="330"/>
      <c r="Z3203" s="330"/>
      <c r="AA3203" s="223"/>
    </row>
    <row r="3204">
      <c r="A3204" s="42">
        <f t="shared" si="3"/>
        <v>3203</v>
      </c>
      <c r="B3204" s="53"/>
      <c r="C3204" s="53"/>
      <c r="D3204" s="42"/>
      <c r="E3204" s="42"/>
      <c r="F3204" s="53"/>
      <c r="G3204" s="53"/>
      <c r="H3204" s="53"/>
      <c r="I3204" s="53"/>
      <c r="J3204" s="53"/>
      <c r="K3204" s="53"/>
      <c r="L3204" s="53"/>
      <c r="M3204" s="53"/>
      <c r="N3204" s="62"/>
      <c r="O3204" s="62"/>
      <c r="P3204" s="62"/>
      <c r="Q3204" s="62"/>
      <c r="R3204" s="53"/>
      <c r="S3204" s="53"/>
      <c r="T3204" s="82"/>
      <c r="U3204" s="42"/>
      <c r="V3204" s="62"/>
      <c r="W3204" s="64"/>
      <c r="X3204" s="330"/>
      <c r="Y3204" s="330"/>
      <c r="Z3204" s="330"/>
      <c r="AA3204" s="223"/>
    </row>
    <row r="3205">
      <c r="A3205" s="42">
        <f t="shared" si="3"/>
        <v>3204</v>
      </c>
      <c r="B3205" s="53"/>
      <c r="C3205" s="53"/>
      <c r="D3205" s="42"/>
      <c r="E3205" s="42"/>
      <c r="F3205" s="53"/>
      <c r="G3205" s="53"/>
      <c r="H3205" s="53"/>
      <c r="I3205" s="53"/>
      <c r="J3205" s="53"/>
      <c r="K3205" s="53"/>
      <c r="L3205" s="53"/>
      <c r="M3205" s="53"/>
      <c r="N3205" s="62"/>
      <c r="O3205" s="62"/>
      <c r="P3205" s="62"/>
      <c r="Q3205" s="62"/>
      <c r="R3205" s="53"/>
      <c r="S3205" s="53"/>
      <c r="T3205" s="82"/>
      <c r="U3205" s="42"/>
      <c r="V3205" s="62"/>
      <c r="W3205" s="64"/>
      <c r="X3205" s="330"/>
      <c r="Y3205" s="330"/>
      <c r="Z3205" s="330"/>
      <c r="AA3205" s="223"/>
    </row>
    <row r="3206">
      <c r="A3206" s="42">
        <f t="shared" si="3"/>
        <v>3205</v>
      </c>
      <c r="B3206" s="53"/>
      <c r="C3206" s="53"/>
      <c r="D3206" s="42"/>
      <c r="E3206" s="42"/>
      <c r="F3206" s="53"/>
      <c r="G3206" s="53"/>
      <c r="H3206" s="53"/>
      <c r="I3206" s="53"/>
      <c r="J3206" s="53"/>
      <c r="K3206" s="53"/>
      <c r="L3206" s="53"/>
      <c r="M3206" s="53"/>
      <c r="N3206" s="62"/>
      <c r="O3206" s="62"/>
      <c r="P3206" s="62"/>
      <c r="Q3206" s="62"/>
      <c r="R3206" s="53"/>
      <c r="S3206" s="53"/>
      <c r="T3206" s="82"/>
      <c r="U3206" s="42"/>
      <c r="V3206" s="62"/>
      <c r="W3206" s="64"/>
      <c r="X3206" s="330"/>
      <c r="Y3206" s="330"/>
      <c r="Z3206" s="330"/>
      <c r="AA3206" s="223"/>
    </row>
    <row r="3207">
      <c r="A3207" s="42">
        <f t="shared" si="3"/>
        <v>3206</v>
      </c>
      <c r="B3207" s="53"/>
      <c r="C3207" s="53"/>
      <c r="D3207" s="42"/>
      <c r="E3207" s="42"/>
      <c r="F3207" s="53"/>
      <c r="G3207" s="53"/>
      <c r="H3207" s="53"/>
      <c r="I3207" s="53"/>
      <c r="J3207" s="53"/>
      <c r="K3207" s="53"/>
      <c r="L3207" s="53"/>
      <c r="M3207" s="53"/>
      <c r="N3207" s="62"/>
      <c r="O3207" s="62"/>
      <c r="P3207" s="62"/>
      <c r="Q3207" s="62"/>
      <c r="R3207" s="53"/>
      <c r="S3207" s="53"/>
      <c r="T3207" s="82"/>
      <c r="U3207" s="42"/>
      <c r="V3207" s="62"/>
      <c r="W3207" s="64"/>
      <c r="X3207" s="330"/>
      <c r="Y3207" s="330"/>
      <c r="Z3207" s="330"/>
      <c r="AA3207" s="223"/>
    </row>
    <row r="3208">
      <c r="A3208" s="42">
        <f t="shared" si="3"/>
        <v>3207</v>
      </c>
      <c r="B3208" s="53"/>
      <c r="C3208" s="53"/>
      <c r="D3208" s="42"/>
      <c r="E3208" s="42"/>
      <c r="F3208" s="53"/>
      <c r="G3208" s="53"/>
      <c r="H3208" s="53"/>
      <c r="I3208" s="53"/>
      <c r="J3208" s="53"/>
      <c r="K3208" s="53"/>
      <c r="L3208" s="53"/>
      <c r="M3208" s="53"/>
      <c r="N3208" s="62"/>
      <c r="O3208" s="62"/>
      <c r="P3208" s="62"/>
      <c r="Q3208" s="62"/>
      <c r="R3208" s="53"/>
      <c r="S3208" s="53"/>
      <c r="T3208" s="82"/>
      <c r="U3208" s="42"/>
      <c r="V3208" s="62"/>
      <c r="W3208" s="64"/>
      <c r="X3208" s="330"/>
      <c r="Y3208" s="330"/>
      <c r="Z3208" s="330"/>
      <c r="AA3208" s="223"/>
    </row>
    <row r="3209">
      <c r="A3209" s="42">
        <f t="shared" si="3"/>
        <v>3208</v>
      </c>
      <c r="B3209" s="53"/>
      <c r="C3209" s="53"/>
      <c r="D3209" s="42"/>
      <c r="E3209" s="42"/>
      <c r="F3209" s="53"/>
      <c r="G3209" s="53"/>
      <c r="H3209" s="53"/>
      <c r="I3209" s="53"/>
      <c r="J3209" s="53"/>
      <c r="K3209" s="53"/>
      <c r="L3209" s="53"/>
      <c r="M3209" s="53"/>
      <c r="N3209" s="62"/>
      <c r="O3209" s="62"/>
      <c r="P3209" s="62"/>
      <c r="Q3209" s="62"/>
      <c r="R3209" s="53"/>
      <c r="S3209" s="53"/>
      <c r="T3209" s="82"/>
      <c r="U3209" s="42"/>
      <c r="V3209" s="62"/>
      <c r="W3209" s="64"/>
      <c r="X3209" s="330"/>
      <c r="Y3209" s="330"/>
      <c r="Z3209" s="330"/>
      <c r="AA3209" s="223"/>
    </row>
    <row r="3210">
      <c r="A3210" s="42">
        <f t="shared" si="3"/>
        <v>3209</v>
      </c>
      <c r="B3210" s="53"/>
      <c r="C3210" s="53"/>
      <c r="D3210" s="42"/>
      <c r="E3210" s="42"/>
      <c r="F3210" s="53"/>
      <c r="G3210" s="53"/>
      <c r="H3210" s="53"/>
      <c r="I3210" s="53"/>
      <c r="J3210" s="53"/>
      <c r="K3210" s="53"/>
      <c r="L3210" s="53"/>
      <c r="M3210" s="53"/>
      <c r="N3210" s="62"/>
      <c r="O3210" s="62"/>
      <c r="P3210" s="62"/>
      <c r="Q3210" s="62"/>
      <c r="R3210" s="53"/>
      <c r="S3210" s="53"/>
      <c r="T3210" s="82"/>
      <c r="U3210" s="42"/>
      <c r="V3210" s="62"/>
      <c r="W3210" s="64"/>
      <c r="X3210" s="330"/>
      <c r="Y3210" s="330"/>
      <c r="Z3210" s="330"/>
      <c r="AA3210" s="223"/>
    </row>
    <row r="3211">
      <c r="A3211" s="42">
        <f t="shared" si="3"/>
        <v>3210</v>
      </c>
      <c r="B3211" s="53"/>
      <c r="C3211" s="53"/>
      <c r="D3211" s="42"/>
      <c r="E3211" s="42"/>
      <c r="F3211" s="53"/>
      <c r="G3211" s="53"/>
      <c r="H3211" s="53"/>
      <c r="I3211" s="53"/>
      <c r="J3211" s="53"/>
      <c r="K3211" s="53"/>
      <c r="L3211" s="53"/>
      <c r="M3211" s="53"/>
      <c r="N3211" s="62"/>
      <c r="O3211" s="62"/>
      <c r="P3211" s="62"/>
      <c r="Q3211" s="62"/>
      <c r="R3211" s="53"/>
      <c r="S3211" s="53"/>
      <c r="T3211" s="82"/>
      <c r="U3211" s="42"/>
      <c r="V3211" s="62"/>
      <c r="W3211" s="64"/>
      <c r="X3211" s="330"/>
      <c r="Y3211" s="330"/>
      <c r="Z3211" s="330"/>
      <c r="AA3211" s="223"/>
    </row>
    <row r="3212">
      <c r="A3212" s="42">
        <f t="shared" si="3"/>
        <v>3211</v>
      </c>
      <c r="B3212" s="53"/>
      <c r="C3212" s="53"/>
      <c r="D3212" s="42"/>
      <c r="E3212" s="42"/>
      <c r="F3212" s="53"/>
      <c r="G3212" s="53"/>
      <c r="H3212" s="53"/>
      <c r="I3212" s="53"/>
      <c r="J3212" s="53"/>
      <c r="K3212" s="53"/>
      <c r="L3212" s="53"/>
      <c r="M3212" s="53"/>
      <c r="N3212" s="62"/>
      <c r="O3212" s="62"/>
      <c r="P3212" s="62"/>
      <c r="Q3212" s="62"/>
      <c r="R3212" s="53"/>
      <c r="S3212" s="53"/>
      <c r="T3212" s="82"/>
      <c r="U3212" s="42"/>
      <c r="V3212" s="62"/>
      <c r="W3212" s="64"/>
      <c r="X3212" s="330"/>
      <c r="Y3212" s="330"/>
      <c r="Z3212" s="330"/>
      <c r="AA3212" s="223"/>
    </row>
    <row r="3213">
      <c r="A3213" s="42">
        <f t="shared" si="3"/>
        <v>3212</v>
      </c>
      <c r="B3213" s="53"/>
      <c r="C3213" s="53"/>
      <c r="D3213" s="42"/>
      <c r="E3213" s="42"/>
      <c r="F3213" s="53"/>
      <c r="G3213" s="53"/>
      <c r="H3213" s="53"/>
      <c r="I3213" s="53"/>
      <c r="J3213" s="53"/>
      <c r="K3213" s="53"/>
      <c r="L3213" s="53"/>
      <c r="M3213" s="53"/>
      <c r="N3213" s="62"/>
      <c r="O3213" s="62"/>
      <c r="P3213" s="62"/>
      <c r="Q3213" s="62"/>
      <c r="R3213" s="53"/>
      <c r="S3213" s="53"/>
      <c r="T3213" s="82"/>
      <c r="U3213" s="42"/>
      <c r="V3213" s="62"/>
      <c r="W3213" s="64"/>
      <c r="X3213" s="330"/>
      <c r="Y3213" s="330"/>
      <c r="Z3213" s="330"/>
      <c r="AA3213" s="223"/>
    </row>
    <row r="3214">
      <c r="A3214" s="42">
        <f t="shared" si="3"/>
        <v>3213</v>
      </c>
      <c r="B3214" s="53"/>
      <c r="C3214" s="53"/>
      <c r="D3214" s="42"/>
      <c r="E3214" s="42"/>
      <c r="F3214" s="53"/>
      <c r="G3214" s="53"/>
      <c r="H3214" s="53"/>
      <c r="I3214" s="53"/>
      <c r="J3214" s="53"/>
      <c r="K3214" s="53"/>
      <c r="L3214" s="53"/>
      <c r="M3214" s="53"/>
      <c r="N3214" s="62"/>
      <c r="O3214" s="62"/>
      <c r="P3214" s="62"/>
      <c r="Q3214" s="62"/>
      <c r="R3214" s="53"/>
      <c r="S3214" s="53"/>
      <c r="T3214" s="82"/>
      <c r="U3214" s="42"/>
      <c r="V3214" s="62"/>
      <c r="W3214" s="64"/>
      <c r="X3214" s="330"/>
      <c r="Y3214" s="330"/>
      <c r="Z3214" s="330"/>
      <c r="AA3214" s="223"/>
    </row>
    <row r="3215">
      <c r="A3215" s="42">
        <f t="shared" si="3"/>
        <v>3214</v>
      </c>
      <c r="B3215" s="53"/>
      <c r="C3215" s="53"/>
      <c r="D3215" s="42"/>
      <c r="E3215" s="42"/>
      <c r="F3215" s="53"/>
      <c r="G3215" s="53"/>
      <c r="H3215" s="53"/>
      <c r="I3215" s="53"/>
      <c r="J3215" s="53"/>
      <c r="K3215" s="53"/>
      <c r="L3215" s="53"/>
      <c r="M3215" s="53"/>
      <c r="N3215" s="62"/>
      <c r="O3215" s="62"/>
      <c r="P3215" s="62"/>
      <c r="Q3215" s="62"/>
      <c r="R3215" s="53"/>
      <c r="S3215" s="53"/>
      <c r="T3215" s="82"/>
      <c r="U3215" s="42"/>
      <c r="V3215" s="62"/>
      <c r="W3215" s="64"/>
      <c r="X3215" s="330"/>
      <c r="Y3215" s="330"/>
      <c r="Z3215" s="330"/>
      <c r="AA3215" s="223"/>
    </row>
    <row r="3216">
      <c r="A3216" s="42">
        <f t="shared" si="3"/>
        <v>3215</v>
      </c>
      <c r="B3216" s="53"/>
      <c r="C3216" s="53"/>
      <c r="D3216" s="42"/>
      <c r="E3216" s="42"/>
      <c r="F3216" s="53"/>
      <c r="G3216" s="53"/>
      <c r="H3216" s="53"/>
      <c r="I3216" s="53"/>
      <c r="J3216" s="53"/>
      <c r="K3216" s="53"/>
      <c r="L3216" s="53"/>
      <c r="M3216" s="53"/>
      <c r="N3216" s="62"/>
      <c r="O3216" s="62"/>
      <c r="P3216" s="62"/>
      <c r="Q3216" s="62"/>
      <c r="R3216" s="53"/>
      <c r="S3216" s="53"/>
      <c r="T3216" s="82"/>
      <c r="U3216" s="42"/>
      <c r="V3216" s="62"/>
      <c r="W3216" s="64"/>
      <c r="X3216" s="330"/>
      <c r="Y3216" s="330"/>
      <c r="Z3216" s="330"/>
      <c r="AA3216" s="223"/>
    </row>
    <row r="3217">
      <c r="A3217" s="42">
        <f t="shared" si="3"/>
        <v>3216</v>
      </c>
      <c r="B3217" s="53"/>
      <c r="C3217" s="53"/>
      <c r="D3217" s="42"/>
      <c r="E3217" s="42"/>
      <c r="F3217" s="53"/>
      <c r="G3217" s="53"/>
      <c r="H3217" s="53"/>
      <c r="I3217" s="53"/>
      <c r="J3217" s="53"/>
      <c r="K3217" s="53"/>
      <c r="L3217" s="53"/>
      <c r="M3217" s="53"/>
      <c r="N3217" s="62"/>
      <c r="O3217" s="62"/>
      <c r="P3217" s="62"/>
      <c r="Q3217" s="62"/>
      <c r="R3217" s="53"/>
      <c r="S3217" s="53"/>
      <c r="T3217" s="82"/>
      <c r="U3217" s="42"/>
      <c r="V3217" s="62"/>
      <c r="W3217" s="64"/>
      <c r="X3217" s="330"/>
      <c r="Y3217" s="330"/>
      <c r="Z3217" s="330"/>
      <c r="AA3217" s="223"/>
    </row>
    <row r="3218">
      <c r="A3218" s="42">
        <f t="shared" si="3"/>
        <v>3217</v>
      </c>
      <c r="B3218" s="53"/>
      <c r="C3218" s="53"/>
      <c r="D3218" s="42"/>
      <c r="E3218" s="42"/>
      <c r="F3218" s="53"/>
      <c r="G3218" s="53"/>
      <c r="H3218" s="53"/>
      <c r="I3218" s="53"/>
      <c r="J3218" s="53"/>
      <c r="K3218" s="53"/>
      <c r="L3218" s="53"/>
      <c r="M3218" s="53"/>
      <c r="N3218" s="62"/>
      <c r="O3218" s="62"/>
      <c r="P3218" s="62"/>
      <c r="Q3218" s="62"/>
      <c r="R3218" s="53"/>
      <c r="S3218" s="53"/>
      <c r="T3218" s="82"/>
      <c r="U3218" s="42"/>
      <c r="V3218" s="62"/>
      <c r="W3218" s="64"/>
      <c r="X3218" s="330"/>
      <c r="Y3218" s="330"/>
      <c r="Z3218" s="330"/>
      <c r="AA3218" s="223"/>
    </row>
    <row r="3219">
      <c r="A3219" s="42">
        <f t="shared" si="3"/>
        <v>3218</v>
      </c>
      <c r="B3219" s="53"/>
      <c r="C3219" s="53"/>
      <c r="D3219" s="42"/>
      <c r="E3219" s="42"/>
      <c r="F3219" s="53"/>
      <c r="G3219" s="53"/>
      <c r="H3219" s="53"/>
      <c r="I3219" s="53"/>
      <c r="J3219" s="53"/>
      <c r="K3219" s="53"/>
      <c r="L3219" s="53"/>
      <c r="M3219" s="53"/>
      <c r="N3219" s="62"/>
      <c r="O3219" s="62"/>
      <c r="P3219" s="62"/>
      <c r="Q3219" s="62"/>
      <c r="R3219" s="53"/>
      <c r="S3219" s="53"/>
      <c r="T3219" s="82"/>
      <c r="U3219" s="42"/>
      <c r="V3219" s="62"/>
      <c r="W3219" s="64"/>
      <c r="X3219" s="330"/>
      <c r="Y3219" s="330"/>
      <c r="Z3219" s="330"/>
      <c r="AA3219" s="223"/>
    </row>
    <row r="3220">
      <c r="A3220" s="42">
        <f t="shared" si="3"/>
        <v>3219</v>
      </c>
      <c r="B3220" s="53"/>
      <c r="C3220" s="53"/>
      <c r="D3220" s="42"/>
      <c r="E3220" s="42"/>
      <c r="F3220" s="53"/>
      <c r="G3220" s="53"/>
      <c r="H3220" s="53"/>
      <c r="I3220" s="53"/>
      <c r="J3220" s="53"/>
      <c r="K3220" s="53"/>
      <c r="L3220" s="53"/>
      <c r="M3220" s="53"/>
      <c r="N3220" s="62"/>
      <c r="O3220" s="62"/>
      <c r="P3220" s="62"/>
      <c r="Q3220" s="62"/>
      <c r="R3220" s="53"/>
      <c r="S3220" s="53"/>
      <c r="T3220" s="82"/>
      <c r="U3220" s="42"/>
      <c r="V3220" s="62"/>
      <c r="W3220" s="64"/>
      <c r="X3220" s="330"/>
      <c r="Y3220" s="330"/>
      <c r="Z3220" s="330"/>
      <c r="AA3220" s="223"/>
    </row>
    <row r="3221">
      <c r="A3221" s="42">
        <f t="shared" si="3"/>
        <v>3220</v>
      </c>
      <c r="B3221" s="53"/>
      <c r="C3221" s="53"/>
      <c r="D3221" s="42"/>
      <c r="E3221" s="42"/>
      <c r="F3221" s="53"/>
      <c r="G3221" s="53"/>
      <c r="H3221" s="53"/>
      <c r="I3221" s="53"/>
      <c r="J3221" s="53"/>
      <c r="K3221" s="53"/>
      <c r="L3221" s="53"/>
      <c r="M3221" s="53"/>
      <c r="N3221" s="62"/>
      <c r="O3221" s="62"/>
      <c r="P3221" s="62"/>
      <c r="Q3221" s="62"/>
      <c r="R3221" s="53"/>
      <c r="S3221" s="53"/>
      <c r="T3221" s="82"/>
      <c r="U3221" s="42"/>
      <c r="V3221" s="62"/>
      <c r="W3221" s="64"/>
      <c r="X3221" s="330"/>
      <c r="Y3221" s="330"/>
      <c r="Z3221" s="330"/>
      <c r="AA3221" s="223"/>
    </row>
    <row r="3222">
      <c r="A3222" s="42">
        <f t="shared" si="3"/>
        <v>3221</v>
      </c>
      <c r="B3222" s="53"/>
      <c r="C3222" s="53"/>
      <c r="D3222" s="42"/>
      <c r="E3222" s="42"/>
      <c r="F3222" s="53"/>
      <c r="G3222" s="53"/>
      <c r="H3222" s="53"/>
      <c r="I3222" s="53"/>
      <c r="J3222" s="53"/>
      <c r="K3222" s="53"/>
      <c r="L3222" s="53"/>
      <c r="M3222" s="53"/>
      <c r="N3222" s="62"/>
      <c r="O3222" s="62"/>
      <c r="P3222" s="62"/>
      <c r="Q3222" s="62"/>
      <c r="R3222" s="53"/>
      <c r="S3222" s="53"/>
      <c r="T3222" s="82"/>
      <c r="U3222" s="42"/>
      <c r="V3222" s="62"/>
      <c r="W3222" s="64"/>
      <c r="X3222" s="330"/>
      <c r="Y3222" s="330"/>
      <c r="Z3222" s="330"/>
      <c r="AA3222" s="223"/>
    </row>
    <row r="3223">
      <c r="A3223" s="42">
        <f t="shared" si="3"/>
        <v>3222</v>
      </c>
      <c r="B3223" s="53"/>
      <c r="C3223" s="53"/>
      <c r="D3223" s="42"/>
      <c r="E3223" s="42"/>
      <c r="F3223" s="53"/>
      <c r="G3223" s="53"/>
      <c r="H3223" s="53"/>
      <c r="I3223" s="53"/>
      <c r="J3223" s="53"/>
      <c r="K3223" s="53"/>
      <c r="L3223" s="53"/>
      <c r="M3223" s="53"/>
      <c r="N3223" s="62"/>
      <c r="O3223" s="62"/>
      <c r="P3223" s="62"/>
      <c r="Q3223" s="62"/>
      <c r="R3223" s="53"/>
      <c r="S3223" s="53"/>
      <c r="T3223" s="82"/>
      <c r="U3223" s="42"/>
      <c r="V3223" s="62"/>
      <c r="W3223" s="64"/>
      <c r="X3223" s="330"/>
      <c r="Y3223" s="330"/>
      <c r="Z3223" s="330"/>
      <c r="AA3223" s="223"/>
    </row>
    <row r="3224">
      <c r="A3224" s="42">
        <f t="shared" si="3"/>
        <v>3223</v>
      </c>
      <c r="B3224" s="53"/>
      <c r="C3224" s="53"/>
      <c r="D3224" s="42"/>
      <c r="E3224" s="42"/>
      <c r="F3224" s="53"/>
      <c r="G3224" s="53"/>
      <c r="H3224" s="53"/>
      <c r="I3224" s="53"/>
      <c r="J3224" s="53"/>
      <c r="K3224" s="53"/>
      <c r="L3224" s="53"/>
      <c r="M3224" s="53"/>
      <c r="N3224" s="62"/>
      <c r="O3224" s="62"/>
      <c r="P3224" s="62"/>
      <c r="Q3224" s="62"/>
      <c r="R3224" s="53"/>
      <c r="S3224" s="53"/>
      <c r="T3224" s="82"/>
      <c r="U3224" s="42"/>
      <c r="V3224" s="62"/>
      <c r="W3224" s="64"/>
      <c r="X3224" s="330"/>
      <c r="Y3224" s="330"/>
      <c r="Z3224" s="330"/>
      <c r="AA3224" s="223"/>
    </row>
    <row r="3225">
      <c r="A3225" s="42">
        <f t="shared" si="3"/>
        <v>3224</v>
      </c>
      <c r="B3225" s="53"/>
      <c r="C3225" s="53"/>
      <c r="D3225" s="42"/>
      <c r="E3225" s="42"/>
      <c r="F3225" s="53"/>
      <c r="G3225" s="53"/>
      <c r="H3225" s="53"/>
      <c r="I3225" s="53"/>
      <c r="J3225" s="53"/>
      <c r="K3225" s="53"/>
      <c r="L3225" s="53"/>
      <c r="M3225" s="53"/>
      <c r="N3225" s="62"/>
      <c r="O3225" s="62"/>
      <c r="P3225" s="62"/>
      <c r="Q3225" s="62"/>
      <c r="R3225" s="53"/>
      <c r="S3225" s="53"/>
      <c r="T3225" s="82"/>
      <c r="U3225" s="42"/>
      <c r="V3225" s="62"/>
      <c r="W3225" s="64"/>
      <c r="X3225" s="330"/>
      <c r="Y3225" s="330"/>
      <c r="Z3225" s="330"/>
      <c r="AA3225" s="223"/>
    </row>
    <row r="3226">
      <c r="A3226" s="42">
        <f t="shared" si="3"/>
        <v>3225</v>
      </c>
      <c r="B3226" s="53"/>
      <c r="C3226" s="53"/>
      <c r="D3226" s="42"/>
      <c r="E3226" s="42"/>
      <c r="F3226" s="53"/>
      <c r="G3226" s="53"/>
      <c r="H3226" s="53"/>
      <c r="I3226" s="53"/>
      <c r="J3226" s="53"/>
      <c r="K3226" s="53"/>
      <c r="L3226" s="53"/>
      <c r="M3226" s="53"/>
      <c r="N3226" s="62"/>
      <c r="O3226" s="62"/>
      <c r="P3226" s="62"/>
      <c r="Q3226" s="62"/>
      <c r="R3226" s="53"/>
      <c r="S3226" s="53"/>
      <c r="T3226" s="82"/>
      <c r="U3226" s="42"/>
      <c r="V3226" s="62"/>
      <c r="W3226" s="64"/>
      <c r="X3226" s="330"/>
      <c r="Y3226" s="330"/>
      <c r="Z3226" s="330"/>
      <c r="AA3226" s="223"/>
    </row>
    <row r="3227">
      <c r="A3227" s="42">
        <f t="shared" si="3"/>
        <v>3226</v>
      </c>
      <c r="B3227" s="53"/>
      <c r="C3227" s="53"/>
      <c r="D3227" s="42"/>
      <c r="E3227" s="42"/>
      <c r="F3227" s="53"/>
      <c r="G3227" s="53"/>
      <c r="H3227" s="53"/>
      <c r="I3227" s="53"/>
      <c r="J3227" s="53"/>
      <c r="K3227" s="53"/>
      <c r="L3227" s="53"/>
      <c r="M3227" s="53"/>
      <c r="N3227" s="62"/>
      <c r="O3227" s="62"/>
      <c r="P3227" s="62"/>
      <c r="Q3227" s="62"/>
      <c r="R3227" s="53"/>
      <c r="S3227" s="53"/>
      <c r="T3227" s="82"/>
      <c r="U3227" s="42"/>
      <c r="V3227" s="62"/>
      <c r="W3227" s="64"/>
      <c r="X3227" s="330"/>
      <c r="Y3227" s="330"/>
      <c r="Z3227" s="330"/>
      <c r="AA3227" s="223"/>
    </row>
    <row r="3228">
      <c r="A3228" s="42">
        <f t="shared" si="3"/>
        <v>3227</v>
      </c>
      <c r="B3228" s="53"/>
      <c r="C3228" s="53"/>
      <c r="D3228" s="42"/>
      <c r="E3228" s="42"/>
      <c r="F3228" s="53"/>
      <c r="G3228" s="53"/>
      <c r="H3228" s="53"/>
      <c r="I3228" s="53"/>
      <c r="J3228" s="53"/>
      <c r="K3228" s="53"/>
      <c r="L3228" s="53"/>
      <c r="M3228" s="53"/>
      <c r="N3228" s="62"/>
      <c r="O3228" s="62"/>
      <c r="P3228" s="62"/>
      <c r="Q3228" s="62"/>
      <c r="R3228" s="53"/>
      <c r="S3228" s="53"/>
      <c r="T3228" s="82"/>
      <c r="U3228" s="42"/>
      <c r="V3228" s="62"/>
      <c r="W3228" s="64"/>
      <c r="X3228" s="330"/>
      <c r="Y3228" s="330"/>
      <c r="Z3228" s="330"/>
      <c r="AA3228" s="223"/>
    </row>
    <row r="3229">
      <c r="A3229" s="42">
        <f t="shared" si="3"/>
        <v>3228</v>
      </c>
      <c r="B3229" s="53"/>
      <c r="C3229" s="53"/>
      <c r="D3229" s="42"/>
      <c r="E3229" s="42"/>
      <c r="F3229" s="53"/>
      <c r="G3229" s="53"/>
      <c r="H3229" s="53"/>
      <c r="I3229" s="53"/>
      <c r="J3229" s="53"/>
      <c r="K3229" s="53"/>
      <c r="L3229" s="53"/>
      <c r="M3229" s="53"/>
      <c r="N3229" s="62"/>
      <c r="O3229" s="62"/>
      <c r="P3229" s="62"/>
      <c r="Q3229" s="62"/>
      <c r="R3229" s="53"/>
      <c r="S3229" s="53"/>
      <c r="T3229" s="82"/>
      <c r="U3229" s="42"/>
      <c r="V3229" s="62"/>
      <c r="W3229" s="64"/>
      <c r="X3229" s="330"/>
      <c r="Y3229" s="330"/>
      <c r="Z3229" s="330"/>
      <c r="AA3229" s="223"/>
    </row>
    <row r="3230">
      <c r="A3230" s="42">
        <f t="shared" si="3"/>
        <v>3229</v>
      </c>
      <c r="B3230" s="53"/>
      <c r="C3230" s="53"/>
      <c r="D3230" s="42"/>
      <c r="E3230" s="42"/>
      <c r="F3230" s="53"/>
      <c r="G3230" s="53"/>
      <c r="H3230" s="53"/>
      <c r="I3230" s="53"/>
      <c r="J3230" s="53"/>
      <c r="K3230" s="53"/>
      <c r="L3230" s="53"/>
      <c r="M3230" s="53"/>
      <c r="N3230" s="62"/>
      <c r="O3230" s="62"/>
      <c r="P3230" s="62"/>
      <c r="Q3230" s="62"/>
      <c r="R3230" s="53"/>
      <c r="S3230" s="53"/>
      <c r="T3230" s="82"/>
      <c r="U3230" s="42"/>
      <c r="V3230" s="62"/>
      <c r="W3230" s="64"/>
      <c r="X3230" s="330"/>
      <c r="Y3230" s="330"/>
      <c r="Z3230" s="330"/>
      <c r="AA3230" s="223"/>
    </row>
    <row r="3231">
      <c r="A3231" s="42">
        <f t="shared" si="3"/>
        <v>3230</v>
      </c>
      <c r="B3231" s="53"/>
      <c r="C3231" s="53"/>
      <c r="D3231" s="42"/>
      <c r="E3231" s="42"/>
      <c r="F3231" s="53"/>
      <c r="G3231" s="53"/>
      <c r="H3231" s="53"/>
      <c r="I3231" s="53"/>
      <c r="J3231" s="53"/>
      <c r="K3231" s="53"/>
      <c r="L3231" s="53"/>
      <c r="M3231" s="53"/>
      <c r="N3231" s="62"/>
      <c r="O3231" s="62"/>
      <c r="P3231" s="62"/>
      <c r="Q3231" s="62"/>
      <c r="R3231" s="53"/>
      <c r="S3231" s="53"/>
      <c r="T3231" s="82"/>
      <c r="U3231" s="42"/>
      <c r="V3231" s="62"/>
      <c r="W3231" s="64"/>
      <c r="X3231" s="330"/>
      <c r="Y3231" s="330"/>
      <c r="Z3231" s="330"/>
      <c r="AA3231" s="223"/>
    </row>
    <row r="3232">
      <c r="A3232" s="42">
        <f t="shared" si="3"/>
        <v>3231</v>
      </c>
      <c r="B3232" s="53"/>
      <c r="C3232" s="53"/>
      <c r="D3232" s="42"/>
      <c r="E3232" s="42"/>
      <c r="F3232" s="53"/>
      <c r="G3232" s="53"/>
      <c r="H3232" s="53"/>
      <c r="I3232" s="53"/>
      <c r="J3232" s="53"/>
      <c r="K3232" s="53"/>
      <c r="L3232" s="53"/>
      <c r="M3232" s="53"/>
      <c r="N3232" s="62"/>
      <c r="O3232" s="62"/>
      <c r="P3232" s="62"/>
      <c r="Q3232" s="62"/>
      <c r="R3232" s="53"/>
      <c r="S3232" s="53"/>
      <c r="T3232" s="82"/>
      <c r="U3232" s="42"/>
      <c r="V3232" s="62"/>
      <c r="W3232" s="64"/>
      <c r="X3232" s="330"/>
      <c r="Y3232" s="330"/>
      <c r="Z3232" s="330"/>
      <c r="AA3232" s="223"/>
    </row>
    <row r="3233">
      <c r="A3233" s="42">
        <f t="shared" si="3"/>
        <v>3232</v>
      </c>
      <c r="B3233" s="53"/>
      <c r="C3233" s="53"/>
      <c r="D3233" s="42"/>
      <c r="E3233" s="42"/>
      <c r="F3233" s="53"/>
      <c r="G3233" s="53"/>
      <c r="H3233" s="53"/>
      <c r="I3233" s="53"/>
      <c r="J3233" s="53"/>
      <c r="K3233" s="53"/>
      <c r="L3233" s="53"/>
      <c r="M3233" s="53"/>
      <c r="N3233" s="62"/>
      <c r="O3233" s="62"/>
      <c r="P3233" s="62"/>
      <c r="Q3233" s="62"/>
      <c r="R3233" s="53"/>
      <c r="S3233" s="53"/>
      <c r="T3233" s="82"/>
      <c r="U3233" s="42"/>
      <c r="V3233" s="62"/>
      <c r="W3233" s="64"/>
      <c r="X3233" s="330"/>
      <c r="Y3233" s="330"/>
      <c r="Z3233" s="330"/>
      <c r="AA3233" s="223"/>
    </row>
    <row r="3234">
      <c r="A3234" s="42">
        <f t="shared" si="3"/>
        <v>3233</v>
      </c>
      <c r="B3234" s="53"/>
      <c r="C3234" s="53"/>
      <c r="D3234" s="42"/>
      <c r="E3234" s="42"/>
      <c r="F3234" s="53"/>
      <c r="G3234" s="53"/>
      <c r="H3234" s="53"/>
      <c r="I3234" s="53"/>
      <c r="J3234" s="53"/>
      <c r="K3234" s="53"/>
      <c r="L3234" s="53"/>
      <c r="M3234" s="53"/>
      <c r="N3234" s="62"/>
      <c r="O3234" s="62"/>
      <c r="P3234" s="62"/>
      <c r="Q3234" s="62"/>
      <c r="R3234" s="53"/>
      <c r="S3234" s="53"/>
      <c r="T3234" s="82"/>
      <c r="U3234" s="42"/>
      <c r="V3234" s="62"/>
      <c r="W3234" s="64"/>
      <c r="X3234" s="330"/>
      <c r="Y3234" s="330"/>
      <c r="Z3234" s="330"/>
      <c r="AA3234" s="223"/>
    </row>
    <row r="3235">
      <c r="A3235" s="42">
        <f t="shared" si="3"/>
        <v>3234</v>
      </c>
      <c r="B3235" s="53"/>
      <c r="C3235" s="53"/>
      <c r="D3235" s="42"/>
      <c r="E3235" s="42"/>
      <c r="F3235" s="53"/>
      <c r="G3235" s="53"/>
      <c r="H3235" s="53"/>
      <c r="I3235" s="53"/>
      <c r="J3235" s="53"/>
      <c r="K3235" s="53"/>
      <c r="L3235" s="53"/>
      <c r="M3235" s="53"/>
      <c r="N3235" s="62"/>
      <c r="O3235" s="62"/>
      <c r="P3235" s="62"/>
      <c r="Q3235" s="62"/>
      <c r="R3235" s="53"/>
      <c r="S3235" s="53"/>
      <c r="T3235" s="82"/>
      <c r="U3235" s="42"/>
      <c r="V3235" s="62"/>
      <c r="W3235" s="64"/>
      <c r="X3235" s="330"/>
      <c r="Y3235" s="330"/>
      <c r="Z3235" s="330"/>
      <c r="AA3235" s="223"/>
    </row>
    <row r="3236">
      <c r="A3236" s="42">
        <f t="shared" si="3"/>
        <v>3235</v>
      </c>
      <c r="B3236" s="53"/>
      <c r="C3236" s="53"/>
      <c r="D3236" s="42"/>
      <c r="E3236" s="42"/>
      <c r="F3236" s="53"/>
      <c r="G3236" s="53"/>
      <c r="H3236" s="53"/>
      <c r="I3236" s="53"/>
      <c r="J3236" s="53"/>
      <c r="K3236" s="53"/>
      <c r="L3236" s="53"/>
      <c r="M3236" s="53"/>
      <c r="N3236" s="62"/>
      <c r="O3236" s="62"/>
      <c r="P3236" s="62"/>
      <c r="Q3236" s="62"/>
      <c r="R3236" s="53"/>
      <c r="S3236" s="53"/>
      <c r="T3236" s="82"/>
      <c r="U3236" s="42"/>
      <c r="V3236" s="62"/>
      <c r="W3236" s="64"/>
      <c r="X3236" s="330"/>
      <c r="Y3236" s="330"/>
      <c r="Z3236" s="330"/>
      <c r="AA3236" s="223"/>
    </row>
    <row r="3237">
      <c r="A3237" s="42">
        <f t="shared" si="3"/>
        <v>3236</v>
      </c>
      <c r="B3237" s="53"/>
      <c r="C3237" s="53"/>
      <c r="D3237" s="42"/>
      <c r="E3237" s="42"/>
      <c r="F3237" s="53"/>
      <c r="G3237" s="53"/>
      <c r="H3237" s="53"/>
      <c r="I3237" s="53"/>
      <c r="J3237" s="53"/>
      <c r="K3237" s="53"/>
      <c r="L3237" s="53"/>
      <c r="M3237" s="53"/>
      <c r="N3237" s="62"/>
      <c r="O3237" s="62"/>
      <c r="P3237" s="62"/>
      <c r="Q3237" s="62"/>
      <c r="R3237" s="53"/>
      <c r="S3237" s="53"/>
      <c r="T3237" s="82"/>
      <c r="U3237" s="42"/>
      <c r="V3237" s="62"/>
      <c r="W3237" s="64"/>
      <c r="X3237" s="330"/>
      <c r="Y3237" s="330"/>
      <c r="Z3237" s="330"/>
      <c r="AA3237" s="223"/>
    </row>
    <row r="3238">
      <c r="A3238" s="42">
        <f t="shared" si="3"/>
        <v>3237</v>
      </c>
      <c r="B3238" s="53"/>
      <c r="C3238" s="53"/>
      <c r="D3238" s="42"/>
      <c r="E3238" s="42"/>
      <c r="F3238" s="53"/>
      <c r="G3238" s="53"/>
      <c r="H3238" s="53"/>
      <c r="I3238" s="53"/>
      <c r="J3238" s="53"/>
      <c r="K3238" s="53"/>
      <c r="L3238" s="53"/>
      <c r="M3238" s="53"/>
      <c r="N3238" s="62"/>
      <c r="O3238" s="62"/>
      <c r="P3238" s="62"/>
      <c r="Q3238" s="62"/>
      <c r="R3238" s="53"/>
      <c r="S3238" s="53"/>
      <c r="T3238" s="82"/>
      <c r="U3238" s="42"/>
      <c r="V3238" s="62"/>
      <c r="W3238" s="64"/>
      <c r="X3238" s="330"/>
      <c r="Y3238" s="330"/>
      <c r="Z3238" s="330"/>
      <c r="AA3238" s="223"/>
    </row>
    <row r="3239">
      <c r="A3239" s="42">
        <f t="shared" si="3"/>
        <v>3238</v>
      </c>
      <c r="B3239" s="53"/>
      <c r="C3239" s="53"/>
      <c r="D3239" s="42"/>
      <c r="E3239" s="42"/>
      <c r="F3239" s="53"/>
      <c r="G3239" s="53"/>
      <c r="H3239" s="53"/>
      <c r="I3239" s="53"/>
      <c r="J3239" s="53"/>
      <c r="K3239" s="53"/>
      <c r="L3239" s="53"/>
      <c r="M3239" s="53"/>
      <c r="N3239" s="62"/>
      <c r="O3239" s="62"/>
      <c r="P3239" s="62"/>
      <c r="Q3239" s="62"/>
      <c r="R3239" s="53"/>
      <c r="S3239" s="53"/>
      <c r="T3239" s="82"/>
      <c r="U3239" s="42"/>
      <c r="V3239" s="62"/>
      <c r="W3239" s="64"/>
      <c r="X3239" s="330"/>
      <c r="Y3239" s="330"/>
      <c r="Z3239" s="330"/>
      <c r="AA3239" s="223"/>
    </row>
    <row r="3240">
      <c r="A3240" s="42">
        <f t="shared" si="3"/>
        <v>3239</v>
      </c>
      <c r="B3240" s="53"/>
      <c r="C3240" s="53"/>
      <c r="D3240" s="42"/>
      <c r="E3240" s="42"/>
      <c r="F3240" s="53"/>
      <c r="G3240" s="53"/>
      <c r="H3240" s="53"/>
      <c r="I3240" s="53"/>
      <c r="J3240" s="53"/>
      <c r="K3240" s="53"/>
      <c r="L3240" s="53"/>
      <c r="M3240" s="53"/>
      <c r="N3240" s="62"/>
      <c r="O3240" s="62"/>
      <c r="P3240" s="62"/>
      <c r="Q3240" s="62"/>
      <c r="R3240" s="53"/>
      <c r="S3240" s="53"/>
      <c r="T3240" s="82"/>
      <c r="U3240" s="42"/>
      <c r="V3240" s="62"/>
      <c r="W3240" s="64"/>
      <c r="X3240" s="330"/>
      <c r="Y3240" s="330"/>
      <c r="Z3240" s="330"/>
      <c r="AA3240" s="223"/>
    </row>
    <row r="3241">
      <c r="A3241" s="42">
        <f t="shared" si="3"/>
        <v>3240</v>
      </c>
      <c r="B3241" s="53"/>
      <c r="C3241" s="53"/>
      <c r="D3241" s="42"/>
      <c r="E3241" s="42"/>
      <c r="F3241" s="53"/>
      <c r="G3241" s="53"/>
      <c r="H3241" s="53"/>
      <c r="I3241" s="53"/>
      <c r="J3241" s="53"/>
      <c r="K3241" s="53"/>
      <c r="L3241" s="53"/>
      <c r="M3241" s="53"/>
      <c r="N3241" s="62"/>
      <c r="O3241" s="62"/>
      <c r="P3241" s="62"/>
      <c r="Q3241" s="62"/>
      <c r="R3241" s="53"/>
      <c r="S3241" s="53"/>
      <c r="T3241" s="82"/>
      <c r="U3241" s="42"/>
      <c r="V3241" s="62"/>
      <c r="W3241" s="64"/>
      <c r="X3241" s="330"/>
      <c r="Y3241" s="330"/>
      <c r="Z3241" s="330"/>
      <c r="AA3241" s="223"/>
    </row>
    <row r="3242">
      <c r="A3242" s="42">
        <f t="shared" si="3"/>
        <v>3241</v>
      </c>
      <c r="B3242" s="53"/>
      <c r="C3242" s="53"/>
      <c r="D3242" s="42"/>
      <c r="E3242" s="42"/>
      <c r="F3242" s="53"/>
      <c r="G3242" s="53"/>
      <c r="H3242" s="53"/>
      <c r="I3242" s="53"/>
      <c r="J3242" s="53"/>
      <c r="K3242" s="53"/>
      <c r="L3242" s="53"/>
      <c r="M3242" s="53"/>
      <c r="N3242" s="62"/>
      <c r="O3242" s="62"/>
      <c r="P3242" s="62"/>
      <c r="Q3242" s="62"/>
      <c r="R3242" s="53"/>
      <c r="S3242" s="53"/>
      <c r="T3242" s="82"/>
      <c r="U3242" s="42"/>
      <c r="V3242" s="62"/>
      <c r="W3242" s="64"/>
      <c r="X3242" s="330"/>
      <c r="Y3242" s="330"/>
      <c r="Z3242" s="330"/>
      <c r="AA3242" s="223"/>
    </row>
    <row r="3243">
      <c r="A3243" s="42">
        <f t="shared" si="3"/>
        <v>3242</v>
      </c>
      <c r="B3243" s="53"/>
      <c r="C3243" s="53"/>
      <c r="D3243" s="42"/>
      <c r="E3243" s="42"/>
      <c r="F3243" s="53"/>
      <c r="G3243" s="53"/>
      <c r="H3243" s="53"/>
      <c r="I3243" s="53"/>
      <c r="J3243" s="53"/>
      <c r="K3243" s="53"/>
      <c r="L3243" s="53"/>
      <c r="M3243" s="53"/>
      <c r="N3243" s="62"/>
      <c r="O3243" s="62"/>
      <c r="P3243" s="62"/>
      <c r="Q3243" s="62"/>
      <c r="R3243" s="53"/>
      <c r="S3243" s="53"/>
      <c r="T3243" s="82"/>
      <c r="U3243" s="42"/>
      <c r="V3243" s="62"/>
      <c r="W3243" s="64"/>
      <c r="X3243" s="330"/>
      <c r="Y3243" s="330"/>
      <c r="Z3243" s="330"/>
      <c r="AA3243" s="223"/>
    </row>
    <row r="3244">
      <c r="A3244" s="42">
        <f t="shared" si="3"/>
        <v>3243</v>
      </c>
      <c r="B3244" s="53"/>
      <c r="C3244" s="53"/>
      <c r="D3244" s="42"/>
      <c r="E3244" s="42"/>
      <c r="F3244" s="53"/>
      <c r="G3244" s="53"/>
      <c r="H3244" s="53"/>
      <c r="I3244" s="53"/>
      <c r="J3244" s="53"/>
      <c r="K3244" s="53"/>
      <c r="L3244" s="53"/>
      <c r="M3244" s="53"/>
      <c r="N3244" s="62"/>
      <c r="O3244" s="62"/>
      <c r="P3244" s="62"/>
      <c r="Q3244" s="62"/>
      <c r="R3244" s="53"/>
      <c r="S3244" s="53"/>
      <c r="T3244" s="82"/>
      <c r="U3244" s="42"/>
      <c r="V3244" s="62"/>
      <c r="W3244" s="64"/>
      <c r="X3244" s="330"/>
      <c r="Y3244" s="330"/>
      <c r="Z3244" s="330"/>
      <c r="AA3244" s="223"/>
    </row>
    <row r="3245">
      <c r="A3245" s="42">
        <f t="shared" si="3"/>
        <v>3244</v>
      </c>
      <c r="B3245" s="53"/>
      <c r="C3245" s="53"/>
      <c r="D3245" s="42"/>
      <c r="E3245" s="42"/>
      <c r="F3245" s="53"/>
      <c r="G3245" s="53"/>
      <c r="H3245" s="53"/>
      <c r="I3245" s="53"/>
      <c r="J3245" s="53"/>
      <c r="K3245" s="53"/>
      <c r="L3245" s="53"/>
      <c r="M3245" s="53"/>
      <c r="N3245" s="62"/>
      <c r="O3245" s="62"/>
      <c r="P3245" s="62"/>
      <c r="Q3245" s="62"/>
      <c r="R3245" s="53"/>
      <c r="S3245" s="53"/>
      <c r="T3245" s="82"/>
      <c r="U3245" s="42"/>
      <c r="V3245" s="62"/>
      <c r="W3245" s="64"/>
      <c r="X3245" s="330"/>
      <c r="Y3245" s="330"/>
      <c r="Z3245" s="330"/>
      <c r="AA3245" s="223"/>
    </row>
    <row r="3246">
      <c r="A3246" s="42">
        <f t="shared" si="3"/>
        <v>3245</v>
      </c>
      <c r="B3246" s="53"/>
      <c r="C3246" s="53"/>
      <c r="D3246" s="42"/>
      <c r="E3246" s="42"/>
      <c r="F3246" s="53"/>
      <c r="G3246" s="53"/>
      <c r="H3246" s="53"/>
      <c r="I3246" s="53"/>
      <c r="J3246" s="53"/>
      <c r="K3246" s="53"/>
      <c r="L3246" s="53"/>
      <c r="M3246" s="53"/>
      <c r="N3246" s="62"/>
      <c r="O3246" s="62"/>
      <c r="P3246" s="62"/>
      <c r="Q3246" s="62"/>
      <c r="R3246" s="53"/>
      <c r="S3246" s="53"/>
      <c r="T3246" s="82"/>
      <c r="U3246" s="42"/>
      <c r="V3246" s="62"/>
      <c r="W3246" s="64"/>
      <c r="X3246" s="330"/>
      <c r="Y3246" s="330"/>
      <c r="Z3246" s="330"/>
      <c r="AA3246" s="223"/>
    </row>
    <row r="3247">
      <c r="A3247" s="42">
        <f t="shared" si="3"/>
        <v>3246</v>
      </c>
      <c r="B3247" s="53"/>
      <c r="C3247" s="53"/>
      <c r="D3247" s="42"/>
      <c r="E3247" s="42"/>
      <c r="F3247" s="53"/>
      <c r="G3247" s="53"/>
      <c r="H3247" s="53"/>
      <c r="I3247" s="53"/>
      <c r="J3247" s="53"/>
      <c r="K3247" s="53"/>
      <c r="L3247" s="53"/>
      <c r="M3247" s="53"/>
      <c r="N3247" s="62"/>
      <c r="O3247" s="62"/>
      <c r="P3247" s="62"/>
      <c r="Q3247" s="62"/>
      <c r="R3247" s="53"/>
      <c r="S3247" s="53"/>
      <c r="T3247" s="82"/>
      <c r="U3247" s="42"/>
      <c r="V3247" s="62"/>
      <c r="W3247" s="64"/>
      <c r="X3247" s="330"/>
      <c r="Y3247" s="330"/>
      <c r="Z3247" s="330"/>
      <c r="AA3247" s="223"/>
    </row>
    <row r="3248">
      <c r="A3248" s="42">
        <f t="shared" si="3"/>
        <v>3247</v>
      </c>
      <c r="B3248" s="53"/>
      <c r="C3248" s="53"/>
      <c r="D3248" s="42"/>
      <c r="E3248" s="42"/>
      <c r="F3248" s="53"/>
      <c r="G3248" s="53"/>
      <c r="H3248" s="53"/>
      <c r="I3248" s="53"/>
      <c r="J3248" s="53"/>
      <c r="K3248" s="53"/>
      <c r="L3248" s="53"/>
      <c r="M3248" s="53"/>
      <c r="N3248" s="62"/>
      <c r="O3248" s="62"/>
      <c r="P3248" s="62"/>
      <c r="Q3248" s="62"/>
      <c r="R3248" s="53"/>
      <c r="S3248" s="53"/>
      <c r="T3248" s="82"/>
      <c r="U3248" s="42"/>
      <c r="V3248" s="62"/>
      <c r="W3248" s="64"/>
      <c r="X3248" s="330"/>
      <c r="Y3248" s="330"/>
      <c r="Z3248" s="330"/>
      <c r="AA3248" s="223"/>
    </row>
    <row r="3249">
      <c r="A3249" s="42">
        <f t="shared" si="3"/>
        <v>3248</v>
      </c>
      <c r="B3249" s="53"/>
      <c r="C3249" s="53"/>
      <c r="D3249" s="42"/>
      <c r="E3249" s="42"/>
      <c r="F3249" s="53"/>
      <c r="G3249" s="53"/>
      <c r="H3249" s="53"/>
      <c r="I3249" s="53"/>
      <c r="J3249" s="53"/>
      <c r="K3249" s="53"/>
      <c r="L3249" s="53"/>
      <c r="M3249" s="53"/>
      <c r="N3249" s="62"/>
      <c r="O3249" s="62"/>
      <c r="P3249" s="62"/>
      <c r="Q3249" s="62"/>
      <c r="R3249" s="53"/>
      <c r="S3249" s="53"/>
      <c r="T3249" s="82"/>
      <c r="U3249" s="42"/>
      <c r="V3249" s="62"/>
      <c r="W3249" s="64"/>
      <c r="X3249" s="330"/>
      <c r="Y3249" s="330"/>
      <c r="Z3249" s="330"/>
      <c r="AA3249" s="223"/>
    </row>
    <row r="3250">
      <c r="A3250" s="42">
        <f t="shared" si="3"/>
        <v>3249</v>
      </c>
      <c r="B3250" s="53"/>
      <c r="C3250" s="53"/>
      <c r="D3250" s="42"/>
      <c r="E3250" s="42"/>
      <c r="F3250" s="53"/>
      <c r="G3250" s="53"/>
      <c r="H3250" s="53"/>
      <c r="I3250" s="53"/>
      <c r="J3250" s="53"/>
      <c r="K3250" s="53"/>
      <c r="L3250" s="53"/>
      <c r="M3250" s="53"/>
      <c r="N3250" s="62"/>
      <c r="O3250" s="62"/>
      <c r="P3250" s="62"/>
      <c r="Q3250" s="62"/>
      <c r="R3250" s="53"/>
      <c r="S3250" s="53"/>
      <c r="T3250" s="82"/>
      <c r="U3250" s="42"/>
      <c r="V3250" s="62"/>
      <c r="W3250" s="64"/>
      <c r="X3250" s="330"/>
      <c r="Y3250" s="330"/>
      <c r="Z3250" s="330"/>
      <c r="AA3250" s="223"/>
    </row>
    <row r="3251">
      <c r="A3251" s="42">
        <f t="shared" si="3"/>
        <v>3250</v>
      </c>
      <c r="B3251" s="53"/>
      <c r="C3251" s="53"/>
      <c r="D3251" s="42"/>
      <c r="E3251" s="42"/>
      <c r="F3251" s="53"/>
      <c r="G3251" s="53"/>
      <c r="H3251" s="53"/>
      <c r="I3251" s="53"/>
      <c r="J3251" s="53"/>
      <c r="K3251" s="53"/>
      <c r="L3251" s="53"/>
      <c r="M3251" s="53"/>
      <c r="N3251" s="62"/>
      <c r="O3251" s="62"/>
      <c r="P3251" s="62"/>
      <c r="Q3251" s="62"/>
      <c r="R3251" s="53"/>
      <c r="S3251" s="53"/>
      <c r="T3251" s="82"/>
      <c r="U3251" s="42"/>
      <c r="V3251" s="62"/>
      <c r="W3251" s="64"/>
      <c r="X3251" s="330"/>
      <c r="Y3251" s="330"/>
      <c r="Z3251" s="330"/>
      <c r="AA3251" s="223"/>
    </row>
    <row r="3252">
      <c r="A3252" s="42">
        <f t="shared" si="3"/>
        <v>3251</v>
      </c>
      <c r="B3252" s="53"/>
      <c r="C3252" s="53"/>
      <c r="D3252" s="42"/>
      <c r="E3252" s="42"/>
      <c r="F3252" s="53"/>
      <c r="G3252" s="53"/>
      <c r="H3252" s="53"/>
      <c r="I3252" s="53"/>
      <c r="J3252" s="53"/>
      <c r="K3252" s="53"/>
      <c r="L3252" s="53"/>
      <c r="M3252" s="53"/>
      <c r="N3252" s="62"/>
      <c r="O3252" s="62"/>
      <c r="P3252" s="62"/>
      <c r="Q3252" s="62"/>
      <c r="R3252" s="53"/>
      <c r="S3252" s="53"/>
      <c r="T3252" s="82"/>
      <c r="U3252" s="42"/>
      <c r="V3252" s="62"/>
      <c r="W3252" s="64"/>
      <c r="X3252" s="330"/>
      <c r="Y3252" s="330"/>
      <c r="Z3252" s="330"/>
      <c r="AA3252" s="223"/>
    </row>
    <row r="3253">
      <c r="A3253" s="42">
        <f t="shared" si="3"/>
        <v>3252</v>
      </c>
      <c r="B3253" s="53"/>
      <c r="C3253" s="53"/>
      <c r="D3253" s="42"/>
      <c r="E3253" s="42"/>
      <c r="F3253" s="53"/>
      <c r="G3253" s="53"/>
      <c r="H3253" s="53"/>
      <c r="I3253" s="53"/>
      <c r="J3253" s="53"/>
      <c r="K3253" s="53"/>
      <c r="L3253" s="53"/>
      <c r="M3253" s="53"/>
      <c r="N3253" s="62"/>
      <c r="O3253" s="62"/>
      <c r="P3253" s="62"/>
      <c r="Q3253" s="62"/>
      <c r="R3253" s="53"/>
      <c r="S3253" s="53"/>
      <c r="T3253" s="82"/>
      <c r="U3253" s="42"/>
      <c r="V3253" s="62"/>
      <c r="W3253" s="64"/>
      <c r="X3253" s="330"/>
      <c r="Y3253" s="330"/>
      <c r="Z3253" s="330"/>
      <c r="AA3253" s="223"/>
    </row>
    <row r="3254">
      <c r="A3254" s="42">
        <f t="shared" si="3"/>
        <v>3253</v>
      </c>
      <c r="B3254" s="53"/>
      <c r="C3254" s="53"/>
      <c r="D3254" s="42"/>
      <c r="E3254" s="42"/>
      <c r="F3254" s="53"/>
      <c r="G3254" s="53"/>
      <c r="H3254" s="53"/>
      <c r="I3254" s="53"/>
      <c r="J3254" s="53"/>
      <c r="K3254" s="53"/>
      <c r="L3254" s="53"/>
      <c r="M3254" s="53"/>
      <c r="N3254" s="62"/>
      <c r="O3254" s="62"/>
      <c r="P3254" s="62"/>
      <c r="Q3254" s="62"/>
      <c r="R3254" s="53"/>
      <c r="S3254" s="53"/>
      <c r="T3254" s="82"/>
      <c r="U3254" s="42"/>
      <c r="V3254" s="62"/>
      <c r="W3254" s="64"/>
      <c r="X3254" s="330"/>
      <c r="Y3254" s="330"/>
      <c r="Z3254" s="330"/>
      <c r="AA3254" s="223"/>
    </row>
    <row r="3255">
      <c r="A3255" s="42">
        <f t="shared" si="3"/>
        <v>3254</v>
      </c>
      <c r="B3255" s="53"/>
      <c r="C3255" s="53"/>
      <c r="D3255" s="42"/>
      <c r="E3255" s="42"/>
      <c r="F3255" s="53"/>
      <c r="G3255" s="53"/>
      <c r="H3255" s="53"/>
      <c r="I3255" s="53"/>
      <c r="J3255" s="53"/>
      <c r="K3255" s="53"/>
      <c r="L3255" s="53"/>
      <c r="M3255" s="53"/>
      <c r="N3255" s="62"/>
      <c r="O3255" s="62"/>
      <c r="P3255" s="62"/>
      <c r="Q3255" s="62"/>
      <c r="R3255" s="53"/>
      <c r="S3255" s="53"/>
      <c r="T3255" s="82"/>
      <c r="U3255" s="42"/>
      <c r="V3255" s="62"/>
      <c r="W3255" s="64"/>
      <c r="X3255" s="330"/>
      <c r="Y3255" s="330"/>
      <c r="Z3255" s="330"/>
      <c r="AA3255" s="223"/>
    </row>
    <row r="3256">
      <c r="A3256" s="42">
        <f t="shared" si="3"/>
        <v>3255</v>
      </c>
      <c r="B3256" s="53"/>
      <c r="C3256" s="53"/>
      <c r="D3256" s="42"/>
      <c r="E3256" s="42"/>
      <c r="F3256" s="53"/>
      <c r="G3256" s="53"/>
      <c r="H3256" s="53"/>
      <c r="I3256" s="53"/>
      <c r="J3256" s="53"/>
      <c r="K3256" s="53"/>
      <c r="L3256" s="53"/>
      <c r="M3256" s="53"/>
      <c r="N3256" s="62"/>
      <c r="O3256" s="62"/>
      <c r="P3256" s="62"/>
      <c r="Q3256" s="62"/>
      <c r="R3256" s="53"/>
      <c r="S3256" s="53"/>
      <c r="T3256" s="82"/>
      <c r="U3256" s="42"/>
      <c r="V3256" s="62"/>
      <c r="W3256" s="64"/>
      <c r="X3256" s="330"/>
      <c r="Y3256" s="330"/>
      <c r="Z3256" s="330"/>
      <c r="AA3256" s="223"/>
    </row>
    <row r="3257">
      <c r="A3257" s="42">
        <f t="shared" si="3"/>
        <v>3256</v>
      </c>
      <c r="B3257" s="53"/>
      <c r="C3257" s="53"/>
      <c r="D3257" s="42"/>
      <c r="E3257" s="42"/>
      <c r="F3257" s="53"/>
      <c r="G3257" s="53"/>
      <c r="H3257" s="53"/>
      <c r="I3257" s="53"/>
      <c r="J3257" s="53"/>
      <c r="K3257" s="53"/>
      <c r="L3257" s="53"/>
      <c r="M3257" s="53"/>
      <c r="N3257" s="62"/>
      <c r="O3257" s="62"/>
      <c r="P3257" s="62"/>
      <c r="Q3257" s="62"/>
      <c r="R3257" s="53"/>
      <c r="S3257" s="53"/>
      <c r="T3257" s="82"/>
      <c r="U3257" s="42"/>
      <c r="V3257" s="62"/>
      <c r="W3257" s="64"/>
      <c r="X3257" s="330"/>
      <c r="Y3257" s="330"/>
      <c r="Z3257" s="330"/>
      <c r="AA3257" s="223"/>
    </row>
    <row r="3258">
      <c r="A3258" s="42">
        <f t="shared" si="3"/>
        <v>3257</v>
      </c>
      <c r="B3258" s="53"/>
      <c r="C3258" s="53"/>
      <c r="D3258" s="42"/>
      <c r="E3258" s="42"/>
      <c r="F3258" s="53"/>
      <c r="G3258" s="53"/>
      <c r="H3258" s="53"/>
      <c r="I3258" s="53"/>
      <c r="J3258" s="53"/>
      <c r="K3258" s="53"/>
      <c r="L3258" s="53"/>
      <c r="M3258" s="53"/>
      <c r="N3258" s="62"/>
      <c r="O3258" s="62"/>
      <c r="P3258" s="62"/>
      <c r="Q3258" s="62"/>
      <c r="R3258" s="53"/>
      <c r="S3258" s="53"/>
      <c r="T3258" s="82"/>
      <c r="U3258" s="42"/>
      <c r="V3258" s="62"/>
      <c r="W3258" s="64"/>
      <c r="X3258" s="330"/>
      <c r="Y3258" s="330"/>
      <c r="Z3258" s="330"/>
      <c r="AA3258" s="223"/>
    </row>
    <row r="3259">
      <c r="A3259" s="42">
        <f t="shared" si="3"/>
        <v>3258</v>
      </c>
      <c r="B3259" s="53"/>
      <c r="C3259" s="53"/>
      <c r="D3259" s="42"/>
      <c r="E3259" s="42"/>
      <c r="F3259" s="53"/>
      <c r="G3259" s="53"/>
      <c r="H3259" s="53"/>
      <c r="I3259" s="53"/>
      <c r="J3259" s="53"/>
      <c r="K3259" s="53"/>
      <c r="L3259" s="53"/>
      <c r="M3259" s="53"/>
      <c r="N3259" s="62"/>
      <c r="O3259" s="62"/>
      <c r="P3259" s="62"/>
      <c r="Q3259" s="62"/>
      <c r="R3259" s="53"/>
      <c r="S3259" s="53"/>
      <c r="T3259" s="82"/>
      <c r="U3259" s="42"/>
      <c r="V3259" s="62"/>
      <c r="W3259" s="64"/>
      <c r="X3259" s="330"/>
      <c r="Y3259" s="330"/>
      <c r="Z3259" s="330"/>
      <c r="AA3259" s="223"/>
    </row>
    <row r="3260">
      <c r="A3260" s="42">
        <f t="shared" si="3"/>
        <v>3259</v>
      </c>
      <c r="B3260" s="53"/>
      <c r="C3260" s="53"/>
      <c r="D3260" s="42"/>
      <c r="E3260" s="42"/>
      <c r="F3260" s="53"/>
      <c r="G3260" s="53"/>
      <c r="H3260" s="53"/>
      <c r="I3260" s="53"/>
      <c r="J3260" s="53"/>
      <c r="K3260" s="53"/>
      <c r="L3260" s="53"/>
      <c r="M3260" s="53"/>
      <c r="N3260" s="62"/>
      <c r="O3260" s="62"/>
      <c r="P3260" s="62"/>
      <c r="Q3260" s="62"/>
      <c r="R3260" s="53"/>
      <c r="S3260" s="53"/>
      <c r="T3260" s="82"/>
      <c r="U3260" s="42"/>
      <c r="V3260" s="62"/>
      <c r="W3260" s="64"/>
      <c r="X3260" s="330"/>
      <c r="Y3260" s="330"/>
      <c r="Z3260" s="330"/>
      <c r="AA3260" s="223"/>
    </row>
    <row r="3261">
      <c r="A3261" s="42">
        <f t="shared" si="3"/>
        <v>3260</v>
      </c>
      <c r="B3261" s="53"/>
      <c r="C3261" s="53"/>
      <c r="D3261" s="42"/>
      <c r="E3261" s="42"/>
      <c r="F3261" s="53"/>
      <c r="G3261" s="53"/>
      <c r="H3261" s="53"/>
      <c r="I3261" s="53"/>
      <c r="J3261" s="53"/>
      <c r="K3261" s="53"/>
      <c r="L3261" s="53"/>
      <c r="M3261" s="53"/>
      <c r="N3261" s="62"/>
      <c r="O3261" s="62"/>
      <c r="P3261" s="62"/>
      <c r="Q3261" s="62"/>
      <c r="R3261" s="53"/>
      <c r="S3261" s="53"/>
      <c r="T3261" s="82"/>
      <c r="U3261" s="42"/>
      <c r="V3261" s="62"/>
      <c r="W3261" s="64"/>
      <c r="X3261" s="330"/>
      <c r="Y3261" s="330"/>
      <c r="Z3261" s="330"/>
      <c r="AA3261" s="223"/>
    </row>
    <row r="3262">
      <c r="A3262" s="42">
        <f t="shared" si="3"/>
        <v>3261</v>
      </c>
      <c r="B3262" s="53"/>
      <c r="C3262" s="53"/>
      <c r="D3262" s="42"/>
      <c r="E3262" s="42"/>
      <c r="F3262" s="53"/>
      <c r="G3262" s="53"/>
      <c r="H3262" s="53"/>
      <c r="I3262" s="53"/>
      <c r="J3262" s="53"/>
      <c r="K3262" s="53"/>
      <c r="L3262" s="53"/>
      <c r="M3262" s="53"/>
      <c r="N3262" s="62"/>
      <c r="O3262" s="62"/>
      <c r="P3262" s="62"/>
      <c r="Q3262" s="62"/>
      <c r="R3262" s="53"/>
      <c r="S3262" s="53"/>
      <c r="T3262" s="82"/>
      <c r="U3262" s="42"/>
      <c r="V3262" s="62"/>
      <c r="W3262" s="64"/>
      <c r="X3262" s="330"/>
      <c r="Y3262" s="330"/>
      <c r="Z3262" s="330"/>
      <c r="AA3262" s="223"/>
    </row>
    <row r="3263">
      <c r="A3263" s="42">
        <f t="shared" si="3"/>
        <v>3262</v>
      </c>
      <c r="B3263" s="53"/>
      <c r="C3263" s="53"/>
      <c r="D3263" s="42"/>
      <c r="E3263" s="42"/>
      <c r="F3263" s="53"/>
      <c r="G3263" s="53"/>
      <c r="H3263" s="53"/>
      <c r="I3263" s="53"/>
      <c r="J3263" s="53"/>
      <c r="K3263" s="53"/>
      <c r="L3263" s="53"/>
      <c r="M3263" s="53"/>
      <c r="N3263" s="62"/>
      <c r="O3263" s="62"/>
      <c r="P3263" s="62"/>
      <c r="Q3263" s="62"/>
      <c r="R3263" s="53"/>
      <c r="S3263" s="53"/>
      <c r="T3263" s="82"/>
      <c r="U3263" s="42"/>
      <c r="V3263" s="62"/>
      <c r="W3263" s="64"/>
      <c r="X3263" s="330"/>
      <c r="Y3263" s="330"/>
      <c r="Z3263" s="330"/>
      <c r="AA3263" s="223"/>
    </row>
    <row r="3264">
      <c r="A3264" s="42">
        <f t="shared" si="3"/>
        <v>3263</v>
      </c>
      <c r="B3264" s="53"/>
      <c r="C3264" s="53"/>
      <c r="D3264" s="42"/>
      <c r="E3264" s="42"/>
      <c r="F3264" s="53"/>
      <c r="G3264" s="53"/>
      <c r="H3264" s="53"/>
      <c r="I3264" s="53"/>
      <c r="J3264" s="53"/>
      <c r="K3264" s="53"/>
      <c r="L3264" s="53"/>
      <c r="M3264" s="53"/>
      <c r="N3264" s="62"/>
      <c r="O3264" s="62"/>
      <c r="P3264" s="62"/>
      <c r="Q3264" s="62"/>
      <c r="R3264" s="53"/>
      <c r="S3264" s="53"/>
      <c r="T3264" s="82"/>
      <c r="U3264" s="42"/>
      <c r="V3264" s="62"/>
      <c r="W3264" s="64"/>
      <c r="X3264" s="330"/>
      <c r="Y3264" s="330"/>
      <c r="Z3264" s="330"/>
      <c r="AA3264" s="223"/>
    </row>
    <row r="3265">
      <c r="A3265" s="42">
        <f t="shared" si="3"/>
        <v>3264</v>
      </c>
      <c r="B3265" s="53"/>
      <c r="C3265" s="53"/>
      <c r="D3265" s="42"/>
      <c r="E3265" s="42"/>
      <c r="F3265" s="53"/>
      <c r="G3265" s="53"/>
      <c r="H3265" s="53"/>
      <c r="I3265" s="53"/>
      <c r="J3265" s="53"/>
      <c r="K3265" s="53"/>
      <c r="L3265" s="53"/>
      <c r="M3265" s="53"/>
      <c r="N3265" s="62"/>
      <c r="O3265" s="62"/>
      <c r="P3265" s="62"/>
      <c r="Q3265" s="62"/>
      <c r="R3265" s="53"/>
      <c r="S3265" s="53"/>
      <c r="T3265" s="82"/>
      <c r="U3265" s="42"/>
      <c r="V3265" s="62"/>
      <c r="W3265" s="64"/>
      <c r="X3265" s="330"/>
      <c r="Y3265" s="330"/>
      <c r="Z3265" s="330"/>
      <c r="AA3265" s="223"/>
    </row>
    <row r="3266">
      <c r="A3266" s="42">
        <f t="shared" si="3"/>
        <v>3265</v>
      </c>
      <c r="B3266" s="53"/>
      <c r="C3266" s="53"/>
      <c r="D3266" s="42"/>
      <c r="E3266" s="42"/>
      <c r="F3266" s="53"/>
      <c r="G3266" s="53"/>
      <c r="H3266" s="53"/>
      <c r="I3266" s="53"/>
      <c r="J3266" s="53"/>
      <c r="K3266" s="53"/>
      <c r="L3266" s="53"/>
      <c r="M3266" s="53"/>
      <c r="N3266" s="62"/>
      <c r="O3266" s="62"/>
      <c r="P3266" s="62"/>
      <c r="Q3266" s="62"/>
      <c r="R3266" s="53"/>
      <c r="S3266" s="53"/>
      <c r="T3266" s="82"/>
      <c r="U3266" s="42"/>
      <c r="V3266" s="62"/>
      <c r="W3266" s="64"/>
      <c r="X3266" s="330"/>
      <c r="Y3266" s="330"/>
      <c r="Z3266" s="330"/>
      <c r="AA3266" s="223"/>
    </row>
    <row r="3267">
      <c r="A3267" s="42">
        <f t="shared" si="3"/>
        <v>3266</v>
      </c>
      <c r="B3267" s="53"/>
      <c r="C3267" s="53"/>
      <c r="D3267" s="42"/>
      <c r="E3267" s="42"/>
      <c r="F3267" s="53"/>
      <c r="G3267" s="53"/>
      <c r="H3267" s="53"/>
      <c r="I3267" s="53"/>
      <c r="J3267" s="53"/>
      <c r="K3267" s="53"/>
      <c r="L3267" s="53"/>
      <c r="M3267" s="53"/>
      <c r="N3267" s="62"/>
      <c r="O3267" s="62"/>
      <c r="P3267" s="62"/>
      <c r="Q3267" s="62"/>
      <c r="R3267" s="53"/>
      <c r="S3267" s="53"/>
      <c r="T3267" s="82"/>
      <c r="U3267" s="42"/>
      <c r="V3267" s="62"/>
      <c r="W3267" s="64"/>
      <c r="X3267" s="330"/>
      <c r="Y3267" s="330"/>
      <c r="Z3267" s="330"/>
      <c r="AA3267" s="223"/>
    </row>
    <row r="3268">
      <c r="A3268" s="42">
        <f t="shared" si="3"/>
        <v>3267</v>
      </c>
      <c r="B3268" s="53"/>
      <c r="C3268" s="53"/>
      <c r="D3268" s="42"/>
      <c r="E3268" s="42"/>
      <c r="F3268" s="53"/>
      <c r="G3268" s="53"/>
      <c r="H3268" s="53"/>
      <c r="I3268" s="53"/>
      <c r="J3268" s="53"/>
      <c r="K3268" s="53"/>
      <c r="L3268" s="53"/>
      <c r="M3268" s="53"/>
      <c r="N3268" s="62"/>
      <c r="O3268" s="62"/>
      <c r="P3268" s="62"/>
      <c r="Q3268" s="62"/>
      <c r="R3268" s="53"/>
      <c r="S3268" s="53"/>
      <c r="T3268" s="82"/>
      <c r="U3268" s="42"/>
      <c r="V3268" s="62"/>
      <c r="W3268" s="64"/>
      <c r="X3268" s="330"/>
      <c r="Y3268" s="330"/>
      <c r="Z3268" s="330"/>
      <c r="AA3268" s="223"/>
    </row>
    <row r="3269">
      <c r="A3269" s="42">
        <f t="shared" si="3"/>
        <v>3268</v>
      </c>
      <c r="B3269" s="53"/>
      <c r="C3269" s="53"/>
      <c r="D3269" s="42"/>
      <c r="E3269" s="42"/>
      <c r="F3269" s="53"/>
      <c r="G3269" s="53"/>
      <c r="H3269" s="53"/>
      <c r="I3269" s="53"/>
      <c r="J3269" s="53"/>
      <c r="K3269" s="53"/>
      <c r="L3269" s="53"/>
      <c r="M3269" s="53"/>
      <c r="N3269" s="62"/>
      <c r="O3269" s="62"/>
      <c r="P3269" s="62"/>
      <c r="Q3269" s="62"/>
      <c r="R3269" s="53"/>
      <c r="S3269" s="53"/>
      <c r="T3269" s="82"/>
      <c r="U3269" s="42"/>
      <c r="V3269" s="62"/>
      <c r="W3269" s="64"/>
      <c r="X3269" s="330"/>
      <c r="Y3269" s="330"/>
      <c r="Z3269" s="330"/>
      <c r="AA3269" s="223"/>
    </row>
    <row r="3270">
      <c r="A3270" s="42">
        <f t="shared" si="3"/>
        <v>3269</v>
      </c>
      <c r="B3270" s="53"/>
      <c r="C3270" s="53"/>
      <c r="D3270" s="42"/>
      <c r="E3270" s="42"/>
      <c r="F3270" s="53"/>
      <c r="G3270" s="53"/>
      <c r="H3270" s="53"/>
      <c r="I3270" s="53"/>
      <c r="J3270" s="53"/>
      <c r="K3270" s="53"/>
      <c r="L3270" s="53"/>
      <c r="M3270" s="53"/>
      <c r="N3270" s="62"/>
      <c r="O3270" s="62"/>
      <c r="P3270" s="62"/>
      <c r="Q3270" s="62"/>
      <c r="R3270" s="53"/>
      <c r="S3270" s="53"/>
      <c r="T3270" s="82"/>
      <c r="U3270" s="42"/>
      <c r="V3270" s="62"/>
      <c r="W3270" s="64"/>
      <c r="X3270" s="330"/>
      <c r="Y3270" s="330"/>
      <c r="Z3270" s="330"/>
      <c r="AA3270" s="223"/>
    </row>
    <row r="3271">
      <c r="A3271" s="42">
        <f t="shared" si="3"/>
        <v>3270</v>
      </c>
      <c r="B3271" s="53"/>
      <c r="C3271" s="53"/>
      <c r="D3271" s="42"/>
      <c r="E3271" s="42"/>
      <c r="F3271" s="53"/>
      <c r="G3271" s="53"/>
      <c r="H3271" s="53"/>
      <c r="I3271" s="53"/>
      <c r="J3271" s="53"/>
      <c r="K3271" s="53"/>
      <c r="L3271" s="53"/>
      <c r="M3271" s="53"/>
      <c r="N3271" s="62"/>
      <c r="O3271" s="62"/>
      <c r="P3271" s="62"/>
      <c r="Q3271" s="62"/>
      <c r="R3271" s="53"/>
      <c r="S3271" s="53"/>
      <c r="T3271" s="82"/>
      <c r="U3271" s="42"/>
      <c r="V3271" s="62"/>
      <c r="W3271" s="64"/>
      <c r="X3271" s="330"/>
      <c r="Y3271" s="330"/>
      <c r="Z3271" s="330"/>
      <c r="AA3271" s="223"/>
    </row>
    <row r="3272">
      <c r="A3272" s="42">
        <f t="shared" si="3"/>
        <v>3271</v>
      </c>
      <c r="B3272" s="53"/>
      <c r="C3272" s="53"/>
      <c r="D3272" s="42"/>
      <c r="E3272" s="42"/>
      <c r="F3272" s="53"/>
      <c r="G3272" s="53"/>
      <c r="H3272" s="53"/>
      <c r="I3272" s="53"/>
      <c r="J3272" s="53"/>
      <c r="K3272" s="53"/>
      <c r="L3272" s="53"/>
      <c r="M3272" s="53"/>
      <c r="N3272" s="62"/>
      <c r="O3272" s="62"/>
      <c r="P3272" s="62"/>
      <c r="Q3272" s="62"/>
      <c r="R3272" s="53"/>
      <c r="S3272" s="53"/>
      <c r="T3272" s="82"/>
      <c r="U3272" s="42"/>
      <c r="V3272" s="62"/>
      <c r="W3272" s="64"/>
      <c r="X3272" s="330"/>
      <c r="Y3272" s="330"/>
      <c r="Z3272" s="330"/>
      <c r="AA3272" s="223"/>
    </row>
    <row r="3273">
      <c r="A3273" s="42">
        <f t="shared" si="3"/>
        <v>3272</v>
      </c>
      <c r="B3273" s="53"/>
      <c r="C3273" s="53"/>
      <c r="D3273" s="42"/>
      <c r="E3273" s="42"/>
      <c r="F3273" s="53"/>
      <c r="G3273" s="53"/>
      <c r="H3273" s="53"/>
      <c r="I3273" s="53"/>
      <c r="J3273" s="53"/>
      <c r="K3273" s="53"/>
      <c r="L3273" s="53"/>
      <c r="M3273" s="53"/>
      <c r="N3273" s="62"/>
      <c r="O3273" s="62"/>
      <c r="P3273" s="62"/>
      <c r="Q3273" s="62"/>
      <c r="R3273" s="53"/>
      <c r="S3273" s="53"/>
      <c r="T3273" s="82"/>
      <c r="U3273" s="42"/>
      <c r="V3273" s="62"/>
      <c r="W3273" s="64"/>
      <c r="X3273" s="330"/>
      <c r="Y3273" s="330"/>
      <c r="Z3273" s="330"/>
      <c r="AA3273" s="223"/>
    </row>
    <row r="3274">
      <c r="A3274" s="42">
        <f t="shared" si="3"/>
        <v>3273</v>
      </c>
      <c r="B3274" s="53"/>
      <c r="C3274" s="53"/>
      <c r="D3274" s="42"/>
      <c r="E3274" s="42"/>
      <c r="F3274" s="53"/>
      <c r="G3274" s="53"/>
      <c r="H3274" s="53"/>
      <c r="I3274" s="53"/>
      <c r="J3274" s="53"/>
      <c r="K3274" s="53"/>
      <c r="L3274" s="53"/>
      <c r="M3274" s="53"/>
      <c r="N3274" s="62"/>
      <c r="O3274" s="62"/>
      <c r="P3274" s="62"/>
      <c r="Q3274" s="62"/>
      <c r="R3274" s="53"/>
      <c r="S3274" s="53"/>
      <c r="T3274" s="82"/>
      <c r="U3274" s="42"/>
      <c r="V3274" s="62"/>
      <c r="W3274" s="64"/>
      <c r="X3274" s="330"/>
      <c r="Y3274" s="330"/>
      <c r="Z3274" s="330"/>
      <c r="AA3274" s="223"/>
    </row>
    <row r="3275">
      <c r="A3275" s="42">
        <f t="shared" si="3"/>
        <v>3274</v>
      </c>
      <c r="B3275" s="53"/>
      <c r="C3275" s="53"/>
      <c r="D3275" s="42"/>
      <c r="E3275" s="42"/>
      <c r="F3275" s="53"/>
      <c r="G3275" s="53"/>
      <c r="H3275" s="53"/>
      <c r="I3275" s="53"/>
      <c r="J3275" s="53"/>
      <c r="K3275" s="53"/>
      <c r="L3275" s="53"/>
      <c r="M3275" s="53"/>
      <c r="N3275" s="62"/>
      <c r="O3275" s="62"/>
      <c r="P3275" s="62"/>
      <c r="Q3275" s="62"/>
      <c r="R3275" s="53"/>
      <c r="S3275" s="53"/>
      <c r="T3275" s="82"/>
      <c r="U3275" s="42"/>
      <c r="V3275" s="62"/>
      <c r="W3275" s="64"/>
      <c r="X3275" s="330"/>
      <c r="Y3275" s="330"/>
      <c r="Z3275" s="330"/>
      <c r="AA3275" s="223"/>
    </row>
    <row r="3276">
      <c r="A3276" s="42">
        <f t="shared" si="3"/>
        <v>3275</v>
      </c>
      <c r="B3276" s="53"/>
      <c r="C3276" s="53"/>
      <c r="D3276" s="42"/>
      <c r="E3276" s="42"/>
      <c r="F3276" s="53"/>
      <c r="G3276" s="53"/>
      <c r="H3276" s="53"/>
      <c r="I3276" s="53"/>
      <c r="J3276" s="53"/>
      <c r="K3276" s="53"/>
      <c r="L3276" s="53"/>
      <c r="M3276" s="53"/>
      <c r="N3276" s="62"/>
      <c r="O3276" s="62"/>
      <c r="P3276" s="62"/>
      <c r="Q3276" s="62"/>
      <c r="R3276" s="53"/>
      <c r="S3276" s="53"/>
      <c r="T3276" s="82"/>
      <c r="U3276" s="42"/>
      <c r="V3276" s="62"/>
      <c r="W3276" s="64"/>
      <c r="X3276" s="330"/>
      <c r="Y3276" s="330"/>
      <c r="Z3276" s="330"/>
      <c r="AA3276" s="223"/>
    </row>
    <row r="3277">
      <c r="A3277" s="42">
        <f t="shared" si="3"/>
        <v>3276</v>
      </c>
      <c r="B3277" s="53"/>
      <c r="C3277" s="53"/>
      <c r="D3277" s="42"/>
      <c r="E3277" s="42"/>
      <c r="F3277" s="53"/>
      <c r="G3277" s="53"/>
      <c r="H3277" s="53"/>
      <c r="I3277" s="53"/>
      <c r="J3277" s="53"/>
      <c r="K3277" s="53"/>
      <c r="L3277" s="53"/>
      <c r="M3277" s="53"/>
      <c r="N3277" s="62"/>
      <c r="O3277" s="62"/>
      <c r="P3277" s="62"/>
      <c r="Q3277" s="62"/>
      <c r="R3277" s="53"/>
      <c r="S3277" s="53"/>
      <c r="T3277" s="82"/>
      <c r="U3277" s="42"/>
      <c r="V3277" s="62"/>
      <c r="W3277" s="64"/>
      <c r="X3277" s="330"/>
      <c r="Y3277" s="330"/>
      <c r="Z3277" s="330"/>
      <c r="AA3277" s="223"/>
    </row>
    <row r="3278">
      <c r="A3278" s="42">
        <f t="shared" si="3"/>
        <v>3277</v>
      </c>
      <c r="B3278" s="53"/>
      <c r="C3278" s="53"/>
      <c r="D3278" s="42"/>
      <c r="E3278" s="42"/>
      <c r="F3278" s="53"/>
      <c r="G3278" s="53"/>
      <c r="H3278" s="53"/>
      <c r="I3278" s="53"/>
      <c r="J3278" s="53"/>
      <c r="K3278" s="53"/>
      <c r="L3278" s="53"/>
      <c r="M3278" s="53"/>
      <c r="N3278" s="62"/>
      <c r="O3278" s="62"/>
      <c r="P3278" s="62"/>
      <c r="Q3278" s="62"/>
      <c r="R3278" s="53"/>
      <c r="S3278" s="53"/>
      <c r="T3278" s="82"/>
      <c r="U3278" s="42"/>
      <c r="V3278" s="62"/>
      <c r="W3278" s="64"/>
      <c r="X3278" s="330"/>
      <c r="Y3278" s="330"/>
      <c r="Z3278" s="330"/>
      <c r="AA3278" s="223"/>
    </row>
    <row r="3279">
      <c r="A3279" s="42">
        <f t="shared" si="3"/>
        <v>3278</v>
      </c>
      <c r="B3279" s="53"/>
      <c r="C3279" s="53"/>
      <c r="D3279" s="42"/>
      <c r="E3279" s="42"/>
      <c r="F3279" s="53"/>
      <c r="G3279" s="53"/>
      <c r="H3279" s="53"/>
      <c r="I3279" s="53"/>
      <c r="J3279" s="53"/>
      <c r="K3279" s="53"/>
      <c r="L3279" s="53"/>
      <c r="M3279" s="53"/>
      <c r="N3279" s="62"/>
      <c r="O3279" s="62"/>
      <c r="P3279" s="62"/>
      <c r="Q3279" s="62"/>
      <c r="R3279" s="53"/>
      <c r="S3279" s="53"/>
      <c r="T3279" s="82"/>
      <c r="U3279" s="42"/>
      <c r="V3279" s="62"/>
      <c r="W3279" s="64"/>
      <c r="X3279" s="330"/>
      <c r="Y3279" s="330"/>
      <c r="Z3279" s="330"/>
      <c r="AA3279" s="223"/>
    </row>
    <row r="3280">
      <c r="A3280" s="42">
        <f t="shared" si="3"/>
        <v>3279</v>
      </c>
      <c r="B3280" s="53"/>
      <c r="C3280" s="53"/>
      <c r="D3280" s="42"/>
      <c r="E3280" s="42"/>
      <c r="F3280" s="53"/>
      <c r="G3280" s="53"/>
      <c r="H3280" s="53"/>
      <c r="I3280" s="53"/>
      <c r="J3280" s="53"/>
      <c r="K3280" s="53"/>
      <c r="L3280" s="53"/>
      <c r="M3280" s="53"/>
      <c r="N3280" s="62"/>
      <c r="O3280" s="62"/>
      <c r="P3280" s="62"/>
      <c r="Q3280" s="62"/>
      <c r="R3280" s="53"/>
      <c r="S3280" s="53"/>
      <c r="T3280" s="82"/>
      <c r="U3280" s="42"/>
      <c r="V3280" s="62"/>
      <c r="W3280" s="64"/>
      <c r="X3280" s="330"/>
      <c r="Y3280" s="330"/>
      <c r="Z3280" s="330"/>
      <c r="AA3280" s="223"/>
    </row>
    <row r="3281">
      <c r="A3281" s="42">
        <f t="shared" si="3"/>
        <v>3280</v>
      </c>
      <c r="B3281" s="53"/>
      <c r="C3281" s="53"/>
      <c r="D3281" s="42"/>
      <c r="E3281" s="42"/>
      <c r="F3281" s="53"/>
      <c r="G3281" s="53"/>
      <c r="H3281" s="53"/>
      <c r="I3281" s="53"/>
      <c r="J3281" s="53"/>
      <c r="K3281" s="53"/>
      <c r="L3281" s="53"/>
      <c r="M3281" s="53"/>
      <c r="N3281" s="62"/>
      <c r="O3281" s="62"/>
      <c r="P3281" s="62"/>
      <c r="Q3281" s="62"/>
      <c r="R3281" s="53"/>
      <c r="S3281" s="53"/>
      <c r="T3281" s="82"/>
      <c r="U3281" s="42"/>
      <c r="V3281" s="62"/>
      <c r="W3281" s="64"/>
      <c r="X3281" s="330"/>
      <c r="Y3281" s="330"/>
      <c r="Z3281" s="330"/>
      <c r="AA3281" s="223"/>
    </row>
    <row r="3282">
      <c r="A3282" s="42">
        <f t="shared" si="3"/>
        <v>3281</v>
      </c>
      <c r="B3282" s="53"/>
      <c r="C3282" s="53"/>
      <c r="D3282" s="42"/>
      <c r="E3282" s="42"/>
      <c r="F3282" s="53"/>
      <c r="G3282" s="53"/>
      <c r="H3282" s="53"/>
      <c r="I3282" s="53"/>
      <c r="J3282" s="53"/>
      <c r="K3282" s="53"/>
      <c r="L3282" s="53"/>
      <c r="M3282" s="53"/>
      <c r="N3282" s="62"/>
      <c r="O3282" s="62"/>
      <c r="P3282" s="62"/>
      <c r="Q3282" s="62"/>
      <c r="R3282" s="53"/>
      <c r="S3282" s="53"/>
      <c r="T3282" s="82"/>
      <c r="U3282" s="42"/>
      <c r="V3282" s="62"/>
      <c r="W3282" s="64"/>
      <c r="X3282" s="330"/>
      <c r="Y3282" s="330"/>
      <c r="Z3282" s="330"/>
      <c r="AA3282" s="223"/>
    </row>
    <row r="3283">
      <c r="A3283" s="42">
        <f t="shared" si="3"/>
        <v>3282</v>
      </c>
      <c r="B3283" s="53"/>
      <c r="C3283" s="53"/>
      <c r="D3283" s="42"/>
      <c r="E3283" s="42"/>
      <c r="F3283" s="53"/>
      <c r="G3283" s="53"/>
      <c r="H3283" s="53"/>
      <c r="I3283" s="53"/>
      <c r="J3283" s="53"/>
      <c r="K3283" s="53"/>
      <c r="L3283" s="53"/>
      <c r="M3283" s="53"/>
      <c r="N3283" s="62"/>
      <c r="O3283" s="62"/>
      <c r="P3283" s="62"/>
      <c r="Q3283" s="62"/>
      <c r="R3283" s="53"/>
      <c r="S3283" s="53"/>
      <c r="T3283" s="82"/>
      <c r="U3283" s="42"/>
      <c r="V3283" s="62"/>
      <c r="W3283" s="64"/>
      <c r="X3283" s="330"/>
      <c r="Y3283" s="330"/>
      <c r="Z3283" s="330"/>
      <c r="AA3283" s="223"/>
    </row>
    <row r="3284">
      <c r="A3284" s="42">
        <f t="shared" si="3"/>
        <v>3283</v>
      </c>
      <c r="B3284" s="53"/>
      <c r="C3284" s="53"/>
      <c r="D3284" s="42"/>
      <c r="E3284" s="42"/>
      <c r="F3284" s="53"/>
      <c r="G3284" s="53"/>
      <c r="H3284" s="53"/>
      <c r="I3284" s="53"/>
      <c r="J3284" s="53"/>
      <c r="K3284" s="53"/>
      <c r="L3284" s="53"/>
      <c r="M3284" s="53"/>
      <c r="N3284" s="62"/>
      <c r="O3284" s="62"/>
      <c r="P3284" s="62"/>
      <c r="Q3284" s="62"/>
      <c r="R3284" s="53"/>
      <c r="S3284" s="53"/>
      <c r="T3284" s="82"/>
      <c r="U3284" s="42"/>
      <c r="V3284" s="62"/>
      <c r="W3284" s="64"/>
      <c r="X3284" s="330"/>
      <c r="Y3284" s="330"/>
      <c r="Z3284" s="330"/>
      <c r="AA3284" s="223"/>
    </row>
    <row r="3285">
      <c r="A3285" s="42">
        <f t="shared" si="3"/>
        <v>3284</v>
      </c>
      <c r="B3285" s="53"/>
      <c r="C3285" s="53"/>
      <c r="D3285" s="42"/>
      <c r="E3285" s="42"/>
      <c r="F3285" s="53"/>
      <c r="G3285" s="53"/>
      <c r="H3285" s="53"/>
      <c r="I3285" s="53"/>
      <c r="J3285" s="53"/>
      <c r="K3285" s="53"/>
      <c r="L3285" s="53"/>
      <c r="M3285" s="53"/>
      <c r="N3285" s="62"/>
      <c r="O3285" s="62"/>
      <c r="P3285" s="62"/>
      <c r="Q3285" s="62"/>
      <c r="R3285" s="53"/>
      <c r="S3285" s="53"/>
      <c r="T3285" s="82"/>
      <c r="U3285" s="42"/>
      <c r="V3285" s="62"/>
      <c r="W3285" s="64"/>
      <c r="X3285" s="330"/>
      <c r="Y3285" s="330"/>
      <c r="Z3285" s="330"/>
      <c r="AA3285" s="223"/>
    </row>
    <row r="3286">
      <c r="A3286" s="42">
        <f t="shared" si="3"/>
        <v>3285</v>
      </c>
      <c r="B3286" s="53"/>
      <c r="C3286" s="53"/>
      <c r="D3286" s="42"/>
      <c r="E3286" s="42"/>
      <c r="F3286" s="53"/>
      <c r="G3286" s="53"/>
      <c r="H3286" s="53"/>
      <c r="I3286" s="53"/>
      <c r="J3286" s="53"/>
      <c r="K3286" s="53"/>
      <c r="L3286" s="53"/>
      <c r="M3286" s="53"/>
      <c r="N3286" s="62"/>
      <c r="O3286" s="62"/>
      <c r="P3286" s="62"/>
      <c r="Q3286" s="62"/>
      <c r="R3286" s="53"/>
      <c r="S3286" s="53"/>
      <c r="T3286" s="82"/>
      <c r="U3286" s="42"/>
      <c r="V3286" s="62"/>
      <c r="W3286" s="64"/>
      <c r="X3286" s="330"/>
      <c r="Y3286" s="330"/>
      <c r="Z3286" s="330"/>
      <c r="AA3286" s="223"/>
    </row>
    <row r="3287">
      <c r="A3287" s="42">
        <f t="shared" si="3"/>
        <v>3286</v>
      </c>
      <c r="B3287" s="53"/>
      <c r="C3287" s="53"/>
      <c r="D3287" s="42"/>
      <c r="E3287" s="42"/>
      <c r="F3287" s="53"/>
      <c r="G3287" s="53"/>
      <c r="H3287" s="53"/>
      <c r="I3287" s="53"/>
      <c r="J3287" s="53"/>
      <c r="K3287" s="53"/>
      <c r="L3287" s="53"/>
      <c r="M3287" s="53"/>
      <c r="N3287" s="62"/>
      <c r="O3287" s="62"/>
      <c r="P3287" s="62"/>
      <c r="Q3287" s="62"/>
      <c r="R3287" s="53"/>
      <c r="S3287" s="53"/>
      <c r="T3287" s="82"/>
      <c r="U3287" s="42"/>
      <c r="V3287" s="62"/>
      <c r="W3287" s="64"/>
      <c r="X3287" s="330"/>
      <c r="Y3287" s="330"/>
      <c r="Z3287" s="330"/>
      <c r="AA3287" s="223"/>
    </row>
    <row r="3288">
      <c r="A3288" s="42">
        <f t="shared" si="3"/>
        <v>3287</v>
      </c>
      <c r="B3288" s="53"/>
      <c r="C3288" s="53"/>
      <c r="D3288" s="42"/>
      <c r="E3288" s="42"/>
      <c r="F3288" s="53"/>
      <c r="G3288" s="53"/>
      <c r="H3288" s="53"/>
      <c r="I3288" s="53"/>
      <c r="J3288" s="53"/>
      <c r="K3288" s="53"/>
      <c r="L3288" s="53"/>
      <c r="M3288" s="53"/>
      <c r="N3288" s="62"/>
      <c r="O3288" s="62"/>
      <c r="P3288" s="62"/>
      <c r="Q3288" s="62"/>
      <c r="R3288" s="53"/>
      <c r="S3288" s="53"/>
      <c r="T3288" s="82"/>
      <c r="U3288" s="42"/>
      <c r="V3288" s="62"/>
      <c r="W3288" s="64"/>
      <c r="X3288" s="330"/>
      <c r="Y3288" s="330"/>
      <c r="Z3288" s="330"/>
      <c r="AA3288" s="223"/>
    </row>
    <row r="3289">
      <c r="A3289" s="42">
        <f t="shared" si="3"/>
        <v>3288</v>
      </c>
      <c r="B3289" s="53"/>
      <c r="C3289" s="53"/>
      <c r="D3289" s="42"/>
      <c r="E3289" s="42"/>
      <c r="F3289" s="53"/>
      <c r="G3289" s="53"/>
      <c r="H3289" s="53"/>
      <c r="I3289" s="53"/>
      <c r="J3289" s="53"/>
      <c r="K3289" s="53"/>
      <c r="L3289" s="53"/>
      <c r="M3289" s="53"/>
      <c r="N3289" s="62"/>
      <c r="O3289" s="62"/>
      <c r="P3289" s="62"/>
      <c r="Q3289" s="62"/>
      <c r="R3289" s="53"/>
      <c r="S3289" s="53"/>
      <c r="T3289" s="82"/>
      <c r="U3289" s="42"/>
      <c r="V3289" s="62"/>
      <c r="W3289" s="64"/>
      <c r="X3289" s="330"/>
      <c r="Y3289" s="330"/>
      <c r="Z3289" s="330"/>
      <c r="AA3289" s="223"/>
    </row>
    <row r="3290">
      <c r="A3290" s="42">
        <f t="shared" si="3"/>
        <v>3289</v>
      </c>
      <c r="B3290" s="53"/>
      <c r="C3290" s="53"/>
      <c r="D3290" s="42"/>
      <c r="E3290" s="42"/>
      <c r="F3290" s="53"/>
      <c r="G3290" s="53"/>
      <c r="H3290" s="53"/>
      <c r="I3290" s="53"/>
      <c r="J3290" s="53"/>
      <c r="K3290" s="53"/>
      <c r="L3290" s="53"/>
      <c r="M3290" s="53"/>
      <c r="N3290" s="62"/>
      <c r="O3290" s="62"/>
      <c r="P3290" s="62"/>
      <c r="Q3290" s="62"/>
      <c r="R3290" s="53"/>
      <c r="S3290" s="53"/>
      <c r="T3290" s="82"/>
      <c r="U3290" s="42"/>
      <c r="V3290" s="62"/>
      <c r="W3290" s="64"/>
      <c r="X3290" s="330"/>
      <c r="Y3290" s="330"/>
      <c r="Z3290" s="330"/>
      <c r="AA3290" s="223"/>
    </row>
    <row r="3291">
      <c r="A3291" s="42">
        <f t="shared" si="3"/>
        <v>3290</v>
      </c>
      <c r="B3291" s="53"/>
      <c r="C3291" s="53"/>
      <c r="D3291" s="42"/>
      <c r="E3291" s="42"/>
      <c r="F3291" s="53"/>
      <c r="G3291" s="53"/>
      <c r="H3291" s="53"/>
      <c r="I3291" s="53"/>
      <c r="J3291" s="53"/>
      <c r="K3291" s="53"/>
      <c r="L3291" s="53"/>
      <c r="M3291" s="53"/>
      <c r="N3291" s="62"/>
      <c r="O3291" s="62"/>
      <c r="P3291" s="62"/>
      <c r="Q3291" s="62"/>
      <c r="R3291" s="53"/>
      <c r="S3291" s="53"/>
      <c r="T3291" s="82"/>
      <c r="U3291" s="42"/>
      <c r="V3291" s="62"/>
      <c r="W3291" s="64"/>
      <c r="X3291" s="330"/>
      <c r="Y3291" s="330"/>
      <c r="Z3291" s="330"/>
      <c r="AA3291" s="223"/>
    </row>
    <row r="3292">
      <c r="A3292" s="42">
        <f t="shared" si="3"/>
        <v>3291</v>
      </c>
      <c r="B3292" s="53"/>
      <c r="C3292" s="53"/>
      <c r="D3292" s="42"/>
      <c r="E3292" s="42"/>
      <c r="F3292" s="53"/>
      <c r="G3292" s="53"/>
      <c r="H3292" s="53"/>
      <c r="I3292" s="53"/>
      <c r="J3292" s="53"/>
      <c r="K3292" s="53"/>
      <c r="L3292" s="53"/>
      <c r="M3292" s="53"/>
      <c r="N3292" s="62"/>
      <c r="O3292" s="62"/>
      <c r="P3292" s="62"/>
      <c r="Q3292" s="62"/>
      <c r="R3292" s="53"/>
      <c r="S3292" s="53"/>
      <c r="T3292" s="82"/>
      <c r="U3292" s="42"/>
      <c r="V3292" s="62"/>
      <c r="W3292" s="64"/>
      <c r="X3292" s="330"/>
      <c r="Y3292" s="330"/>
      <c r="Z3292" s="330"/>
      <c r="AA3292" s="223"/>
    </row>
    <row r="3293">
      <c r="A3293" s="42">
        <f t="shared" si="3"/>
        <v>3292</v>
      </c>
      <c r="B3293" s="53"/>
      <c r="C3293" s="53"/>
      <c r="D3293" s="42"/>
      <c r="E3293" s="42"/>
      <c r="F3293" s="53"/>
      <c r="G3293" s="53"/>
      <c r="H3293" s="53"/>
      <c r="I3293" s="53"/>
      <c r="J3293" s="53"/>
      <c r="K3293" s="53"/>
      <c r="L3293" s="53"/>
      <c r="M3293" s="53"/>
      <c r="N3293" s="62"/>
      <c r="O3293" s="62"/>
      <c r="P3293" s="62"/>
      <c r="Q3293" s="62"/>
      <c r="R3293" s="53"/>
      <c r="S3293" s="53"/>
      <c r="T3293" s="82"/>
      <c r="U3293" s="42"/>
      <c r="V3293" s="62"/>
      <c r="W3293" s="64"/>
      <c r="X3293" s="330"/>
      <c r="Y3293" s="330"/>
      <c r="Z3293" s="330"/>
      <c r="AA3293" s="223"/>
    </row>
    <row r="3294">
      <c r="A3294" s="42">
        <f t="shared" si="3"/>
        <v>3293</v>
      </c>
      <c r="B3294" s="53"/>
      <c r="C3294" s="53"/>
      <c r="D3294" s="42"/>
      <c r="E3294" s="42"/>
      <c r="F3294" s="53"/>
      <c r="G3294" s="53"/>
      <c r="H3294" s="53"/>
      <c r="I3294" s="53"/>
      <c r="J3294" s="53"/>
      <c r="K3294" s="53"/>
      <c r="L3294" s="53"/>
      <c r="M3294" s="53"/>
      <c r="N3294" s="62"/>
      <c r="O3294" s="62"/>
      <c r="P3294" s="62"/>
      <c r="Q3294" s="62"/>
      <c r="R3294" s="53"/>
      <c r="S3294" s="53"/>
      <c r="T3294" s="82"/>
      <c r="U3294" s="42"/>
      <c r="V3294" s="62"/>
      <c r="W3294" s="64"/>
      <c r="X3294" s="330"/>
      <c r="Y3294" s="330"/>
      <c r="Z3294" s="330"/>
      <c r="AA3294" s="223"/>
    </row>
    <row r="3295">
      <c r="A3295" s="42">
        <f t="shared" si="3"/>
        <v>3294</v>
      </c>
      <c r="B3295" s="53"/>
      <c r="C3295" s="53"/>
      <c r="D3295" s="42"/>
      <c r="E3295" s="42"/>
      <c r="F3295" s="53"/>
      <c r="G3295" s="53"/>
      <c r="H3295" s="53"/>
      <c r="I3295" s="53"/>
      <c r="J3295" s="53"/>
      <c r="K3295" s="53"/>
      <c r="L3295" s="53"/>
      <c r="M3295" s="53"/>
      <c r="N3295" s="62"/>
      <c r="O3295" s="62"/>
      <c r="P3295" s="62"/>
      <c r="Q3295" s="62"/>
      <c r="R3295" s="53"/>
      <c r="S3295" s="53"/>
      <c r="T3295" s="82"/>
      <c r="U3295" s="42"/>
      <c r="V3295" s="62"/>
      <c r="W3295" s="64"/>
      <c r="X3295" s="330"/>
      <c r="Y3295" s="330"/>
      <c r="Z3295" s="330"/>
      <c r="AA3295" s="223"/>
    </row>
    <row r="3296">
      <c r="A3296" s="42">
        <f t="shared" si="3"/>
        <v>3295</v>
      </c>
      <c r="B3296" s="53"/>
      <c r="C3296" s="53"/>
      <c r="D3296" s="42"/>
      <c r="E3296" s="42"/>
      <c r="F3296" s="53"/>
      <c r="G3296" s="53"/>
      <c r="H3296" s="53"/>
      <c r="I3296" s="53"/>
      <c r="J3296" s="53"/>
      <c r="K3296" s="53"/>
      <c r="L3296" s="53"/>
      <c r="M3296" s="53"/>
      <c r="N3296" s="62"/>
      <c r="O3296" s="62"/>
      <c r="P3296" s="62"/>
      <c r="Q3296" s="62"/>
      <c r="R3296" s="53"/>
      <c r="S3296" s="53"/>
      <c r="T3296" s="82"/>
      <c r="U3296" s="42"/>
      <c r="V3296" s="62"/>
      <c r="W3296" s="64"/>
      <c r="X3296" s="330"/>
      <c r="Y3296" s="330"/>
      <c r="Z3296" s="330"/>
      <c r="AA3296" s="223"/>
    </row>
    <row r="3297">
      <c r="A3297" s="42">
        <f t="shared" si="3"/>
        <v>3296</v>
      </c>
      <c r="B3297" s="53"/>
      <c r="C3297" s="53"/>
      <c r="D3297" s="42"/>
      <c r="E3297" s="42"/>
      <c r="F3297" s="53"/>
      <c r="G3297" s="53"/>
      <c r="H3297" s="53"/>
      <c r="I3297" s="53"/>
      <c r="J3297" s="53"/>
      <c r="K3297" s="53"/>
      <c r="L3297" s="53"/>
      <c r="M3297" s="53"/>
      <c r="N3297" s="62"/>
      <c r="O3297" s="62"/>
      <c r="P3297" s="62"/>
      <c r="Q3297" s="62"/>
      <c r="R3297" s="53"/>
      <c r="S3297" s="53"/>
      <c r="T3297" s="82"/>
      <c r="U3297" s="42"/>
      <c r="V3297" s="62"/>
      <c r="W3297" s="64"/>
      <c r="X3297" s="330"/>
      <c r="Y3297" s="330"/>
      <c r="Z3297" s="330"/>
      <c r="AA3297" s="223"/>
    </row>
    <row r="3298">
      <c r="A3298" s="42">
        <f t="shared" si="3"/>
        <v>3297</v>
      </c>
      <c r="B3298" s="53"/>
      <c r="C3298" s="53"/>
      <c r="D3298" s="42"/>
      <c r="E3298" s="42"/>
      <c r="F3298" s="53"/>
      <c r="G3298" s="53"/>
      <c r="H3298" s="53"/>
      <c r="I3298" s="53"/>
      <c r="J3298" s="53"/>
      <c r="K3298" s="53"/>
      <c r="L3298" s="53"/>
      <c r="M3298" s="53"/>
      <c r="N3298" s="62"/>
      <c r="O3298" s="62"/>
      <c r="P3298" s="62"/>
      <c r="Q3298" s="62"/>
      <c r="R3298" s="53"/>
      <c r="S3298" s="53"/>
      <c r="T3298" s="82"/>
      <c r="U3298" s="42"/>
      <c r="V3298" s="62"/>
      <c r="W3298" s="64"/>
      <c r="X3298" s="330"/>
      <c r="Y3298" s="330"/>
      <c r="Z3298" s="330"/>
      <c r="AA3298" s="223"/>
    </row>
    <row r="3299">
      <c r="A3299" s="42">
        <f t="shared" si="3"/>
        <v>3298</v>
      </c>
      <c r="B3299" s="53"/>
      <c r="C3299" s="53"/>
      <c r="D3299" s="42"/>
      <c r="E3299" s="42"/>
      <c r="F3299" s="53"/>
      <c r="G3299" s="53"/>
      <c r="H3299" s="53"/>
      <c r="I3299" s="53"/>
      <c r="J3299" s="53"/>
      <c r="K3299" s="53"/>
      <c r="L3299" s="53"/>
      <c r="M3299" s="53"/>
      <c r="N3299" s="62"/>
      <c r="O3299" s="62"/>
      <c r="P3299" s="62"/>
      <c r="Q3299" s="62"/>
      <c r="R3299" s="53"/>
      <c r="S3299" s="53"/>
      <c r="T3299" s="82"/>
      <c r="U3299" s="42"/>
      <c r="V3299" s="62"/>
      <c r="W3299" s="64"/>
      <c r="X3299" s="330"/>
      <c r="Y3299" s="330"/>
      <c r="Z3299" s="330"/>
      <c r="AA3299" s="223"/>
    </row>
    <row r="3300">
      <c r="A3300" s="42">
        <f t="shared" si="3"/>
        <v>3299</v>
      </c>
      <c r="B3300" s="53"/>
      <c r="C3300" s="53"/>
      <c r="D3300" s="42"/>
      <c r="E3300" s="42"/>
      <c r="F3300" s="53"/>
      <c r="G3300" s="53"/>
      <c r="H3300" s="53"/>
      <c r="I3300" s="53"/>
      <c r="J3300" s="53"/>
      <c r="K3300" s="53"/>
      <c r="L3300" s="53"/>
      <c r="M3300" s="53"/>
      <c r="N3300" s="62"/>
      <c r="O3300" s="62"/>
      <c r="P3300" s="62"/>
      <c r="Q3300" s="62"/>
      <c r="R3300" s="53"/>
      <c r="S3300" s="53"/>
      <c r="T3300" s="82"/>
      <c r="U3300" s="42"/>
      <c r="V3300" s="62"/>
      <c r="W3300" s="64"/>
      <c r="X3300" s="330"/>
      <c r="Y3300" s="330"/>
      <c r="Z3300" s="330"/>
      <c r="AA3300" s="223"/>
    </row>
    <row r="3301">
      <c r="A3301" s="42">
        <f t="shared" si="3"/>
        <v>3300</v>
      </c>
      <c r="B3301" s="53"/>
      <c r="C3301" s="53"/>
      <c r="D3301" s="42"/>
      <c r="E3301" s="42"/>
      <c r="F3301" s="53"/>
      <c r="G3301" s="53"/>
      <c r="H3301" s="53"/>
      <c r="I3301" s="53"/>
      <c r="J3301" s="53"/>
      <c r="K3301" s="53"/>
      <c r="L3301" s="53"/>
      <c r="M3301" s="53"/>
      <c r="N3301" s="62"/>
      <c r="O3301" s="62"/>
      <c r="P3301" s="62"/>
      <c r="Q3301" s="62"/>
      <c r="R3301" s="53"/>
      <c r="S3301" s="53"/>
      <c r="T3301" s="82"/>
      <c r="U3301" s="42"/>
      <c r="V3301" s="62"/>
      <c r="W3301" s="64"/>
      <c r="X3301" s="330"/>
      <c r="Y3301" s="330"/>
      <c r="Z3301" s="330"/>
      <c r="AA3301" s="223"/>
    </row>
    <row r="3302">
      <c r="A3302" s="42">
        <f t="shared" si="3"/>
        <v>3301</v>
      </c>
      <c r="B3302" s="53"/>
      <c r="C3302" s="53"/>
      <c r="D3302" s="42"/>
      <c r="E3302" s="42"/>
      <c r="F3302" s="53"/>
      <c r="G3302" s="53"/>
      <c r="H3302" s="53"/>
      <c r="I3302" s="53"/>
      <c r="J3302" s="53"/>
      <c r="K3302" s="53"/>
      <c r="L3302" s="53"/>
      <c r="M3302" s="53"/>
      <c r="N3302" s="62"/>
      <c r="O3302" s="62"/>
      <c r="P3302" s="62"/>
      <c r="Q3302" s="62"/>
      <c r="R3302" s="53"/>
      <c r="S3302" s="53"/>
      <c r="T3302" s="82"/>
      <c r="U3302" s="42"/>
      <c r="V3302" s="62"/>
      <c r="W3302" s="64"/>
      <c r="X3302" s="330"/>
      <c r="Y3302" s="330"/>
      <c r="Z3302" s="330"/>
      <c r="AA3302" s="223"/>
    </row>
    <row r="3303">
      <c r="A3303" s="42">
        <f t="shared" si="3"/>
        <v>3302</v>
      </c>
      <c r="B3303" s="53"/>
      <c r="C3303" s="53"/>
      <c r="D3303" s="42"/>
      <c r="E3303" s="42"/>
      <c r="F3303" s="53"/>
      <c r="G3303" s="53"/>
      <c r="H3303" s="53"/>
      <c r="I3303" s="53"/>
      <c r="J3303" s="53"/>
      <c r="K3303" s="53"/>
      <c r="L3303" s="53"/>
      <c r="M3303" s="53"/>
      <c r="N3303" s="62"/>
      <c r="O3303" s="62"/>
      <c r="P3303" s="62"/>
      <c r="Q3303" s="62"/>
      <c r="R3303" s="53"/>
      <c r="S3303" s="53"/>
      <c r="T3303" s="82"/>
      <c r="U3303" s="42"/>
      <c r="V3303" s="62"/>
      <c r="W3303" s="64"/>
      <c r="X3303" s="330"/>
      <c r="Y3303" s="330"/>
      <c r="Z3303" s="330"/>
      <c r="AA3303" s="223"/>
    </row>
    <row r="3304">
      <c r="A3304" s="42">
        <f t="shared" si="3"/>
        <v>3303</v>
      </c>
      <c r="B3304" s="53"/>
      <c r="C3304" s="53"/>
      <c r="D3304" s="42"/>
      <c r="E3304" s="42"/>
      <c r="F3304" s="53"/>
      <c r="G3304" s="53"/>
      <c r="H3304" s="53"/>
      <c r="I3304" s="53"/>
      <c r="J3304" s="53"/>
      <c r="K3304" s="53"/>
      <c r="L3304" s="53"/>
      <c r="M3304" s="53"/>
      <c r="N3304" s="62"/>
      <c r="O3304" s="62"/>
      <c r="P3304" s="62"/>
      <c r="Q3304" s="62"/>
      <c r="R3304" s="53"/>
      <c r="S3304" s="53"/>
      <c r="T3304" s="82"/>
      <c r="U3304" s="42"/>
      <c r="V3304" s="62"/>
      <c r="W3304" s="64"/>
      <c r="X3304" s="330"/>
      <c r="Y3304" s="330"/>
      <c r="Z3304" s="330"/>
      <c r="AA3304" s="223"/>
    </row>
    <row r="3305">
      <c r="A3305" s="42">
        <f t="shared" si="3"/>
        <v>3304</v>
      </c>
      <c r="B3305" s="53"/>
      <c r="C3305" s="53"/>
      <c r="D3305" s="42"/>
      <c r="E3305" s="42"/>
      <c r="F3305" s="53"/>
      <c r="G3305" s="53"/>
      <c r="H3305" s="53"/>
      <c r="I3305" s="53"/>
      <c r="J3305" s="53"/>
      <c r="K3305" s="53"/>
      <c r="L3305" s="53"/>
      <c r="M3305" s="53"/>
      <c r="N3305" s="62"/>
      <c r="O3305" s="62"/>
      <c r="P3305" s="62"/>
      <c r="Q3305" s="62"/>
      <c r="R3305" s="53"/>
      <c r="S3305" s="53"/>
      <c r="T3305" s="82"/>
      <c r="U3305" s="42"/>
      <c r="V3305" s="62"/>
      <c r="W3305" s="64"/>
      <c r="X3305" s="330"/>
      <c r="Y3305" s="330"/>
      <c r="Z3305" s="330"/>
      <c r="AA3305" s="223"/>
    </row>
    <row r="3306">
      <c r="A3306" s="42">
        <f t="shared" si="3"/>
        <v>3305</v>
      </c>
      <c r="B3306" s="53"/>
      <c r="C3306" s="53"/>
      <c r="D3306" s="42"/>
      <c r="E3306" s="42"/>
      <c r="F3306" s="53"/>
      <c r="G3306" s="53"/>
      <c r="H3306" s="53"/>
      <c r="I3306" s="53"/>
      <c r="J3306" s="53"/>
      <c r="K3306" s="53"/>
      <c r="L3306" s="53"/>
      <c r="M3306" s="53"/>
      <c r="N3306" s="62"/>
      <c r="O3306" s="62"/>
      <c r="P3306" s="62"/>
      <c r="Q3306" s="62"/>
      <c r="R3306" s="53"/>
      <c r="S3306" s="53"/>
      <c r="T3306" s="82"/>
      <c r="U3306" s="42"/>
      <c r="V3306" s="62"/>
      <c r="W3306" s="64"/>
      <c r="X3306" s="330"/>
      <c r="Y3306" s="330"/>
      <c r="Z3306" s="330"/>
      <c r="AA3306" s="223"/>
    </row>
    <row r="3307">
      <c r="A3307" s="42">
        <f t="shared" si="3"/>
        <v>3306</v>
      </c>
      <c r="B3307" s="53"/>
      <c r="C3307" s="53"/>
      <c r="D3307" s="42"/>
      <c r="E3307" s="42"/>
      <c r="F3307" s="53"/>
      <c r="G3307" s="53"/>
      <c r="H3307" s="53"/>
      <c r="I3307" s="53"/>
      <c r="J3307" s="53"/>
      <c r="K3307" s="53"/>
      <c r="L3307" s="53"/>
      <c r="M3307" s="53"/>
      <c r="N3307" s="62"/>
      <c r="O3307" s="62"/>
      <c r="P3307" s="62"/>
      <c r="Q3307" s="62"/>
      <c r="R3307" s="53"/>
      <c r="S3307" s="53"/>
      <c r="T3307" s="82"/>
      <c r="U3307" s="42"/>
      <c r="V3307" s="62"/>
      <c r="W3307" s="64"/>
      <c r="X3307" s="330"/>
      <c r="Y3307" s="330"/>
      <c r="Z3307" s="330"/>
      <c r="AA3307" s="223"/>
    </row>
    <row r="3308">
      <c r="A3308" s="42">
        <f t="shared" si="3"/>
        <v>3307</v>
      </c>
      <c r="B3308" s="53"/>
      <c r="C3308" s="53"/>
      <c r="D3308" s="42"/>
      <c r="E3308" s="42"/>
      <c r="F3308" s="53"/>
      <c r="G3308" s="53"/>
      <c r="H3308" s="53"/>
      <c r="I3308" s="53"/>
      <c r="J3308" s="53"/>
      <c r="K3308" s="53"/>
      <c r="L3308" s="53"/>
      <c r="M3308" s="53"/>
      <c r="N3308" s="62"/>
      <c r="O3308" s="62"/>
      <c r="P3308" s="62"/>
      <c r="Q3308" s="62"/>
      <c r="R3308" s="53"/>
      <c r="S3308" s="53"/>
      <c r="T3308" s="82"/>
      <c r="U3308" s="42"/>
      <c r="V3308" s="62"/>
      <c r="W3308" s="64"/>
      <c r="X3308" s="330"/>
      <c r="Y3308" s="330"/>
      <c r="Z3308" s="330"/>
      <c r="AA3308" s="223"/>
    </row>
    <row r="3309">
      <c r="A3309" s="42">
        <f t="shared" si="3"/>
        <v>3308</v>
      </c>
      <c r="B3309" s="53"/>
      <c r="C3309" s="53"/>
      <c r="D3309" s="42"/>
      <c r="E3309" s="42"/>
      <c r="F3309" s="53"/>
      <c r="G3309" s="53"/>
      <c r="H3309" s="53"/>
      <c r="I3309" s="53"/>
      <c r="J3309" s="53"/>
      <c r="K3309" s="53"/>
      <c r="L3309" s="53"/>
      <c r="M3309" s="53"/>
      <c r="N3309" s="62"/>
      <c r="O3309" s="62"/>
      <c r="P3309" s="62"/>
      <c r="Q3309" s="62"/>
      <c r="R3309" s="53"/>
      <c r="S3309" s="53"/>
      <c r="T3309" s="82"/>
      <c r="U3309" s="42"/>
      <c r="V3309" s="62"/>
      <c r="W3309" s="64"/>
      <c r="X3309" s="330"/>
      <c r="Y3309" s="330"/>
      <c r="Z3309" s="330"/>
      <c r="AA3309" s="223"/>
    </row>
    <row r="3310">
      <c r="A3310" s="42">
        <f t="shared" si="3"/>
        <v>3309</v>
      </c>
      <c r="B3310" s="53"/>
      <c r="C3310" s="53"/>
      <c r="D3310" s="42"/>
      <c r="E3310" s="42"/>
      <c r="F3310" s="53"/>
      <c r="G3310" s="53"/>
      <c r="H3310" s="53"/>
      <c r="I3310" s="53"/>
      <c r="J3310" s="53"/>
      <c r="K3310" s="53"/>
      <c r="L3310" s="53"/>
      <c r="M3310" s="53"/>
      <c r="N3310" s="62"/>
      <c r="O3310" s="62"/>
      <c r="P3310" s="62"/>
      <c r="Q3310" s="62"/>
      <c r="R3310" s="53"/>
      <c r="S3310" s="53"/>
      <c r="T3310" s="82"/>
      <c r="U3310" s="42"/>
      <c r="V3310" s="62"/>
      <c r="W3310" s="64"/>
      <c r="X3310" s="330"/>
      <c r="Y3310" s="330"/>
      <c r="Z3310" s="330"/>
      <c r="AA3310" s="223"/>
    </row>
    <row r="3311">
      <c r="A3311" s="42">
        <f t="shared" si="3"/>
        <v>3310</v>
      </c>
      <c r="B3311" s="53"/>
      <c r="C3311" s="53"/>
      <c r="D3311" s="42"/>
      <c r="E3311" s="42"/>
      <c r="F3311" s="53"/>
      <c r="G3311" s="53"/>
      <c r="H3311" s="53"/>
      <c r="I3311" s="53"/>
      <c r="J3311" s="53"/>
      <c r="K3311" s="53"/>
      <c r="L3311" s="53"/>
      <c r="M3311" s="53"/>
      <c r="N3311" s="62"/>
      <c r="O3311" s="62"/>
      <c r="P3311" s="62"/>
      <c r="Q3311" s="62"/>
      <c r="R3311" s="53"/>
      <c r="S3311" s="53"/>
      <c r="T3311" s="82"/>
      <c r="U3311" s="42"/>
      <c r="V3311" s="62"/>
      <c r="W3311" s="64"/>
      <c r="X3311" s="330"/>
      <c r="Y3311" s="330"/>
      <c r="Z3311" s="330"/>
      <c r="AA3311" s="223"/>
    </row>
    <row r="3312">
      <c r="A3312" s="42">
        <f t="shared" si="3"/>
        <v>3311</v>
      </c>
      <c r="B3312" s="53"/>
      <c r="C3312" s="53"/>
      <c r="D3312" s="42"/>
      <c r="E3312" s="42"/>
      <c r="F3312" s="53"/>
      <c r="G3312" s="53"/>
      <c r="H3312" s="53"/>
      <c r="I3312" s="53"/>
      <c r="J3312" s="53"/>
      <c r="K3312" s="53"/>
      <c r="L3312" s="53"/>
      <c r="M3312" s="53"/>
      <c r="N3312" s="62"/>
      <c r="O3312" s="62"/>
      <c r="P3312" s="62"/>
      <c r="Q3312" s="62"/>
      <c r="R3312" s="53"/>
      <c r="S3312" s="53"/>
      <c r="T3312" s="82"/>
      <c r="U3312" s="42"/>
      <c r="V3312" s="62"/>
      <c r="W3312" s="64"/>
      <c r="X3312" s="330"/>
      <c r="Y3312" s="330"/>
      <c r="Z3312" s="330"/>
      <c r="AA3312" s="223"/>
    </row>
    <row r="3313">
      <c r="A3313" s="42">
        <f t="shared" si="3"/>
        <v>3312</v>
      </c>
      <c r="B3313" s="53"/>
      <c r="C3313" s="53"/>
      <c r="D3313" s="42"/>
      <c r="E3313" s="42"/>
      <c r="F3313" s="53"/>
      <c r="G3313" s="53"/>
      <c r="H3313" s="53"/>
      <c r="I3313" s="53"/>
      <c r="J3313" s="53"/>
      <c r="K3313" s="53"/>
      <c r="L3313" s="53"/>
      <c r="M3313" s="53"/>
      <c r="N3313" s="62"/>
      <c r="O3313" s="62"/>
      <c r="P3313" s="62"/>
      <c r="Q3313" s="62"/>
      <c r="R3313" s="53"/>
      <c r="S3313" s="53"/>
      <c r="T3313" s="82"/>
      <c r="U3313" s="42"/>
      <c r="V3313" s="62"/>
      <c r="W3313" s="64"/>
      <c r="X3313" s="330"/>
      <c r="Y3313" s="330"/>
      <c r="Z3313" s="330"/>
      <c r="AA3313" s="223"/>
    </row>
    <row r="3314">
      <c r="A3314" s="42">
        <f t="shared" si="3"/>
        <v>3313</v>
      </c>
      <c r="B3314" s="53"/>
      <c r="C3314" s="53"/>
      <c r="D3314" s="42"/>
      <c r="E3314" s="42"/>
      <c r="F3314" s="53"/>
      <c r="G3314" s="53"/>
      <c r="H3314" s="53"/>
      <c r="I3314" s="53"/>
      <c r="J3314" s="53"/>
      <c r="K3314" s="53"/>
      <c r="L3314" s="53"/>
      <c r="M3314" s="53"/>
      <c r="N3314" s="62"/>
      <c r="O3314" s="62"/>
      <c r="P3314" s="62"/>
      <c r="Q3314" s="62"/>
      <c r="R3314" s="53"/>
      <c r="S3314" s="53"/>
      <c r="T3314" s="82"/>
      <c r="U3314" s="42"/>
      <c r="V3314" s="62"/>
      <c r="W3314" s="64"/>
      <c r="X3314" s="330"/>
      <c r="Y3314" s="330"/>
      <c r="Z3314" s="330"/>
      <c r="AA3314" s="223"/>
    </row>
    <row r="3315">
      <c r="A3315" s="42">
        <f t="shared" si="3"/>
        <v>3314</v>
      </c>
      <c r="B3315" s="53"/>
      <c r="C3315" s="53"/>
      <c r="D3315" s="42"/>
      <c r="E3315" s="42"/>
      <c r="F3315" s="53"/>
      <c r="G3315" s="53"/>
      <c r="H3315" s="53"/>
      <c r="I3315" s="53"/>
      <c r="J3315" s="53"/>
      <c r="K3315" s="53"/>
      <c r="L3315" s="53"/>
      <c r="M3315" s="53"/>
      <c r="N3315" s="62"/>
      <c r="O3315" s="62"/>
      <c r="P3315" s="62"/>
      <c r="Q3315" s="62"/>
      <c r="R3315" s="53"/>
      <c r="S3315" s="53"/>
      <c r="T3315" s="82"/>
      <c r="U3315" s="42"/>
      <c r="V3315" s="62"/>
      <c r="W3315" s="64"/>
      <c r="X3315" s="330"/>
      <c r="Y3315" s="330"/>
      <c r="Z3315" s="330"/>
      <c r="AA3315" s="223"/>
    </row>
    <row r="3316">
      <c r="A3316" s="42">
        <f t="shared" si="3"/>
        <v>3315</v>
      </c>
      <c r="B3316" s="53"/>
      <c r="C3316" s="53"/>
      <c r="D3316" s="42"/>
      <c r="E3316" s="42"/>
      <c r="F3316" s="53"/>
      <c r="G3316" s="53"/>
      <c r="H3316" s="53"/>
      <c r="I3316" s="53"/>
      <c r="J3316" s="53"/>
      <c r="K3316" s="53"/>
      <c r="L3316" s="53"/>
      <c r="M3316" s="53"/>
      <c r="N3316" s="62"/>
      <c r="O3316" s="62"/>
      <c r="P3316" s="62"/>
      <c r="Q3316" s="62"/>
      <c r="R3316" s="53"/>
      <c r="S3316" s="53"/>
      <c r="T3316" s="82"/>
      <c r="U3316" s="42"/>
      <c r="V3316" s="62"/>
      <c r="W3316" s="64"/>
      <c r="X3316" s="330"/>
      <c r="Y3316" s="330"/>
      <c r="Z3316" s="330"/>
      <c r="AA3316" s="223"/>
    </row>
    <row r="3317">
      <c r="A3317" s="42">
        <f t="shared" si="3"/>
        <v>3316</v>
      </c>
      <c r="B3317" s="53"/>
      <c r="C3317" s="53"/>
      <c r="D3317" s="42"/>
      <c r="E3317" s="42"/>
      <c r="F3317" s="53"/>
      <c r="G3317" s="53"/>
      <c r="H3317" s="53"/>
      <c r="I3317" s="53"/>
      <c r="J3317" s="53"/>
      <c r="K3317" s="53"/>
      <c r="L3317" s="53"/>
      <c r="M3317" s="53"/>
      <c r="N3317" s="62"/>
      <c r="O3317" s="62"/>
      <c r="P3317" s="62"/>
      <c r="Q3317" s="62"/>
      <c r="R3317" s="53"/>
      <c r="S3317" s="53"/>
      <c r="T3317" s="82"/>
      <c r="U3317" s="42"/>
      <c r="V3317" s="62"/>
      <c r="W3317" s="64"/>
      <c r="X3317" s="330"/>
      <c r="Y3317" s="330"/>
      <c r="Z3317" s="330"/>
      <c r="AA3317" s="223"/>
    </row>
    <row r="3318">
      <c r="A3318" s="42">
        <f t="shared" si="3"/>
        <v>3317</v>
      </c>
      <c r="B3318" s="53"/>
      <c r="C3318" s="53"/>
      <c r="D3318" s="42"/>
      <c r="E3318" s="42"/>
      <c r="F3318" s="53"/>
      <c r="G3318" s="53"/>
      <c r="H3318" s="53"/>
      <c r="I3318" s="53"/>
      <c r="J3318" s="53"/>
      <c r="K3318" s="53"/>
      <c r="L3318" s="53"/>
      <c r="M3318" s="53"/>
      <c r="N3318" s="62"/>
      <c r="O3318" s="62"/>
      <c r="P3318" s="62"/>
      <c r="Q3318" s="62"/>
      <c r="R3318" s="53"/>
      <c r="S3318" s="53"/>
      <c r="T3318" s="82"/>
      <c r="U3318" s="42"/>
      <c r="V3318" s="62"/>
      <c r="W3318" s="64"/>
      <c r="X3318" s="330"/>
      <c r="Y3318" s="330"/>
      <c r="Z3318" s="330"/>
      <c r="AA3318" s="223"/>
    </row>
    <row r="3319">
      <c r="A3319" s="42">
        <f t="shared" si="3"/>
        <v>3318</v>
      </c>
      <c r="B3319" s="53"/>
      <c r="C3319" s="53"/>
      <c r="D3319" s="42"/>
      <c r="E3319" s="42"/>
      <c r="F3319" s="53"/>
      <c r="G3319" s="53"/>
      <c r="H3319" s="53"/>
      <c r="I3319" s="53"/>
      <c r="J3319" s="53"/>
      <c r="K3319" s="53"/>
      <c r="L3319" s="53"/>
      <c r="M3319" s="53"/>
      <c r="N3319" s="62"/>
      <c r="O3319" s="62"/>
      <c r="P3319" s="62"/>
      <c r="Q3319" s="62"/>
      <c r="R3319" s="53"/>
      <c r="S3319" s="53"/>
      <c r="T3319" s="82"/>
      <c r="U3319" s="42"/>
      <c r="V3319" s="62"/>
      <c r="W3319" s="64"/>
      <c r="X3319" s="330"/>
      <c r="Y3319" s="330"/>
      <c r="Z3319" s="330"/>
      <c r="AA3319" s="223"/>
    </row>
    <row r="3320">
      <c r="A3320" s="42">
        <f t="shared" si="3"/>
        <v>3319</v>
      </c>
      <c r="B3320" s="53"/>
      <c r="C3320" s="53"/>
      <c r="D3320" s="42"/>
      <c r="E3320" s="42"/>
      <c r="F3320" s="53"/>
      <c r="G3320" s="53"/>
      <c r="H3320" s="53"/>
      <c r="I3320" s="53"/>
      <c r="J3320" s="53"/>
      <c r="K3320" s="53"/>
      <c r="L3320" s="53"/>
      <c r="M3320" s="53"/>
      <c r="N3320" s="62"/>
      <c r="O3320" s="62"/>
      <c r="P3320" s="62"/>
      <c r="Q3320" s="62"/>
      <c r="R3320" s="53"/>
      <c r="S3320" s="53"/>
      <c r="T3320" s="82"/>
      <c r="U3320" s="42"/>
      <c r="V3320" s="62"/>
      <c r="W3320" s="64"/>
      <c r="X3320" s="330"/>
      <c r="Y3320" s="330"/>
      <c r="Z3320" s="330"/>
      <c r="AA3320" s="223"/>
    </row>
    <row r="3321">
      <c r="A3321" s="42">
        <f t="shared" si="3"/>
        <v>3320</v>
      </c>
      <c r="B3321" s="53"/>
      <c r="C3321" s="53"/>
      <c r="D3321" s="42"/>
      <c r="E3321" s="42"/>
      <c r="F3321" s="53"/>
      <c r="G3321" s="53"/>
      <c r="H3321" s="53"/>
      <c r="I3321" s="53"/>
      <c r="J3321" s="53"/>
      <c r="K3321" s="53"/>
      <c r="L3321" s="53"/>
      <c r="M3321" s="53"/>
      <c r="N3321" s="62"/>
      <c r="O3321" s="62"/>
      <c r="P3321" s="62"/>
      <c r="Q3321" s="62"/>
      <c r="R3321" s="53"/>
      <c r="S3321" s="53"/>
      <c r="T3321" s="82"/>
      <c r="U3321" s="42"/>
      <c r="V3321" s="62"/>
      <c r="W3321" s="64"/>
      <c r="X3321" s="330"/>
      <c r="Y3321" s="330"/>
      <c r="Z3321" s="330"/>
      <c r="AA3321" s="223"/>
    </row>
    <row r="3322">
      <c r="A3322" s="42">
        <f t="shared" si="3"/>
        <v>3321</v>
      </c>
      <c r="B3322" s="53"/>
      <c r="C3322" s="53"/>
      <c r="D3322" s="42"/>
      <c r="E3322" s="42"/>
      <c r="F3322" s="53"/>
      <c r="G3322" s="53"/>
      <c r="H3322" s="53"/>
      <c r="I3322" s="53"/>
      <c r="J3322" s="53"/>
      <c r="K3322" s="53"/>
      <c r="L3322" s="53"/>
      <c r="M3322" s="53"/>
      <c r="N3322" s="62"/>
      <c r="O3322" s="62"/>
      <c r="P3322" s="62"/>
      <c r="Q3322" s="62"/>
      <c r="R3322" s="53"/>
      <c r="S3322" s="53"/>
      <c r="T3322" s="82"/>
      <c r="U3322" s="42"/>
      <c r="V3322" s="62"/>
      <c r="W3322" s="64"/>
      <c r="X3322" s="330"/>
      <c r="Y3322" s="330"/>
      <c r="Z3322" s="330"/>
      <c r="AA3322" s="223"/>
    </row>
    <row r="3323">
      <c r="A3323" s="42">
        <f t="shared" si="3"/>
        <v>3322</v>
      </c>
      <c r="B3323" s="53"/>
      <c r="C3323" s="53"/>
      <c r="D3323" s="42"/>
      <c r="E3323" s="42"/>
      <c r="F3323" s="53"/>
      <c r="G3323" s="53"/>
      <c r="H3323" s="53"/>
      <c r="I3323" s="53"/>
      <c r="J3323" s="53"/>
      <c r="K3323" s="53"/>
      <c r="L3323" s="53"/>
      <c r="M3323" s="53"/>
      <c r="N3323" s="62"/>
      <c r="O3323" s="62"/>
      <c r="P3323" s="62"/>
      <c r="Q3323" s="62"/>
      <c r="R3323" s="53"/>
      <c r="S3323" s="53"/>
      <c r="T3323" s="82"/>
      <c r="U3323" s="42"/>
      <c r="V3323" s="62"/>
      <c r="W3323" s="64"/>
      <c r="X3323" s="330"/>
      <c r="Y3323" s="330"/>
      <c r="Z3323" s="330"/>
      <c r="AA3323" s="223"/>
    </row>
    <row r="3324">
      <c r="A3324" s="42">
        <f t="shared" si="3"/>
        <v>3323</v>
      </c>
      <c r="B3324" s="53"/>
      <c r="C3324" s="53"/>
      <c r="D3324" s="42"/>
      <c r="E3324" s="42"/>
      <c r="F3324" s="53"/>
      <c r="G3324" s="53"/>
      <c r="H3324" s="53"/>
      <c r="I3324" s="53"/>
      <c r="J3324" s="53"/>
      <c r="K3324" s="53"/>
      <c r="L3324" s="53"/>
      <c r="M3324" s="53"/>
      <c r="N3324" s="62"/>
      <c r="O3324" s="62"/>
      <c r="P3324" s="62"/>
      <c r="Q3324" s="62"/>
      <c r="R3324" s="53"/>
      <c r="S3324" s="53"/>
      <c r="T3324" s="82"/>
      <c r="U3324" s="42"/>
      <c r="V3324" s="62"/>
      <c r="W3324" s="64"/>
      <c r="X3324" s="330"/>
      <c r="Y3324" s="330"/>
      <c r="Z3324" s="330"/>
      <c r="AA3324" s="223"/>
    </row>
    <row r="3325">
      <c r="A3325" s="42">
        <f t="shared" si="3"/>
        <v>3324</v>
      </c>
      <c r="B3325" s="53"/>
      <c r="C3325" s="53"/>
      <c r="D3325" s="42"/>
      <c r="E3325" s="42"/>
      <c r="F3325" s="53"/>
      <c r="G3325" s="53"/>
      <c r="H3325" s="53"/>
      <c r="I3325" s="53"/>
      <c r="J3325" s="53"/>
      <c r="K3325" s="53"/>
      <c r="L3325" s="53"/>
      <c r="M3325" s="53"/>
      <c r="N3325" s="62"/>
      <c r="O3325" s="62"/>
      <c r="P3325" s="62"/>
      <c r="Q3325" s="62"/>
      <c r="R3325" s="53"/>
      <c r="S3325" s="53"/>
      <c r="T3325" s="82"/>
      <c r="U3325" s="42"/>
      <c r="V3325" s="62"/>
      <c r="W3325" s="64"/>
      <c r="X3325" s="330"/>
      <c r="Y3325" s="330"/>
      <c r="Z3325" s="330"/>
      <c r="AA3325" s="223"/>
    </row>
    <row r="3326">
      <c r="A3326" s="42">
        <f t="shared" si="3"/>
        <v>3325</v>
      </c>
      <c r="B3326" s="53"/>
      <c r="C3326" s="53"/>
      <c r="D3326" s="42"/>
      <c r="E3326" s="42"/>
      <c r="F3326" s="53"/>
      <c r="G3326" s="53"/>
      <c r="H3326" s="53"/>
      <c r="I3326" s="53"/>
      <c r="J3326" s="53"/>
      <c r="K3326" s="53"/>
      <c r="L3326" s="53"/>
      <c r="M3326" s="53"/>
      <c r="N3326" s="62"/>
      <c r="O3326" s="62"/>
      <c r="P3326" s="62"/>
      <c r="Q3326" s="62"/>
      <c r="R3326" s="53"/>
      <c r="S3326" s="53"/>
      <c r="T3326" s="82"/>
      <c r="U3326" s="42"/>
      <c r="V3326" s="62"/>
      <c r="W3326" s="64"/>
      <c r="X3326" s="330"/>
      <c r="Y3326" s="330"/>
      <c r="Z3326" s="330"/>
      <c r="AA3326" s="223"/>
    </row>
    <row r="3327">
      <c r="A3327" s="42">
        <f t="shared" si="3"/>
        <v>3326</v>
      </c>
      <c r="B3327" s="53"/>
      <c r="C3327" s="53"/>
      <c r="D3327" s="42"/>
      <c r="E3327" s="42"/>
      <c r="F3327" s="53"/>
      <c r="G3327" s="53"/>
      <c r="H3327" s="53"/>
      <c r="I3327" s="53"/>
      <c r="J3327" s="53"/>
      <c r="K3327" s="53"/>
      <c r="L3327" s="53"/>
      <c r="M3327" s="53"/>
      <c r="N3327" s="62"/>
      <c r="O3327" s="62"/>
      <c r="P3327" s="62"/>
      <c r="Q3327" s="62"/>
      <c r="R3327" s="53"/>
      <c r="S3327" s="53"/>
      <c r="T3327" s="82"/>
      <c r="U3327" s="42"/>
      <c r="V3327" s="62"/>
      <c r="W3327" s="64"/>
      <c r="X3327" s="330"/>
      <c r="Y3327" s="330"/>
      <c r="Z3327" s="330"/>
      <c r="AA3327" s="223"/>
    </row>
    <row r="3328">
      <c r="A3328" s="42">
        <f t="shared" si="3"/>
        <v>3327</v>
      </c>
      <c r="B3328" s="53"/>
      <c r="C3328" s="53"/>
      <c r="D3328" s="42"/>
      <c r="E3328" s="42"/>
      <c r="F3328" s="53"/>
      <c r="G3328" s="53"/>
      <c r="H3328" s="53"/>
      <c r="I3328" s="53"/>
      <c r="J3328" s="53"/>
      <c r="K3328" s="53"/>
      <c r="L3328" s="53"/>
      <c r="M3328" s="53"/>
      <c r="N3328" s="62"/>
      <c r="O3328" s="62"/>
      <c r="P3328" s="62"/>
      <c r="Q3328" s="62"/>
      <c r="R3328" s="53"/>
      <c r="S3328" s="53"/>
      <c r="T3328" s="82"/>
      <c r="U3328" s="42"/>
      <c r="V3328" s="62"/>
      <c r="W3328" s="64"/>
      <c r="X3328" s="330"/>
      <c r="Y3328" s="330"/>
      <c r="Z3328" s="330"/>
      <c r="AA3328" s="223"/>
    </row>
    <row r="3329">
      <c r="A3329" s="42">
        <f t="shared" si="3"/>
        <v>3328</v>
      </c>
      <c r="B3329" s="53"/>
      <c r="C3329" s="53"/>
      <c r="D3329" s="42"/>
      <c r="E3329" s="42"/>
      <c r="F3329" s="53"/>
      <c r="G3329" s="53"/>
      <c r="H3329" s="53"/>
      <c r="I3329" s="53"/>
      <c r="J3329" s="53"/>
      <c r="K3329" s="53"/>
      <c r="L3329" s="53"/>
      <c r="M3329" s="53"/>
      <c r="N3329" s="62"/>
      <c r="O3329" s="62"/>
      <c r="P3329" s="62"/>
      <c r="Q3329" s="62"/>
      <c r="R3329" s="53"/>
      <c r="S3329" s="53"/>
      <c r="T3329" s="82"/>
      <c r="U3329" s="42"/>
      <c r="V3329" s="62"/>
      <c r="W3329" s="64"/>
      <c r="X3329" s="330"/>
      <c r="Y3329" s="330"/>
      <c r="Z3329" s="330"/>
      <c r="AA3329" s="223"/>
    </row>
    <row r="3330">
      <c r="A3330" s="42">
        <f t="shared" si="3"/>
        <v>3329</v>
      </c>
      <c r="B3330" s="53"/>
      <c r="C3330" s="53"/>
      <c r="D3330" s="42"/>
      <c r="E3330" s="42"/>
      <c r="F3330" s="53"/>
      <c r="G3330" s="53"/>
      <c r="H3330" s="53"/>
      <c r="I3330" s="53"/>
      <c r="J3330" s="53"/>
      <c r="K3330" s="53"/>
      <c r="L3330" s="53"/>
      <c r="M3330" s="53"/>
      <c r="N3330" s="62"/>
      <c r="O3330" s="62"/>
      <c r="P3330" s="62"/>
      <c r="Q3330" s="62"/>
      <c r="R3330" s="53"/>
      <c r="S3330" s="53"/>
      <c r="T3330" s="82"/>
      <c r="U3330" s="42"/>
      <c r="V3330" s="62"/>
      <c r="W3330" s="64"/>
      <c r="X3330" s="330"/>
      <c r="Y3330" s="330"/>
      <c r="Z3330" s="330"/>
      <c r="AA3330" s="223"/>
    </row>
    <row r="3331">
      <c r="A3331" s="42">
        <f t="shared" si="3"/>
        <v>3330</v>
      </c>
      <c r="B3331" s="53"/>
      <c r="C3331" s="53"/>
      <c r="D3331" s="42"/>
      <c r="E3331" s="42"/>
      <c r="F3331" s="53"/>
      <c r="G3331" s="53"/>
      <c r="H3331" s="53"/>
      <c r="I3331" s="53"/>
      <c r="J3331" s="53"/>
      <c r="K3331" s="53"/>
      <c r="L3331" s="53"/>
      <c r="M3331" s="53"/>
      <c r="N3331" s="62"/>
      <c r="O3331" s="62"/>
      <c r="P3331" s="62"/>
      <c r="Q3331" s="62"/>
      <c r="R3331" s="53"/>
      <c r="S3331" s="53"/>
      <c r="T3331" s="82"/>
      <c r="U3331" s="42"/>
      <c r="V3331" s="62"/>
      <c r="W3331" s="64"/>
      <c r="X3331" s="330"/>
      <c r="Y3331" s="330"/>
      <c r="Z3331" s="330"/>
      <c r="AA3331" s="223"/>
    </row>
    <row r="3332">
      <c r="A3332" s="42">
        <f t="shared" si="3"/>
        <v>3331</v>
      </c>
      <c r="B3332" s="53"/>
      <c r="C3332" s="53"/>
      <c r="D3332" s="42"/>
      <c r="E3332" s="42"/>
      <c r="F3332" s="53"/>
      <c r="G3332" s="53"/>
      <c r="H3332" s="53"/>
      <c r="I3332" s="53"/>
      <c r="J3332" s="53"/>
      <c r="K3332" s="53"/>
      <c r="L3332" s="53"/>
      <c r="M3332" s="53"/>
      <c r="N3332" s="62"/>
      <c r="O3332" s="62"/>
      <c r="P3332" s="62"/>
      <c r="Q3332" s="62"/>
      <c r="R3332" s="53"/>
      <c r="S3332" s="53"/>
      <c r="T3332" s="82"/>
      <c r="U3332" s="42"/>
      <c r="V3332" s="62"/>
      <c r="W3332" s="64"/>
      <c r="X3332" s="330"/>
      <c r="Y3332" s="330"/>
      <c r="Z3332" s="330"/>
      <c r="AA3332" s="223"/>
    </row>
    <row r="3333">
      <c r="A3333" s="42">
        <f t="shared" si="3"/>
        <v>3332</v>
      </c>
      <c r="B3333" s="53"/>
      <c r="C3333" s="53"/>
      <c r="D3333" s="42"/>
      <c r="E3333" s="42"/>
      <c r="F3333" s="53"/>
      <c r="G3333" s="53"/>
      <c r="H3333" s="53"/>
      <c r="I3333" s="53"/>
      <c r="J3333" s="53"/>
      <c r="K3333" s="53"/>
      <c r="L3333" s="53"/>
      <c r="M3333" s="53"/>
      <c r="N3333" s="62"/>
      <c r="O3333" s="62"/>
      <c r="P3333" s="62"/>
      <c r="Q3333" s="62"/>
      <c r="R3333" s="53"/>
      <c r="S3333" s="53"/>
      <c r="T3333" s="82"/>
      <c r="U3333" s="42"/>
      <c r="V3333" s="62"/>
      <c r="W3333" s="64"/>
      <c r="X3333" s="330"/>
      <c r="Y3333" s="330"/>
      <c r="Z3333" s="330"/>
      <c r="AA3333" s="223"/>
    </row>
    <row r="3334">
      <c r="A3334" s="42">
        <f t="shared" si="3"/>
        <v>3333</v>
      </c>
      <c r="B3334" s="53"/>
      <c r="C3334" s="53"/>
      <c r="D3334" s="42"/>
      <c r="E3334" s="42"/>
      <c r="F3334" s="53"/>
      <c r="G3334" s="53"/>
      <c r="H3334" s="53"/>
      <c r="I3334" s="53"/>
      <c r="J3334" s="53"/>
      <c r="K3334" s="53"/>
      <c r="L3334" s="53"/>
      <c r="M3334" s="53"/>
      <c r="N3334" s="62"/>
      <c r="O3334" s="62"/>
      <c r="P3334" s="62"/>
      <c r="Q3334" s="62"/>
      <c r="R3334" s="53"/>
      <c r="S3334" s="53"/>
      <c r="T3334" s="82"/>
      <c r="U3334" s="42"/>
      <c r="V3334" s="62"/>
      <c r="W3334" s="64"/>
      <c r="X3334" s="330"/>
      <c r="Y3334" s="330"/>
      <c r="Z3334" s="330"/>
      <c r="AA3334" s="223"/>
    </row>
    <row r="3335">
      <c r="A3335" s="42">
        <f t="shared" si="3"/>
        <v>3334</v>
      </c>
      <c r="B3335" s="53"/>
      <c r="C3335" s="53"/>
      <c r="D3335" s="42"/>
      <c r="E3335" s="42"/>
      <c r="F3335" s="53"/>
      <c r="G3335" s="53"/>
      <c r="H3335" s="53"/>
      <c r="I3335" s="53"/>
      <c r="J3335" s="53"/>
      <c r="K3335" s="53"/>
      <c r="L3335" s="53"/>
      <c r="M3335" s="53"/>
      <c r="N3335" s="62"/>
      <c r="O3335" s="62"/>
      <c r="P3335" s="62"/>
      <c r="Q3335" s="62"/>
      <c r="R3335" s="53"/>
      <c r="S3335" s="53"/>
      <c r="T3335" s="82"/>
      <c r="U3335" s="42"/>
      <c r="V3335" s="62"/>
      <c r="W3335" s="64"/>
      <c r="X3335" s="330"/>
      <c r="Y3335" s="330"/>
      <c r="Z3335" s="330"/>
      <c r="AA3335" s="223"/>
    </row>
    <row r="3336">
      <c r="A3336" s="42">
        <f t="shared" si="3"/>
        <v>3335</v>
      </c>
      <c r="B3336" s="53"/>
      <c r="C3336" s="53"/>
      <c r="D3336" s="42"/>
      <c r="E3336" s="42"/>
      <c r="F3336" s="53"/>
      <c r="G3336" s="53"/>
      <c r="H3336" s="53"/>
      <c r="I3336" s="53"/>
      <c r="J3336" s="53"/>
      <c r="K3336" s="53"/>
      <c r="L3336" s="53"/>
      <c r="M3336" s="53"/>
      <c r="N3336" s="62"/>
      <c r="O3336" s="62"/>
      <c r="P3336" s="62"/>
      <c r="Q3336" s="62"/>
      <c r="R3336" s="53"/>
      <c r="S3336" s="53"/>
      <c r="T3336" s="82"/>
      <c r="U3336" s="42"/>
      <c r="V3336" s="62"/>
      <c r="W3336" s="64"/>
      <c r="X3336" s="330"/>
      <c r="Y3336" s="330"/>
      <c r="Z3336" s="330"/>
      <c r="AA3336" s="223"/>
    </row>
    <row r="3337">
      <c r="A3337" s="42">
        <f t="shared" si="3"/>
        <v>3336</v>
      </c>
      <c r="B3337" s="53"/>
      <c r="C3337" s="53"/>
      <c r="D3337" s="42"/>
      <c r="E3337" s="42"/>
      <c r="F3337" s="53"/>
      <c r="G3337" s="53"/>
      <c r="H3337" s="53"/>
      <c r="I3337" s="53"/>
      <c r="J3337" s="53"/>
      <c r="K3337" s="53"/>
      <c r="L3337" s="53"/>
      <c r="M3337" s="53"/>
      <c r="N3337" s="62"/>
      <c r="O3337" s="62"/>
      <c r="P3337" s="62"/>
      <c r="Q3337" s="62"/>
      <c r="R3337" s="53"/>
      <c r="S3337" s="53"/>
      <c r="T3337" s="82"/>
      <c r="U3337" s="42"/>
      <c r="V3337" s="62"/>
      <c r="W3337" s="64"/>
      <c r="X3337" s="330"/>
      <c r="Y3337" s="330"/>
      <c r="Z3337" s="330"/>
      <c r="AA3337" s="223"/>
    </row>
    <row r="3338">
      <c r="A3338" s="42">
        <f t="shared" si="3"/>
        <v>3337</v>
      </c>
      <c r="B3338" s="53"/>
      <c r="C3338" s="53"/>
      <c r="D3338" s="42"/>
      <c r="E3338" s="42"/>
      <c r="F3338" s="53"/>
      <c r="G3338" s="53"/>
      <c r="H3338" s="53"/>
      <c r="I3338" s="53"/>
      <c r="J3338" s="53"/>
      <c r="K3338" s="53"/>
      <c r="L3338" s="53"/>
      <c r="M3338" s="53"/>
      <c r="N3338" s="62"/>
      <c r="O3338" s="62"/>
      <c r="P3338" s="62"/>
      <c r="Q3338" s="62"/>
      <c r="R3338" s="53"/>
      <c r="S3338" s="53"/>
      <c r="T3338" s="82"/>
      <c r="U3338" s="42"/>
      <c r="V3338" s="62"/>
      <c r="W3338" s="64"/>
      <c r="X3338" s="330"/>
      <c r="Y3338" s="330"/>
      <c r="Z3338" s="330"/>
      <c r="AA3338" s="223"/>
    </row>
    <row r="3339">
      <c r="A3339" s="42">
        <f t="shared" si="3"/>
        <v>3338</v>
      </c>
      <c r="B3339" s="53"/>
      <c r="C3339" s="53"/>
      <c r="D3339" s="42"/>
      <c r="E3339" s="42"/>
      <c r="F3339" s="53"/>
      <c r="G3339" s="53"/>
      <c r="H3339" s="53"/>
      <c r="I3339" s="53"/>
      <c r="J3339" s="53"/>
      <c r="K3339" s="53"/>
      <c r="L3339" s="53"/>
      <c r="M3339" s="53"/>
      <c r="N3339" s="62"/>
      <c r="O3339" s="62"/>
      <c r="P3339" s="62"/>
      <c r="Q3339" s="62"/>
      <c r="R3339" s="53"/>
      <c r="S3339" s="53"/>
      <c r="T3339" s="82"/>
      <c r="U3339" s="42"/>
      <c r="V3339" s="62"/>
      <c r="W3339" s="64"/>
      <c r="X3339" s="330"/>
      <c r="Y3339" s="330"/>
      <c r="Z3339" s="330"/>
      <c r="AA3339" s="223"/>
    </row>
    <row r="3340">
      <c r="A3340" s="42">
        <f t="shared" si="3"/>
        <v>3339</v>
      </c>
      <c r="B3340" s="53"/>
      <c r="C3340" s="53"/>
      <c r="D3340" s="42"/>
      <c r="E3340" s="42"/>
      <c r="F3340" s="53"/>
      <c r="G3340" s="53"/>
      <c r="H3340" s="53"/>
      <c r="I3340" s="53"/>
      <c r="J3340" s="53"/>
      <c r="K3340" s="53"/>
      <c r="L3340" s="53"/>
      <c r="M3340" s="53"/>
      <c r="N3340" s="62"/>
      <c r="O3340" s="62"/>
      <c r="P3340" s="62"/>
      <c r="Q3340" s="62"/>
      <c r="R3340" s="53"/>
      <c r="S3340" s="53"/>
      <c r="T3340" s="82"/>
      <c r="U3340" s="42"/>
      <c r="V3340" s="62"/>
      <c r="W3340" s="64"/>
      <c r="X3340" s="330"/>
      <c r="Y3340" s="330"/>
      <c r="Z3340" s="330"/>
      <c r="AA3340" s="223"/>
    </row>
    <row r="3341">
      <c r="A3341" s="42">
        <f t="shared" si="3"/>
        <v>3340</v>
      </c>
      <c r="B3341" s="53"/>
      <c r="C3341" s="53"/>
      <c r="D3341" s="42"/>
      <c r="E3341" s="42"/>
      <c r="F3341" s="53"/>
      <c r="G3341" s="53"/>
      <c r="H3341" s="53"/>
      <c r="I3341" s="53"/>
      <c r="J3341" s="53"/>
      <c r="K3341" s="53"/>
      <c r="L3341" s="53"/>
      <c r="M3341" s="53"/>
      <c r="N3341" s="62"/>
      <c r="O3341" s="62"/>
      <c r="P3341" s="62"/>
      <c r="Q3341" s="62"/>
      <c r="R3341" s="53"/>
      <c r="S3341" s="53"/>
      <c r="T3341" s="82"/>
      <c r="U3341" s="42"/>
      <c r="V3341" s="62"/>
      <c r="W3341" s="64"/>
      <c r="X3341" s="330"/>
      <c r="Y3341" s="330"/>
      <c r="Z3341" s="330"/>
      <c r="AA3341" s="223"/>
    </row>
    <row r="3342">
      <c r="A3342" s="42">
        <f t="shared" si="3"/>
        <v>3341</v>
      </c>
      <c r="B3342" s="53"/>
      <c r="C3342" s="53"/>
      <c r="D3342" s="42"/>
      <c r="E3342" s="42"/>
      <c r="F3342" s="53"/>
      <c r="G3342" s="53"/>
      <c r="H3342" s="53"/>
      <c r="I3342" s="53"/>
      <c r="J3342" s="53"/>
      <c r="K3342" s="53"/>
      <c r="L3342" s="53"/>
      <c r="M3342" s="53"/>
      <c r="N3342" s="62"/>
      <c r="O3342" s="62"/>
      <c r="P3342" s="62"/>
      <c r="Q3342" s="62"/>
      <c r="R3342" s="53"/>
      <c r="S3342" s="53"/>
      <c r="T3342" s="82"/>
      <c r="U3342" s="42"/>
      <c r="V3342" s="62"/>
      <c r="W3342" s="64"/>
      <c r="X3342" s="330"/>
      <c r="Y3342" s="330"/>
      <c r="Z3342" s="330"/>
      <c r="AA3342" s="223"/>
    </row>
    <row r="3343">
      <c r="A3343" s="42">
        <f t="shared" si="3"/>
        <v>3342</v>
      </c>
      <c r="B3343" s="53"/>
      <c r="C3343" s="53"/>
      <c r="D3343" s="42"/>
      <c r="E3343" s="42"/>
      <c r="F3343" s="53"/>
      <c r="G3343" s="53"/>
      <c r="H3343" s="53"/>
      <c r="I3343" s="53"/>
      <c r="J3343" s="53"/>
      <c r="K3343" s="53"/>
      <c r="L3343" s="53"/>
      <c r="M3343" s="53"/>
      <c r="N3343" s="62"/>
      <c r="O3343" s="62"/>
      <c r="P3343" s="62"/>
      <c r="Q3343" s="62"/>
      <c r="R3343" s="53"/>
      <c r="S3343" s="53"/>
      <c r="T3343" s="82"/>
      <c r="U3343" s="42"/>
      <c r="V3343" s="62"/>
      <c r="W3343" s="64"/>
      <c r="X3343" s="330"/>
      <c r="Y3343" s="330"/>
      <c r="Z3343" s="330"/>
      <c r="AA3343" s="223"/>
    </row>
    <row r="3344">
      <c r="A3344" s="42">
        <f t="shared" si="3"/>
        <v>3343</v>
      </c>
      <c r="B3344" s="53"/>
      <c r="C3344" s="53"/>
      <c r="D3344" s="42"/>
      <c r="E3344" s="42"/>
      <c r="F3344" s="53"/>
      <c r="G3344" s="53"/>
      <c r="H3344" s="53"/>
      <c r="I3344" s="53"/>
      <c r="J3344" s="53"/>
      <c r="K3344" s="53"/>
      <c r="L3344" s="53"/>
      <c r="M3344" s="53"/>
      <c r="N3344" s="62"/>
      <c r="O3344" s="62"/>
      <c r="P3344" s="62"/>
      <c r="Q3344" s="62"/>
      <c r="R3344" s="53"/>
      <c r="S3344" s="53"/>
      <c r="T3344" s="82"/>
      <c r="U3344" s="42"/>
      <c r="V3344" s="62"/>
      <c r="W3344" s="64"/>
      <c r="X3344" s="330"/>
      <c r="Y3344" s="330"/>
      <c r="Z3344" s="330"/>
      <c r="AA3344" s="223"/>
    </row>
    <row r="3345">
      <c r="A3345" s="42">
        <f t="shared" si="3"/>
        <v>3344</v>
      </c>
      <c r="B3345" s="53"/>
      <c r="C3345" s="53"/>
      <c r="D3345" s="42"/>
      <c r="E3345" s="42"/>
      <c r="F3345" s="53"/>
      <c r="G3345" s="53"/>
      <c r="H3345" s="53"/>
      <c r="I3345" s="53"/>
      <c r="J3345" s="53"/>
      <c r="K3345" s="53"/>
      <c r="L3345" s="53"/>
      <c r="M3345" s="53"/>
      <c r="N3345" s="62"/>
      <c r="O3345" s="62"/>
      <c r="P3345" s="62"/>
      <c r="Q3345" s="62"/>
      <c r="R3345" s="53"/>
      <c r="S3345" s="53"/>
      <c r="T3345" s="82"/>
      <c r="U3345" s="42"/>
      <c r="V3345" s="62"/>
      <c r="W3345" s="64"/>
      <c r="X3345" s="330"/>
      <c r="Y3345" s="330"/>
      <c r="Z3345" s="330"/>
      <c r="AA3345" s="223"/>
    </row>
    <row r="3346">
      <c r="A3346" s="42">
        <f t="shared" si="3"/>
        <v>3345</v>
      </c>
      <c r="B3346" s="53"/>
      <c r="C3346" s="53"/>
      <c r="D3346" s="42"/>
      <c r="E3346" s="42"/>
      <c r="F3346" s="53"/>
      <c r="G3346" s="53"/>
      <c r="H3346" s="53"/>
      <c r="I3346" s="53"/>
      <c r="J3346" s="53"/>
      <c r="K3346" s="53"/>
      <c r="L3346" s="53"/>
      <c r="M3346" s="53"/>
      <c r="N3346" s="62"/>
      <c r="O3346" s="62"/>
      <c r="P3346" s="62"/>
      <c r="Q3346" s="62"/>
      <c r="R3346" s="53"/>
      <c r="S3346" s="53"/>
      <c r="T3346" s="82"/>
      <c r="U3346" s="42"/>
      <c r="V3346" s="62"/>
      <c r="W3346" s="64"/>
      <c r="X3346" s="330"/>
      <c r="Y3346" s="330"/>
      <c r="Z3346" s="330"/>
      <c r="AA3346" s="223"/>
    </row>
    <row r="3347">
      <c r="A3347" s="42">
        <f t="shared" si="3"/>
        <v>3346</v>
      </c>
      <c r="B3347" s="53"/>
      <c r="C3347" s="53"/>
      <c r="D3347" s="42"/>
      <c r="E3347" s="42"/>
      <c r="F3347" s="53"/>
      <c r="G3347" s="53"/>
      <c r="H3347" s="53"/>
      <c r="I3347" s="53"/>
      <c r="J3347" s="53"/>
      <c r="K3347" s="53"/>
      <c r="L3347" s="53"/>
      <c r="M3347" s="53"/>
      <c r="N3347" s="62"/>
      <c r="O3347" s="62"/>
      <c r="P3347" s="62"/>
      <c r="Q3347" s="62"/>
      <c r="R3347" s="53"/>
      <c r="S3347" s="53"/>
      <c r="T3347" s="82"/>
      <c r="U3347" s="42"/>
      <c r="V3347" s="62"/>
      <c r="W3347" s="64"/>
      <c r="X3347" s="330"/>
      <c r="Y3347" s="330"/>
      <c r="Z3347" s="330"/>
      <c r="AA3347" s="223"/>
    </row>
    <row r="3348">
      <c r="A3348" s="42">
        <f t="shared" si="3"/>
        <v>3347</v>
      </c>
      <c r="B3348" s="53"/>
      <c r="C3348" s="53"/>
      <c r="D3348" s="42"/>
      <c r="E3348" s="42"/>
      <c r="F3348" s="53"/>
      <c r="G3348" s="53"/>
      <c r="H3348" s="53"/>
      <c r="I3348" s="53"/>
      <c r="J3348" s="53"/>
      <c r="K3348" s="53"/>
      <c r="L3348" s="53"/>
      <c r="M3348" s="53"/>
      <c r="N3348" s="62"/>
      <c r="O3348" s="62"/>
      <c r="P3348" s="62"/>
      <c r="Q3348" s="62"/>
      <c r="R3348" s="53"/>
      <c r="S3348" s="53"/>
      <c r="T3348" s="82"/>
      <c r="U3348" s="42"/>
      <c r="V3348" s="62"/>
      <c r="W3348" s="64"/>
      <c r="X3348" s="330"/>
      <c r="Y3348" s="330"/>
      <c r="Z3348" s="330"/>
      <c r="AA3348" s="223"/>
    </row>
    <row r="3349">
      <c r="A3349" s="42">
        <f t="shared" si="3"/>
        <v>3348</v>
      </c>
      <c r="B3349" s="53"/>
      <c r="C3349" s="53"/>
      <c r="D3349" s="42"/>
      <c r="E3349" s="42"/>
      <c r="F3349" s="53"/>
      <c r="G3349" s="53"/>
      <c r="H3349" s="53"/>
      <c r="I3349" s="53"/>
      <c r="J3349" s="53"/>
      <c r="K3349" s="53"/>
      <c r="L3349" s="53"/>
      <c r="M3349" s="53"/>
      <c r="N3349" s="62"/>
      <c r="O3349" s="62"/>
      <c r="P3349" s="62"/>
      <c r="Q3349" s="62"/>
      <c r="R3349" s="53"/>
      <c r="S3349" s="53"/>
      <c r="T3349" s="82"/>
      <c r="U3349" s="42"/>
      <c r="V3349" s="62"/>
      <c r="W3349" s="64"/>
      <c r="X3349" s="330"/>
      <c r="Y3349" s="330"/>
      <c r="Z3349" s="330"/>
      <c r="AA3349" s="223"/>
    </row>
    <row r="3350">
      <c r="A3350" s="42">
        <f t="shared" si="3"/>
        <v>3349</v>
      </c>
      <c r="B3350" s="53"/>
      <c r="C3350" s="53"/>
      <c r="D3350" s="42"/>
      <c r="E3350" s="42"/>
      <c r="F3350" s="53"/>
      <c r="G3350" s="53"/>
      <c r="H3350" s="53"/>
      <c r="I3350" s="53"/>
      <c r="J3350" s="53"/>
      <c r="K3350" s="53"/>
      <c r="L3350" s="53"/>
      <c r="M3350" s="53"/>
      <c r="N3350" s="62"/>
      <c r="O3350" s="62"/>
      <c r="P3350" s="62"/>
      <c r="Q3350" s="62"/>
      <c r="R3350" s="53"/>
      <c r="S3350" s="53"/>
      <c r="T3350" s="82"/>
      <c r="U3350" s="42"/>
      <c r="V3350" s="62"/>
      <c r="W3350" s="64"/>
      <c r="X3350" s="330"/>
      <c r="Y3350" s="330"/>
      <c r="Z3350" s="330"/>
      <c r="AA3350" s="223"/>
    </row>
    <row r="3351">
      <c r="A3351" s="42">
        <f t="shared" si="3"/>
        <v>3350</v>
      </c>
      <c r="B3351" s="53"/>
      <c r="C3351" s="53"/>
      <c r="D3351" s="42"/>
      <c r="E3351" s="42"/>
      <c r="F3351" s="53"/>
      <c r="G3351" s="53"/>
      <c r="H3351" s="53"/>
      <c r="I3351" s="53"/>
      <c r="J3351" s="53"/>
      <c r="K3351" s="53"/>
      <c r="L3351" s="53"/>
      <c r="M3351" s="53"/>
      <c r="N3351" s="62"/>
      <c r="O3351" s="62"/>
      <c r="P3351" s="62"/>
      <c r="Q3351" s="62"/>
      <c r="R3351" s="53"/>
      <c r="S3351" s="53"/>
      <c r="T3351" s="82"/>
      <c r="U3351" s="42"/>
      <c r="V3351" s="62"/>
      <c r="W3351" s="64"/>
      <c r="X3351" s="330"/>
      <c r="Y3351" s="330"/>
      <c r="Z3351" s="330"/>
      <c r="AA3351" s="223"/>
    </row>
    <row r="3352">
      <c r="A3352" s="42">
        <f t="shared" si="3"/>
        <v>3351</v>
      </c>
      <c r="B3352" s="53"/>
      <c r="C3352" s="53"/>
      <c r="D3352" s="42"/>
      <c r="E3352" s="42"/>
      <c r="F3352" s="53"/>
      <c r="G3352" s="53"/>
      <c r="H3352" s="53"/>
      <c r="I3352" s="53"/>
      <c r="J3352" s="53"/>
      <c r="K3352" s="53"/>
      <c r="L3352" s="53"/>
      <c r="M3352" s="53"/>
      <c r="N3352" s="62"/>
      <c r="O3352" s="62"/>
      <c r="P3352" s="62"/>
      <c r="Q3352" s="62"/>
      <c r="R3352" s="53"/>
      <c r="S3352" s="53"/>
      <c r="T3352" s="82"/>
      <c r="U3352" s="42"/>
      <c r="V3352" s="62"/>
      <c r="W3352" s="64"/>
      <c r="X3352" s="330"/>
      <c r="Y3352" s="330"/>
      <c r="Z3352" s="330"/>
      <c r="AA3352" s="223"/>
    </row>
    <row r="3353">
      <c r="A3353" s="42">
        <f t="shared" si="3"/>
        <v>3352</v>
      </c>
      <c r="B3353" s="53"/>
      <c r="C3353" s="53"/>
      <c r="D3353" s="42"/>
      <c r="E3353" s="42"/>
      <c r="F3353" s="53"/>
      <c r="G3353" s="53"/>
      <c r="H3353" s="53"/>
      <c r="I3353" s="53"/>
      <c r="J3353" s="53"/>
      <c r="K3353" s="53"/>
      <c r="L3353" s="53"/>
      <c r="M3353" s="53"/>
      <c r="N3353" s="62"/>
      <c r="O3353" s="62"/>
      <c r="P3353" s="62"/>
      <c r="Q3353" s="62"/>
      <c r="R3353" s="53"/>
      <c r="S3353" s="53"/>
      <c r="T3353" s="82"/>
      <c r="U3353" s="42"/>
      <c r="V3353" s="62"/>
      <c r="W3353" s="64"/>
      <c r="X3353" s="330"/>
      <c r="Y3353" s="330"/>
      <c r="Z3353" s="330"/>
      <c r="AA3353" s="223"/>
    </row>
    <row r="3354">
      <c r="A3354" s="42">
        <f t="shared" si="3"/>
        <v>3353</v>
      </c>
      <c r="B3354" s="53"/>
      <c r="C3354" s="53"/>
      <c r="D3354" s="42"/>
      <c r="E3354" s="42"/>
      <c r="F3354" s="53"/>
      <c r="G3354" s="53"/>
      <c r="H3354" s="53"/>
      <c r="I3354" s="53"/>
      <c r="J3354" s="53"/>
      <c r="K3354" s="53"/>
      <c r="L3354" s="53"/>
      <c r="M3354" s="53"/>
      <c r="N3354" s="62"/>
      <c r="O3354" s="62"/>
      <c r="P3354" s="62"/>
      <c r="Q3354" s="62"/>
      <c r="R3354" s="53"/>
      <c r="S3354" s="53"/>
      <c r="T3354" s="82"/>
      <c r="U3354" s="42"/>
      <c r="V3354" s="62"/>
      <c r="W3354" s="64"/>
      <c r="X3354" s="330"/>
      <c r="Y3354" s="330"/>
      <c r="Z3354" s="330"/>
      <c r="AA3354" s="223"/>
    </row>
    <row r="3355">
      <c r="A3355" s="42">
        <f t="shared" si="3"/>
        <v>3354</v>
      </c>
      <c r="B3355" s="53"/>
      <c r="C3355" s="53"/>
      <c r="D3355" s="42"/>
      <c r="E3355" s="42"/>
      <c r="F3355" s="53"/>
      <c r="G3355" s="53"/>
      <c r="H3355" s="53"/>
      <c r="I3355" s="53"/>
      <c r="J3355" s="53"/>
      <c r="K3355" s="53"/>
      <c r="L3355" s="53"/>
      <c r="M3355" s="53"/>
      <c r="N3355" s="62"/>
      <c r="O3355" s="62"/>
      <c r="P3355" s="62"/>
      <c r="Q3355" s="62"/>
      <c r="R3355" s="53"/>
      <c r="S3355" s="53"/>
      <c r="T3355" s="82"/>
      <c r="U3355" s="42"/>
      <c r="V3355" s="62"/>
      <c r="W3355" s="64"/>
      <c r="X3355" s="330"/>
      <c r="Y3355" s="330"/>
      <c r="Z3355" s="330"/>
      <c r="AA3355" s="223"/>
    </row>
    <row r="3356">
      <c r="A3356" s="42">
        <f t="shared" si="3"/>
        <v>3355</v>
      </c>
      <c r="B3356" s="53"/>
      <c r="C3356" s="53"/>
      <c r="D3356" s="42"/>
      <c r="E3356" s="42"/>
      <c r="F3356" s="53"/>
      <c r="G3356" s="53"/>
      <c r="H3356" s="53"/>
      <c r="I3356" s="53"/>
      <c r="J3356" s="53"/>
      <c r="K3356" s="53"/>
      <c r="L3356" s="53"/>
      <c r="M3356" s="53"/>
      <c r="N3356" s="62"/>
      <c r="O3356" s="62"/>
      <c r="P3356" s="62"/>
      <c r="Q3356" s="62"/>
      <c r="R3356" s="53"/>
      <c r="S3356" s="53"/>
      <c r="T3356" s="82"/>
      <c r="U3356" s="42"/>
      <c r="V3356" s="62"/>
      <c r="W3356" s="64"/>
      <c r="X3356" s="330"/>
      <c r="Y3356" s="330"/>
      <c r="Z3356" s="330"/>
      <c r="AA3356" s="223"/>
    </row>
    <row r="3357">
      <c r="A3357" s="42">
        <f t="shared" si="3"/>
        <v>3356</v>
      </c>
      <c r="B3357" s="53"/>
      <c r="C3357" s="53"/>
      <c r="D3357" s="42"/>
      <c r="E3357" s="42"/>
      <c r="F3357" s="53"/>
      <c r="G3357" s="53"/>
      <c r="H3357" s="53"/>
      <c r="I3357" s="53"/>
      <c r="J3357" s="53"/>
      <c r="K3357" s="53"/>
      <c r="L3357" s="53"/>
      <c r="M3357" s="53"/>
      <c r="N3357" s="62"/>
      <c r="O3357" s="62"/>
      <c r="P3357" s="62"/>
      <c r="Q3357" s="62"/>
      <c r="R3357" s="53"/>
      <c r="S3357" s="53"/>
      <c r="T3357" s="82"/>
      <c r="U3357" s="42"/>
      <c r="V3357" s="62"/>
      <c r="W3357" s="64"/>
      <c r="X3357" s="330"/>
      <c r="Y3357" s="330"/>
      <c r="Z3357" s="330"/>
      <c r="AA3357" s="223"/>
    </row>
    <row r="3358">
      <c r="A3358" s="42">
        <f t="shared" si="3"/>
        <v>3357</v>
      </c>
      <c r="B3358" s="53"/>
      <c r="C3358" s="53"/>
      <c r="D3358" s="42"/>
      <c r="E3358" s="42"/>
      <c r="F3358" s="53"/>
      <c r="G3358" s="53"/>
      <c r="H3358" s="53"/>
      <c r="I3358" s="53"/>
      <c r="J3358" s="53"/>
      <c r="K3358" s="53"/>
      <c r="L3358" s="53"/>
      <c r="M3358" s="53"/>
      <c r="N3358" s="62"/>
      <c r="O3358" s="62"/>
      <c r="P3358" s="62"/>
      <c r="Q3358" s="62"/>
      <c r="R3358" s="53"/>
      <c r="S3358" s="53"/>
      <c r="T3358" s="82"/>
      <c r="U3358" s="42"/>
      <c r="V3358" s="62"/>
      <c r="W3358" s="64"/>
      <c r="X3358" s="330"/>
      <c r="Y3358" s="330"/>
      <c r="Z3358" s="330"/>
      <c r="AA3358" s="223"/>
    </row>
    <row r="3359">
      <c r="A3359" s="42">
        <f t="shared" si="3"/>
        <v>3358</v>
      </c>
      <c r="B3359" s="53"/>
      <c r="C3359" s="53"/>
      <c r="D3359" s="42"/>
      <c r="E3359" s="42"/>
      <c r="F3359" s="53"/>
      <c r="G3359" s="53"/>
      <c r="H3359" s="53"/>
      <c r="I3359" s="53"/>
      <c r="J3359" s="53"/>
      <c r="K3359" s="53"/>
      <c r="L3359" s="53"/>
      <c r="M3359" s="53"/>
      <c r="N3359" s="62"/>
      <c r="O3359" s="62"/>
      <c r="P3359" s="62"/>
      <c r="Q3359" s="62"/>
      <c r="R3359" s="53"/>
      <c r="S3359" s="53"/>
      <c r="T3359" s="82"/>
      <c r="U3359" s="42"/>
      <c r="V3359" s="62"/>
      <c r="W3359" s="64"/>
      <c r="X3359" s="330"/>
      <c r="Y3359" s="330"/>
      <c r="Z3359" s="330"/>
      <c r="AA3359" s="223"/>
    </row>
    <row r="3360">
      <c r="A3360" s="42">
        <f t="shared" si="3"/>
        <v>3359</v>
      </c>
      <c r="B3360" s="53"/>
      <c r="C3360" s="53"/>
      <c r="D3360" s="42"/>
      <c r="E3360" s="42"/>
      <c r="F3360" s="53"/>
      <c r="G3360" s="53"/>
      <c r="H3360" s="53"/>
      <c r="I3360" s="53"/>
      <c r="J3360" s="53"/>
      <c r="K3360" s="53"/>
      <c r="L3360" s="53"/>
      <c r="M3360" s="53"/>
      <c r="N3360" s="62"/>
      <c r="O3360" s="62"/>
      <c r="P3360" s="62"/>
      <c r="Q3360" s="62"/>
      <c r="R3360" s="53"/>
      <c r="S3360" s="53"/>
      <c r="T3360" s="82"/>
      <c r="U3360" s="42"/>
      <c r="V3360" s="62"/>
      <c r="W3360" s="64"/>
      <c r="X3360" s="330"/>
      <c r="Y3360" s="330"/>
      <c r="Z3360" s="330"/>
      <c r="AA3360" s="223"/>
    </row>
    <row r="3361">
      <c r="A3361" s="42">
        <f t="shared" si="3"/>
        <v>3360</v>
      </c>
      <c r="B3361" s="53"/>
      <c r="C3361" s="53"/>
      <c r="D3361" s="42"/>
      <c r="E3361" s="42"/>
      <c r="F3361" s="53"/>
      <c r="G3361" s="53"/>
      <c r="H3361" s="53"/>
      <c r="I3361" s="53"/>
      <c r="J3361" s="53"/>
      <c r="K3361" s="53"/>
      <c r="L3361" s="53"/>
      <c r="M3361" s="53"/>
      <c r="N3361" s="62"/>
      <c r="O3361" s="62"/>
      <c r="P3361" s="62"/>
      <c r="Q3361" s="62"/>
      <c r="R3361" s="53"/>
      <c r="S3361" s="53"/>
      <c r="T3361" s="82"/>
      <c r="U3361" s="42"/>
      <c r="V3361" s="62"/>
      <c r="W3361" s="64"/>
      <c r="X3361" s="330"/>
      <c r="Y3361" s="330"/>
      <c r="Z3361" s="330"/>
      <c r="AA3361" s="223"/>
    </row>
    <row r="3362">
      <c r="A3362" s="42">
        <f t="shared" si="3"/>
        <v>3361</v>
      </c>
      <c r="B3362" s="53"/>
      <c r="C3362" s="53"/>
      <c r="D3362" s="42"/>
      <c r="E3362" s="42"/>
      <c r="F3362" s="53"/>
      <c r="G3362" s="53"/>
      <c r="H3362" s="53"/>
      <c r="I3362" s="53"/>
      <c r="J3362" s="53"/>
      <c r="K3362" s="53"/>
      <c r="L3362" s="53"/>
      <c r="M3362" s="53"/>
      <c r="N3362" s="62"/>
      <c r="O3362" s="62"/>
      <c r="P3362" s="62"/>
      <c r="Q3362" s="62"/>
      <c r="R3362" s="53"/>
      <c r="S3362" s="53"/>
      <c r="T3362" s="82"/>
      <c r="U3362" s="42"/>
      <c r="V3362" s="62"/>
      <c r="W3362" s="64"/>
      <c r="X3362" s="330"/>
      <c r="Y3362" s="330"/>
      <c r="Z3362" s="330"/>
      <c r="AA3362" s="223"/>
    </row>
    <row r="3363">
      <c r="A3363" s="42">
        <f t="shared" si="3"/>
        <v>3362</v>
      </c>
      <c r="B3363" s="53"/>
      <c r="C3363" s="53"/>
      <c r="D3363" s="42"/>
      <c r="E3363" s="42"/>
      <c r="F3363" s="53"/>
      <c r="G3363" s="53"/>
      <c r="H3363" s="53"/>
      <c r="I3363" s="53"/>
      <c r="J3363" s="53"/>
      <c r="K3363" s="53"/>
      <c r="L3363" s="53"/>
      <c r="M3363" s="53"/>
      <c r="N3363" s="62"/>
      <c r="O3363" s="62"/>
      <c r="P3363" s="62"/>
      <c r="Q3363" s="62"/>
      <c r="R3363" s="53"/>
      <c r="S3363" s="53"/>
      <c r="T3363" s="82"/>
      <c r="U3363" s="42"/>
      <c r="V3363" s="62"/>
      <c r="W3363" s="64"/>
      <c r="X3363" s="330"/>
      <c r="Y3363" s="330"/>
      <c r="Z3363" s="330"/>
      <c r="AA3363" s="223"/>
    </row>
    <row r="3364">
      <c r="A3364" s="42">
        <f t="shared" si="3"/>
        <v>3363</v>
      </c>
      <c r="B3364" s="53"/>
      <c r="C3364" s="53"/>
      <c r="D3364" s="42"/>
      <c r="E3364" s="42"/>
      <c r="F3364" s="53"/>
      <c r="G3364" s="53"/>
      <c r="H3364" s="53"/>
      <c r="I3364" s="53"/>
      <c r="J3364" s="53"/>
      <c r="K3364" s="53"/>
      <c r="L3364" s="53"/>
      <c r="M3364" s="53"/>
      <c r="N3364" s="62"/>
      <c r="O3364" s="62"/>
      <c r="P3364" s="62"/>
      <c r="Q3364" s="62"/>
      <c r="R3364" s="53"/>
      <c r="S3364" s="53"/>
      <c r="T3364" s="82"/>
      <c r="U3364" s="42"/>
      <c r="V3364" s="62"/>
      <c r="W3364" s="64"/>
      <c r="X3364" s="330"/>
      <c r="Y3364" s="330"/>
      <c r="Z3364" s="330"/>
      <c r="AA3364" s="223"/>
    </row>
    <row r="3365">
      <c r="A3365" s="42">
        <f t="shared" si="3"/>
        <v>3364</v>
      </c>
      <c r="B3365" s="53"/>
      <c r="C3365" s="53"/>
      <c r="D3365" s="42"/>
      <c r="E3365" s="42"/>
      <c r="F3365" s="53"/>
      <c r="G3365" s="53"/>
      <c r="H3365" s="53"/>
      <c r="I3365" s="53"/>
      <c r="J3365" s="53"/>
      <c r="K3365" s="53"/>
      <c r="L3365" s="53"/>
      <c r="M3365" s="53"/>
      <c r="N3365" s="62"/>
      <c r="O3365" s="62"/>
      <c r="P3365" s="62"/>
      <c r="Q3365" s="62"/>
      <c r="R3365" s="53"/>
      <c r="S3365" s="53"/>
      <c r="T3365" s="82"/>
      <c r="U3365" s="42"/>
      <c r="V3365" s="62"/>
      <c r="W3365" s="64"/>
      <c r="X3365" s="330"/>
      <c r="Y3365" s="330"/>
      <c r="Z3365" s="330"/>
      <c r="AA3365" s="223"/>
    </row>
    <row r="3366">
      <c r="A3366" s="42">
        <f t="shared" si="3"/>
        <v>3365</v>
      </c>
      <c r="B3366" s="53"/>
      <c r="C3366" s="53"/>
      <c r="D3366" s="42"/>
      <c r="E3366" s="42"/>
      <c r="F3366" s="53"/>
      <c r="G3366" s="53"/>
      <c r="H3366" s="53"/>
      <c r="I3366" s="53"/>
      <c r="J3366" s="53"/>
      <c r="K3366" s="53"/>
      <c r="L3366" s="53"/>
      <c r="M3366" s="53"/>
      <c r="N3366" s="62"/>
      <c r="O3366" s="62"/>
      <c r="P3366" s="62"/>
      <c r="Q3366" s="62"/>
      <c r="R3366" s="53"/>
      <c r="S3366" s="53"/>
      <c r="T3366" s="82"/>
      <c r="U3366" s="42"/>
      <c r="V3366" s="62"/>
      <c r="W3366" s="64"/>
      <c r="X3366" s="330"/>
      <c r="Y3366" s="330"/>
      <c r="Z3366" s="330"/>
      <c r="AA3366" s="223"/>
    </row>
    <row r="3367">
      <c r="A3367" s="42">
        <f t="shared" si="3"/>
        <v>3366</v>
      </c>
      <c r="B3367" s="53"/>
      <c r="C3367" s="53"/>
      <c r="D3367" s="42"/>
      <c r="E3367" s="42"/>
      <c r="F3367" s="53"/>
      <c r="G3367" s="53"/>
      <c r="H3367" s="53"/>
      <c r="I3367" s="53"/>
      <c r="J3367" s="53"/>
      <c r="K3367" s="53"/>
      <c r="L3367" s="53"/>
      <c r="M3367" s="53"/>
      <c r="N3367" s="62"/>
      <c r="O3367" s="62"/>
      <c r="P3367" s="62"/>
      <c r="Q3367" s="62"/>
      <c r="R3367" s="53"/>
      <c r="S3367" s="53"/>
      <c r="T3367" s="82"/>
      <c r="U3367" s="42"/>
      <c r="V3367" s="62"/>
      <c r="W3367" s="64"/>
      <c r="X3367" s="330"/>
      <c r="Y3367" s="330"/>
      <c r="Z3367" s="330"/>
      <c r="AA3367" s="223"/>
    </row>
    <row r="3368">
      <c r="A3368" s="42">
        <f t="shared" si="3"/>
        <v>3367</v>
      </c>
      <c r="B3368" s="53"/>
      <c r="C3368" s="53"/>
      <c r="D3368" s="42"/>
      <c r="E3368" s="42"/>
      <c r="F3368" s="53"/>
      <c r="G3368" s="53"/>
      <c r="H3368" s="53"/>
      <c r="I3368" s="53"/>
      <c r="J3368" s="53"/>
      <c r="K3368" s="53"/>
      <c r="L3368" s="53"/>
      <c r="M3368" s="53"/>
      <c r="N3368" s="62"/>
      <c r="O3368" s="62"/>
      <c r="P3368" s="62"/>
      <c r="Q3368" s="62"/>
      <c r="R3368" s="53"/>
      <c r="S3368" s="53"/>
      <c r="T3368" s="82"/>
      <c r="U3368" s="42"/>
      <c r="V3368" s="62"/>
      <c r="W3368" s="64"/>
      <c r="X3368" s="330"/>
      <c r="Y3368" s="330"/>
      <c r="Z3368" s="330"/>
      <c r="AA3368" s="223"/>
    </row>
    <row r="3369">
      <c r="A3369" s="42">
        <f t="shared" si="3"/>
        <v>3368</v>
      </c>
      <c r="B3369" s="53"/>
      <c r="C3369" s="53"/>
      <c r="D3369" s="42"/>
      <c r="E3369" s="42"/>
      <c r="F3369" s="53"/>
      <c r="G3369" s="53"/>
      <c r="H3369" s="53"/>
      <c r="I3369" s="53"/>
      <c r="J3369" s="53"/>
      <c r="K3369" s="53"/>
      <c r="L3369" s="53"/>
      <c r="M3369" s="53"/>
      <c r="N3369" s="62"/>
      <c r="O3369" s="62"/>
      <c r="P3369" s="62"/>
      <c r="Q3369" s="62"/>
      <c r="R3369" s="53"/>
      <c r="S3369" s="53"/>
      <c r="T3369" s="82"/>
      <c r="U3369" s="42"/>
      <c r="V3369" s="62"/>
      <c r="W3369" s="64"/>
      <c r="X3369" s="330"/>
      <c r="Y3369" s="330"/>
      <c r="Z3369" s="330"/>
      <c r="AA3369" s="223"/>
    </row>
    <row r="3370">
      <c r="A3370" s="42">
        <f t="shared" si="3"/>
        <v>3369</v>
      </c>
      <c r="B3370" s="53"/>
      <c r="C3370" s="53"/>
      <c r="D3370" s="42"/>
      <c r="E3370" s="42"/>
      <c r="F3370" s="53"/>
      <c r="G3370" s="53"/>
      <c r="H3370" s="53"/>
      <c r="I3370" s="53"/>
      <c r="J3370" s="53"/>
      <c r="K3370" s="53"/>
      <c r="L3370" s="53"/>
      <c r="M3370" s="53"/>
      <c r="N3370" s="62"/>
      <c r="O3370" s="62"/>
      <c r="P3370" s="62"/>
      <c r="Q3370" s="62"/>
      <c r="R3370" s="53"/>
      <c r="S3370" s="53"/>
      <c r="T3370" s="82"/>
      <c r="U3370" s="42"/>
      <c r="V3370" s="62"/>
      <c r="W3370" s="64"/>
      <c r="X3370" s="330"/>
      <c r="Y3370" s="330"/>
      <c r="Z3370" s="330"/>
      <c r="AA3370" s="223"/>
    </row>
    <row r="3371">
      <c r="A3371" s="42">
        <f t="shared" si="3"/>
        <v>3370</v>
      </c>
      <c r="B3371" s="53"/>
      <c r="C3371" s="53"/>
      <c r="D3371" s="42"/>
      <c r="E3371" s="42"/>
      <c r="F3371" s="53"/>
      <c r="G3371" s="53"/>
      <c r="H3371" s="53"/>
      <c r="I3371" s="53"/>
      <c r="J3371" s="53"/>
      <c r="K3371" s="53"/>
      <c r="L3371" s="53"/>
      <c r="M3371" s="53"/>
      <c r="N3371" s="62"/>
      <c r="O3371" s="62"/>
      <c r="P3371" s="62"/>
      <c r="Q3371" s="62"/>
      <c r="R3371" s="53"/>
      <c r="S3371" s="53"/>
      <c r="T3371" s="82"/>
      <c r="U3371" s="42"/>
      <c r="V3371" s="62"/>
      <c r="W3371" s="64"/>
      <c r="X3371" s="330"/>
      <c r="Y3371" s="330"/>
      <c r="Z3371" s="330"/>
      <c r="AA3371" s="223"/>
    </row>
    <row r="3372">
      <c r="A3372" s="42">
        <f t="shared" si="3"/>
        <v>3371</v>
      </c>
      <c r="B3372" s="53"/>
      <c r="C3372" s="53"/>
      <c r="D3372" s="42"/>
      <c r="E3372" s="42"/>
      <c r="F3372" s="53"/>
      <c r="G3372" s="53"/>
      <c r="H3372" s="53"/>
      <c r="I3372" s="53"/>
      <c r="J3372" s="53"/>
      <c r="K3372" s="53"/>
      <c r="L3372" s="53"/>
      <c r="M3372" s="53"/>
      <c r="N3372" s="62"/>
      <c r="O3372" s="62"/>
      <c r="P3372" s="62"/>
      <c r="Q3372" s="62"/>
      <c r="R3372" s="53"/>
      <c r="S3372" s="53"/>
      <c r="T3372" s="82"/>
      <c r="U3372" s="42"/>
      <c r="V3372" s="62"/>
      <c r="W3372" s="64"/>
      <c r="X3372" s="330"/>
      <c r="Y3372" s="330"/>
      <c r="Z3372" s="330"/>
      <c r="AA3372" s="223"/>
    </row>
    <row r="3373">
      <c r="A3373" s="42">
        <f t="shared" si="3"/>
        <v>3372</v>
      </c>
      <c r="B3373" s="53"/>
      <c r="C3373" s="53"/>
      <c r="D3373" s="42"/>
      <c r="E3373" s="42"/>
      <c r="F3373" s="53"/>
      <c r="G3373" s="53"/>
      <c r="H3373" s="53"/>
      <c r="I3373" s="53"/>
      <c r="J3373" s="53"/>
      <c r="K3373" s="53"/>
      <c r="L3373" s="53"/>
      <c r="M3373" s="53"/>
      <c r="N3373" s="62"/>
      <c r="O3373" s="62"/>
      <c r="P3373" s="62"/>
      <c r="Q3373" s="62"/>
      <c r="R3373" s="53"/>
      <c r="S3373" s="53"/>
      <c r="T3373" s="82"/>
      <c r="U3373" s="42"/>
      <c r="V3373" s="62"/>
      <c r="W3373" s="64"/>
      <c r="X3373" s="330"/>
      <c r="Y3373" s="330"/>
      <c r="Z3373" s="330"/>
      <c r="AA3373" s="223"/>
    </row>
    <row r="3374">
      <c r="A3374" s="42">
        <f t="shared" si="3"/>
        <v>3373</v>
      </c>
      <c r="B3374" s="53"/>
      <c r="C3374" s="53"/>
      <c r="D3374" s="42"/>
      <c r="E3374" s="42"/>
      <c r="F3374" s="53"/>
      <c r="G3374" s="53"/>
      <c r="H3374" s="53"/>
      <c r="I3374" s="53"/>
      <c r="J3374" s="53"/>
      <c r="K3374" s="53"/>
      <c r="L3374" s="53"/>
      <c r="M3374" s="53"/>
      <c r="N3374" s="62"/>
      <c r="O3374" s="62"/>
      <c r="P3374" s="62"/>
      <c r="Q3374" s="62"/>
      <c r="R3374" s="53"/>
      <c r="S3374" s="53"/>
      <c r="T3374" s="82"/>
      <c r="U3374" s="42"/>
      <c r="V3374" s="62"/>
      <c r="W3374" s="64"/>
      <c r="X3374" s="330"/>
      <c r="Y3374" s="330"/>
      <c r="Z3374" s="330"/>
      <c r="AA3374" s="223"/>
    </row>
    <row r="3375">
      <c r="A3375" s="42">
        <f t="shared" si="3"/>
        <v>3374</v>
      </c>
      <c r="B3375" s="53"/>
      <c r="C3375" s="53"/>
      <c r="D3375" s="42"/>
      <c r="E3375" s="42"/>
      <c r="F3375" s="53"/>
      <c r="G3375" s="53"/>
      <c r="H3375" s="53"/>
      <c r="I3375" s="53"/>
      <c r="J3375" s="53"/>
      <c r="K3375" s="53"/>
      <c r="L3375" s="53"/>
      <c r="M3375" s="53"/>
      <c r="N3375" s="62"/>
      <c r="O3375" s="62"/>
      <c r="P3375" s="62"/>
      <c r="Q3375" s="62"/>
      <c r="R3375" s="53"/>
      <c r="S3375" s="53"/>
      <c r="T3375" s="82"/>
      <c r="U3375" s="42"/>
      <c r="V3375" s="62"/>
      <c r="W3375" s="64"/>
      <c r="X3375" s="330"/>
      <c r="Y3375" s="330"/>
      <c r="Z3375" s="330"/>
      <c r="AA3375" s="223"/>
    </row>
    <row r="3376">
      <c r="A3376" s="42">
        <f t="shared" si="3"/>
        <v>3375</v>
      </c>
      <c r="B3376" s="53"/>
      <c r="C3376" s="53"/>
      <c r="D3376" s="42"/>
      <c r="E3376" s="42"/>
      <c r="F3376" s="53"/>
      <c r="G3376" s="53"/>
      <c r="H3376" s="53"/>
      <c r="I3376" s="53"/>
      <c r="J3376" s="53"/>
      <c r="K3376" s="53"/>
      <c r="L3376" s="53"/>
      <c r="M3376" s="53"/>
      <c r="N3376" s="62"/>
      <c r="O3376" s="62"/>
      <c r="P3376" s="62"/>
      <c r="Q3376" s="62"/>
      <c r="R3376" s="53"/>
      <c r="S3376" s="53"/>
      <c r="T3376" s="82"/>
      <c r="U3376" s="42"/>
      <c r="V3376" s="62"/>
      <c r="W3376" s="64"/>
      <c r="X3376" s="330"/>
      <c r="Y3376" s="330"/>
      <c r="Z3376" s="330"/>
      <c r="AA3376" s="223"/>
    </row>
    <row r="3377">
      <c r="A3377" s="42">
        <f t="shared" si="3"/>
        <v>3376</v>
      </c>
      <c r="B3377" s="53"/>
      <c r="C3377" s="53"/>
      <c r="D3377" s="42"/>
      <c r="E3377" s="42"/>
      <c r="F3377" s="53"/>
      <c r="G3377" s="53"/>
      <c r="H3377" s="53"/>
      <c r="I3377" s="53"/>
      <c r="J3377" s="53"/>
      <c r="K3377" s="53"/>
      <c r="L3377" s="53"/>
      <c r="M3377" s="53"/>
      <c r="N3377" s="62"/>
      <c r="O3377" s="62"/>
      <c r="P3377" s="62"/>
      <c r="Q3377" s="62"/>
      <c r="R3377" s="53"/>
      <c r="S3377" s="53"/>
      <c r="T3377" s="82"/>
      <c r="U3377" s="42"/>
      <c r="V3377" s="62"/>
      <c r="W3377" s="64"/>
      <c r="X3377" s="330"/>
      <c r="Y3377" s="330"/>
      <c r="Z3377" s="330"/>
      <c r="AA3377" s="223"/>
    </row>
    <row r="3378">
      <c r="A3378" s="42">
        <f t="shared" si="3"/>
        <v>3377</v>
      </c>
      <c r="B3378" s="53"/>
      <c r="C3378" s="53"/>
      <c r="D3378" s="42"/>
      <c r="E3378" s="42"/>
      <c r="F3378" s="53"/>
      <c r="G3378" s="53"/>
      <c r="H3378" s="53"/>
      <c r="I3378" s="53"/>
      <c r="J3378" s="53"/>
      <c r="K3378" s="53"/>
      <c r="L3378" s="53"/>
      <c r="M3378" s="53"/>
      <c r="N3378" s="62"/>
      <c r="O3378" s="62"/>
      <c r="P3378" s="62"/>
      <c r="Q3378" s="62"/>
      <c r="R3378" s="53"/>
      <c r="S3378" s="53"/>
      <c r="T3378" s="82"/>
      <c r="U3378" s="42"/>
      <c r="V3378" s="62"/>
      <c r="W3378" s="64"/>
      <c r="X3378" s="330"/>
      <c r="Y3378" s="330"/>
      <c r="Z3378" s="330"/>
      <c r="AA3378" s="223"/>
    </row>
    <row r="3379">
      <c r="A3379" s="42">
        <f t="shared" si="3"/>
        <v>3378</v>
      </c>
      <c r="B3379" s="53"/>
      <c r="C3379" s="53"/>
      <c r="D3379" s="42"/>
      <c r="E3379" s="42"/>
      <c r="F3379" s="53"/>
      <c r="G3379" s="53"/>
      <c r="H3379" s="53"/>
      <c r="I3379" s="53"/>
      <c r="J3379" s="53"/>
      <c r="K3379" s="53"/>
      <c r="L3379" s="53"/>
      <c r="M3379" s="53"/>
      <c r="N3379" s="62"/>
      <c r="O3379" s="62"/>
      <c r="P3379" s="62"/>
      <c r="Q3379" s="62"/>
      <c r="R3379" s="53"/>
      <c r="S3379" s="53"/>
      <c r="T3379" s="82"/>
      <c r="U3379" s="42"/>
      <c r="V3379" s="62"/>
      <c r="W3379" s="64"/>
      <c r="X3379" s="330"/>
      <c r="Y3379" s="330"/>
      <c r="Z3379" s="330"/>
      <c r="AA3379" s="223"/>
    </row>
    <row r="3380">
      <c r="A3380" s="42">
        <f t="shared" si="3"/>
        <v>3379</v>
      </c>
      <c r="B3380" s="53"/>
      <c r="C3380" s="53"/>
      <c r="D3380" s="42"/>
      <c r="E3380" s="42"/>
      <c r="F3380" s="53"/>
      <c r="G3380" s="53"/>
      <c r="H3380" s="53"/>
      <c r="I3380" s="53"/>
      <c r="J3380" s="53"/>
      <c r="K3380" s="53"/>
      <c r="L3380" s="53"/>
      <c r="M3380" s="53"/>
      <c r="N3380" s="62"/>
      <c r="O3380" s="62"/>
      <c r="P3380" s="62"/>
      <c r="Q3380" s="62"/>
      <c r="R3380" s="53"/>
      <c r="S3380" s="53"/>
      <c r="T3380" s="82"/>
      <c r="U3380" s="42"/>
      <c r="V3380" s="62"/>
      <c r="W3380" s="64"/>
      <c r="X3380" s="330"/>
      <c r="Y3380" s="330"/>
      <c r="Z3380" s="330"/>
      <c r="AA3380" s="223"/>
    </row>
    <row r="3381">
      <c r="A3381" s="42">
        <f t="shared" si="3"/>
        <v>3380</v>
      </c>
      <c r="B3381" s="53"/>
      <c r="C3381" s="53"/>
      <c r="D3381" s="42"/>
      <c r="E3381" s="42"/>
      <c r="F3381" s="53"/>
      <c r="G3381" s="53"/>
      <c r="H3381" s="53"/>
      <c r="I3381" s="53"/>
      <c r="J3381" s="53"/>
      <c r="K3381" s="53"/>
      <c r="L3381" s="53"/>
      <c r="M3381" s="53"/>
      <c r="N3381" s="62"/>
      <c r="O3381" s="62"/>
      <c r="P3381" s="62"/>
      <c r="Q3381" s="62"/>
      <c r="R3381" s="53"/>
      <c r="S3381" s="53"/>
      <c r="T3381" s="82"/>
      <c r="U3381" s="42"/>
      <c r="V3381" s="62"/>
      <c r="W3381" s="64"/>
      <c r="X3381" s="330"/>
      <c r="Y3381" s="330"/>
      <c r="Z3381" s="330"/>
      <c r="AA3381" s="223"/>
    </row>
    <row r="3382">
      <c r="A3382" s="42">
        <f t="shared" si="3"/>
        <v>3381</v>
      </c>
      <c r="B3382" s="53"/>
      <c r="C3382" s="53"/>
      <c r="D3382" s="42"/>
      <c r="E3382" s="42"/>
      <c r="F3382" s="53"/>
      <c r="G3382" s="53"/>
      <c r="H3382" s="53"/>
      <c r="I3382" s="53"/>
      <c r="J3382" s="53"/>
      <c r="K3382" s="53"/>
      <c r="L3382" s="53"/>
      <c r="M3382" s="53"/>
      <c r="N3382" s="62"/>
      <c r="O3382" s="62"/>
      <c r="P3382" s="62"/>
      <c r="Q3382" s="62"/>
      <c r="R3382" s="53"/>
      <c r="S3382" s="53"/>
      <c r="T3382" s="82"/>
      <c r="U3382" s="42"/>
      <c r="V3382" s="62"/>
      <c r="W3382" s="64"/>
      <c r="X3382" s="330"/>
      <c r="Y3382" s="330"/>
      <c r="Z3382" s="330"/>
      <c r="AA3382" s="223"/>
    </row>
    <row r="3383">
      <c r="A3383" s="42">
        <f t="shared" si="3"/>
        <v>3382</v>
      </c>
      <c r="B3383" s="53"/>
      <c r="C3383" s="53"/>
      <c r="D3383" s="42"/>
      <c r="E3383" s="42"/>
      <c r="F3383" s="53"/>
      <c r="G3383" s="53"/>
      <c r="H3383" s="53"/>
      <c r="I3383" s="53"/>
      <c r="J3383" s="53"/>
      <c r="K3383" s="53"/>
      <c r="L3383" s="53"/>
      <c r="M3383" s="53"/>
      <c r="N3383" s="62"/>
      <c r="O3383" s="62"/>
      <c r="P3383" s="62"/>
      <c r="Q3383" s="62"/>
      <c r="R3383" s="53"/>
      <c r="S3383" s="53"/>
      <c r="T3383" s="82"/>
      <c r="U3383" s="42"/>
      <c r="V3383" s="62"/>
      <c r="W3383" s="64"/>
      <c r="X3383" s="330"/>
      <c r="Y3383" s="330"/>
      <c r="Z3383" s="330"/>
      <c r="AA3383" s="223"/>
    </row>
    <row r="3384">
      <c r="A3384" s="42">
        <f t="shared" si="3"/>
        <v>3383</v>
      </c>
      <c r="B3384" s="53"/>
      <c r="C3384" s="53"/>
      <c r="D3384" s="42"/>
      <c r="E3384" s="42"/>
      <c r="F3384" s="53"/>
      <c r="G3384" s="53"/>
      <c r="H3384" s="53"/>
      <c r="I3384" s="53"/>
      <c r="J3384" s="53"/>
      <c r="K3384" s="53"/>
      <c r="L3384" s="53"/>
      <c r="M3384" s="53"/>
      <c r="N3384" s="62"/>
      <c r="O3384" s="62"/>
      <c r="P3384" s="62"/>
      <c r="Q3384" s="62"/>
      <c r="R3384" s="53"/>
      <c r="S3384" s="53"/>
      <c r="T3384" s="82"/>
      <c r="U3384" s="42"/>
      <c r="V3384" s="62"/>
      <c r="W3384" s="64"/>
      <c r="X3384" s="330"/>
      <c r="Y3384" s="330"/>
      <c r="Z3384" s="330"/>
      <c r="AA3384" s="223"/>
    </row>
    <row r="3385">
      <c r="A3385" s="42">
        <f t="shared" si="3"/>
        <v>3384</v>
      </c>
      <c r="B3385" s="53"/>
      <c r="C3385" s="53"/>
      <c r="D3385" s="42"/>
      <c r="E3385" s="42"/>
      <c r="F3385" s="53"/>
      <c r="G3385" s="53"/>
      <c r="H3385" s="53"/>
      <c r="I3385" s="53"/>
      <c r="J3385" s="53"/>
      <c r="K3385" s="53"/>
      <c r="L3385" s="53"/>
      <c r="M3385" s="53"/>
      <c r="N3385" s="62"/>
      <c r="O3385" s="62"/>
      <c r="P3385" s="62"/>
      <c r="Q3385" s="62"/>
      <c r="R3385" s="53"/>
      <c r="S3385" s="53"/>
      <c r="T3385" s="82"/>
      <c r="U3385" s="42"/>
      <c r="V3385" s="62"/>
      <c r="W3385" s="64"/>
      <c r="X3385" s="330"/>
      <c r="Y3385" s="330"/>
      <c r="Z3385" s="330"/>
      <c r="AA3385" s="223"/>
    </row>
    <row r="3386">
      <c r="A3386" s="42">
        <f t="shared" si="3"/>
        <v>3385</v>
      </c>
      <c r="B3386" s="53"/>
      <c r="C3386" s="53"/>
      <c r="D3386" s="42"/>
      <c r="E3386" s="42"/>
      <c r="F3386" s="53"/>
      <c r="G3386" s="53"/>
      <c r="H3386" s="53"/>
      <c r="I3386" s="53"/>
      <c r="J3386" s="53"/>
      <c r="K3386" s="53"/>
      <c r="L3386" s="53"/>
      <c r="M3386" s="53"/>
      <c r="N3386" s="62"/>
      <c r="O3386" s="62"/>
      <c r="P3386" s="62"/>
      <c r="Q3386" s="62"/>
      <c r="R3386" s="53"/>
      <c r="S3386" s="53"/>
      <c r="T3386" s="82"/>
      <c r="U3386" s="42"/>
      <c r="V3386" s="62"/>
      <c r="W3386" s="64"/>
      <c r="X3386" s="330"/>
      <c r="Y3386" s="330"/>
      <c r="Z3386" s="330"/>
      <c r="AA3386" s="223"/>
    </row>
    <row r="3387">
      <c r="A3387" s="42">
        <f t="shared" si="3"/>
        <v>3386</v>
      </c>
      <c r="B3387" s="53"/>
      <c r="C3387" s="53"/>
      <c r="D3387" s="42"/>
      <c r="E3387" s="42"/>
      <c r="F3387" s="53"/>
      <c r="G3387" s="53"/>
      <c r="H3387" s="53"/>
      <c r="I3387" s="53"/>
      <c r="J3387" s="53"/>
      <c r="K3387" s="53"/>
      <c r="L3387" s="53"/>
      <c r="M3387" s="53"/>
      <c r="N3387" s="62"/>
      <c r="O3387" s="62"/>
      <c r="P3387" s="62"/>
      <c r="Q3387" s="62"/>
      <c r="R3387" s="53"/>
      <c r="S3387" s="53"/>
      <c r="T3387" s="82"/>
      <c r="U3387" s="42"/>
      <c r="V3387" s="62"/>
      <c r="W3387" s="64"/>
      <c r="X3387" s="330"/>
      <c r="Y3387" s="330"/>
      <c r="Z3387" s="330"/>
      <c r="AA3387" s="223"/>
    </row>
    <row r="3388">
      <c r="A3388" s="42">
        <f t="shared" si="3"/>
        <v>3387</v>
      </c>
      <c r="B3388" s="53"/>
      <c r="C3388" s="53"/>
      <c r="D3388" s="42"/>
      <c r="E3388" s="42"/>
      <c r="F3388" s="53"/>
      <c r="G3388" s="53"/>
      <c r="H3388" s="53"/>
      <c r="I3388" s="53"/>
      <c r="J3388" s="53"/>
      <c r="K3388" s="53"/>
      <c r="L3388" s="53"/>
      <c r="M3388" s="53"/>
      <c r="N3388" s="62"/>
      <c r="O3388" s="62"/>
      <c r="P3388" s="62"/>
      <c r="Q3388" s="62"/>
      <c r="R3388" s="53"/>
      <c r="S3388" s="53"/>
      <c r="T3388" s="82"/>
      <c r="U3388" s="42"/>
      <c r="V3388" s="62"/>
      <c r="W3388" s="64"/>
      <c r="X3388" s="330"/>
      <c r="Y3388" s="330"/>
      <c r="Z3388" s="330"/>
      <c r="AA3388" s="223"/>
    </row>
    <row r="3389">
      <c r="A3389" s="42">
        <f t="shared" si="3"/>
        <v>3388</v>
      </c>
      <c r="B3389" s="53"/>
      <c r="C3389" s="53"/>
      <c r="D3389" s="42"/>
      <c r="E3389" s="42"/>
      <c r="F3389" s="53"/>
      <c r="G3389" s="53"/>
      <c r="H3389" s="53"/>
      <c r="I3389" s="53"/>
      <c r="J3389" s="53"/>
      <c r="K3389" s="53"/>
      <c r="L3389" s="53"/>
      <c r="M3389" s="53"/>
      <c r="N3389" s="62"/>
      <c r="O3389" s="62"/>
      <c r="P3389" s="62"/>
      <c r="Q3389" s="62"/>
      <c r="R3389" s="53"/>
      <c r="S3389" s="53"/>
      <c r="T3389" s="82"/>
      <c r="U3389" s="42"/>
      <c r="V3389" s="62"/>
      <c r="W3389" s="64"/>
      <c r="X3389" s="330"/>
      <c r="Y3389" s="330"/>
      <c r="Z3389" s="330"/>
      <c r="AA3389" s="223"/>
    </row>
    <row r="3390">
      <c r="A3390" s="42">
        <f t="shared" si="3"/>
        <v>3389</v>
      </c>
      <c r="B3390" s="53"/>
      <c r="C3390" s="53"/>
      <c r="D3390" s="42"/>
      <c r="E3390" s="42"/>
      <c r="F3390" s="53"/>
      <c r="G3390" s="53"/>
      <c r="H3390" s="53"/>
      <c r="I3390" s="53"/>
      <c r="J3390" s="53"/>
      <c r="K3390" s="53"/>
      <c r="L3390" s="53"/>
      <c r="M3390" s="53"/>
      <c r="N3390" s="62"/>
      <c r="O3390" s="62"/>
      <c r="P3390" s="62"/>
      <c r="Q3390" s="62"/>
      <c r="R3390" s="53"/>
      <c r="S3390" s="53"/>
      <c r="T3390" s="82"/>
      <c r="U3390" s="42"/>
      <c r="V3390" s="62"/>
      <c r="W3390" s="64"/>
      <c r="X3390" s="330"/>
      <c r="Y3390" s="330"/>
      <c r="Z3390" s="330"/>
      <c r="AA3390" s="223"/>
    </row>
    <row r="3391">
      <c r="A3391" s="42">
        <f t="shared" si="3"/>
        <v>3390</v>
      </c>
      <c r="B3391" s="53"/>
      <c r="C3391" s="53"/>
      <c r="D3391" s="42"/>
      <c r="E3391" s="42"/>
      <c r="F3391" s="53"/>
      <c r="G3391" s="53"/>
      <c r="H3391" s="53"/>
      <c r="I3391" s="53"/>
      <c r="J3391" s="53"/>
      <c r="K3391" s="53"/>
      <c r="L3391" s="53"/>
      <c r="M3391" s="53"/>
      <c r="N3391" s="62"/>
      <c r="O3391" s="62"/>
      <c r="P3391" s="62"/>
      <c r="Q3391" s="62"/>
      <c r="R3391" s="53"/>
      <c r="S3391" s="53"/>
      <c r="T3391" s="82"/>
      <c r="U3391" s="42"/>
      <c r="V3391" s="62"/>
      <c r="W3391" s="64"/>
      <c r="X3391" s="330"/>
      <c r="Y3391" s="330"/>
      <c r="Z3391" s="330"/>
      <c r="AA3391" s="223"/>
    </row>
    <row r="3392">
      <c r="A3392" s="42">
        <f t="shared" si="3"/>
        <v>3391</v>
      </c>
      <c r="B3392" s="53"/>
      <c r="C3392" s="53"/>
      <c r="D3392" s="42"/>
      <c r="E3392" s="42"/>
      <c r="F3392" s="53"/>
      <c r="G3392" s="53"/>
      <c r="H3392" s="53"/>
      <c r="I3392" s="53"/>
      <c r="J3392" s="53"/>
      <c r="K3392" s="53"/>
      <c r="L3392" s="53"/>
      <c r="M3392" s="53"/>
      <c r="N3392" s="62"/>
      <c r="O3392" s="62"/>
      <c r="P3392" s="62"/>
      <c r="Q3392" s="62"/>
      <c r="R3392" s="53"/>
      <c r="S3392" s="53"/>
      <c r="T3392" s="82"/>
      <c r="U3392" s="42"/>
      <c r="V3392" s="62"/>
      <c r="W3392" s="64"/>
      <c r="X3392" s="330"/>
      <c r="Y3392" s="330"/>
      <c r="Z3392" s="330"/>
      <c r="AA3392" s="223"/>
    </row>
    <row r="3393">
      <c r="A3393" s="42">
        <f t="shared" si="3"/>
        <v>3392</v>
      </c>
      <c r="B3393" s="53"/>
      <c r="C3393" s="53"/>
      <c r="D3393" s="42"/>
      <c r="E3393" s="42"/>
      <c r="F3393" s="53"/>
      <c r="G3393" s="53"/>
      <c r="H3393" s="53"/>
      <c r="I3393" s="53"/>
      <c r="J3393" s="53"/>
      <c r="K3393" s="53"/>
      <c r="L3393" s="53"/>
      <c r="M3393" s="53"/>
      <c r="N3393" s="62"/>
      <c r="O3393" s="62"/>
      <c r="P3393" s="62"/>
      <c r="Q3393" s="62"/>
      <c r="R3393" s="53"/>
      <c r="S3393" s="53"/>
      <c r="T3393" s="82"/>
      <c r="U3393" s="42"/>
      <c r="V3393" s="62"/>
      <c r="W3393" s="64"/>
      <c r="X3393" s="330"/>
      <c r="Y3393" s="330"/>
      <c r="Z3393" s="330"/>
      <c r="AA3393" s="223"/>
    </row>
    <row r="3394">
      <c r="A3394" s="42">
        <f t="shared" si="3"/>
        <v>3393</v>
      </c>
      <c r="B3394" s="53"/>
      <c r="C3394" s="53"/>
      <c r="D3394" s="42"/>
      <c r="E3394" s="42"/>
      <c r="F3394" s="53"/>
      <c r="G3394" s="53"/>
      <c r="H3394" s="53"/>
      <c r="I3394" s="53"/>
      <c r="J3394" s="53"/>
      <c r="K3394" s="53"/>
      <c r="L3394" s="53"/>
      <c r="M3394" s="53"/>
      <c r="N3394" s="62"/>
      <c r="O3394" s="62"/>
      <c r="P3394" s="62"/>
      <c r="Q3394" s="62"/>
      <c r="R3394" s="53"/>
      <c r="S3394" s="53"/>
      <c r="T3394" s="82"/>
      <c r="U3394" s="42"/>
      <c r="V3394" s="62"/>
      <c r="W3394" s="64"/>
      <c r="X3394" s="330"/>
      <c r="Y3394" s="330"/>
      <c r="Z3394" s="330"/>
      <c r="AA3394" s="223"/>
    </row>
    <row r="3395">
      <c r="A3395" s="42">
        <f t="shared" si="3"/>
        <v>3394</v>
      </c>
      <c r="B3395" s="53"/>
      <c r="C3395" s="53"/>
      <c r="D3395" s="42"/>
      <c r="E3395" s="42"/>
      <c r="F3395" s="53"/>
      <c r="G3395" s="53"/>
      <c r="H3395" s="53"/>
      <c r="I3395" s="53"/>
      <c r="J3395" s="53"/>
      <c r="K3395" s="53"/>
      <c r="L3395" s="53"/>
      <c r="M3395" s="53"/>
      <c r="N3395" s="62"/>
      <c r="O3395" s="62"/>
      <c r="P3395" s="62"/>
      <c r="Q3395" s="62"/>
      <c r="R3395" s="53"/>
      <c r="S3395" s="53"/>
      <c r="T3395" s="82"/>
      <c r="U3395" s="42"/>
      <c r="V3395" s="62"/>
      <c r="W3395" s="64"/>
      <c r="X3395" s="330"/>
      <c r="Y3395" s="330"/>
      <c r="Z3395" s="330"/>
      <c r="AA3395" s="223"/>
    </row>
    <row r="3396">
      <c r="A3396" s="42">
        <f t="shared" si="3"/>
        <v>3395</v>
      </c>
      <c r="B3396" s="53"/>
      <c r="C3396" s="53"/>
      <c r="D3396" s="42"/>
      <c r="E3396" s="42"/>
      <c r="F3396" s="53"/>
      <c r="G3396" s="53"/>
      <c r="H3396" s="53"/>
      <c r="I3396" s="53"/>
      <c r="J3396" s="53"/>
      <c r="K3396" s="53"/>
      <c r="L3396" s="53"/>
      <c r="M3396" s="53"/>
      <c r="N3396" s="62"/>
      <c r="O3396" s="62"/>
      <c r="P3396" s="62"/>
      <c r="Q3396" s="62"/>
      <c r="R3396" s="53"/>
      <c r="S3396" s="53"/>
      <c r="T3396" s="82"/>
      <c r="U3396" s="42"/>
      <c r="V3396" s="62"/>
      <c r="W3396" s="64"/>
      <c r="X3396" s="330"/>
      <c r="Y3396" s="330"/>
      <c r="Z3396" s="330"/>
      <c r="AA3396" s="223"/>
    </row>
    <row r="3397">
      <c r="A3397" s="42">
        <f t="shared" si="3"/>
        <v>3396</v>
      </c>
      <c r="B3397" s="53"/>
      <c r="C3397" s="53"/>
      <c r="D3397" s="42"/>
      <c r="E3397" s="42"/>
      <c r="F3397" s="53"/>
      <c r="G3397" s="53"/>
      <c r="H3397" s="53"/>
      <c r="I3397" s="53"/>
      <c r="J3397" s="53"/>
      <c r="K3397" s="53"/>
      <c r="L3397" s="53"/>
      <c r="M3397" s="53"/>
      <c r="N3397" s="62"/>
      <c r="O3397" s="62"/>
      <c r="P3397" s="62"/>
      <c r="Q3397" s="62"/>
      <c r="R3397" s="53"/>
      <c r="S3397" s="53"/>
      <c r="T3397" s="82"/>
      <c r="U3397" s="42"/>
      <c r="V3397" s="62"/>
      <c r="W3397" s="64"/>
      <c r="X3397" s="330"/>
      <c r="Y3397" s="330"/>
      <c r="Z3397" s="330"/>
      <c r="AA3397" s="223"/>
    </row>
    <row r="3398">
      <c r="A3398" s="42">
        <f t="shared" si="3"/>
        <v>3397</v>
      </c>
      <c r="B3398" s="53"/>
      <c r="C3398" s="53"/>
      <c r="D3398" s="42"/>
      <c r="E3398" s="42"/>
      <c r="F3398" s="53"/>
      <c r="G3398" s="53"/>
      <c r="H3398" s="53"/>
      <c r="I3398" s="53"/>
      <c r="J3398" s="53"/>
      <c r="K3398" s="53"/>
      <c r="L3398" s="53"/>
      <c r="M3398" s="53"/>
      <c r="N3398" s="62"/>
      <c r="O3398" s="62"/>
      <c r="P3398" s="62"/>
      <c r="Q3398" s="62"/>
      <c r="R3398" s="53"/>
      <c r="S3398" s="53"/>
      <c r="T3398" s="82"/>
      <c r="U3398" s="42"/>
      <c r="V3398" s="62"/>
      <c r="W3398" s="64"/>
      <c r="X3398" s="330"/>
      <c r="Y3398" s="330"/>
      <c r="Z3398" s="330"/>
      <c r="AA3398" s="223"/>
    </row>
    <row r="3399">
      <c r="A3399" s="42">
        <f t="shared" si="3"/>
        <v>3398</v>
      </c>
      <c r="B3399" s="53"/>
      <c r="C3399" s="53"/>
      <c r="D3399" s="42"/>
      <c r="E3399" s="42"/>
      <c r="F3399" s="53"/>
      <c r="G3399" s="53"/>
      <c r="H3399" s="53"/>
      <c r="I3399" s="53"/>
      <c r="J3399" s="53"/>
      <c r="K3399" s="53"/>
      <c r="L3399" s="53"/>
      <c r="M3399" s="53"/>
      <c r="N3399" s="62"/>
      <c r="O3399" s="62"/>
      <c r="P3399" s="62"/>
      <c r="Q3399" s="62"/>
      <c r="R3399" s="53"/>
      <c r="S3399" s="53"/>
      <c r="T3399" s="82"/>
      <c r="U3399" s="42"/>
      <c r="V3399" s="62"/>
      <c r="W3399" s="64"/>
      <c r="X3399" s="330"/>
      <c r="Y3399" s="330"/>
      <c r="Z3399" s="330"/>
      <c r="AA3399" s="223"/>
    </row>
    <row r="3400">
      <c r="A3400" s="42">
        <f t="shared" si="3"/>
        <v>3399</v>
      </c>
      <c r="B3400" s="53"/>
      <c r="C3400" s="53"/>
      <c r="D3400" s="42"/>
      <c r="E3400" s="42"/>
      <c r="F3400" s="53"/>
      <c r="G3400" s="53"/>
      <c r="H3400" s="53"/>
      <c r="I3400" s="53"/>
      <c r="J3400" s="53"/>
      <c r="K3400" s="53"/>
      <c r="L3400" s="53"/>
      <c r="M3400" s="53"/>
      <c r="N3400" s="62"/>
      <c r="O3400" s="62"/>
      <c r="P3400" s="62"/>
      <c r="Q3400" s="62"/>
      <c r="R3400" s="53"/>
      <c r="S3400" s="53"/>
      <c r="T3400" s="82"/>
      <c r="U3400" s="42"/>
      <c r="V3400" s="62"/>
      <c r="W3400" s="64"/>
      <c r="X3400" s="330"/>
      <c r="Y3400" s="330"/>
      <c r="Z3400" s="330"/>
      <c r="AA3400" s="223"/>
    </row>
    <row r="3401">
      <c r="A3401" s="42">
        <f t="shared" si="3"/>
        <v>3400</v>
      </c>
      <c r="B3401" s="53"/>
      <c r="C3401" s="53"/>
      <c r="D3401" s="42"/>
      <c r="E3401" s="42"/>
      <c r="F3401" s="53"/>
      <c r="G3401" s="53"/>
      <c r="H3401" s="53"/>
      <c r="I3401" s="53"/>
      <c r="J3401" s="53"/>
      <c r="K3401" s="53"/>
      <c r="L3401" s="53"/>
      <c r="M3401" s="53"/>
      <c r="N3401" s="62"/>
      <c r="O3401" s="62"/>
      <c r="P3401" s="62"/>
      <c r="Q3401" s="62"/>
      <c r="R3401" s="53"/>
      <c r="S3401" s="53"/>
      <c r="T3401" s="82"/>
      <c r="U3401" s="42"/>
      <c r="V3401" s="62"/>
      <c r="W3401" s="64"/>
      <c r="X3401" s="330"/>
      <c r="Y3401" s="330"/>
      <c r="Z3401" s="330"/>
      <c r="AA3401" s="223"/>
    </row>
    <row r="3402">
      <c r="A3402" s="42">
        <f t="shared" si="3"/>
        <v>3401</v>
      </c>
      <c r="B3402" s="53"/>
      <c r="C3402" s="53"/>
      <c r="D3402" s="42"/>
      <c r="E3402" s="42"/>
      <c r="F3402" s="53"/>
      <c r="G3402" s="53"/>
      <c r="H3402" s="53"/>
      <c r="I3402" s="53"/>
      <c r="J3402" s="53"/>
      <c r="K3402" s="53"/>
      <c r="L3402" s="53"/>
      <c r="M3402" s="53"/>
      <c r="N3402" s="62"/>
      <c r="O3402" s="62"/>
      <c r="P3402" s="62"/>
      <c r="Q3402" s="62"/>
      <c r="R3402" s="53"/>
      <c r="S3402" s="53"/>
      <c r="T3402" s="82"/>
      <c r="U3402" s="42"/>
      <c r="V3402" s="62"/>
      <c r="W3402" s="64"/>
      <c r="X3402" s="330"/>
      <c r="Y3402" s="330"/>
      <c r="Z3402" s="330"/>
      <c r="AA3402" s="223"/>
    </row>
    <row r="3403">
      <c r="A3403" s="42">
        <f t="shared" si="3"/>
        <v>3402</v>
      </c>
      <c r="B3403" s="53"/>
      <c r="C3403" s="53"/>
      <c r="D3403" s="42"/>
      <c r="E3403" s="42"/>
      <c r="F3403" s="53"/>
      <c r="G3403" s="53"/>
      <c r="H3403" s="53"/>
      <c r="I3403" s="53"/>
      <c r="J3403" s="53"/>
      <c r="K3403" s="53"/>
      <c r="L3403" s="53"/>
      <c r="M3403" s="53"/>
      <c r="N3403" s="62"/>
      <c r="O3403" s="62"/>
      <c r="P3403" s="62"/>
      <c r="Q3403" s="62"/>
      <c r="R3403" s="53"/>
      <c r="S3403" s="53"/>
      <c r="T3403" s="82"/>
      <c r="U3403" s="42"/>
      <c r="V3403" s="62"/>
      <c r="W3403" s="64"/>
      <c r="X3403" s="330"/>
      <c r="Y3403" s="330"/>
      <c r="Z3403" s="330"/>
      <c r="AA3403" s="223"/>
    </row>
    <row r="3404">
      <c r="A3404" s="42">
        <f t="shared" si="3"/>
        <v>3403</v>
      </c>
      <c r="B3404" s="53"/>
      <c r="C3404" s="53"/>
      <c r="D3404" s="42"/>
      <c r="E3404" s="42"/>
      <c r="F3404" s="53"/>
      <c r="G3404" s="53"/>
      <c r="H3404" s="53"/>
      <c r="I3404" s="53"/>
      <c r="J3404" s="53"/>
      <c r="K3404" s="53"/>
      <c r="L3404" s="53"/>
      <c r="M3404" s="53"/>
      <c r="N3404" s="62"/>
      <c r="O3404" s="62"/>
      <c r="P3404" s="62"/>
      <c r="Q3404" s="62"/>
      <c r="R3404" s="53"/>
      <c r="S3404" s="53"/>
      <c r="T3404" s="82"/>
      <c r="U3404" s="42"/>
      <c r="V3404" s="62"/>
      <c r="W3404" s="64"/>
      <c r="X3404" s="330"/>
      <c r="Y3404" s="330"/>
      <c r="Z3404" s="330"/>
      <c r="AA3404" s="223"/>
    </row>
    <row r="3405">
      <c r="A3405" s="42">
        <f t="shared" si="3"/>
        <v>3404</v>
      </c>
      <c r="B3405" s="53"/>
      <c r="C3405" s="53"/>
      <c r="D3405" s="42"/>
      <c r="E3405" s="42"/>
      <c r="F3405" s="53"/>
      <c r="G3405" s="53"/>
      <c r="H3405" s="53"/>
      <c r="I3405" s="53"/>
      <c r="J3405" s="53"/>
      <c r="K3405" s="53"/>
      <c r="L3405" s="53"/>
      <c r="M3405" s="53"/>
      <c r="N3405" s="62"/>
      <c r="O3405" s="62"/>
      <c r="P3405" s="62"/>
      <c r="Q3405" s="62"/>
      <c r="R3405" s="53"/>
      <c r="S3405" s="53"/>
      <c r="T3405" s="82"/>
      <c r="U3405" s="42"/>
      <c r="V3405" s="62"/>
      <c r="W3405" s="64"/>
      <c r="X3405" s="330"/>
      <c r="Y3405" s="330"/>
      <c r="Z3405" s="330"/>
      <c r="AA3405" s="223"/>
    </row>
    <row r="3406">
      <c r="A3406" s="42">
        <f t="shared" si="3"/>
        <v>3405</v>
      </c>
      <c r="B3406" s="53"/>
      <c r="C3406" s="53"/>
      <c r="D3406" s="42"/>
      <c r="E3406" s="42"/>
      <c r="F3406" s="53"/>
      <c r="G3406" s="53"/>
      <c r="H3406" s="53"/>
      <c r="I3406" s="53"/>
      <c r="J3406" s="53"/>
      <c r="K3406" s="53"/>
      <c r="L3406" s="53"/>
      <c r="M3406" s="53"/>
      <c r="N3406" s="62"/>
      <c r="O3406" s="62"/>
      <c r="P3406" s="62"/>
      <c r="Q3406" s="62"/>
      <c r="R3406" s="53"/>
      <c r="S3406" s="53"/>
      <c r="T3406" s="82"/>
      <c r="U3406" s="42"/>
      <c r="V3406" s="62"/>
      <c r="W3406" s="64"/>
      <c r="X3406" s="330"/>
      <c r="Y3406" s="330"/>
      <c r="Z3406" s="330"/>
      <c r="AA3406" s="223"/>
    </row>
    <row r="3407">
      <c r="A3407" s="42">
        <f t="shared" si="3"/>
        <v>3406</v>
      </c>
      <c r="B3407" s="53"/>
      <c r="C3407" s="53"/>
      <c r="D3407" s="42"/>
      <c r="E3407" s="42"/>
      <c r="F3407" s="53"/>
      <c r="G3407" s="53"/>
      <c r="H3407" s="53"/>
      <c r="I3407" s="53"/>
      <c r="J3407" s="53"/>
      <c r="K3407" s="53"/>
      <c r="L3407" s="53"/>
      <c r="M3407" s="53"/>
      <c r="N3407" s="62"/>
      <c r="O3407" s="62"/>
      <c r="P3407" s="62"/>
      <c r="Q3407" s="62"/>
      <c r="R3407" s="53"/>
      <c r="S3407" s="53"/>
      <c r="T3407" s="82"/>
      <c r="U3407" s="42"/>
      <c r="V3407" s="62"/>
      <c r="W3407" s="64"/>
      <c r="X3407" s="330"/>
      <c r="Y3407" s="330"/>
      <c r="Z3407" s="330"/>
      <c r="AA3407" s="223"/>
    </row>
    <row r="3408">
      <c r="A3408" s="42">
        <f t="shared" si="3"/>
        <v>3407</v>
      </c>
      <c r="B3408" s="53"/>
      <c r="C3408" s="53"/>
      <c r="D3408" s="42"/>
      <c r="E3408" s="42"/>
      <c r="F3408" s="53"/>
      <c r="G3408" s="53"/>
      <c r="H3408" s="53"/>
      <c r="I3408" s="53"/>
      <c r="J3408" s="53"/>
      <c r="K3408" s="53"/>
      <c r="L3408" s="53"/>
      <c r="M3408" s="53"/>
      <c r="N3408" s="62"/>
      <c r="O3408" s="62"/>
      <c r="P3408" s="62"/>
      <c r="Q3408" s="62"/>
      <c r="R3408" s="53"/>
      <c r="S3408" s="53"/>
      <c r="T3408" s="82"/>
      <c r="U3408" s="42"/>
      <c r="V3408" s="62"/>
      <c r="W3408" s="64"/>
      <c r="X3408" s="330"/>
      <c r="Y3408" s="330"/>
      <c r="Z3408" s="330"/>
      <c r="AA3408" s="223"/>
    </row>
    <row r="3409">
      <c r="A3409" s="42">
        <f t="shared" si="3"/>
        <v>3408</v>
      </c>
      <c r="B3409" s="53"/>
      <c r="C3409" s="53"/>
      <c r="D3409" s="42"/>
      <c r="E3409" s="42"/>
      <c r="F3409" s="53"/>
      <c r="G3409" s="53"/>
      <c r="H3409" s="53"/>
      <c r="I3409" s="53"/>
      <c r="J3409" s="53"/>
      <c r="K3409" s="53"/>
      <c r="L3409" s="53"/>
      <c r="M3409" s="53"/>
      <c r="N3409" s="62"/>
      <c r="O3409" s="62"/>
      <c r="P3409" s="62"/>
      <c r="Q3409" s="62"/>
      <c r="R3409" s="53"/>
      <c r="S3409" s="53"/>
      <c r="T3409" s="82"/>
      <c r="U3409" s="42"/>
      <c r="V3409" s="62"/>
      <c r="W3409" s="64"/>
      <c r="X3409" s="330"/>
      <c r="Y3409" s="330"/>
      <c r="Z3409" s="330"/>
      <c r="AA3409" s="223"/>
    </row>
    <row r="3410">
      <c r="A3410" s="42">
        <f t="shared" si="3"/>
        <v>3409</v>
      </c>
      <c r="B3410" s="53"/>
      <c r="C3410" s="53"/>
      <c r="D3410" s="42"/>
      <c r="E3410" s="42"/>
      <c r="F3410" s="53"/>
      <c r="G3410" s="53"/>
      <c r="H3410" s="53"/>
      <c r="I3410" s="53"/>
      <c r="J3410" s="53"/>
      <c r="K3410" s="53"/>
      <c r="L3410" s="53"/>
      <c r="M3410" s="53"/>
      <c r="N3410" s="62"/>
      <c r="O3410" s="62"/>
      <c r="P3410" s="62"/>
      <c r="Q3410" s="62"/>
      <c r="R3410" s="53"/>
      <c r="S3410" s="53"/>
      <c r="T3410" s="82"/>
      <c r="U3410" s="42"/>
      <c r="V3410" s="62"/>
      <c r="W3410" s="64"/>
      <c r="X3410" s="330"/>
      <c r="Y3410" s="330"/>
      <c r="Z3410" s="330"/>
      <c r="AA3410" s="223"/>
    </row>
    <row r="3411">
      <c r="A3411" s="42">
        <f t="shared" si="3"/>
        <v>3410</v>
      </c>
      <c r="B3411" s="53"/>
      <c r="C3411" s="53"/>
      <c r="D3411" s="42"/>
      <c r="E3411" s="42"/>
      <c r="F3411" s="53"/>
      <c r="G3411" s="53"/>
      <c r="H3411" s="53"/>
      <c r="I3411" s="53"/>
      <c r="J3411" s="53"/>
      <c r="K3411" s="53"/>
      <c r="L3411" s="53"/>
      <c r="M3411" s="53"/>
      <c r="N3411" s="62"/>
      <c r="O3411" s="62"/>
      <c r="P3411" s="62"/>
      <c r="Q3411" s="62"/>
      <c r="R3411" s="53"/>
      <c r="S3411" s="53"/>
      <c r="T3411" s="82"/>
      <c r="U3411" s="42"/>
      <c r="V3411" s="62"/>
      <c r="W3411" s="64"/>
      <c r="X3411" s="330"/>
      <c r="Y3411" s="330"/>
      <c r="Z3411" s="330"/>
      <c r="AA3411" s="223"/>
    </row>
    <row r="3412">
      <c r="A3412" s="42">
        <f t="shared" si="3"/>
        <v>3411</v>
      </c>
      <c r="B3412" s="53"/>
      <c r="C3412" s="53"/>
      <c r="D3412" s="42"/>
      <c r="E3412" s="42"/>
      <c r="F3412" s="53"/>
      <c r="G3412" s="53"/>
      <c r="H3412" s="53"/>
      <c r="I3412" s="53"/>
      <c r="J3412" s="53"/>
      <c r="K3412" s="53"/>
      <c r="L3412" s="53"/>
      <c r="M3412" s="53"/>
      <c r="N3412" s="62"/>
      <c r="O3412" s="62"/>
      <c r="P3412" s="62"/>
      <c r="Q3412" s="62"/>
      <c r="R3412" s="53"/>
      <c r="S3412" s="53"/>
      <c r="T3412" s="82"/>
      <c r="U3412" s="42"/>
      <c r="V3412" s="62"/>
      <c r="W3412" s="64"/>
      <c r="X3412" s="330"/>
      <c r="Y3412" s="330"/>
      <c r="Z3412" s="330"/>
      <c r="AA3412" s="223"/>
    </row>
    <row r="3413">
      <c r="A3413" s="42">
        <f t="shared" si="3"/>
        <v>3412</v>
      </c>
      <c r="B3413" s="53"/>
      <c r="C3413" s="53"/>
      <c r="D3413" s="42"/>
      <c r="E3413" s="42"/>
      <c r="F3413" s="53"/>
      <c r="G3413" s="53"/>
      <c r="H3413" s="53"/>
      <c r="I3413" s="53"/>
      <c r="J3413" s="53"/>
      <c r="K3413" s="53"/>
      <c r="L3413" s="53"/>
      <c r="M3413" s="53"/>
      <c r="N3413" s="62"/>
      <c r="O3413" s="62"/>
      <c r="P3413" s="62"/>
      <c r="Q3413" s="62"/>
      <c r="R3413" s="53"/>
      <c r="S3413" s="53"/>
      <c r="T3413" s="82"/>
      <c r="U3413" s="42"/>
      <c r="V3413" s="62"/>
      <c r="W3413" s="64"/>
      <c r="X3413" s="330"/>
      <c r="Y3413" s="330"/>
      <c r="Z3413" s="330"/>
      <c r="AA3413" s="223"/>
    </row>
    <row r="3414">
      <c r="A3414" s="42">
        <f t="shared" si="3"/>
        <v>3413</v>
      </c>
      <c r="B3414" s="53"/>
      <c r="C3414" s="53"/>
      <c r="D3414" s="42"/>
      <c r="E3414" s="42"/>
      <c r="F3414" s="53"/>
      <c r="G3414" s="53"/>
      <c r="H3414" s="53"/>
      <c r="I3414" s="53"/>
      <c r="J3414" s="53"/>
      <c r="K3414" s="53"/>
      <c r="L3414" s="53"/>
      <c r="M3414" s="53"/>
      <c r="N3414" s="62"/>
      <c r="O3414" s="62"/>
      <c r="P3414" s="62"/>
      <c r="Q3414" s="62"/>
      <c r="R3414" s="53"/>
      <c r="S3414" s="53"/>
      <c r="T3414" s="82"/>
      <c r="U3414" s="42"/>
      <c r="V3414" s="62"/>
      <c r="W3414" s="64"/>
      <c r="X3414" s="330"/>
      <c r="Y3414" s="330"/>
      <c r="Z3414" s="330"/>
      <c r="AA3414" s="223"/>
    </row>
    <row r="3415">
      <c r="A3415" s="42">
        <f t="shared" si="3"/>
        <v>3414</v>
      </c>
      <c r="B3415" s="53"/>
      <c r="C3415" s="53"/>
      <c r="D3415" s="42"/>
      <c r="E3415" s="42"/>
      <c r="F3415" s="53"/>
      <c r="G3415" s="53"/>
      <c r="H3415" s="53"/>
      <c r="I3415" s="53"/>
      <c r="J3415" s="53"/>
      <c r="K3415" s="53"/>
      <c r="L3415" s="53"/>
      <c r="M3415" s="53"/>
      <c r="N3415" s="62"/>
      <c r="O3415" s="62"/>
      <c r="P3415" s="62"/>
      <c r="Q3415" s="62"/>
      <c r="R3415" s="53"/>
      <c r="S3415" s="53"/>
      <c r="T3415" s="82"/>
      <c r="U3415" s="42"/>
      <c r="V3415" s="62"/>
      <c r="W3415" s="64"/>
      <c r="X3415" s="330"/>
      <c r="Y3415" s="330"/>
      <c r="Z3415" s="330"/>
      <c r="AA3415" s="223"/>
    </row>
    <row r="3416">
      <c r="A3416" s="42">
        <f t="shared" si="3"/>
        <v>3415</v>
      </c>
      <c r="B3416" s="53"/>
      <c r="C3416" s="53"/>
      <c r="D3416" s="42"/>
      <c r="E3416" s="42"/>
      <c r="F3416" s="53"/>
      <c r="G3416" s="53"/>
      <c r="H3416" s="53"/>
      <c r="I3416" s="53"/>
      <c r="J3416" s="53"/>
      <c r="K3416" s="53"/>
      <c r="L3416" s="53"/>
      <c r="M3416" s="53"/>
      <c r="N3416" s="62"/>
      <c r="O3416" s="62"/>
      <c r="P3416" s="62"/>
      <c r="Q3416" s="62"/>
      <c r="R3416" s="53"/>
      <c r="S3416" s="53"/>
      <c r="T3416" s="82"/>
      <c r="U3416" s="42"/>
      <c r="V3416" s="62"/>
      <c r="W3416" s="64"/>
      <c r="X3416" s="330"/>
      <c r="Y3416" s="330"/>
      <c r="Z3416" s="330"/>
      <c r="AA3416" s="223"/>
    </row>
    <row r="3417">
      <c r="A3417" s="42">
        <f t="shared" si="3"/>
        <v>3416</v>
      </c>
      <c r="B3417" s="53"/>
      <c r="C3417" s="53"/>
      <c r="D3417" s="42"/>
      <c r="E3417" s="42"/>
      <c r="F3417" s="53"/>
      <c r="G3417" s="53"/>
      <c r="H3417" s="53"/>
      <c r="I3417" s="53"/>
      <c r="J3417" s="53"/>
      <c r="K3417" s="53"/>
      <c r="L3417" s="53"/>
      <c r="M3417" s="53"/>
      <c r="N3417" s="62"/>
      <c r="O3417" s="62"/>
      <c r="P3417" s="62"/>
      <c r="Q3417" s="62"/>
      <c r="R3417" s="53"/>
      <c r="S3417" s="53"/>
      <c r="T3417" s="82"/>
      <c r="U3417" s="42"/>
      <c r="V3417" s="62"/>
      <c r="W3417" s="64"/>
      <c r="X3417" s="330"/>
      <c r="Y3417" s="330"/>
      <c r="Z3417" s="330"/>
      <c r="AA3417" s="223"/>
    </row>
    <row r="3418">
      <c r="A3418" s="42">
        <f t="shared" si="3"/>
        <v>3417</v>
      </c>
      <c r="B3418" s="53"/>
      <c r="C3418" s="53"/>
      <c r="D3418" s="42"/>
      <c r="E3418" s="42"/>
      <c r="F3418" s="53"/>
      <c r="G3418" s="53"/>
      <c r="H3418" s="53"/>
      <c r="I3418" s="53"/>
      <c r="J3418" s="53"/>
      <c r="K3418" s="53"/>
      <c r="L3418" s="53"/>
      <c r="M3418" s="53"/>
      <c r="N3418" s="62"/>
      <c r="O3418" s="62"/>
      <c r="P3418" s="62"/>
      <c r="Q3418" s="62"/>
      <c r="R3418" s="53"/>
      <c r="S3418" s="53"/>
      <c r="T3418" s="82"/>
      <c r="U3418" s="42"/>
      <c r="V3418" s="62"/>
      <c r="W3418" s="64"/>
      <c r="X3418" s="330"/>
      <c r="Y3418" s="330"/>
      <c r="Z3418" s="330"/>
      <c r="AA3418" s="223"/>
    </row>
    <row r="3419">
      <c r="A3419" s="42">
        <f t="shared" si="3"/>
        <v>3418</v>
      </c>
      <c r="B3419" s="53"/>
      <c r="C3419" s="53"/>
      <c r="D3419" s="42"/>
      <c r="E3419" s="42"/>
      <c r="F3419" s="53"/>
      <c r="G3419" s="53"/>
      <c r="H3419" s="53"/>
      <c r="I3419" s="53"/>
      <c r="J3419" s="53"/>
      <c r="K3419" s="53"/>
      <c r="L3419" s="53"/>
      <c r="M3419" s="53"/>
      <c r="N3419" s="62"/>
      <c r="O3419" s="62"/>
      <c r="P3419" s="62"/>
      <c r="Q3419" s="62"/>
      <c r="R3419" s="53"/>
      <c r="S3419" s="53"/>
      <c r="T3419" s="82"/>
      <c r="U3419" s="42"/>
      <c r="V3419" s="62"/>
      <c r="W3419" s="64"/>
      <c r="X3419" s="330"/>
      <c r="Y3419" s="330"/>
      <c r="Z3419" s="330"/>
      <c r="AA3419" s="223"/>
    </row>
    <row r="3420">
      <c r="A3420" s="42">
        <f t="shared" si="3"/>
        <v>3419</v>
      </c>
      <c r="B3420" s="53"/>
      <c r="C3420" s="53"/>
      <c r="D3420" s="42"/>
      <c r="E3420" s="42"/>
      <c r="F3420" s="53"/>
      <c r="G3420" s="53"/>
      <c r="H3420" s="53"/>
      <c r="I3420" s="53"/>
      <c r="J3420" s="53"/>
      <c r="K3420" s="53"/>
      <c r="L3420" s="53"/>
      <c r="M3420" s="53"/>
      <c r="N3420" s="62"/>
      <c r="O3420" s="62"/>
      <c r="P3420" s="62"/>
      <c r="Q3420" s="62"/>
      <c r="R3420" s="53"/>
      <c r="S3420" s="53"/>
      <c r="T3420" s="82"/>
      <c r="U3420" s="42"/>
      <c r="V3420" s="62"/>
      <c r="W3420" s="64"/>
      <c r="X3420" s="330"/>
      <c r="Y3420" s="330"/>
      <c r="Z3420" s="330"/>
      <c r="AA3420" s="223"/>
    </row>
    <row r="3421">
      <c r="A3421" s="42">
        <f t="shared" si="3"/>
        <v>3420</v>
      </c>
      <c r="B3421" s="53"/>
      <c r="C3421" s="53"/>
      <c r="D3421" s="42"/>
      <c r="E3421" s="42"/>
      <c r="F3421" s="53"/>
      <c r="G3421" s="53"/>
      <c r="H3421" s="53"/>
      <c r="I3421" s="53"/>
      <c r="J3421" s="53"/>
      <c r="K3421" s="53"/>
      <c r="L3421" s="53"/>
      <c r="M3421" s="53"/>
      <c r="N3421" s="62"/>
      <c r="O3421" s="62"/>
      <c r="P3421" s="62"/>
      <c r="Q3421" s="62"/>
      <c r="R3421" s="53"/>
      <c r="S3421" s="53"/>
      <c r="T3421" s="82"/>
      <c r="U3421" s="42"/>
      <c r="V3421" s="62"/>
      <c r="W3421" s="64"/>
      <c r="X3421" s="330"/>
      <c r="Y3421" s="330"/>
      <c r="Z3421" s="330"/>
      <c r="AA3421" s="223"/>
    </row>
    <row r="3422">
      <c r="A3422" s="42">
        <f t="shared" si="3"/>
        <v>3421</v>
      </c>
      <c r="B3422" s="53"/>
      <c r="C3422" s="53"/>
      <c r="D3422" s="42"/>
      <c r="E3422" s="42"/>
      <c r="F3422" s="53"/>
      <c r="G3422" s="53"/>
      <c r="H3422" s="53"/>
      <c r="I3422" s="53"/>
      <c r="J3422" s="53"/>
      <c r="K3422" s="53"/>
      <c r="L3422" s="53"/>
      <c r="M3422" s="53"/>
      <c r="N3422" s="62"/>
      <c r="O3422" s="62"/>
      <c r="P3422" s="62"/>
      <c r="Q3422" s="62"/>
      <c r="R3422" s="53"/>
      <c r="S3422" s="53"/>
      <c r="T3422" s="82"/>
      <c r="U3422" s="42"/>
      <c r="V3422" s="62"/>
      <c r="W3422" s="64"/>
      <c r="X3422" s="330"/>
      <c r="Y3422" s="330"/>
      <c r="Z3422" s="330"/>
      <c r="AA3422" s="223"/>
    </row>
    <row r="3423">
      <c r="A3423" s="42">
        <f t="shared" si="3"/>
        <v>3422</v>
      </c>
      <c r="B3423" s="53"/>
      <c r="C3423" s="53"/>
      <c r="D3423" s="42"/>
      <c r="E3423" s="42"/>
      <c r="F3423" s="53"/>
      <c r="G3423" s="53"/>
      <c r="H3423" s="53"/>
      <c r="I3423" s="53"/>
      <c r="J3423" s="53"/>
      <c r="K3423" s="53"/>
      <c r="L3423" s="53"/>
      <c r="M3423" s="53"/>
      <c r="N3423" s="62"/>
      <c r="O3423" s="62"/>
      <c r="P3423" s="62"/>
      <c r="Q3423" s="62"/>
      <c r="R3423" s="53"/>
      <c r="S3423" s="53"/>
      <c r="T3423" s="82"/>
      <c r="U3423" s="42"/>
      <c r="V3423" s="62"/>
      <c r="W3423" s="64"/>
      <c r="X3423" s="330"/>
      <c r="Y3423" s="330"/>
      <c r="Z3423" s="330"/>
      <c r="AA3423" s="223"/>
    </row>
    <row r="3424">
      <c r="A3424" s="42">
        <f t="shared" si="3"/>
        <v>3423</v>
      </c>
      <c r="B3424" s="53"/>
      <c r="C3424" s="53"/>
      <c r="D3424" s="42"/>
      <c r="E3424" s="42"/>
      <c r="F3424" s="53"/>
      <c r="G3424" s="53"/>
      <c r="H3424" s="53"/>
      <c r="I3424" s="53"/>
      <c r="J3424" s="53"/>
      <c r="K3424" s="53"/>
      <c r="L3424" s="53"/>
      <c r="M3424" s="53"/>
      <c r="N3424" s="62"/>
      <c r="O3424" s="62"/>
      <c r="P3424" s="62"/>
      <c r="Q3424" s="62"/>
      <c r="R3424" s="53"/>
      <c r="S3424" s="53"/>
      <c r="T3424" s="82"/>
      <c r="U3424" s="42"/>
      <c r="V3424" s="62"/>
      <c r="W3424" s="64"/>
      <c r="X3424" s="330"/>
      <c r="Y3424" s="330"/>
      <c r="Z3424" s="330"/>
      <c r="AA3424" s="223"/>
    </row>
    <row r="3425">
      <c r="A3425" s="42">
        <f t="shared" si="3"/>
        <v>3424</v>
      </c>
      <c r="B3425" s="53"/>
      <c r="C3425" s="53"/>
      <c r="D3425" s="42"/>
      <c r="E3425" s="42"/>
      <c r="F3425" s="53"/>
      <c r="G3425" s="53"/>
      <c r="H3425" s="53"/>
      <c r="I3425" s="53"/>
      <c r="J3425" s="53"/>
      <c r="K3425" s="53"/>
      <c r="L3425" s="53"/>
      <c r="M3425" s="53"/>
      <c r="N3425" s="62"/>
      <c r="O3425" s="62"/>
      <c r="P3425" s="62"/>
      <c r="Q3425" s="62"/>
      <c r="R3425" s="53"/>
      <c r="S3425" s="53"/>
      <c r="T3425" s="82"/>
      <c r="U3425" s="42"/>
      <c r="V3425" s="62"/>
      <c r="W3425" s="64"/>
      <c r="X3425" s="330"/>
      <c r="Y3425" s="330"/>
      <c r="Z3425" s="330"/>
      <c r="AA3425" s="223"/>
    </row>
    <row r="3426">
      <c r="A3426" s="42">
        <f t="shared" si="3"/>
        <v>3425</v>
      </c>
      <c r="B3426" s="53"/>
      <c r="C3426" s="53"/>
      <c r="D3426" s="42"/>
      <c r="E3426" s="42"/>
      <c r="F3426" s="53"/>
      <c r="G3426" s="53"/>
      <c r="H3426" s="53"/>
      <c r="I3426" s="53"/>
      <c r="J3426" s="53"/>
      <c r="K3426" s="53"/>
      <c r="L3426" s="53"/>
      <c r="M3426" s="53"/>
      <c r="N3426" s="62"/>
      <c r="O3426" s="62"/>
      <c r="P3426" s="62"/>
      <c r="Q3426" s="62"/>
      <c r="R3426" s="53"/>
      <c r="S3426" s="53"/>
      <c r="T3426" s="82"/>
      <c r="U3426" s="42"/>
      <c r="V3426" s="62"/>
      <c r="W3426" s="64"/>
      <c r="X3426" s="330"/>
      <c r="Y3426" s="330"/>
      <c r="Z3426" s="330"/>
      <c r="AA3426" s="223"/>
    </row>
    <row r="3427">
      <c r="A3427" s="42">
        <f t="shared" si="3"/>
        <v>3426</v>
      </c>
      <c r="B3427" s="53"/>
      <c r="C3427" s="53"/>
      <c r="D3427" s="42"/>
      <c r="E3427" s="42"/>
      <c r="F3427" s="53"/>
      <c r="G3427" s="53"/>
      <c r="H3427" s="53"/>
      <c r="I3427" s="53"/>
      <c r="J3427" s="53"/>
      <c r="K3427" s="53"/>
      <c r="L3427" s="53"/>
      <c r="M3427" s="53"/>
      <c r="N3427" s="62"/>
      <c r="O3427" s="62"/>
      <c r="P3427" s="62"/>
      <c r="Q3427" s="62"/>
      <c r="R3427" s="53"/>
      <c r="S3427" s="53"/>
      <c r="T3427" s="82"/>
      <c r="U3427" s="42"/>
      <c r="V3427" s="62"/>
      <c r="W3427" s="64"/>
      <c r="X3427" s="330"/>
      <c r="Y3427" s="330"/>
      <c r="Z3427" s="330"/>
      <c r="AA3427" s="223"/>
    </row>
    <row r="3428">
      <c r="A3428" s="42">
        <f t="shared" si="3"/>
        <v>3427</v>
      </c>
      <c r="B3428" s="53"/>
      <c r="C3428" s="53"/>
      <c r="D3428" s="42"/>
      <c r="E3428" s="42"/>
      <c r="F3428" s="53"/>
      <c r="G3428" s="53"/>
      <c r="H3428" s="53"/>
      <c r="I3428" s="53"/>
      <c r="J3428" s="53"/>
      <c r="K3428" s="53"/>
      <c r="L3428" s="53"/>
      <c r="M3428" s="53"/>
      <c r="N3428" s="62"/>
      <c r="O3428" s="62"/>
      <c r="P3428" s="62"/>
      <c r="Q3428" s="62"/>
      <c r="R3428" s="53"/>
      <c r="S3428" s="53"/>
      <c r="T3428" s="82"/>
      <c r="U3428" s="42"/>
      <c r="V3428" s="62"/>
      <c r="W3428" s="64"/>
      <c r="X3428" s="330"/>
      <c r="Y3428" s="330"/>
      <c r="Z3428" s="330"/>
      <c r="AA3428" s="223"/>
    </row>
    <row r="3429">
      <c r="A3429" s="42">
        <f t="shared" si="3"/>
        <v>3428</v>
      </c>
      <c r="B3429" s="53"/>
      <c r="C3429" s="53"/>
      <c r="D3429" s="42"/>
      <c r="E3429" s="42"/>
      <c r="F3429" s="53"/>
      <c r="G3429" s="53"/>
      <c r="H3429" s="53"/>
      <c r="I3429" s="53"/>
      <c r="J3429" s="53"/>
      <c r="K3429" s="53"/>
      <c r="L3429" s="53"/>
      <c r="M3429" s="53"/>
      <c r="N3429" s="62"/>
      <c r="O3429" s="62"/>
      <c r="P3429" s="62"/>
      <c r="Q3429" s="62"/>
      <c r="R3429" s="53"/>
      <c r="S3429" s="53"/>
      <c r="T3429" s="82"/>
      <c r="U3429" s="42"/>
      <c r="V3429" s="62"/>
      <c r="W3429" s="64"/>
      <c r="X3429" s="330"/>
      <c r="Y3429" s="330"/>
      <c r="Z3429" s="330"/>
      <c r="AA3429" s="223"/>
    </row>
    <row r="3430">
      <c r="A3430" s="42">
        <f t="shared" si="3"/>
        <v>3429</v>
      </c>
      <c r="B3430" s="53"/>
      <c r="C3430" s="53"/>
      <c r="D3430" s="42"/>
      <c r="E3430" s="42"/>
      <c r="F3430" s="53"/>
      <c r="G3430" s="53"/>
      <c r="H3430" s="53"/>
      <c r="I3430" s="53"/>
      <c r="J3430" s="53"/>
      <c r="K3430" s="53"/>
      <c r="L3430" s="53"/>
      <c r="M3430" s="53"/>
      <c r="N3430" s="62"/>
      <c r="O3430" s="62"/>
      <c r="P3430" s="62"/>
      <c r="Q3430" s="62"/>
      <c r="R3430" s="53"/>
      <c r="S3430" s="53"/>
      <c r="T3430" s="82"/>
      <c r="U3430" s="42"/>
      <c r="V3430" s="62"/>
      <c r="W3430" s="64"/>
      <c r="X3430" s="330"/>
      <c r="Y3430" s="330"/>
      <c r="Z3430" s="330"/>
      <c r="AA3430" s="223"/>
    </row>
    <row r="3431">
      <c r="A3431" s="42">
        <f t="shared" si="3"/>
        <v>3430</v>
      </c>
      <c r="B3431" s="53"/>
      <c r="C3431" s="53"/>
      <c r="D3431" s="42"/>
      <c r="E3431" s="42"/>
      <c r="F3431" s="53"/>
      <c r="G3431" s="53"/>
      <c r="H3431" s="53"/>
      <c r="I3431" s="53"/>
      <c r="J3431" s="53"/>
      <c r="K3431" s="53"/>
      <c r="L3431" s="53"/>
      <c r="M3431" s="53"/>
      <c r="N3431" s="62"/>
      <c r="O3431" s="62"/>
      <c r="P3431" s="62"/>
      <c r="Q3431" s="62"/>
      <c r="R3431" s="53"/>
      <c r="S3431" s="53"/>
      <c r="T3431" s="82"/>
      <c r="U3431" s="42"/>
      <c r="V3431" s="62"/>
      <c r="W3431" s="64"/>
      <c r="X3431" s="330"/>
      <c r="Y3431" s="330"/>
      <c r="Z3431" s="330"/>
      <c r="AA3431" s="223"/>
    </row>
    <row r="3432">
      <c r="A3432" s="42">
        <f t="shared" si="3"/>
        <v>3431</v>
      </c>
      <c r="B3432" s="53"/>
      <c r="C3432" s="53"/>
      <c r="D3432" s="42"/>
      <c r="E3432" s="42"/>
      <c r="F3432" s="53"/>
      <c r="G3432" s="53"/>
      <c r="H3432" s="53"/>
      <c r="I3432" s="53"/>
      <c r="J3432" s="53"/>
      <c r="K3432" s="53"/>
      <c r="L3432" s="53"/>
      <c r="M3432" s="53"/>
      <c r="N3432" s="62"/>
      <c r="O3432" s="62"/>
      <c r="P3432" s="62"/>
      <c r="Q3432" s="62"/>
      <c r="R3432" s="53"/>
      <c r="S3432" s="53"/>
      <c r="T3432" s="82"/>
      <c r="U3432" s="42"/>
      <c r="V3432" s="62"/>
      <c r="W3432" s="64"/>
      <c r="X3432" s="330"/>
      <c r="Y3432" s="330"/>
      <c r="Z3432" s="330"/>
      <c r="AA3432" s="223"/>
    </row>
    <row r="3433">
      <c r="A3433" s="42">
        <f t="shared" si="3"/>
        <v>3432</v>
      </c>
      <c r="B3433" s="53"/>
      <c r="C3433" s="53"/>
      <c r="D3433" s="42"/>
      <c r="E3433" s="42"/>
      <c r="F3433" s="53"/>
      <c r="G3433" s="53"/>
      <c r="H3433" s="53"/>
      <c r="I3433" s="53"/>
      <c r="J3433" s="53"/>
      <c r="K3433" s="53"/>
      <c r="L3433" s="53"/>
      <c r="M3433" s="53"/>
      <c r="N3433" s="62"/>
      <c r="O3433" s="62"/>
      <c r="P3433" s="62"/>
      <c r="Q3433" s="62"/>
      <c r="R3433" s="53"/>
      <c r="S3433" s="53"/>
      <c r="T3433" s="82"/>
      <c r="U3433" s="42"/>
      <c r="V3433" s="62"/>
      <c r="W3433" s="64"/>
      <c r="X3433" s="330"/>
      <c r="Y3433" s="330"/>
      <c r="Z3433" s="330"/>
      <c r="AA3433" s="223"/>
    </row>
    <row r="3434">
      <c r="A3434" s="42">
        <f t="shared" si="3"/>
        <v>3433</v>
      </c>
      <c r="B3434" s="53"/>
      <c r="C3434" s="53"/>
      <c r="D3434" s="42"/>
      <c r="E3434" s="42"/>
      <c r="F3434" s="53"/>
      <c r="G3434" s="53"/>
      <c r="H3434" s="53"/>
      <c r="I3434" s="53"/>
      <c r="J3434" s="53"/>
      <c r="K3434" s="53"/>
      <c r="L3434" s="53"/>
      <c r="M3434" s="53"/>
      <c r="N3434" s="62"/>
      <c r="O3434" s="62"/>
      <c r="P3434" s="62"/>
      <c r="Q3434" s="62"/>
      <c r="R3434" s="53"/>
      <c r="S3434" s="53"/>
      <c r="T3434" s="82"/>
      <c r="U3434" s="42"/>
      <c r="V3434" s="62"/>
      <c r="W3434" s="64"/>
      <c r="X3434" s="330"/>
      <c r="Y3434" s="330"/>
      <c r="Z3434" s="330"/>
      <c r="AA3434" s="223"/>
    </row>
    <row r="3435">
      <c r="A3435" s="42">
        <f t="shared" si="3"/>
        <v>3434</v>
      </c>
      <c r="B3435" s="53"/>
      <c r="C3435" s="53"/>
      <c r="D3435" s="42"/>
      <c r="E3435" s="42"/>
      <c r="F3435" s="53"/>
      <c r="G3435" s="53"/>
      <c r="H3435" s="53"/>
      <c r="I3435" s="53"/>
      <c r="J3435" s="53"/>
      <c r="K3435" s="53"/>
      <c r="L3435" s="53"/>
      <c r="M3435" s="53"/>
      <c r="N3435" s="62"/>
      <c r="O3435" s="62"/>
      <c r="P3435" s="62"/>
      <c r="Q3435" s="62"/>
      <c r="R3435" s="53"/>
      <c r="S3435" s="53"/>
      <c r="T3435" s="82"/>
      <c r="U3435" s="42"/>
      <c r="V3435" s="62"/>
      <c r="W3435" s="64"/>
      <c r="X3435" s="330"/>
      <c r="Y3435" s="330"/>
      <c r="Z3435" s="330"/>
      <c r="AA3435" s="223"/>
    </row>
    <row r="3436">
      <c r="A3436" s="42">
        <f t="shared" si="3"/>
        <v>3435</v>
      </c>
      <c r="B3436" s="53"/>
      <c r="C3436" s="53"/>
      <c r="D3436" s="42"/>
      <c r="E3436" s="42"/>
      <c r="F3436" s="53"/>
      <c r="G3436" s="53"/>
      <c r="H3436" s="53"/>
      <c r="I3436" s="53"/>
      <c r="J3436" s="53"/>
      <c r="K3436" s="53"/>
      <c r="L3436" s="53"/>
      <c r="M3436" s="53"/>
      <c r="N3436" s="62"/>
      <c r="O3436" s="62"/>
      <c r="P3436" s="62"/>
      <c r="Q3436" s="62"/>
      <c r="R3436" s="53"/>
      <c r="S3436" s="53"/>
      <c r="T3436" s="82"/>
      <c r="U3436" s="42"/>
      <c r="V3436" s="62"/>
      <c r="W3436" s="64"/>
      <c r="X3436" s="330"/>
      <c r="Y3436" s="330"/>
      <c r="Z3436" s="330"/>
      <c r="AA3436" s="223"/>
    </row>
    <row r="3437">
      <c r="A3437" s="42">
        <f t="shared" si="3"/>
        <v>3436</v>
      </c>
      <c r="B3437" s="53"/>
      <c r="C3437" s="53"/>
      <c r="D3437" s="42"/>
      <c r="E3437" s="42"/>
      <c r="F3437" s="53"/>
      <c r="G3437" s="53"/>
      <c r="H3437" s="53"/>
      <c r="I3437" s="53"/>
      <c r="J3437" s="53"/>
      <c r="K3437" s="53"/>
      <c r="L3437" s="53"/>
      <c r="M3437" s="53"/>
      <c r="N3437" s="62"/>
      <c r="O3437" s="62"/>
      <c r="P3437" s="62"/>
      <c r="Q3437" s="62"/>
      <c r="R3437" s="53"/>
      <c r="S3437" s="53"/>
      <c r="T3437" s="82"/>
      <c r="U3437" s="42"/>
      <c r="V3437" s="62"/>
      <c r="W3437" s="64"/>
      <c r="X3437" s="330"/>
      <c r="Y3437" s="330"/>
      <c r="Z3437" s="330"/>
      <c r="AA3437" s="223"/>
    </row>
    <row r="3438">
      <c r="A3438" s="42">
        <f t="shared" si="3"/>
        <v>3437</v>
      </c>
      <c r="B3438" s="53"/>
      <c r="C3438" s="53"/>
      <c r="D3438" s="42"/>
      <c r="E3438" s="42"/>
      <c r="F3438" s="53"/>
      <c r="G3438" s="53"/>
      <c r="H3438" s="53"/>
      <c r="I3438" s="53"/>
      <c r="J3438" s="53"/>
      <c r="K3438" s="53"/>
      <c r="L3438" s="53"/>
      <c r="M3438" s="53"/>
      <c r="N3438" s="62"/>
      <c r="O3438" s="62"/>
      <c r="P3438" s="62"/>
      <c r="Q3438" s="62"/>
      <c r="R3438" s="53"/>
      <c r="S3438" s="53"/>
      <c r="T3438" s="82"/>
      <c r="U3438" s="42"/>
      <c r="V3438" s="62"/>
      <c r="W3438" s="64"/>
      <c r="X3438" s="330"/>
      <c r="Y3438" s="330"/>
      <c r="Z3438" s="330"/>
      <c r="AA3438" s="223"/>
    </row>
    <row r="3439">
      <c r="A3439" s="42">
        <f t="shared" si="3"/>
        <v>3438</v>
      </c>
      <c r="B3439" s="53"/>
      <c r="C3439" s="53"/>
      <c r="D3439" s="42"/>
      <c r="E3439" s="42"/>
      <c r="F3439" s="53"/>
      <c r="G3439" s="53"/>
      <c r="H3439" s="53"/>
      <c r="I3439" s="53"/>
      <c r="J3439" s="53"/>
      <c r="K3439" s="53"/>
      <c r="L3439" s="53"/>
      <c r="M3439" s="53"/>
      <c r="N3439" s="62"/>
      <c r="O3439" s="62"/>
      <c r="P3439" s="62"/>
      <c r="Q3439" s="62"/>
      <c r="R3439" s="53"/>
      <c r="S3439" s="53"/>
      <c r="T3439" s="82"/>
      <c r="U3439" s="42"/>
      <c r="V3439" s="62"/>
      <c r="W3439" s="64"/>
      <c r="X3439" s="330"/>
      <c r="Y3439" s="330"/>
      <c r="Z3439" s="330"/>
      <c r="AA3439" s="223"/>
    </row>
    <row r="3440">
      <c r="A3440" s="42">
        <f t="shared" si="3"/>
        <v>3439</v>
      </c>
      <c r="B3440" s="53"/>
      <c r="C3440" s="53"/>
      <c r="D3440" s="42"/>
      <c r="E3440" s="42"/>
      <c r="F3440" s="53"/>
      <c r="G3440" s="53"/>
      <c r="H3440" s="53"/>
      <c r="I3440" s="53"/>
      <c r="J3440" s="53"/>
      <c r="K3440" s="53"/>
      <c r="L3440" s="53"/>
      <c r="M3440" s="53"/>
      <c r="N3440" s="62"/>
      <c r="O3440" s="62"/>
      <c r="P3440" s="62"/>
      <c r="Q3440" s="62"/>
      <c r="R3440" s="53"/>
      <c r="S3440" s="53"/>
      <c r="T3440" s="82"/>
      <c r="U3440" s="42"/>
      <c r="V3440" s="62"/>
      <c r="W3440" s="64"/>
      <c r="X3440" s="330"/>
      <c r="Y3440" s="330"/>
      <c r="Z3440" s="330"/>
      <c r="AA3440" s="223"/>
    </row>
    <row r="3441">
      <c r="A3441" s="42">
        <f t="shared" si="3"/>
        <v>3440</v>
      </c>
      <c r="B3441" s="53"/>
      <c r="C3441" s="53"/>
      <c r="D3441" s="42"/>
      <c r="E3441" s="42"/>
      <c r="F3441" s="53"/>
      <c r="G3441" s="53"/>
      <c r="H3441" s="53"/>
      <c r="I3441" s="53"/>
      <c r="J3441" s="53"/>
      <c r="K3441" s="53"/>
      <c r="L3441" s="53"/>
      <c r="M3441" s="53"/>
      <c r="N3441" s="62"/>
      <c r="O3441" s="62"/>
      <c r="P3441" s="62"/>
      <c r="Q3441" s="62"/>
      <c r="R3441" s="53"/>
      <c r="S3441" s="53"/>
      <c r="T3441" s="82"/>
      <c r="U3441" s="42"/>
      <c r="V3441" s="62"/>
      <c r="W3441" s="64"/>
      <c r="X3441" s="330"/>
      <c r="Y3441" s="330"/>
      <c r="Z3441" s="330"/>
      <c r="AA3441" s="223"/>
    </row>
    <row r="3442">
      <c r="A3442" s="42">
        <f t="shared" si="3"/>
        <v>3441</v>
      </c>
      <c r="B3442" s="53"/>
      <c r="C3442" s="53"/>
      <c r="D3442" s="42"/>
      <c r="E3442" s="42"/>
      <c r="F3442" s="53"/>
      <c r="G3442" s="53"/>
      <c r="H3442" s="53"/>
      <c r="I3442" s="53"/>
      <c r="J3442" s="53"/>
      <c r="K3442" s="53"/>
      <c r="L3442" s="53"/>
      <c r="M3442" s="53"/>
      <c r="N3442" s="62"/>
      <c r="O3442" s="62"/>
      <c r="P3442" s="62"/>
      <c r="Q3442" s="62"/>
      <c r="R3442" s="53"/>
      <c r="S3442" s="53"/>
      <c r="T3442" s="82"/>
      <c r="U3442" s="42"/>
      <c r="V3442" s="62"/>
      <c r="W3442" s="64"/>
      <c r="X3442" s="330"/>
      <c r="Y3442" s="330"/>
      <c r="Z3442" s="330"/>
      <c r="AA3442" s="223"/>
    </row>
    <row r="3443">
      <c r="A3443" s="42">
        <f t="shared" si="3"/>
        <v>3442</v>
      </c>
      <c r="B3443" s="53"/>
      <c r="C3443" s="53"/>
      <c r="D3443" s="42"/>
      <c r="E3443" s="42"/>
      <c r="F3443" s="53"/>
      <c r="G3443" s="53"/>
      <c r="H3443" s="53"/>
      <c r="I3443" s="53"/>
      <c r="J3443" s="53"/>
      <c r="K3443" s="53"/>
      <c r="L3443" s="53"/>
      <c r="M3443" s="53"/>
      <c r="N3443" s="62"/>
      <c r="O3443" s="62"/>
      <c r="P3443" s="62"/>
      <c r="Q3443" s="62"/>
      <c r="R3443" s="53"/>
      <c r="S3443" s="53"/>
      <c r="T3443" s="82"/>
      <c r="U3443" s="42"/>
      <c r="V3443" s="62"/>
      <c r="W3443" s="64"/>
      <c r="X3443" s="330"/>
      <c r="Y3443" s="330"/>
      <c r="Z3443" s="330"/>
      <c r="AA3443" s="223"/>
    </row>
    <row r="3444">
      <c r="A3444" s="42">
        <f t="shared" si="3"/>
        <v>3443</v>
      </c>
      <c r="B3444" s="53"/>
      <c r="C3444" s="53"/>
      <c r="D3444" s="42"/>
      <c r="E3444" s="42"/>
      <c r="F3444" s="53"/>
      <c r="G3444" s="53"/>
      <c r="H3444" s="53"/>
      <c r="I3444" s="53"/>
      <c r="J3444" s="53"/>
      <c r="K3444" s="53"/>
      <c r="L3444" s="53"/>
      <c r="M3444" s="53"/>
      <c r="N3444" s="62"/>
      <c r="O3444" s="62"/>
      <c r="P3444" s="62"/>
      <c r="Q3444" s="62"/>
      <c r="R3444" s="53"/>
      <c r="S3444" s="53"/>
      <c r="T3444" s="82"/>
      <c r="U3444" s="42"/>
      <c r="V3444" s="62"/>
      <c r="W3444" s="64"/>
      <c r="X3444" s="330"/>
      <c r="Y3444" s="330"/>
      <c r="Z3444" s="330"/>
      <c r="AA3444" s="223"/>
    </row>
    <row r="3445">
      <c r="A3445" s="42">
        <f t="shared" si="3"/>
        <v>3444</v>
      </c>
      <c r="B3445" s="53"/>
      <c r="C3445" s="53"/>
      <c r="D3445" s="42"/>
      <c r="E3445" s="42"/>
      <c r="F3445" s="53"/>
      <c r="G3445" s="53"/>
      <c r="H3445" s="53"/>
      <c r="I3445" s="53"/>
      <c r="J3445" s="53"/>
      <c r="K3445" s="53"/>
      <c r="L3445" s="53"/>
      <c r="M3445" s="53"/>
      <c r="N3445" s="62"/>
      <c r="O3445" s="62"/>
      <c r="P3445" s="62"/>
      <c r="Q3445" s="62"/>
      <c r="R3445" s="53"/>
      <c r="S3445" s="53"/>
      <c r="T3445" s="82"/>
      <c r="U3445" s="42"/>
      <c r="V3445" s="62"/>
      <c r="W3445" s="64"/>
      <c r="X3445" s="330"/>
      <c r="Y3445" s="330"/>
      <c r="Z3445" s="330"/>
      <c r="AA3445" s="223"/>
    </row>
    <row r="3446">
      <c r="A3446" s="42">
        <f t="shared" si="3"/>
        <v>3445</v>
      </c>
      <c r="B3446" s="53"/>
      <c r="C3446" s="53"/>
      <c r="D3446" s="42"/>
      <c r="E3446" s="42"/>
      <c r="F3446" s="53"/>
      <c r="G3446" s="53"/>
      <c r="H3446" s="53"/>
      <c r="I3446" s="53"/>
      <c r="J3446" s="53"/>
      <c r="K3446" s="53"/>
      <c r="L3446" s="53"/>
      <c r="M3446" s="53"/>
      <c r="N3446" s="62"/>
      <c r="O3446" s="62"/>
      <c r="P3446" s="62"/>
      <c r="Q3446" s="62"/>
      <c r="R3446" s="53"/>
      <c r="S3446" s="53"/>
      <c r="T3446" s="82"/>
      <c r="U3446" s="42"/>
      <c r="V3446" s="62"/>
      <c r="W3446" s="64"/>
      <c r="X3446" s="330"/>
      <c r="Y3446" s="330"/>
      <c r="Z3446" s="330"/>
      <c r="AA3446" s="223"/>
    </row>
    <row r="3447">
      <c r="A3447" s="42">
        <f t="shared" si="3"/>
        <v>3446</v>
      </c>
      <c r="B3447" s="53"/>
      <c r="C3447" s="53"/>
      <c r="D3447" s="42"/>
      <c r="E3447" s="42"/>
      <c r="F3447" s="53"/>
      <c r="G3447" s="53"/>
      <c r="H3447" s="53"/>
      <c r="I3447" s="53"/>
      <c r="J3447" s="53"/>
      <c r="K3447" s="53"/>
      <c r="L3447" s="53"/>
      <c r="M3447" s="53"/>
      <c r="N3447" s="62"/>
      <c r="O3447" s="62"/>
      <c r="P3447" s="62"/>
      <c r="Q3447" s="62"/>
      <c r="R3447" s="53"/>
      <c r="S3447" s="53"/>
      <c r="T3447" s="82"/>
      <c r="U3447" s="42"/>
      <c r="V3447" s="62"/>
      <c r="W3447" s="64"/>
      <c r="X3447" s="330"/>
      <c r="Y3447" s="330"/>
      <c r="Z3447" s="330"/>
      <c r="AA3447" s="223"/>
    </row>
    <row r="3448">
      <c r="A3448" s="42">
        <f t="shared" si="3"/>
        <v>3447</v>
      </c>
      <c r="B3448" s="53"/>
      <c r="C3448" s="53"/>
      <c r="D3448" s="42"/>
      <c r="E3448" s="42"/>
      <c r="F3448" s="53"/>
      <c r="G3448" s="53"/>
      <c r="H3448" s="53"/>
      <c r="I3448" s="53"/>
      <c r="J3448" s="53"/>
      <c r="K3448" s="53"/>
      <c r="L3448" s="53"/>
      <c r="M3448" s="53"/>
      <c r="N3448" s="62"/>
      <c r="O3448" s="62"/>
      <c r="P3448" s="62"/>
      <c r="Q3448" s="62"/>
      <c r="R3448" s="53"/>
      <c r="S3448" s="53"/>
      <c r="T3448" s="82"/>
      <c r="U3448" s="42"/>
      <c r="V3448" s="62"/>
      <c r="W3448" s="64"/>
      <c r="X3448" s="330"/>
      <c r="Y3448" s="330"/>
      <c r="Z3448" s="330"/>
      <c r="AA3448" s="223"/>
    </row>
    <row r="3449">
      <c r="A3449" s="42">
        <f t="shared" si="3"/>
        <v>3448</v>
      </c>
      <c r="B3449" s="53"/>
      <c r="C3449" s="53"/>
      <c r="D3449" s="42"/>
      <c r="E3449" s="42"/>
      <c r="F3449" s="53"/>
      <c r="G3449" s="53"/>
      <c r="H3449" s="53"/>
      <c r="I3449" s="53"/>
      <c r="J3449" s="53"/>
      <c r="K3449" s="53"/>
      <c r="L3449" s="53"/>
      <c r="M3449" s="53"/>
      <c r="N3449" s="62"/>
      <c r="O3449" s="62"/>
      <c r="P3449" s="62"/>
      <c r="Q3449" s="62"/>
      <c r="R3449" s="53"/>
      <c r="S3449" s="53"/>
      <c r="T3449" s="82"/>
      <c r="U3449" s="42"/>
      <c r="V3449" s="62"/>
      <c r="W3449" s="64"/>
      <c r="X3449" s="330"/>
      <c r="Y3449" s="330"/>
      <c r="Z3449" s="330"/>
      <c r="AA3449" s="223"/>
    </row>
    <row r="3450">
      <c r="A3450" s="42">
        <f t="shared" si="3"/>
        <v>3449</v>
      </c>
      <c r="B3450" s="53"/>
      <c r="C3450" s="53"/>
      <c r="D3450" s="42"/>
      <c r="E3450" s="42"/>
      <c r="F3450" s="53"/>
      <c r="G3450" s="53"/>
      <c r="H3450" s="53"/>
      <c r="I3450" s="53"/>
      <c r="J3450" s="53"/>
      <c r="K3450" s="53"/>
      <c r="L3450" s="53"/>
      <c r="M3450" s="53"/>
      <c r="N3450" s="62"/>
      <c r="O3450" s="62"/>
      <c r="P3450" s="62"/>
      <c r="Q3450" s="62"/>
      <c r="R3450" s="53"/>
      <c r="S3450" s="53"/>
      <c r="T3450" s="82"/>
      <c r="U3450" s="42"/>
      <c r="V3450" s="62"/>
      <c r="W3450" s="64"/>
      <c r="X3450" s="330"/>
      <c r="Y3450" s="330"/>
      <c r="Z3450" s="330"/>
      <c r="AA3450" s="223"/>
    </row>
    <row r="3451">
      <c r="A3451" s="42">
        <f t="shared" si="3"/>
        <v>3450</v>
      </c>
      <c r="B3451" s="53"/>
      <c r="C3451" s="53"/>
      <c r="D3451" s="42"/>
      <c r="E3451" s="42"/>
      <c r="F3451" s="53"/>
      <c r="G3451" s="53"/>
      <c r="H3451" s="53"/>
      <c r="I3451" s="53"/>
      <c r="J3451" s="53"/>
      <c r="K3451" s="53"/>
      <c r="L3451" s="53"/>
      <c r="M3451" s="53"/>
      <c r="N3451" s="62"/>
      <c r="O3451" s="62"/>
      <c r="P3451" s="62"/>
      <c r="Q3451" s="62"/>
      <c r="R3451" s="53"/>
      <c r="S3451" s="53"/>
      <c r="T3451" s="82"/>
      <c r="U3451" s="42"/>
      <c r="V3451" s="62"/>
      <c r="W3451" s="64"/>
      <c r="X3451" s="330"/>
      <c r="Y3451" s="330"/>
      <c r="Z3451" s="330"/>
      <c r="AA3451" s="223"/>
    </row>
    <row r="3452">
      <c r="A3452" s="42">
        <f t="shared" si="3"/>
        <v>3451</v>
      </c>
      <c r="B3452" s="53"/>
      <c r="C3452" s="53"/>
      <c r="D3452" s="42"/>
      <c r="E3452" s="42"/>
      <c r="F3452" s="53"/>
      <c r="G3452" s="53"/>
      <c r="H3452" s="53"/>
      <c r="I3452" s="53"/>
      <c r="J3452" s="53"/>
      <c r="K3452" s="53"/>
      <c r="L3452" s="53"/>
      <c r="M3452" s="53"/>
      <c r="N3452" s="62"/>
      <c r="O3452" s="62"/>
      <c r="P3452" s="62"/>
      <c r="Q3452" s="62"/>
      <c r="R3452" s="53"/>
      <c r="S3452" s="53"/>
      <c r="T3452" s="82"/>
      <c r="U3452" s="42"/>
      <c r="V3452" s="62"/>
      <c r="W3452" s="64"/>
      <c r="X3452" s="330"/>
      <c r="Y3452" s="330"/>
      <c r="Z3452" s="330"/>
      <c r="AA3452" s="223"/>
    </row>
    <row r="3453">
      <c r="A3453" s="42">
        <f t="shared" si="3"/>
        <v>3452</v>
      </c>
      <c r="B3453" s="53"/>
      <c r="C3453" s="53"/>
      <c r="D3453" s="42"/>
      <c r="E3453" s="42"/>
      <c r="F3453" s="53"/>
      <c r="G3453" s="53"/>
      <c r="H3453" s="53"/>
      <c r="I3453" s="53"/>
      <c r="J3453" s="53"/>
      <c r="K3453" s="53"/>
      <c r="L3453" s="53"/>
      <c r="M3453" s="53"/>
      <c r="N3453" s="62"/>
      <c r="O3453" s="62"/>
      <c r="P3453" s="62"/>
      <c r="Q3453" s="62"/>
      <c r="R3453" s="53"/>
      <c r="S3453" s="53"/>
      <c r="T3453" s="82"/>
      <c r="U3453" s="42"/>
      <c r="V3453" s="62"/>
      <c r="W3453" s="64"/>
      <c r="X3453" s="330"/>
      <c r="Y3453" s="330"/>
      <c r="Z3453" s="330"/>
      <c r="AA3453" s="223"/>
    </row>
    <row r="3454">
      <c r="A3454" s="42">
        <f t="shared" si="3"/>
        <v>3453</v>
      </c>
      <c r="B3454" s="53"/>
      <c r="C3454" s="53"/>
      <c r="D3454" s="42"/>
      <c r="E3454" s="42"/>
      <c r="F3454" s="53"/>
      <c r="G3454" s="53"/>
      <c r="H3454" s="53"/>
      <c r="I3454" s="53"/>
      <c r="J3454" s="53"/>
      <c r="K3454" s="53"/>
      <c r="L3454" s="53"/>
      <c r="M3454" s="53"/>
      <c r="N3454" s="62"/>
      <c r="O3454" s="62"/>
      <c r="P3454" s="62"/>
      <c r="Q3454" s="62"/>
      <c r="R3454" s="53"/>
      <c r="S3454" s="53"/>
      <c r="T3454" s="82"/>
      <c r="U3454" s="42"/>
      <c r="V3454" s="62"/>
      <c r="W3454" s="64"/>
      <c r="X3454" s="330"/>
      <c r="Y3454" s="330"/>
      <c r="Z3454" s="330"/>
      <c r="AA3454" s="223"/>
    </row>
    <row r="3455">
      <c r="A3455" s="42">
        <f t="shared" si="3"/>
        <v>3454</v>
      </c>
      <c r="B3455" s="53"/>
      <c r="C3455" s="53"/>
      <c r="D3455" s="42"/>
      <c r="E3455" s="42"/>
      <c r="F3455" s="53"/>
      <c r="G3455" s="53"/>
      <c r="H3455" s="53"/>
      <c r="I3455" s="53"/>
      <c r="J3455" s="53"/>
      <c r="K3455" s="53"/>
      <c r="L3455" s="53"/>
      <c r="M3455" s="53"/>
      <c r="N3455" s="62"/>
      <c r="O3455" s="62"/>
      <c r="P3455" s="62"/>
      <c r="Q3455" s="62"/>
      <c r="R3455" s="53"/>
      <c r="S3455" s="53"/>
      <c r="T3455" s="82"/>
      <c r="U3455" s="42"/>
      <c r="V3455" s="62"/>
      <c r="W3455" s="64"/>
      <c r="X3455" s="330"/>
      <c r="Y3455" s="330"/>
      <c r="Z3455" s="330"/>
      <c r="AA3455" s="223"/>
    </row>
    <row r="3456">
      <c r="A3456" s="42">
        <f t="shared" si="3"/>
        <v>3455</v>
      </c>
      <c r="B3456" s="53"/>
      <c r="C3456" s="53"/>
      <c r="D3456" s="42"/>
      <c r="E3456" s="42"/>
      <c r="F3456" s="53"/>
      <c r="G3456" s="53"/>
      <c r="H3456" s="53"/>
      <c r="I3456" s="53"/>
      <c r="J3456" s="53"/>
      <c r="K3456" s="53"/>
      <c r="L3456" s="53"/>
      <c r="M3456" s="53"/>
      <c r="N3456" s="62"/>
      <c r="O3456" s="62"/>
      <c r="P3456" s="62"/>
      <c r="Q3456" s="62"/>
      <c r="R3456" s="53"/>
      <c r="S3456" s="53"/>
      <c r="T3456" s="82"/>
      <c r="U3456" s="42"/>
      <c r="V3456" s="62"/>
      <c r="W3456" s="64"/>
      <c r="X3456" s="330"/>
      <c r="Y3456" s="330"/>
      <c r="Z3456" s="330"/>
      <c r="AA3456" s="223"/>
    </row>
    <row r="3457">
      <c r="A3457" s="42">
        <f t="shared" si="3"/>
        <v>3456</v>
      </c>
      <c r="B3457" s="53"/>
      <c r="C3457" s="53"/>
      <c r="D3457" s="42"/>
      <c r="E3457" s="42"/>
      <c r="F3457" s="53"/>
      <c r="G3457" s="53"/>
      <c r="H3457" s="53"/>
      <c r="I3457" s="53"/>
      <c r="J3457" s="53"/>
      <c r="K3457" s="53"/>
      <c r="L3457" s="53"/>
      <c r="M3457" s="53"/>
      <c r="N3457" s="62"/>
      <c r="O3457" s="62"/>
      <c r="P3457" s="62"/>
      <c r="Q3457" s="62"/>
      <c r="R3457" s="53"/>
      <c r="S3457" s="53"/>
      <c r="T3457" s="82"/>
      <c r="U3457" s="42"/>
      <c r="V3457" s="62"/>
      <c r="W3457" s="64"/>
      <c r="X3457" s="330"/>
      <c r="Y3457" s="330"/>
      <c r="Z3457" s="330"/>
      <c r="AA3457" s="223"/>
    </row>
    <row r="3458">
      <c r="A3458" s="42">
        <f t="shared" si="3"/>
        <v>3457</v>
      </c>
      <c r="B3458" s="53"/>
      <c r="C3458" s="53"/>
      <c r="D3458" s="42"/>
      <c r="E3458" s="42"/>
      <c r="F3458" s="53"/>
      <c r="G3458" s="53"/>
      <c r="H3458" s="53"/>
      <c r="I3458" s="53"/>
      <c r="J3458" s="53"/>
      <c r="K3458" s="53"/>
      <c r="L3458" s="53"/>
      <c r="M3458" s="53"/>
      <c r="N3458" s="62"/>
      <c r="O3458" s="62"/>
      <c r="P3458" s="62"/>
      <c r="Q3458" s="62"/>
      <c r="R3458" s="53"/>
      <c r="S3458" s="53"/>
      <c r="T3458" s="82"/>
      <c r="U3458" s="42"/>
      <c r="V3458" s="62"/>
      <c r="W3458" s="64"/>
      <c r="X3458" s="330"/>
      <c r="Y3458" s="330"/>
      <c r="Z3458" s="330"/>
      <c r="AA3458" s="223"/>
    </row>
    <row r="3459">
      <c r="A3459" s="42">
        <f t="shared" si="3"/>
        <v>3458</v>
      </c>
      <c r="B3459" s="53"/>
      <c r="C3459" s="53"/>
      <c r="D3459" s="42"/>
      <c r="E3459" s="42"/>
      <c r="F3459" s="53"/>
      <c r="G3459" s="53"/>
      <c r="H3459" s="53"/>
      <c r="I3459" s="53"/>
      <c r="J3459" s="53"/>
      <c r="K3459" s="53"/>
      <c r="L3459" s="53"/>
      <c r="M3459" s="53"/>
      <c r="N3459" s="62"/>
      <c r="O3459" s="62"/>
      <c r="P3459" s="62"/>
      <c r="Q3459" s="62"/>
      <c r="R3459" s="53"/>
      <c r="S3459" s="53"/>
      <c r="T3459" s="82"/>
      <c r="U3459" s="42"/>
      <c r="V3459" s="62"/>
      <c r="W3459" s="64"/>
      <c r="X3459" s="330"/>
      <c r="Y3459" s="330"/>
      <c r="Z3459" s="330"/>
      <c r="AA3459" s="223"/>
    </row>
    <row r="3460">
      <c r="A3460" s="42">
        <f t="shared" si="3"/>
        <v>3459</v>
      </c>
      <c r="B3460" s="53"/>
      <c r="C3460" s="53"/>
      <c r="D3460" s="42"/>
      <c r="E3460" s="42"/>
      <c r="F3460" s="53"/>
      <c r="G3460" s="53"/>
      <c r="H3460" s="53"/>
      <c r="I3460" s="53"/>
      <c r="J3460" s="53"/>
      <c r="K3460" s="53"/>
      <c r="L3460" s="53"/>
      <c r="M3460" s="53"/>
      <c r="N3460" s="62"/>
      <c r="O3460" s="62"/>
      <c r="P3460" s="62"/>
      <c r="Q3460" s="62"/>
      <c r="R3460" s="53"/>
      <c r="S3460" s="53"/>
      <c r="T3460" s="82"/>
      <c r="U3460" s="42"/>
      <c r="V3460" s="62"/>
      <c r="W3460" s="64"/>
      <c r="X3460" s="330"/>
      <c r="Y3460" s="330"/>
      <c r="Z3460" s="330"/>
      <c r="AA3460" s="223"/>
    </row>
    <row r="3461">
      <c r="A3461" s="42">
        <f t="shared" si="3"/>
        <v>3460</v>
      </c>
      <c r="B3461" s="53"/>
      <c r="C3461" s="53"/>
      <c r="D3461" s="42"/>
      <c r="E3461" s="42"/>
      <c r="F3461" s="53"/>
      <c r="G3461" s="53"/>
      <c r="H3461" s="53"/>
      <c r="I3461" s="53"/>
      <c r="J3461" s="53"/>
      <c r="K3461" s="53"/>
      <c r="L3461" s="53"/>
      <c r="M3461" s="53"/>
      <c r="N3461" s="62"/>
      <c r="O3461" s="62"/>
      <c r="P3461" s="62"/>
      <c r="Q3461" s="62"/>
      <c r="R3461" s="53"/>
      <c r="S3461" s="53"/>
      <c r="T3461" s="82"/>
      <c r="U3461" s="42"/>
      <c r="V3461" s="62"/>
      <c r="W3461" s="64"/>
      <c r="X3461" s="330"/>
      <c r="Y3461" s="330"/>
      <c r="Z3461" s="330"/>
      <c r="AA3461" s="223"/>
    </row>
    <row r="3462">
      <c r="A3462" s="42">
        <f t="shared" si="3"/>
        <v>3461</v>
      </c>
      <c r="B3462" s="53"/>
      <c r="C3462" s="53"/>
      <c r="D3462" s="42"/>
      <c r="E3462" s="42"/>
      <c r="F3462" s="53"/>
      <c r="G3462" s="53"/>
      <c r="H3462" s="53"/>
      <c r="I3462" s="53"/>
      <c r="J3462" s="53"/>
      <c r="K3462" s="53"/>
      <c r="L3462" s="53"/>
      <c r="M3462" s="53"/>
      <c r="N3462" s="62"/>
      <c r="O3462" s="62"/>
      <c r="P3462" s="62"/>
      <c r="Q3462" s="62"/>
      <c r="R3462" s="53"/>
      <c r="S3462" s="53"/>
      <c r="T3462" s="82"/>
      <c r="U3462" s="42"/>
      <c r="V3462" s="62"/>
      <c r="W3462" s="64"/>
      <c r="X3462" s="330"/>
      <c r="Y3462" s="330"/>
      <c r="Z3462" s="330"/>
      <c r="AA3462" s="223"/>
    </row>
    <row r="3463">
      <c r="A3463" s="42">
        <f t="shared" si="3"/>
        <v>3462</v>
      </c>
      <c r="B3463" s="53"/>
      <c r="C3463" s="53"/>
      <c r="D3463" s="42"/>
      <c r="E3463" s="42"/>
      <c r="F3463" s="53"/>
      <c r="G3463" s="53"/>
      <c r="H3463" s="53"/>
      <c r="I3463" s="53"/>
      <c r="J3463" s="53"/>
      <c r="K3463" s="53"/>
      <c r="L3463" s="53"/>
      <c r="M3463" s="53"/>
      <c r="N3463" s="62"/>
      <c r="O3463" s="62"/>
      <c r="P3463" s="62"/>
      <c r="Q3463" s="62"/>
      <c r="R3463" s="53"/>
      <c r="S3463" s="53"/>
      <c r="T3463" s="82"/>
      <c r="U3463" s="42"/>
      <c r="V3463" s="62"/>
      <c r="W3463" s="64"/>
      <c r="X3463" s="330"/>
      <c r="Y3463" s="330"/>
      <c r="Z3463" s="330"/>
      <c r="AA3463" s="223"/>
    </row>
    <row r="3464">
      <c r="A3464" s="42">
        <f t="shared" si="3"/>
        <v>3463</v>
      </c>
      <c r="B3464" s="53"/>
      <c r="C3464" s="53"/>
      <c r="D3464" s="42"/>
      <c r="E3464" s="42"/>
      <c r="F3464" s="53"/>
      <c r="G3464" s="53"/>
      <c r="H3464" s="53"/>
      <c r="I3464" s="53"/>
      <c r="J3464" s="53"/>
      <c r="K3464" s="53"/>
      <c r="L3464" s="53"/>
      <c r="M3464" s="53"/>
      <c r="N3464" s="62"/>
      <c r="O3464" s="62"/>
      <c r="P3464" s="62"/>
      <c r="Q3464" s="62"/>
      <c r="R3464" s="53"/>
      <c r="S3464" s="53"/>
      <c r="T3464" s="82"/>
      <c r="U3464" s="42"/>
      <c r="V3464" s="62"/>
      <c r="W3464" s="64"/>
      <c r="X3464" s="330"/>
      <c r="Y3464" s="330"/>
      <c r="Z3464" s="330"/>
      <c r="AA3464" s="223"/>
    </row>
    <row r="3465">
      <c r="A3465" s="42">
        <f t="shared" si="3"/>
        <v>3464</v>
      </c>
      <c r="B3465" s="53"/>
      <c r="C3465" s="53"/>
      <c r="D3465" s="42"/>
      <c r="E3465" s="42"/>
      <c r="F3465" s="53"/>
      <c r="G3465" s="53"/>
      <c r="H3465" s="53"/>
      <c r="I3465" s="53"/>
      <c r="J3465" s="53"/>
      <c r="K3465" s="53"/>
      <c r="L3465" s="53"/>
      <c r="M3465" s="53"/>
      <c r="N3465" s="62"/>
      <c r="O3465" s="62"/>
      <c r="P3465" s="62"/>
      <c r="Q3465" s="62"/>
      <c r="R3465" s="53"/>
      <c r="S3465" s="53"/>
      <c r="T3465" s="82"/>
      <c r="U3465" s="42"/>
      <c r="V3465" s="62"/>
      <c r="W3465" s="64"/>
      <c r="X3465" s="330"/>
      <c r="Y3465" s="330"/>
      <c r="Z3465" s="330"/>
      <c r="AA3465" s="223"/>
    </row>
    <row r="3466">
      <c r="A3466" s="42">
        <f t="shared" si="3"/>
        <v>3465</v>
      </c>
      <c r="B3466" s="53"/>
      <c r="C3466" s="53"/>
      <c r="D3466" s="42"/>
      <c r="E3466" s="42"/>
      <c r="F3466" s="53"/>
      <c r="G3466" s="53"/>
      <c r="H3466" s="53"/>
      <c r="I3466" s="53"/>
      <c r="J3466" s="53"/>
      <c r="K3466" s="53"/>
      <c r="L3466" s="53"/>
      <c r="M3466" s="53"/>
      <c r="N3466" s="62"/>
      <c r="O3466" s="62"/>
      <c r="P3466" s="62"/>
      <c r="Q3466" s="62"/>
      <c r="R3466" s="53"/>
      <c r="S3466" s="53"/>
      <c r="T3466" s="82"/>
      <c r="U3466" s="42"/>
      <c r="V3466" s="62"/>
      <c r="W3466" s="64"/>
      <c r="X3466" s="330"/>
      <c r="Y3466" s="330"/>
      <c r="Z3466" s="330"/>
      <c r="AA3466" s="223"/>
    </row>
    <row r="3467">
      <c r="A3467" s="42">
        <f t="shared" si="3"/>
        <v>3466</v>
      </c>
      <c r="B3467" s="53"/>
      <c r="C3467" s="53"/>
      <c r="D3467" s="42"/>
      <c r="E3467" s="42"/>
      <c r="F3467" s="53"/>
      <c r="G3467" s="53"/>
      <c r="H3467" s="53"/>
      <c r="I3467" s="53"/>
      <c r="J3467" s="53"/>
      <c r="K3467" s="53"/>
      <c r="L3467" s="53"/>
      <c r="M3467" s="53"/>
      <c r="N3467" s="62"/>
      <c r="O3467" s="62"/>
      <c r="P3467" s="62"/>
      <c r="Q3467" s="62"/>
      <c r="R3467" s="53"/>
      <c r="S3467" s="53"/>
      <c r="T3467" s="82"/>
      <c r="U3467" s="42"/>
      <c r="V3467" s="62"/>
      <c r="W3467" s="64"/>
      <c r="X3467" s="330"/>
      <c r="Y3467" s="330"/>
      <c r="Z3467" s="330"/>
      <c r="AA3467" s="223"/>
    </row>
    <row r="3468">
      <c r="A3468" s="42">
        <f t="shared" si="3"/>
        <v>3467</v>
      </c>
      <c r="B3468" s="53"/>
      <c r="C3468" s="53"/>
      <c r="D3468" s="42"/>
      <c r="E3468" s="42"/>
      <c r="F3468" s="53"/>
      <c r="G3468" s="53"/>
      <c r="H3468" s="53"/>
      <c r="I3468" s="53"/>
      <c r="J3468" s="53"/>
      <c r="K3468" s="53"/>
      <c r="L3468" s="53"/>
      <c r="M3468" s="53"/>
      <c r="N3468" s="62"/>
      <c r="O3468" s="62"/>
      <c r="P3468" s="62"/>
      <c r="Q3468" s="62"/>
      <c r="R3468" s="53"/>
      <c r="S3468" s="53"/>
      <c r="T3468" s="82"/>
      <c r="U3468" s="42"/>
      <c r="V3468" s="62"/>
      <c r="W3468" s="64"/>
      <c r="X3468" s="330"/>
      <c r="Y3468" s="330"/>
      <c r="Z3468" s="330"/>
      <c r="AA3468" s="223"/>
    </row>
    <row r="3469">
      <c r="A3469" s="42">
        <f t="shared" si="3"/>
        <v>3468</v>
      </c>
      <c r="B3469" s="53"/>
      <c r="C3469" s="53"/>
      <c r="D3469" s="42"/>
      <c r="E3469" s="42"/>
      <c r="F3469" s="53"/>
      <c r="G3469" s="53"/>
      <c r="H3469" s="53"/>
      <c r="I3469" s="53"/>
      <c r="J3469" s="53"/>
      <c r="K3469" s="53"/>
      <c r="L3469" s="53"/>
      <c r="M3469" s="53"/>
      <c r="N3469" s="62"/>
      <c r="O3469" s="62"/>
      <c r="P3469" s="62"/>
      <c r="Q3469" s="62"/>
      <c r="R3469" s="53"/>
      <c r="S3469" s="53"/>
      <c r="T3469" s="82"/>
      <c r="U3469" s="42"/>
      <c r="V3469" s="62"/>
      <c r="W3469" s="64"/>
      <c r="X3469" s="330"/>
      <c r="Y3469" s="330"/>
      <c r="Z3469" s="330"/>
      <c r="AA3469" s="223"/>
    </row>
    <row r="3470">
      <c r="A3470" s="42">
        <f t="shared" si="3"/>
        <v>3469</v>
      </c>
      <c r="B3470" s="53"/>
      <c r="C3470" s="53"/>
      <c r="D3470" s="42"/>
      <c r="E3470" s="42"/>
      <c r="F3470" s="53"/>
      <c r="G3470" s="53"/>
      <c r="H3470" s="53"/>
      <c r="I3470" s="53"/>
      <c r="J3470" s="53"/>
      <c r="K3470" s="53"/>
      <c r="L3470" s="53"/>
      <c r="M3470" s="53"/>
      <c r="N3470" s="62"/>
      <c r="O3470" s="62"/>
      <c r="P3470" s="62"/>
      <c r="Q3470" s="62"/>
      <c r="R3470" s="53"/>
      <c r="S3470" s="53"/>
      <c r="T3470" s="82"/>
      <c r="U3470" s="42"/>
      <c r="V3470" s="62"/>
      <c r="W3470" s="64"/>
      <c r="X3470" s="330"/>
      <c r="Y3470" s="330"/>
      <c r="Z3470" s="330"/>
      <c r="AA3470" s="223"/>
    </row>
    <row r="3471">
      <c r="A3471" s="42">
        <f t="shared" si="3"/>
        <v>3470</v>
      </c>
      <c r="B3471" s="53"/>
      <c r="C3471" s="53"/>
      <c r="D3471" s="42"/>
      <c r="E3471" s="42"/>
      <c r="F3471" s="53"/>
      <c r="G3471" s="53"/>
      <c r="H3471" s="53"/>
      <c r="I3471" s="53"/>
      <c r="J3471" s="53"/>
      <c r="K3471" s="53"/>
      <c r="L3471" s="53"/>
      <c r="M3471" s="53"/>
      <c r="N3471" s="62"/>
      <c r="O3471" s="62"/>
      <c r="P3471" s="62"/>
      <c r="Q3471" s="62"/>
      <c r="R3471" s="53"/>
      <c r="S3471" s="53"/>
      <c r="T3471" s="82"/>
      <c r="U3471" s="42"/>
      <c r="V3471" s="62"/>
      <c r="W3471" s="64"/>
      <c r="X3471" s="330"/>
      <c r="Y3471" s="330"/>
      <c r="Z3471" s="330"/>
      <c r="AA3471" s="223"/>
    </row>
    <row r="3472">
      <c r="A3472" s="42">
        <f t="shared" si="3"/>
        <v>3471</v>
      </c>
      <c r="B3472" s="53"/>
      <c r="C3472" s="53"/>
      <c r="D3472" s="42"/>
      <c r="E3472" s="42"/>
      <c r="F3472" s="53"/>
      <c r="G3472" s="53"/>
      <c r="H3472" s="53"/>
      <c r="I3472" s="53"/>
      <c r="J3472" s="53"/>
      <c r="K3472" s="53"/>
      <c r="L3472" s="53"/>
      <c r="M3472" s="53"/>
      <c r="N3472" s="62"/>
      <c r="O3472" s="62"/>
      <c r="P3472" s="62"/>
      <c r="Q3472" s="62"/>
      <c r="R3472" s="53"/>
      <c r="S3472" s="53"/>
      <c r="T3472" s="82"/>
      <c r="U3472" s="42"/>
      <c r="V3472" s="62"/>
      <c r="W3472" s="64"/>
      <c r="X3472" s="330"/>
      <c r="Y3472" s="330"/>
      <c r="Z3472" s="330"/>
      <c r="AA3472" s="223"/>
    </row>
    <row r="3473">
      <c r="A3473" s="42">
        <f t="shared" si="3"/>
        <v>3472</v>
      </c>
      <c r="B3473" s="53"/>
      <c r="C3473" s="53"/>
      <c r="D3473" s="42"/>
      <c r="E3473" s="42"/>
      <c r="F3473" s="53"/>
      <c r="G3473" s="53"/>
      <c r="H3473" s="53"/>
      <c r="I3473" s="53"/>
      <c r="J3473" s="53"/>
      <c r="K3473" s="53"/>
      <c r="L3473" s="53"/>
      <c r="M3473" s="53"/>
      <c r="N3473" s="62"/>
      <c r="O3473" s="62"/>
      <c r="P3473" s="62"/>
      <c r="Q3473" s="62"/>
      <c r="R3473" s="53"/>
      <c r="S3473" s="53"/>
      <c r="T3473" s="82"/>
      <c r="U3473" s="42"/>
      <c r="V3473" s="62"/>
      <c r="W3473" s="64"/>
      <c r="X3473" s="330"/>
      <c r="Y3473" s="330"/>
      <c r="Z3473" s="330"/>
      <c r="AA3473" s="223"/>
    </row>
    <row r="3474">
      <c r="A3474" s="42">
        <f t="shared" si="3"/>
        <v>3473</v>
      </c>
      <c r="B3474" s="53"/>
      <c r="C3474" s="53"/>
      <c r="D3474" s="42"/>
      <c r="E3474" s="42"/>
      <c r="F3474" s="53"/>
      <c r="G3474" s="53"/>
      <c r="H3474" s="53"/>
      <c r="I3474" s="53"/>
      <c r="J3474" s="53"/>
      <c r="K3474" s="53"/>
      <c r="L3474" s="53"/>
      <c r="M3474" s="53"/>
      <c r="N3474" s="62"/>
      <c r="O3474" s="62"/>
      <c r="P3474" s="62"/>
      <c r="Q3474" s="62"/>
      <c r="R3474" s="53"/>
      <c r="S3474" s="53"/>
      <c r="T3474" s="82"/>
      <c r="U3474" s="42"/>
      <c r="V3474" s="62"/>
      <c r="W3474" s="64"/>
      <c r="X3474" s="330"/>
      <c r="Y3474" s="330"/>
      <c r="Z3474" s="330"/>
      <c r="AA3474" s="223"/>
    </row>
    <row r="3475">
      <c r="A3475" s="42">
        <f t="shared" si="3"/>
        <v>3474</v>
      </c>
      <c r="B3475" s="53"/>
      <c r="C3475" s="53"/>
      <c r="D3475" s="42"/>
      <c r="E3475" s="42"/>
      <c r="F3475" s="53"/>
      <c r="G3475" s="53"/>
      <c r="H3475" s="53"/>
      <c r="I3475" s="53"/>
      <c r="J3475" s="53"/>
      <c r="K3475" s="53"/>
      <c r="L3475" s="53"/>
      <c r="M3475" s="53"/>
      <c r="N3475" s="62"/>
      <c r="O3475" s="62"/>
      <c r="P3475" s="62"/>
      <c r="Q3475" s="62"/>
      <c r="R3475" s="53"/>
      <c r="S3475" s="53"/>
      <c r="T3475" s="82"/>
      <c r="U3475" s="42"/>
      <c r="V3475" s="62"/>
      <c r="W3475" s="64"/>
      <c r="X3475" s="330"/>
      <c r="Y3475" s="330"/>
      <c r="Z3475" s="330"/>
      <c r="AA3475" s="223"/>
    </row>
    <row r="3476">
      <c r="A3476" s="42">
        <f t="shared" si="3"/>
        <v>3475</v>
      </c>
      <c r="B3476" s="53"/>
      <c r="C3476" s="53"/>
      <c r="D3476" s="42"/>
      <c r="E3476" s="42"/>
      <c r="F3476" s="53"/>
      <c r="G3476" s="53"/>
      <c r="H3476" s="53"/>
      <c r="I3476" s="53"/>
      <c r="J3476" s="53"/>
      <c r="K3476" s="53"/>
      <c r="L3476" s="53"/>
      <c r="M3476" s="53"/>
      <c r="N3476" s="62"/>
      <c r="O3476" s="62"/>
      <c r="P3476" s="62"/>
      <c r="Q3476" s="62"/>
      <c r="R3476" s="53"/>
      <c r="S3476" s="53"/>
      <c r="T3476" s="82"/>
      <c r="U3476" s="42"/>
      <c r="V3476" s="62"/>
      <c r="W3476" s="64"/>
      <c r="X3476" s="330"/>
      <c r="Y3476" s="330"/>
      <c r="Z3476" s="330"/>
      <c r="AA3476" s="223"/>
    </row>
    <row r="3477">
      <c r="A3477" s="42">
        <f t="shared" si="3"/>
        <v>3476</v>
      </c>
      <c r="B3477" s="53"/>
      <c r="C3477" s="53"/>
      <c r="D3477" s="42"/>
      <c r="E3477" s="42"/>
      <c r="F3477" s="53"/>
      <c r="G3477" s="53"/>
      <c r="H3477" s="53"/>
      <c r="I3477" s="53"/>
      <c r="J3477" s="53"/>
      <c r="K3477" s="53"/>
      <c r="L3477" s="53"/>
      <c r="M3477" s="53"/>
      <c r="N3477" s="62"/>
      <c r="O3477" s="62"/>
      <c r="P3477" s="62"/>
      <c r="Q3477" s="62"/>
      <c r="R3477" s="53"/>
      <c r="S3477" s="53"/>
      <c r="T3477" s="82"/>
      <c r="U3477" s="42"/>
      <c r="V3477" s="62"/>
      <c r="W3477" s="64"/>
      <c r="X3477" s="330"/>
      <c r="Y3477" s="330"/>
      <c r="Z3477" s="330"/>
      <c r="AA3477" s="223"/>
    </row>
    <row r="3478">
      <c r="A3478" s="42">
        <f t="shared" si="3"/>
        <v>3477</v>
      </c>
      <c r="B3478" s="53"/>
      <c r="C3478" s="53"/>
      <c r="D3478" s="42"/>
      <c r="E3478" s="42"/>
      <c r="F3478" s="53"/>
      <c r="G3478" s="53"/>
      <c r="H3478" s="53"/>
      <c r="I3478" s="53"/>
      <c r="J3478" s="53"/>
      <c r="K3478" s="53"/>
      <c r="L3478" s="53"/>
      <c r="M3478" s="53"/>
      <c r="N3478" s="62"/>
      <c r="O3478" s="62"/>
      <c r="P3478" s="62"/>
      <c r="Q3478" s="62"/>
      <c r="R3478" s="53"/>
      <c r="S3478" s="53"/>
      <c r="T3478" s="82"/>
      <c r="U3478" s="42"/>
      <c r="V3478" s="62"/>
      <c r="W3478" s="64"/>
      <c r="X3478" s="330"/>
      <c r="Y3478" s="330"/>
      <c r="Z3478" s="330"/>
      <c r="AA3478" s="223"/>
    </row>
    <row r="3479">
      <c r="A3479" s="42">
        <f t="shared" si="3"/>
        <v>3478</v>
      </c>
      <c r="B3479" s="53"/>
      <c r="C3479" s="53"/>
      <c r="D3479" s="42"/>
      <c r="E3479" s="42"/>
      <c r="F3479" s="53"/>
      <c r="G3479" s="53"/>
      <c r="H3479" s="53"/>
      <c r="I3479" s="53"/>
      <c r="J3479" s="53"/>
      <c r="K3479" s="53"/>
      <c r="L3479" s="53"/>
      <c r="M3479" s="53"/>
      <c r="N3479" s="62"/>
      <c r="O3479" s="62"/>
      <c r="P3479" s="62"/>
      <c r="Q3479" s="62"/>
      <c r="R3479" s="53"/>
      <c r="S3479" s="53"/>
      <c r="T3479" s="82"/>
      <c r="U3479" s="42"/>
      <c r="V3479" s="62"/>
      <c r="W3479" s="64"/>
      <c r="X3479" s="330"/>
      <c r="Y3479" s="330"/>
      <c r="Z3479" s="330"/>
      <c r="AA3479" s="223"/>
    </row>
    <row r="3480">
      <c r="A3480" s="42">
        <f t="shared" si="3"/>
        <v>3479</v>
      </c>
      <c r="B3480" s="53"/>
      <c r="C3480" s="53"/>
      <c r="D3480" s="42"/>
      <c r="E3480" s="42"/>
      <c r="F3480" s="53"/>
      <c r="G3480" s="53"/>
      <c r="H3480" s="53"/>
      <c r="I3480" s="53"/>
      <c r="J3480" s="53"/>
      <c r="K3480" s="53"/>
      <c r="L3480" s="53"/>
      <c r="M3480" s="53"/>
      <c r="N3480" s="62"/>
      <c r="O3480" s="62"/>
      <c r="P3480" s="62"/>
      <c r="Q3480" s="62"/>
      <c r="R3480" s="53"/>
      <c r="S3480" s="53"/>
      <c r="T3480" s="82"/>
      <c r="U3480" s="42"/>
      <c r="V3480" s="62"/>
      <c r="W3480" s="64"/>
      <c r="X3480" s="330"/>
      <c r="Y3480" s="330"/>
      <c r="Z3480" s="330"/>
      <c r="AA3480" s="223"/>
    </row>
    <row r="3481">
      <c r="A3481" s="42">
        <f t="shared" si="3"/>
        <v>3480</v>
      </c>
      <c r="B3481" s="53"/>
      <c r="C3481" s="53"/>
      <c r="D3481" s="42"/>
      <c r="E3481" s="42"/>
      <c r="F3481" s="53"/>
      <c r="G3481" s="53"/>
      <c r="H3481" s="53"/>
      <c r="I3481" s="53"/>
      <c r="J3481" s="53"/>
      <c r="K3481" s="53"/>
      <c r="L3481" s="53"/>
      <c r="M3481" s="53"/>
      <c r="N3481" s="62"/>
      <c r="O3481" s="62"/>
      <c r="P3481" s="62"/>
      <c r="Q3481" s="62"/>
      <c r="R3481" s="53"/>
      <c r="S3481" s="53"/>
      <c r="T3481" s="82"/>
      <c r="U3481" s="42"/>
      <c r="V3481" s="62"/>
      <c r="W3481" s="64"/>
      <c r="X3481" s="330"/>
      <c r="Y3481" s="330"/>
      <c r="Z3481" s="330"/>
      <c r="AA3481" s="223"/>
    </row>
    <row r="3482">
      <c r="A3482" s="42">
        <f t="shared" si="3"/>
        <v>3481</v>
      </c>
      <c r="B3482" s="53"/>
      <c r="C3482" s="53"/>
      <c r="D3482" s="42"/>
      <c r="E3482" s="42"/>
      <c r="F3482" s="53"/>
      <c r="G3482" s="53"/>
      <c r="H3482" s="53"/>
      <c r="I3482" s="53"/>
      <c r="J3482" s="53"/>
      <c r="K3482" s="53"/>
      <c r="L3482" s="53"/>
      <c r="M3482" s="53"/>
      <c r="N3482" s="62"/>
      <c r="O3482" s="62"/>
      <c r="P3482" s="62"/>
      <c r="Q3482" s="62"/>
      <c r="R3482" s="53"/>
      <c r="S3482" s="53"/>
      <c r="T3482" s="82"/>
      <c r="U3482" s="42"/>
      <c r="V3482" s="62"/>
      <c r="W3482" s="64"/>
      <c r="X3482" s="330"/>
      <c r="Y3482" s="330"/>
      <c r="Z3482" s="330"/>
      <c r="AA3482" s="223"/>
    </row>
    <row r="3483">
      <c r="A3483" s="42">
        <f t="shared" si="3"/>
        <v>3482</v>
      </c>
      <c r="B3483" s="53"/>
      <c r="C3483" s="53"/>
      <c r="D3483" s="42"/>
      <c r="E3483" s="42"/>
      <c r="F3483" s="53"/>
      <c r="G3483" s="53"/>
      <c r="H3483" s="53"/>
      <c r="I3483" s="53"/>
      <c r="J3483" s="53"/>
      <c r="K3483" s="53"/>
      <c r="L3483" s="53"/>
      <c r="M3483" s="53"/>
      <c r="N3483" s="62"/>
      <c r="O3483" s="62"/>
      <c r="P3483" s="62"/>
      <c r="Q3483" s="62"/>
      <c r="R3483" s="53"/>
      <c r="S3483" s="53"/>
      <c r="T3483" s="82"/>
      <c r="U3483" s="42"/>
      <c r="V3483" s="62"/>
      <c r="W3483" s="64"/>
      <c r="X3483" s="330"/>
      <c r="Y3483" s="330"/>
      <c r="Z3483" s="330"/>
      <c r="AA3483" s="223"/>
    </row>
    <row r="3484">
      <c r="A3484" s="42">
        <f t="shared" si="3"/>
        <v>3483</v>
      </c>
      <c r="B3484" s="53"/>
      <c r="C3484" s="53"/>
      <c r="D3484" s="42"/>
      <c r="E3484" s="42"/>
      <c r="F3484" s="53"/>
      <c r="G3484" s="53"/>
      <c r="H3484" s="53"/>
      <c r="I3484" s="53"/>
      <c r="J3484" s="53"/>
      <c r="K3484" s="53"/>
      <c r="L3484" s="53"/>
      <c r="M3484" s="53"/>
      <c r="N3484" s="62"/>
      <c r="O3484" s="62"/>
      <c r="P3484" s="62"/>
      <c r="Q3484" s="62"/>
      <c r="R3484" s="53"/>
      <c r="S3484" s="53"/>
      <c r="T3484" s="82"/>
      <c r="U3484" s="42"/>
      <c r="V3484" s="62"/>
      <c r="W3484" s="64"/>
      <c r="X3484" s="330"/>
      <c r="Y3484" s="330"/>
      <c r="Z3484" s="330"/>
      <c r="AA3484" s="223"/>
    </row>
    <row r="3485">
      <c r="A3485" s="42">
        <f t="shared" si="3"/>
        <v>3484</v>
      </c>
      <c r="B3485" s="53"/>
      <c r="C3485" s="53"/>
      <c r="D3485" s="42"/>
      <c r="E3485" s="42"/>
      <c r="F3485" s="53"/>
      <c r="G3485" s="53"/>
      <c r="H3485" s="53"/>
      <c r="I3485" s="53"/>
      <c r="J3485" s="53"/>
      <c r="K3485" s="53"/>
      <c r="L3485" s="53"/>
      <c r="M3485" s="53"/>
      <c r="N3485" s="62"/>
      <c r="O3485" s="62"/>
      <c r="P3485" s="62"/>
      <c r="Q3485" s="62"/>
      <c r="R3485" s="53"/>
      <c r="S3485" s="53"/>
      <c r="T3485" s="82"/>
      <c r="U3485" s="42"/>
      <c r="V3485" s="62"/>
      <c r="W3485" s="64"/>
      <c r="X3485" s="330"/>
      <c r="Y3485" s="330"/>
      <c r="Z3485" s="330"/>
      <c r="AA3485" s="223"/>
    </row>
    <row r="3486">
      <c r="A3486" s="42">
        <f t="shared" si="3"/>
        <v>3485</v>
      </c>
      <c r="B3486" s="53"/>
      <c r="C3486" s="53"/>
      <c r="D3486" s="42"/>
      <c r="E3486" s="42"/>
      <c r="F3486" s="53"/>
      <c r="G3486" s="53"/>
      <c r="H3486" s="53"/>
      <c r="I3486" s="53"/>
      <c r="J3486" s="53"/>
      <c r="K3486" s="53"/>
      <c r="L3486" s="53"/>
      <c r="M3486" s="53"/>
      <c r="N3486" s="62"/>
      <c r="O3486" s="62"/>
      <c r="P3486" s="62"/>
      <c r="Q3486" s="62"/>
      <c r="R3486" s="53"/>
      <c r="S3486" s="53"/>
      <c r="T3486" s="82"/>
      <c r="U3486" s="42"/>
      <c r="V3486" s="62"/>
      <c r="W3486" s="64"/>
      <c r="X3486" s="330"/>
      <c r="Y3486" s="330"/>
      <c r="Z3486" s="330"/>
      <c r="AA3486" s="223"/>
    </row>
    <row r="3487">
      <c r="A3487" s="42">
        <f t="shared" si="3"/>
        <v>3486</v>
      </c>
      <c r="B3487" s="53"/>
      <c r="C3487" s="53"/>
      <c r="D3487" s="42"/>
      <c r="E3487" s="42"/>
      <c r="F3487" s="53"/>
      <c r="G3487" s="53"/>
      <c r="H3487" s="53"/>
      <c r="I3487" s="53"/>
      <c r="J3487" s="53"/>
      <c r="K3487" s="53"/>
      <c r="L3487" s="53"/>
      <c r="M3487" s="53"/>
      <c r="N3487" s="62"/>
      <c r="O3487" s="62"/>
      <c r="P3487" s="62"/>
      <c r="Q3487" s="62"/>
      <c r="R3487" s="53"/>
      <c r="S3487" s="53"/>
      <c r="T3487" s="82"/>
      <c r="U3487" s="42"/>
      <c r="V3487" s="62"/>
      <c r="W3487" s="64"/>
      <c r="X3487" s="330"/>
      <c r="Y3487" s="330"/>
      <c r="Z3487" s="330"/>
      <c r="AA3487" s="223"/>
    </row>
    <row r="3488">
      <c r="A3488" s="42">
        <f t="shared" si="3"/>
        <v>3487</v>
      </c>
      <c r="B3488" s="53"/>
      <c r="C3488" s="53"/>
      <c r="D3488" s="42"/>
      <c r="E3488" s="42"/>
      <c r="F3488" s="53"/>
      <c r="G3488" s="53"/>
      <c r="H3488" s="53"/>
      <c r="I3488" s="53"/>
      <c r="J3488" s="53"/>
      <c r="K3488" s="53"/>
      <c r="L3488" s="53"/>
      <c r="M3488" s="53"/>
      <c r="N3488" s="62"/>
      <c r="O3488" s="62"/>
      <c r="P3488" s="62"/>
      <c r="Q3488" s="62"/>
      <c r="R3488" s="53"/>
      <c r="S3488" s="53"/>
      <c r="T3488" s="82"/>
      <c r="U3488" s="42"/>
      <c r="V3488" s="62"/>
      <c r="W3488" s="64"/>
      <c r="X3488" s="330"/>
      <c r="Y3488" s="330"/>
      <c r="Z3488" s="330"/>
      <c r="AA3488" s="223"/>
    </row>
    <row r="3489">
      <c r="A3489" s="42">
        <f t="shared" si="3"/>
        <v>3488</v>
      </c>
      <c r="B3489" s="53"/>
      <c r="C3489" s="53"/>
      <c r="D3489" s="42"/>
      <c r="E3489" s="42"/>
      <c r="F3489" s="53"/>
      <c r="G3489" s="53"/>
      <c r="H3489" s="53"/>
      <c r="I3489" s="53"/>
      <c r="J3489" s="53"/>
      <c r="K3489" s="53"/>
      <c r="L3489" s="53"/>
      <c r="M3489" s="53"/>
      <c r="N3489" s="62"/>
      <c r="O3489" s="62"/>
      <c r="P3489" s="62"/>
      <c r="Q3489" s="62"/>
      <c r="R3489" s="53"/>
      <c r="S3489" s="53"/>
      <c r="T3489" s="82"/>
      <c r="U3489" s="42"/>
      <c r="V3489" s="62"/>
      <c r="W3489" s="64"/>
      <c r="X3489" s="330"/>
      <c r="Y3489" s="330"/>
      <c r="Z3489" s="330"/>
      <c r="AA3489" s="223"/>
    </row>
    <row r="3490">
      <c r="A3490" s="42">
        <f t="shared" si="3"/>
        <v>3489</v>
      </c>
      <c r="B3490" s="53"/>
      <c r="C3490" s="53"/>
      <c r="D3490" s="42"/>
      <c r="E3490" s="42"/>
      <c r="F3490" s="53"/>
      <c r="G3490" s="53"/>
      <c r="H3490" s="53"/>
      <c r="I3490" s="53"/>
      <c r="J3490" s="53"/>
      <c r="K3490" s="53"/>
      <c r="L3490" s="53"/>
      <c r="M3490" s="53"/>
      <c r="N3490" s="62"/>
      <c r="O3490" s="62"/>
      <c r="P3490" s="62"/>
      <c r="Q3490" s="62"/>
      <c r="R3490" s="53"/>
      <c r="S3490" s="53"/>
      <c r="T3490" s="82"/>
      <c r="U3490" s="42"/>
      <c r="V3490" s="62"/>
      <c r="W3490" s="64"/>
      <c r="X3490" s="330"/>
      <c r="Y3490" s="330"/>
      <c r="Z3490" s="330"/>
      <c r="AA3490" s="223"/>
    </row>
    <row r="3491">
      <c r="A3491" s="42">
        <f t="shared" si="3"/>
        <v>3490</v>
      </c>
      <c r="B3491" s="53"/>
      <c r="C3491" s="53"/>
      <c r="D3491" s="42"/>
      <c r="E3491" s="42"/>
      <c r="F3491" s="53"/>
      <c r="G3491" s="53"/>
      <c r="H3491" s="53"/>
      <c r="I3491" s="53"/>
      <c r="J3491" s="53"/>
      <c r="K3491" s="53"/>
      <c r="L3491" s="53"/>
      <c r="M3491" s="53"/>
      <c r="N3491" s="62"/>
      <c r="O3491" s="62"/>
      <c r="P3491" s="62"/>
      <c r="Q3491" s="62"/>
      <c r="R3491" s="53"/>
      <c r="S3491" s="53"/>
      <c r="T3491" s="82"/>
      <c r="U3491" s="42"/>
      <c r="V3491" s="62"/>
      <c r="W3491" s="64"/>
      <c r="X3491" s="330"/>
      <c r="Y3491" s="330"/>
      <c r="Z3491" s="330"/>
      <c r="AA3491" s="223"/>
    </row>
    <row r="3492">
      <c r="A3492" s="42">
        <f t="shared" si="3"/>
        <v>3491</v>
      </c>
      <c r="B3492" s="53"/>
      <c r="C3492" s="53"/>
      <c r="D3492" s="42"/>
      <c r="E3492" s="42"/>
      <c r="F3492" s="53"/>
      <c r="G3492" s="53"/>
      <c r="H3492" s="53"/>
      <c r="I3492" s="53"/>
      <c r="J3492" s="53"/>
      <c r="K3492" s="53"/>
      <c r="L3492" s="53"/>
      <c r="M3492" s="53"/>
      <c r="N3492" s="62"/>
      <c r="O3492" s="62"/>
      <c r="P3492" s="62"/>
      <c r="Q3492" s="62"/>
      <c r="R3492" s="53"/>
      <c r="S3492" s="53"/>
      <c r="T3492" s="82"/>
      <c r="U3492" s="42"/>
      <c r="V3492" s="62"/>
      <c r="W3492" s="64"/>
      <c r="X3492" s="330"/>
      <c r="Y3492" s="330"/>
      <c r="Z3492" s="330"/>
      <c r="AA3492" s="223"/>
    </row>
    <row r="3493">
      <c r="A3493" s="42">
        <f t="shared" si="3"/>
        <v>3492</v>
      </c>
      <c r="B3493" s="53"/>
      <c r="C3493" s="53"/>
      <c r="D3493" s="42"/>
      <c r="E3493" s="42"/>
      <c r="F3493" s="53"/>
      <c r="G3493" s="53"/>
      <c r="H3493" s="53"/>
      <c r="I3493" s="53"/>
      <c r="J3493" s="53"/>
      <c r="K3493" s="53"/>
      <c r="L3493" s="53"/>
      <c r="M3493" s="53"/>
      <c r="N3493" s="62"/>
      <c r="O3493" s="62"/>
      <c r="P3493" s="62"/>
      <c r="Q3493" s="62"/>
      <c r="R3493" s="53"/>
      <c r="S3493" s="53"/>
      <c r="T3493" s="82"/>
      <c r="U3493" s="42"/>
      <c r="V3493" s="62"/>
      <c r="W3493" s="64"/>
      <c r="X3493" s="330"/>
      <c r="Y3493" s="330"/>
      <c r="Z3493" s="330"/>
      <c r="AA3493" s="223"/>
    </row>
    <row r="3494">
      <c r="A3494" s="42">
        <f t="shared" si="3"/>
        <v>3493</v>
      </c>
      <c r="B3494" s="53"/>
      <c r="C3494" s="53"/>
      <c r="D3494" s="42"/>
      <c r="E3494" s="42"/>
      <c r="F3494" s="53"/>
      <c r="G3494" s="53"/>
      <c r="H3494" s="53"/>
      <c r="I3494" s="53"/>
      <c r="J3494" s="53"/>
      <c r="K3494" s="53"/>
      <c r="L3494" s="53"/>
      <c r="M3494" s="53"/>
      <c r="N3494" s="62"/>
      <c r="O3494" s="62"/>
      <c r="P3494" s="62"/>
      <c r="Q3494" s="62"/>
      <c r="R3494" s="53"/>
      <c r="S3494" s="53"/>
      <c r="T3494" s="82"/>
      <c r="U3494" s="42"/>
      <c r="V3494" s="62"/>
      <c r="W3494" s="64"/>
      <c r="X3494" s="330"/>
      <c r="Y3494" s="330"/>
      <c r="Z3494" s="330"/>
      <c r="AA3494" s="223"/>
    </row>
    <row r="3495">
      <c r="A3495" s="42">
        <f t="shared" si="3"/>
        <v>3494</v>
      </c>
      <c r="B3495" s="53"/>
      <c r="C3495" s="53"/>
      <c r="D3495" s="42"/>
      <c r="E3495" s="42"/>
      <c r="F3495" s="53"/>
      <c r="G3495" s="53"/>
      <c r="H3495" s="53"/>
      <c r="I3495" s="53"/>
      <c r="J3495" s="53"/>
      <c r="K3495" s="53"/>
      <c r="L3495" s="53"/>
      <c r="M3495" s="53"/>
      <c r="N3495" s="62"/>
      <c r="O3495" s="62"/>
      <c r="P3495" s="62"/>
      <c r="Q3495" s="62"/>
      <c r="R3495" s="53"/>
      <c r="S3495" s="53"/>
      <c r="T3495" s="82"/>
      <c r="U3495" s="42"/>
      <c r="V3495" s="62"/>
      <c r="W3495" s="64"/>
      <c r="X3495" s="330"/>
      <c r="Y3495" s="330"/>
      <c r="Z3495" s="330"/>
      <c r="AA3495" s="223"/>
    </row>
    <row r="3496">
      <c r="A3496" s="42">
        <f t="shared" si="3"/>
        <v>3495</v>
      </c>
      <c r="B3496" s="53"/>
      <c r="C3496" s="53"/>
      <c r="D3496" s="42"/>
      <c r="E3496" s="42"/>
      <c r="F3496" s="53"/>
      <c r="G3496" s="53"/>
      <c r="H3496" s="53"/>
      <c r="I3496" s="53"/>
      <c r="J3496" s="53"/>
      <c r="K3496" s="53"/>
      <c r="L3496" s="53"/>
      <c r="M3496" s="53"/>
      <c r="N3496" s="62"/>
      <c r="O3496" s="62"/>
      <c r="P3496" s="62"/>
      <c r="Q3496" s="62"/>
      <c r="R3496" s="53"/>
      <c r="S3496" s="53"/>
      <c r="T3496" s="82"/>
      <c r="U3496" s="42"/>
      <c r="V3496" s="62"/>
      <c r="W3496" s="64"/>
      <c r="X3496" s="330"/>
      <c r="Y3496" s="330"/>
      <c r="Z3496" s="330"/>
      <c r="AA3496" s="223"/>
    </row>
    <row r="3497">
      <c r="A3497" s="42">
        <f t="shared" si="3"/>
        <v>3496</v>
      </c>
      <c r="B3497" s="53"/>
      <c r="C3497" s="53"/>
      <c r="D3497" s="42"/>
      <c r="E3497" s="42"/>
      <c r="F3497" s="53"/>
      <c r="G3497" s="53"/>
      <c r="H3497" s="53"/>
      <c r="I3497" s="53"/>
      <c r="J3497" s="53"/>
      <c r="K3497" s="53"/>
      <c r="L3497" s="53"/>
      <c r="M3497" s="53"/>
      <c r="N3497" s="62"/>
      <c r="O3497" s="62"/>
      <c r="P3497" s="62"/>
      <c r="Q3497" s="62"/>
      <c r="R3497" s="53"/>
      <c r="S3497" s="53"/>
      <c r="T3497" s="82"/>
      <c r="U3497" s="42"/>
      <c r="V3497" s="62"/>
      <c r="W3497" s="64"/>
      <c r="X3497" s="330"/>
      <c r="Y3497" s="330"/>
      <c r="Z3497" s="330"/>
      <c r="AA3497" s="223"/>
    </row>
    <row r="3498">
      <c r="A3498" s="42">
        <f t="shared" si="3"/>
        <v>3497</v>
      </c>
      <c r="B3498" s="53"/>
      <c r="C3498" s="53"/>
      <c r="D3498" s="42"/>
      <c r="E3498" s="42"/>
      <c r="F3498" s="53"/>
      <c r="G3498" s="53"/>
      <c r="H3498" s="53"/>
      <c r="I3498" s="53"/>
      <c r="J3498" s="53"/>
      <c r="K3498" s="53"/>
      <c r="L3498" s="53"/>
      <c r="M3498" s="53"/>
      <c r="N3498" s="62"/>
      <c r="O3498" s="62"/>
      <c r="P3498" s="62"/>
      <c r="Q3498" s="62"/>
      <c r="R3498" s="53"/>
      <c r="S3498" s="53"/>
      <c r="T3498" s="82"/>
      <c r="U3498" s="42"/>
      <c r="V3498" s="62"/>
      <c r="W3498" s="64"/>
      <c r="X3498" s="330"/>
      <c r="Y3498" s="330"/>
      <c r="Z3498" s="330"/>
      <c r="AA3498" s="223"/>
    </row>
    <row r="3499">
      <c r="A3499" s="42">
        <f t="shared" si="3"/>
        <v>3498</v>
      </c>
      <c r="B3499" s="53"/>
      <c r="C3499" s="53"/>
      <c r="D3499" s="42"/>
      <c r="E3499" s="42"/>
      <c r="F3499" s="53"/>
      <c r="G3499" s="53"/>
      <c r="H3499" s="53"/>
      <c r="I3499" s="53"/>
      <c r="J3499" s="53"/>
      <c r="K3499" s="53"/>
      <c r="L3499" s="53"/>
      <c r="M3499" s="53"/>
      <c r="N3499" s="62"/>
      <c r="O3499" s="62"/>
      <c r="P3499" s="62"/>
      <c r="Q3499" s="62"/>
      <c r="R3499" s="53"/>
      <c r="S3499" s="53"/>
      <c r="T3499" s="82"/>
      <c r="U3499" s="42"/>
      <c r="V3499" s="62"/>
      <c r="W3499" s="64"/>
      <c r="X3499" s="330"/>
      <c r="Y3499" s="330"/>
      <c r="Z3499" s="330"/>
      <c r="AA3499" s="223"/>
    </row>
    <row r="3500">
      <c r="A3500" s="42">
        <f t="shared" si="3"/>
        <v>3499</v>
      </c>
      <c r="B3500" s="53"/>
      <c r="C3500" s="53"/>
      <c r="D3500" s="42"/>
      <c r="E3500" s="42"/>
      <c r="F3500" s="53"/>
      <c r="G3500" s="53"/>
      <c r="H3500" s="53"/>
      <c r="I3500" s="53"/>
      <c r="J3500" s="53"/>
      <c r="K3500" s="53"/>
      <c r="L3500" s="53"/>
      <c r="M3500" s="53"/>
      <c r="N3500" s="62"/>
      <c r="O3500" s="62"/>
      <c r="P3500" s="62"/>
      <c r="Q3500" s="62"/>
      <c r="R3500" s="53"/>
      <c r="S3500" s="53"/>
      <c r="T3500" s="82"/>
      <c r="U3500" s="42"/>
      <c r="V3500" s="62"/>
      <c r="W3500" s="64"/>
      <c r="X3500" s="330"/>
      <c r="Y3500" s="330"/>
      <c r="Z3500" s="330"/>
      <c r="AA3500" s="223"/>
    </row>
    <row r="3501">
      <c r="A3501" s="42">
        <f t="shared" si="3"/>
        <v>3500</v>
      </c>
      <c r="B3501" s="53"/>
      <c r="C3501" s="53"/>
      <c r="D3501" s="42"/>
      <c r="E3501" s="42"/>
      <c r="F3501" s="53"/>
      <c r="G3501" s="53"/>
      <c r="H3501" s="53"/>
      <c r="I3501" s="53"/>
      <c r="J3501" s="53"/>
      <c r="K3501" s="53"/>
      <c r="L3501" s="53"/>
      <c r="M3501" s="53"/>
      <c r="N3501" s="62"/>
      <c r="O3501" s="62"/>
      <c r="P3501" s="62"/>
      <c r="Q3501" s="62"/>
      <c r="R3501" s="53"/>
      <c r="S3501" s="53"/>
      <c r="T3501" s="82"/>
      <c r="U3501" s="42"/>
      <c r="V3501" s="62"/>
      <c r="W3501" s="64"/>
      <c r="X3501" s="330"/>
      <c r="Y3501" s="330"/>
      <c r="Z3501" s="330"/>
      <c r="AA3501" s="223"/>
    </row>
    <row r="3502">
      <c r="A3502" s="42">
        <f t="shared" si="3"/>
        <v>3501</v>
      </c>
      <c r="B3502" s="53"/>
      <c r="C3502" s="53"/>
      <c r="D3502" s="42"/>
      <c r="E3502" s="42"/>
      <c r="F3502" s="53"/>
      <c r="G3502" s="53"/>
      <c r="H3502" s="53"/>
      <c r="I3502" s="53"/>
      <c r="J3502" s="53"/>
      <c r="K3502" s="53"/>
      <c r="L3502" s="53"/>
      <c r="M3502" s="53"/>
      <c r="N3502" s="62"/>
      <c r="O3502" s="62"/>
      <c r="P3502" s="62"/>
      <c r="Q3502" s="62"/>
      <c r="R3502" s="53"/>
      <c r="S3502" s="53"/>
      <c r="T3502" s="82"/>
      <c r="U3502" s="42"/>
      <c r="V3502" s="62"/>
      <c r="W3502" s="64"/>
      <c r="X3502" s="330"/>
      <c r="Y3502" s="330"/>
      <c r="Z3502" s="330"/>
      <c r="AA3502" s="223"/>
    </row>
    <row r="3503">
      <c r="A3503" s="42">
        <f t="shared" si="3"/>
        <v>3502</v>
      </c>
      <c r="B3503" s="53"/>
      <c r="C3503" s="53"/>
      <c r="D3503" s="42"/>
      <c r="E3503" s="42"/>
      <c r="F3503" s="53"/>
      <c r="G3503" s="53"/>
      <c r="H3503" s="53"/>
      <c r="I3503" s="53"/>
      <c r="J3503" s="53"/>
      <c r="K3503" s="53"/>
      <c r="L3503" s="53"/>
      <c r="M3503" s="53"/>
      <c r="N3503" s="62"/>
      <c r="O3503" s="62"/>
      <c r="P3503" s="62"/>
      <c r="Q3503" s="62"/>
      <c r="R3503" s="53"/>
      <c r="S3503" s="53"/>
      <c r="T3503" s="82"/>
      <c r="U3503" s="42"/>
      <c r="V3503" s="62"/>
      <c r="W3503" s="64"/>
      <c r="X3503" s="330"/>
      <c r="Y3503" s="330"/>
      <c r="Z3503" s="330"/>
      <c r="AA3503" s="223"/>
    </row>
    <row r="3504">
      <c r="A3504" s="42">
        <f t="shared" si="3"/>
        <v>3503</v>
      </c>
      <c r="B3504" s="53"/>
      <c r="C3504" s="53"/>
      <c r="D3504" s="42"/>
      <c r="E3504" s="42"/>
      <c r="F3504" s="53"/>
      <c r="G3504" s="53"/>
      <c r="H3504" s="53"/>
      <c r="I3504" s="53"/>
      <c r="J3504" s="53"/>
      <c r="K3504" s="53"/>
      <c r="L3504" s="53"/>
      <c r="M3504" s="53"/>
      <c r="N3504" s="62"/>
      <c r="O3504" s="62"/>
      <c r="P3504" s="62"/>
      <c r="Q3504" s="62"/>
      <c r="R3504" s="53"/>
      <c r="S3504" s="53"/>
      <c r="T3504" s="82"/>
      <c r="U3504" s="42"/>
      <c r="V3504" s="62"/>
      <c r="W3504" s="64"/>
      <c r="X3504" s="330"/>
      <c r="Y3504" s="330"/>
      <c r="Z3504" s="330"/>
      <c r="AA3504" s="223"/>
    </row>
    <row r="3505">
      <c r="A3505" s="42">
        <f t="shared" si="3"/>
        <v>3504</v>
      </c>
      <c r="B3505" s="53"/>
      <c r="C3505" s="53"/>
      <c r="D3505" s="42"/>
      <c r="E3505" s="42"/>
      <c r="F3505" s="53"/>
      <c r="G3505" s="53"/>
      <c r="H3505" s="53"/>
      <c r="I3505" s="53"/>
      <c r="J3505" s="53"/>
      <c r="K3505" s="53"/>
      <c r="L3505" s="53"/>
      <c r="M3505" s="53"/>
      <c r="N3505" s="62"/>
      <c r="O3505" s="62"/>
      <c r="P3505" s="62"/>
      <c r="Q3505" s="62"/>
      <c r="R3505" s="53"/>
      <c r="S3505" s="53"/>
      <c r="T3505" s="82"/>
      <c r="U3505" s="42"/>
      <c r="V3505" s="62"/>
      <c r="W3505" s="64"/>
      <c r="X3505" s="330"/>
      <c r="Y3505" s="330"/>
      <c r="Z3505" s="330"/>
      <c r="AA3505" s="223"/>
    </row>
    <row r="3506">
      <c r="A3506" s="42">
        <f t="shared" si="3"/>
        <v>3505</v>
      </c>
      <c r="B3506" s="53"/>
      <c r="C3506" s="53"/>
      <c r="D3506" s="42"/>
      <c r="E3506" s="42"/>
      <c r="F3506" s="53"/>
      <c r="G3506" s="53"/>
      <c r="H3506" s="53"/>
      <c r="I3506" s="53"/>
      <c r="J3506" s="53"/>
      <c r="K3506" s="53"/>
      <c r="L3506" s="53"/>
      <c r="M3506" s="53"/>
      <c r="N3506" s="62"/>
      <c r="O3506" s="62"/>
      <c r="P3506" s="62"/>
      <c r="Q3506" s="62"/>
      <c r="R3506" s="53"/>
      <c r="S3506" s="53"/>
      <c r="T3506" s="82"/>
      <c r="U3506" s="42"/>
      <c r="V3506" s="62"/>
      <c r="W3506" s="64"/>
      <c r="X3506" s="330"/>
      <c r="Y3506" s="330"/>
      <c r="Z3506" s="330"/>
      <c r="AA3506" s="223"/>
    </row>
    <row r="3507">
      <c r="A3507" s="42">
        <f t="shared" si="3"/>
        <v>3506</v>
      </c>
      <c r="B3507" s="53"/>
      <c r="C3507" s="53"/>
      <c r="D3507" s="42"/>
      <c r="E3507" s="42"/>
      <c r="F3507" s="53"/>
      <c r="G3507" s="53"/>
      <c r="H3507" s="53"/>
      <c r="I3507" s="53"/>
      <c r="J3507" s="53"/>
      <c r="K3507" s="53"/>
      <c r="L3507" s="53"/>
      <c r="M3507" s="53"/>
      <c r="N3507" s="62"/>
      <c r="O3507" s="62"/>
      <c r="P3507" s="62"/>
      <c r="Q3507" s="62"/>
      <c r="R3507" s="53"/>
      <c r="S3507" s="53"/>
      <c r="T3507" s="82"/>
      <c r="U3507" s="42"/>
      <c r="V3507" s="62"/>
      <c r="W3507" s="64"/>
      <c r="X3507" s="330"/>
      <c r="Y3507" s="330"/>
      <c r="Z3507" s="330"/>
      <c r="AA3507" s="223"/>
    </row>
    <row r="3508">
      <c r="A3508" s="42">
        <f t="shared" si="3"/>
        <v>3507</v>
      </c>
      <c r="B3508" s="53"/>
      <c r="C3508" s="53"/>
      <c r="D3508" s="42"/>
      <c r="E3508" s="42"/>
      <c r="F3508" s="53"/>
      <c r="G3508" s="53"/>
      <c r="H3508" s="53"/>
      <c r="I3508" s="53"/>
      <c r="J3508" s="53"/>
      <c r="K3508" s="53"/>
      <c r="L3508" s="53"/>
      <c r="M3508" s="53"/>
      <c r="N3508" s="62"/>
      <c r="O3508" s="62"/>
      <c r="P3508" s="62"/>
      <c r="Q3508" s="62"/>
      <c r="R3508" s="53"/>
      <c r="S3508" s="53"/>
      <c r="T3508" s="82"/>
      <c r="U3508" s="42"/>
      <c r="V3508" s="62"/>
      <c r="W3508" s="64"/>
      <c r="X3508" s="330"/>
      <c r="Y3508" s="330"/>
      <c r="Z3508" s="330"/>
      <c r="AA3508" s="223"/>
    </row>
    <row r="3509">
      <c r="A3509" s="42">
        <f t="shared" si="3"/>
        <v>3508</v>
      </c>
      <c r="B3509" s="53"/>
      <c r="C3509" s="53"/>
      <c r="D3509" s="42"/>
      <c r="E3509" s="42"/>
      <c r="F3509" s="53"/>
      <c r="G3509" s="53"/>
      <c r="H3509" s="53"/>
      <c r="I3509" s="53"/>
      <c r="J3509" s="53"/>
      <c r="K3509" s="53"/>
      <c r="L3509" s="53"/>
      <c r="M3509" s="53"/>
      <c r="N3509" s="62"/>
      <c r="O3509" s="62"/>
      <c r="P3509" s="62"/>
      <c r="Q3509" s="62"/>
      <c r="R3509" s="53"/>
      <c r="S3509" s="53"/>
      <c r="T3509" s="82"/>
      <c r="U3509" s="42"/>
      <c r="V3509" s="62"/>
      <c r="W3509" s="64"/>
      <c r="X3509" s="330"/>
      <c r="Y3509" s="330"/>
      <c r="Z3509" s="330"/>
      <c r="AA3509" s="223"/>
    </row>
    <row r="3510">
      <c r="A3510" s="42">
        <f t="shared" si="3"/>
        <v>3509</v>
      </c>
      <c r="B3510" s="53"/>
      <c r="C3510" s="53"/>
      <c r="D3510" s="42"/>
      <c r="E3510" s="42"/>
      <c r="F3510" s="53"/>
      <c r="G3510" s="53"/>
      <c r="H3510" s="53"/>
      <c r="I3510" s="53"/>
      <c r="J3510" s="53"/>
      <c r="K3510" s="53"/>
      <c r="L3510" s="53"/>
      <c r="M3510" s="53"/>
      <c r="N3510" s="62"/>
      <c r="O3510" s="62"/>
      <c r="P3510" s="62"/>
      <c r="Q3510" s="62"/>
      <c r="R3510" s="53"/>
      <c r="S3510" s="53"/>
      <c r="T3510" s="82"/>
      <c r="U3510" s="42"/>
      <c r="V3510" s="62"/>
      <c r="W3510" s="64"/>
      <c r="X3510" s="330"/>
      <c r="Y3510" s="330"/>
      <c r="Z3510" s="330"/>
      <c r="AA3510" s="223"/>
    </row>
    <row r="3511">
      <c r="A3511" s="42">
        <f t="shared" si="3"/>
        <v>3510</v>
      </c>
      <c r="B3511" s="53"/>
      <c r="C3511" s="53"/>
      <c r="D3511" s="42"/>
      <c r="E3511" s="42"/>
      <c r="F3511" s="53"/>
      <c r="G3511" s="53"/>
      <c r="H3511" s="53"/>
      <c r="I3511" s="53"/>
      <c r="J3511" s="53"/>
      <c r="K3511" s="53"/>
      <c r="L3511" s="53"/>
      <c r="M3511" s="53"/>
      <c r="N3511" s="62"/>
      <c r="O3511" s="62"/>
      <c r="P3511" s="62"/>
      <c r="Q3511" s="62"/>
      <c r="R3511" s="53"/>
      <c r="S3511" s="53"/>
      <c r="T3511" s="82"/>
      <c r="U3511" s="42"/>
      <c r="V3511" s="62"/>
      <c r="W3511" s="64"/>
      <c r="X3511" s="330"/>
      <c r="Y3511" s="330"/>
      <c r="Z3511" s="330"/>
      <c r="AA3511" s="223"/>
    </row>
    <row r="3512">
      <c r="A3512" s="42">
        <f t="shared" si="3"/>
        <v>3511</v>
      </c>
      <c r="B3512" s="53"/>
      <c r="C3512" s="53"/>
      <c r="D3512" s="42"/>
      <c r="E3512" s="42"/>
      <c r="F3512" s="53"/>
      <c r="G3512" s="53"/>
      <c r="H3512" s="53"/>
      <c r="I3512" s="53"/>
      <c r="J3512" s="53"/>
      <c r="K3512" s="53"/>
      <c r="L3512" s="53"/>
      <c r="M3512" s="53"/>
      <c r="N3512" s="62"/>
      <c r="O3512" s="62"/>
      <c r="P3512" s="62"/>
      <c r="Q3512" s="62"/>
      <c r="R3512" s="53"/>
      <c r="S3512" s="53"/>
      <c r="T3512" s="82"/>
      <c r="U3512" s="42"/>
      <c r="V3512" s="62"/>
      <c r="W3512" s="64"/>
      <c r="X3512" s="330"/>
      <c r="Y3512" s="330"/>
      <c r="Z3512" s="330"/>
      <c r="AA3512" s="223"/>
    </row>
    <row r="3513">
      <c r="A3513" s="42">
        <f t="shared" si="3"/>
        <v>3512</v>
      </c>
      <c r="B3513" s="53"/>
      <c r="C3513" s="53"/>
      <c r="D3513" s="42"/>
      <c r="E3513" s="42"/>
      <c r="F3513" s="53"/>
      <c r="G3513" s="53"/>
      <c r="H3513" s="53"/>
      <c r="I3513" s="53"/>
      <c r="J3513" s="53"/>
      <c r="K3513" s="53"/>
      <c r="L3513" s="53"/>
      <c r="M3513" s="53"/>
      <c r="N3513" s="62"/>
      <c r="O3513" s="62"/>
      <c r="P3513" s="62"/>
      <c r="Q3513" s="62"/>
      <c r="R3513" s="53"/>
      <c r="S3513" s="53"/>
      <c r="T3513" s="82"/>
      <c r="U3513" s="42"/>
      <c r="V3513" s="62"/>
      <c r="W3513" s="64"/>
      <c r="X3513" s="330"/>
      <c r="Y3513" s="330"/>
      <c r="Z3513" s="330"/>
      <c r="AA3513" s="223"/>
    </row>
    <row r="3514">
      <c r="A3514" s="42">
        <f t="shared" si="3"/>
        <v>3513</v>
      </c>
      <c r="B3514" s="53"/>
      <c r="C3514" s="53"/>
      <c r="D3514" s="42"/>
      <c r="E3514" s="42"/>
      <c r="F3514" s="53"/>
      <c r="G3514" s="53"/>
      <c r="H3514" s="53"/>
      <c r="I3514" s="53"/>
      <c r="J3514" s="53"/>
      <c r="K3514" s="53"/>
      <c r="L3514" s="53"/>
      <c r="M3514" s="53"/>
      <c r="N3514" s="62"/>
      <c r="O3514" s="62"/>
      <c r="P3514" s="62"/>
      <c r="Q3514" s="62"/>
      <c r="R3514" s="53"/>
      <c r="S3514" s="53"/>
      <c r="T3514" s="82"/>
      <c r="U3514" s="42"/>
      <c r="V3514" s="62"/>
      <c r="W3514" s="64"/>
      <c r="X3514" s="330"/>
      <c r="Y3514" s="330"/>
      <c r="Z3514" s="330"/>
      <c r="AA3514" s="223"/>
    </row>
    <row r="3515">
      <c r="A3515" s="42">
        <f t="shared" si="3"/>
        <v>3514</v>
      </c>
      <c r="B3515" s="53"/>
      <c r="C3515" s="53"/>
      <c r="D3515" s="42"/>
      <c r="E3515" s="42"/>
      <c r="F3515" s="53"/>
      <c r="G3515" s="53"/>
      <c r="H3515" s="53"/>
      <c r="I3515" s="53"/>
      <c r="J3515" s="53"/>
      <c r="K3515" s="53"/>
      <c r="L3515" s="53"/>
      <c r="M3515" s="53"/>
      <c r="N3515" s="62"/>
      <c r="O3515" s="62"/>
      <c r="P3515" s="62"/>
      <c r="Q3515" s="62"/>
      <c r="R3515" s="53"/>
      <c r="S3515" s="53"/>
      <c r="T3515" s="82"/>
      <c r="U3515" s="42"/>
      <c r="V3515" s="62"/>
      <c r="W3515" s="64"/>
      <c r="X3515" s="330"/>
      <c r="Y3515" s="330"/>
      <c r="Z3515" s="330"/>
      <c r="AA3515" s="223"/>
    </row>
    <row r="3516">
      <c r="A3516" s="42">
        <f t="shared" si="3"/>
        <v>3515</v>
      </c>
      <c r="B3516" s="53"/>
      <c r="C3516" s="53"/>
      <c r="D3516" s="42"/>
      <c r="E3516" s="42"/>
      <c r="F3516" s="53"/>
      <c r="G3516" s="53"/>
      <c r="H3516" s="53"/>
      <c r="I3516" s="53"/>
      <c r="J3516" s="53"/>
      <c r="K3516" s="53"/>
      <c r="L3516" s="53"/>
      <c r="M3516" s="53"/>
      <c r="N3516" s="62"/>
      <c r="O3516" s="62"/>
      <c r="P3516" s="62"/>
      <c r="Q3516" s="62"/>
      <c r="R3516" s="53"/>
      <c r="S3516" s="53"/>
      <c r="T3516" s="82"/>
      <c r="U3516" s="42"/>
      <c r="V3516" s="62"/>
      <c r="W3516" s="64"/>
      <c r="X3516" s="330"/>
      <c r="Y3516" s="330"/>
      <c r="Z3516" s="330"/>
      <c r="AA3516" s="223"/>
    </row>
    <row r="3517">
      <c r="A3517" s="42">
        <f t="shared" si="3"/>
        <v>3516</v>
      </c>
      <c r="B3517" s="53"/>
      <c r="C3517" s="53"/>
      <c r="D3517" s="42"/>
      <c r="E3517" s="42"/>
      <c r="F3517" s="53"/>
      <c r="G3517" s="53"/>
      <c r="H3517" s="53"/>
      <c r="I3517" s="53"/>
      <c r="J3517" s="53"/>
      <c r="K3517" s="53"/>
      <c r="L3517" s="53"/>
      <c r="M3517" s="53"/>
      <c r="N3517" s="62"/>
      <c r="O3517" s="62"/>
      <c r="P3517" s="62"/>
      <c r="Q3517" s="62"/>
      <c r="R3517" s="53"/>
      <c r="S3517" s="53"/>
      <c r="T3517" s="82"/>
      <c r="U3517" s="42"/>
      <c r="V3517" s="62"/>
      <c r="W3517" s="64"/>
      <c r="X3517" s="330"/>
      <c r="Y3517" s="330"/>
      <c r="Z3517" s="330"/>
      <c r="AA3517" s="223"/>
    </row>
    <row r="3518">
      <c r="A3518" s="42">
        <f t="shared" si="3"/>
        <v>3517</v>
      </c>
      <c r="B3518" s="53"/>
      <c r="C3518" s="53"/>
      <c r="D3518" s="42"/>
      <c r="E3518" s="42"/>
      <c r="F3518" s="53"/>
      <c r="G3518" s="53"/>
      <c r="H3518" s="53"/>
      <c r="I3518" s="53"/>
      <c r="J3518" s="53"/>
      <c r="K3518" s="53"/>
      <c r="L3518" s="53"/>
      <c r="M3518" s="53"/>
      <c r="N3518" s="62"/>
      <c r="O3518" s="62"/>
      <c r="P3518" s="62"/>
      <c r="Q3518" s="62"/>
      <c r="R3518" s="53"/>
      <c r="S3518" s="53"/>
      <c r="T3518" s="82"/>
      <c r="U3518" s="42"/>
      <c r="V3518" s="62"/>
      <c r="W3518" s="64"/>
      <c r="X3518" s="330"/>
      <c r="Y3518" s="330"/>
      <c r="Z3518" s="330"/>
      <c r="AA3518" s="223"/>
    </row>
    <row r="3519">
      <c r="A3519" s="42">
        <f t="shared" si="3"/>
        <v>3518</v>
      </c>
      <c r="B3519" s="53"/>
      <c r="C3519" s="53"/>
      <c r="D3519" s="42"/>
      <c r="E3519" s="42"/>
      <c r="F3519" s="53"/>
      <c r="G3519" s="53"/>
      <c r="H3519" s="53"/>
      <c r="I3519" s="53"/>
      <c r="J3519" s="53"/>
      <c r="K3519" s="53"/>
      <c r="L3519" s="53"/>
      <c r="M3519" s="53"/>
      <c r="N3519" s="62"/>
      <c r="O3519" s="62"/>
      <c r="P3519" s="62"/>
      <c r="Q3519" s="62"/>
      <c r="R3519" s="53"/>
      <c r="S3519" s="53"/>
      <c r="T3519" s="82"/>
      <c r="U3519" s="42"/>
      <c r="V3519" s="62"/>
      <c r="W3519" s="64"/>
      <c r="X3519" s="330"/>
      <c r="Y3519" s="330"/>
      <c r="Z3519" s="330"/>
      <c r="AA3519" s="223"/>
    </row>
    <row r="3520">
      <c r="A3520" s="42">
        <f t="shared" si="3"/>
        <v>3519</v>
      </c>
      <c r="B3520" s="53"/>
      <c r="C3520" s="53"/>
      <c r="D3520" s="42"/>
      <c r="E3520" s="42"/>
      <c r="F3520" s="53"/>
      <c r="G3520" s="53"/>
      <c r="H3520" s="53"/>
      <c r="I3520" s="53"/>
      <c r="J3520" s="53"/>
      <c r="K3520" s="53"/>
      <c r="L3520" s="53"/>
      <c r="M3520" s="53"/>
      <c r="N3520" s="62"/>
      <c r="O3520" s="62"/>
      <c r="P3520" s="62"/>
      <c r="Q3520" s="62"/>
      <c r="R3520" s="53"/>
      <c r="S3520" s="53"/>
      <c r="T3520" s="82"/>
      <c r="U3520" s="42"/>
      <c r="V3520" s="62"/>
      <c r="W3520" s="64"/>
      <c r="X3520" s="330"/>
      <c r="Y3520" s="330"/>
      <c r="Z3520" s="330"/>
      <c r="AA3520" s="223"/>
    </row>
    <row r="3521">
      <c r="A3521" s="42">
        <f t="shared" si="3"/>
        <v>3520</v>
      </c>
      <c r="B3521" s="53"/>
      <c r="C3521" s="53"/>
      <c r="D3521" s="42"/>
      <c r="E3521" s="42"/>
      <c r="F3521" s="53"/>
      <c r="G3521" s="53"/>
      <c r="H3521" s="53"/>
      <c r="I3521" s="53"/>
      <c r="J3521" s="53"/>
      <c r="K3521" s="53"/>
      <c r="L3521" s="53"/>
      <c r="M3521" s="53"/>
      <c r="N3521" s="62"/>
      <c r="O3521" s="62"/>
      <c r="P3521" s="62"/>
      <c r="Q3521" s="62"/>
      <c r="R3521" s="53"/>
      <c r="S3521" s="53"/>
      <c r="T3521" s="82"/>
      <c r="U3521" s="42"/>
      <c r="V3521" s="62"/>
      <c r="W3521" s="64"/>
      <c r="X3521" s="330"/>
      <c r="Y3521" s="330"/>
      <c r="Z3521" s="330"/>
      <c r="AA3521" s="223"/>
    </row>
    <row r="3522">
      <c r="A3522" s="42">
        <f t="shared" si="3"/>
        <v>3521</v>
      </c>
      <c r="B3522" s="53"/>
      <c r="C3522" s="53"/>
      <c r="D3522" s="42"/>
      <c r="E3522" s="42"/>
      <c r="F3522" s="53"/>
      <c r="G3522" s="53"/>
      <c r="H3522" s="53"/>
      <c r="I3522" s="53"/>
      <c r="J3522" s="53"/>
      <c r="K3522" s="53"/>
      <c r="L3522" s="53"/>
      <c r="M3522" s="53"/>
      <c r="N3522" s="62"/>
      <c r="O3522" s="62"/>
      <c r="P3522" s="62"/>
      <c r="Q3522" s="62"/>
      <c r="R3522" s="53"/>
      <c r="S3522" s="53"/>
      <c r="T3522" s="82"/>
      <c r="U3522" s="42"/>
      <c r="V3522" s="62"/>
      <c r="W3522" s="64"/>
      <c r="X3522" s="330"/>
      <c r="Y3522" s="330"/>
      <c r="Z3522" s="330"/>
      <c r="AA3522" s="223"/>
    </row>
    <row r="3523">
      <c r="A3523" s="42">
        <f t="shared" si="3"/>
        <v>3522</v>
      </c>
      <c r="B3523" s="53"/>
      <c r="C3523" s="53"/>
      <c r="D3523" s="42"/>
      <c r="E3523" s="42"/>
      <c r="F3523" s="53"/>
      <c r="G3523" s="53"/>
      <c r="H3523" s="53"/>
      <c r="I3523" s="53"/>
      <c r="J3523" s="53"/>
      <c r="K3523" s="53"/>
      <c r="L3523" s="53"/>
      <c r="M3523" s="53"/>
      <c r="N3523" s="62"/>
      <c r="O3523" s="62"/>
      <c r="P3523" s="62"/>
      <c r="Q3523" s="62"/>
      <c r="R3523" s="53"/>
      <c r="S3523" s="53"/>
      <c r="T3523" s="82"/>
      <c r="U3523" s="42"/>
      <c r="V3523" s="62"/>
      <c r="W3523" s="64"/>
      <c r="X3523" s="330"/>
      <c r="Y3523" s="330"/>
      <c r="Z3523" s="330"/>
      <c r="AA3523" s="223"/>
    </row>
    <row r="3524">
      <c r="A3524" s="42">
        <f t="shared" si="3"/>
        <v>3523</v>
      </c>
      <c r="B3524" s="53"/>
      <c r="C3524" s="53"/>
      <c r="D3524" s="42"/>
      <c r="E3524" s="42"/>
      <c r="F3524" s="53"/>
      <c r="G3524" s="53"/>
      <c r="H3524" s="53"/>
      <c r="I3524" s="53"/>
      <c r="J3524" s="53"/>
      <c r="K3524" s="53"/>
      <c r="L3524" s="53"/>
      <c r="M3524" s="53"/>
      <c r="N3524" s="62"/>
      <c r="O3524" s="62"/>
      <c r="P3524" s="62"/>
      <c r="Q3524" s="62"/>
      <c r="R3524" s="53"/>
      <c r="S3524" s="53"/>
      <c r="T3524" s="82"/>
      <c r="U3524" s="42"/>
      <c r="V3524" s="62"/>
      <c r="W3524" s="64"/>
      <c r="X3524" s="330"/>
      <c r="Y3524" s="330"/>
      <c r="Z3524" s="330"/>
      <c r="AA3524" s="223"/>
    </row>
  </sheetData>
  <autoFilter ref="$A$1:$V$3524"/>
  <dataValidations>
    <dataValidation type="list" allowBlank="1" showErrorMessage="1" sqref="B2:B3524">
      <formula1>"NCP,CMP,VIOLA_K8S,VIOLA_CICD,Trombone,Vista,Contrabass,VMware,AWS"</formula1>
    </dataValidation>
    <dataValidation type="list" allowBlank="1" showErrorMessage="1" sqref="G2:G3524">
      <formula1>"P1,P2,P3,P4"</formula1>
    </dataValidation>
    <dataValidation type="list" allowBlank="1" showErrorMessage="1" sqref="R2:R3524">
      <formula1>"PASS,FAIL,N/A,N/T"</formula1>
    </dataValidation>
  </dataValidations>
  <hyperlinks>
    <hyperlink r:id="rId1" ref="U161"/>
    <hyperlink r:id="rId2" ref="U170"/>
    <hyperlink r:id="rId3" ref="U171"/>
    <hyperlink r:id="rId4" ref="U196"/>
    <hyperlink r:id="rId5" ref="U238"/>
    <hyperlink r:id="rId6" ref="U269"/>
    <hyperlink r:id="rId7" ref="U302"/>
    <hyperlink r:id="rId8" ref="U894"/>
  </hyperlinks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19.25"/>
    <col customWidth="1" min="7" max="7" width="24.88"/>
    <col customWidth="1" min="8" max="8" width="27.38"/>
  </cols>
  <sheetData>
    <row r="1">
      <c r="I1" s="87"/>
      <c r="N1" s="88"/>
    </row>
    <row r="2">
      <c r="I2" s="87"/>
      <c r="N2" s="88"/>
    </row>
    <row r="3">
      <c r="B3" s="89"/>
      <c r="C3" s="90"/>
      <c r="D3" s="90"/>
      <c r="E3" s="89"/>
      <c r="F3" s="89"/>
      <c r="G3" s="89"/>
      <c r="H3" s="89"/>
      <c r="I3" s="91"/>
      <c r="J3" s="89"/>
      <c r="K3" s="89"/>
      <c r="L3" s="89"/>
      <c r="M3" s="89"/>
      <c r="N3" s="93"/>
      <c r="O3" s="89"/>
      <c r="P3" s="89"/>
      <c r="Q3" s="89"/>
    </row>
    <row r="4">
      <c r="B4" s="95" t="s">
        <v>36</v>
      </c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3"/>
      <c r="O4" s="97" t="s">
        <v>193</v>
      </c>
      <c r="P4" s="98" t="s">
        <v>194</v>
      </c>
      <c r="Q4" s="99" t="s">
        <v>196</v>
      </c>
    </row>
    <row r="5">
      <c r="B5" s="100"/>
      <c r="N5" s="93"/>
      <c r="O5" s="100"/>
      <c r="P5" s="101" t="s">
        <v>200</v>
      </c>
      <c r="Q5" s="102" t="s">
        <v>202</v>
      </c>
    </row>
    <row r="6">
      <c r="B6" s="103" t="s">
        <v>203</v>
      </c>
      <c r="C6" s="69"/>
      <c r="D6" s="69"/>
      <c r="E6" s="70"/>
      <c r="F6" s="104" t="s">
        <v>208</v>
      </c>
      <c r="G6" s="69"/>
      <c r="H6" s="70"/>
      <c r="I6" s="105" t="s">
        <v>29</v>
      </c>
      <c r="J6" s="106" t="s">
        <v>30</v>
      </c>
      <c r="K6" s="106" t="s">
        <v>31</v>
      </c>
      <c r="L6" s="106" t="s">
        <v>32</v>
      </c>
      <c r="M6" s="107" t="s">
        <v>18</v>
      </c>
      <c r="N6" s="108"/>
      <c r="O6" s="100"/>
      <c r="P6" s="109" t="s">
        <v>219</v>
      </c>
      <c r="Q6" s="102" t="s">
        <v>220</v>
      </c>
    </row>
    <row r="7">
      <c r="B7" s="110" t="s">
        <v>222</v>
      </c>
      <c r="C7" s="96"/>
      <c r="D7" s="96"/>
      <c r="E7" s="96"/>
      <c r="F7" s="111" t="s">
        <v>224</v>
      </c>
      <c r="G7" s="112" t="s">
        <v>226</v>
      </c>
      <c r="H7" s="111" t="s">
        <v>227</v>
      </c>
      <c r="I7" s="74"/>
      <c r="J7" s="74"/>
      <c r="K7" s="74"/>
      <c r="L7" s="74"/>
      <c r="M7" s="74"/>
      <c r="N7" s="113"/>
      <c r="O7" s="114"/>
      <c r="P7" s="115"/>
      <c r="Q7" s="117"/>
    </row>
    <row r="8">
      <c r="B8" s="118" t="s">
        <v>206</v>
      </c>
      <c r="C8" s="96"/>
      <c r="D8" s="67"/>
      <c r="E8" s="119" t="s">
        <v>235</v>
      </c>
      <c r="F8" s="120" t="s">
        <v>194</v>
      </c>
      <c r="G8" s="120" t="s">
        <v>194</v>
      </c>
      <c r="H8" s="121" t="s">
        <v>194</v>
      </c>
      <c r="I8" s="51"/>
      <c r="J8" s="119"/>
      <c r="K8" s="119"/>
      <c r="L8" s="119"/>
      <c r="M8" s="119"/>
      <c r="N8" s="122"/>
      <c r="O8" s="89"/>
      <c r="P8" s="89"/>
      <c r="Q8" s="89"/>
    </row>
    <row r="9">
      <c r="B9" s="100"/>
      <c r="D9" s="24"/>
      <c r="E9" s="119" t="s">
        <v>239</v>
      </c>
      <c r="F9" s="123" t="s">
        <v>194</v>
      </c>
      <c r="G9" s="123" t="s">
        <v>194</v>
      </c>
      <c r="H9" s="124" t="s">
        <v>242</v>
      </c>
      <c r="I9" s="53" t="s">
        <v>44</v>
      </c>
      <c r="J9" s="119"/>
      <c r="K9" s="119"/>
      <c r="L9" s="119"/>
      <c r="M9" s="119"/>
      <c r="N9" s="122"/>
      <c r="O9" s="89"/>
      <c r="P9" s="89"/>
      <c r="Q9" s="89"/>
    </row>
    <row r="10">
      <c r="B10" s="100"/>
      <c r="D10" s="24"/>
      <c r="E10" s="119" t="s">
        <v>244</v>
      </c>
      <c r="F10" s="123" t="s">
        <v>194</v>
      </c>
      <c r="G10" s="125" t="s">
        <v>194</v>
      </c>
      <c r="H10" s="126" t="s">
        <v>247</v>
      </c>
      <c r="I10" s="53" t="s">
        <v>44</v>
      </c>
      <c r="J10" s="119"/>
      <c r="K10" s="119"/>
      <c r="L10" s="119"/>
      <c r="M10" s="119"/>
      <c r="N10" s="122"/>
      <c r="O10" s="127"/>
      <c r="P10" s="127"/>
      <c r="Q10" s="89"/>
    </row>
    <row r="11">
      <c r="B11" s="72"/>
      <c r="C11" s="32"/>
      <c r="D11" s="35"/>
      <c r="E11" s="128" t="s">
        <v>250</v>
      </c>
      <c r="F11" s="129" t="s">
        <v>194</v>
      </c>
      <c r="G11" s="130" t="s">
        <v>194</v>
      </c>
      <c r="H11" s="131" t="s">
        <v>194</v>
      </c>
      <c r="I11" s="53" t="s">
        <v>44</v>
      </c>
      <c r="J11" s="128"/>
      <c r="K11" s="128"/>
      <c r="L11" s="128"/>
      <c r="M11" s="128"/>
      <c r="N11" s="132"/>
      <c r="O11" s="89"/>
      <c r="P11" s="89"/>
      <c r="Q11" s="89"/>
    </row>
    <row r="12">
      <c r="B12" s="133" t="s">
        <v>255</v>
      </c>
      <c r="C12" s="96"/>
      <c r="D12" s="67"/>
      <c r="E12" s="134" t="s">
        <v>257</v>
      </c>
      <c r="F12" s="135" t="s">
        <v>258</v>
      </c>
      <c r="G12" s="135" t="s">
        <v>258</v>
      </c>
      <c r="H12" s="136" t="s">
        <v>219</v>
      </c>
      <c r="I12" s="53" t="s">
        <v>44</v>
      </c>
      <c r="J12" s="137"/>
      <c r="K12" s="137"/>
      <c r="L12" s="137"/>
      <c r="M12" s="137"/>
      <c r="N12" s="93"/>
      <c r="O12" s="89"/>
      <c r="P12" s="89"/>
      <c r="Q12" s="89"/>
    </row>
    <row r="13">
      <c r="B13" s="72"/>
      <c r="C13" s="32"/>
      <c r="D13" s="35"/>
      <c r="E13" s="134" t="s">
        <v>263</v>
      </c>
      <c r="F13" s="138" t="s">
        <v>194</v>
      </c>
      <c r="G13" s="138" t="s">
        <v>194</v>
      </c>
      <c r="H13" s="139" t="s">
        <v>265</v>
      </c>
      <c r="I13" s="53" t="s">
        <v>44</v>
      </c>
      <c r="J13" s="137"/>
      <c r="K13" s="137"/>
      <c r="L13" s="137"/>
      <c r="M13" s="137"/>
      <c r="N13" s="93"/>
      <c r="O13" s="89"/>
      <c r="P13" s="89"/>
      <c r="Q13" s="89"/>
    </row>
    <row r="14">
      <c r="B14" s="141" t="s">
        <v>268</v>
      </c>
      <c r="C14" s="133" t="s">
        <v>269</v>
      </c>
      <c r="D14" s="67"/>
      <c r="E14" s="142" t="s">
        <v>270</v>
      </c>
      <c r="F14" s="143" t="s">
        <v>194</v>
      </c>
      <c r="G14" s="143" t="s">
        <v>194</v>
      </c>
      <c r="H14" s="144" t="s">
        <v>272</v>
      </c>
      <c r="I14" s="53" t="s">
        <v>44</v>
      </c>
      <c r="J14" s="145"/>
      <c r="K14" s="145"/>
      <c r="L14" s="145"/>
      <c r="M14" s="145"/>
      <c r="N14" s="146"/>
      <c r="O14" s="89"/>
      <c r="P14" s="89"/>
      <c r="Q14" s="89"/>
    </row>
    <row r="15">
      <c r="B15" s="116"/>
      <c r="C15" s="100"/>
      <c r="D15" s="24"/>
      <c r="E15" s="147" t="s">
        <v>275</v>
      </c>
      <c r="F15" s="123" t="s">
        <v>194</v>
      </c>
      <c r="G15" s="123" t="s">
        <v>194</v>
      </c>
      <c r="H15" s="148" t="s">
        <v>277</v>
      </c>
      <c r="I15" s="53" t="s">
        <v>44</v>
      </c>
      <c r="J15" s="137"/>
      <c r="K15" s="137"/>
      <c r="L15" s="137"/>
      <c r="M15" s="137"/>
      <c r="N15" s="93"/>
      <c r="O15" s="89"/>
      <c r="P15" s="89"/>
      <c r="Q15" s="89"/>
    </row>
    <row r="16">
      <c r="B16" s="116"/>
      <c r="C16" s="72"/>
      <c r="D16" s="35"/>
      <c r="E16" s="149" t="s">
        <v>280</v>
      </c>
      <c r="F16" s="129" t="s">
        <v>194</v>
      </c>
      <c r="G16" s="150" t="s">
        <v>277</v>
      </c>
      <c r="H16" s="151" t="s">
        <v>277</v>
      </c>
      <c r="I16" s="53" t="s">
        <v>44</v>
      </c>
      <c r="J16" s="137"/>
      <c r="K16" s="137"/>
      <c r="L16" s="137"/>
      <c r="M16" s="137"/>
      <c r="N16" s="93"/>
      <c r="O16" s="89"/>
      <c r="P16" s="89"/>
      <c r="Q16" s="89"/>
    </row>
    <row r="17">
      <c r="B17" s="116"/>
      <c r="C17" s="133" t="s">
        <v>284</v>
      </c>
      <c r="D17" s="67"/>
      <c r="E17" s="142" t="s">
        <v>285</v>
      </c>
      <c r="F17" s="143" t="s">
        <v>194</v>
      </c>
      <c r="G17" s="143" t="s">
        <v>194</v>
      </c>
      <c r="H17" s="152" t="s">
        <v>219</v>
      </c>
      <c r="I17" s="53" t="s">
        <v>44</v>
      </c>
      <c r="J17" s="137"/>
      <c r="K17" s="137"/>
      <c r="L17" s="137"/>
      <c r="M17" s="137"/>
      <c r="N17" s="93"/>
      <c r="O17" s="89"/>
      <c r="P17" s="89"/>
      <c r="Q17" s="89"/>
    </row>
    <row r="18">
      <c r="B18" s="116"/>
      <c r="C18" s="72"/>
      <c r="D18" s="35"/>
      <c r="E18" s="153" t="s">
        <v>290</v>
      </c>
      <c r="F18" s="129" t="s">
        <v>194</v>
      </c>
      <c r="G18" s="129" t="s">
        <v>194</v>
      </c>
      <c r="H18" s="154" t="s">
        <v>219</v>
      </c>
      <c r="I18" s="53" t="s">
        <v>44</v>
      </c>
      <c r="J18" s="137"/>
      <c r="K18" s="137"/>
      <c r="L18" s="137"/>
      <c r="M18" s="137"/>
      <c r="N18" s="93"/>
      <c r="O18" s="89"/>
      <c r="P18" s="89"/>
      <c r="Q18" s="89"/>
    </row>
    <row r="19">
      <c r="B19" s="116"/>
      <c r="C19" s="133" t="s">
        <v>292</v>
      </c>
      <c r="D19" s="67"/>
      <c r="E19" s="142" t="s">
        <v>294</v>
      </c>
      <c r="F19" s="143" t="s">
        <v>194</v>
      </c>
      <c r="G19" s="143" t="s">
        <v>194</v>
      </c>
      <c r="H19" s="144" t="s">
        <v>295</v>
      </c>
      <c r="I19" s="53" t="s">
        <v>44</v>
      </c>
      <c r="J19" s="145"/>
      <c r="K19" s="145"/>
      <c r="L19" s="145"/>
      <c r="M19" s="145"/>
      <c r="N19" s="146"/>
      <c r="O19" s="89"/>
      <c r="P19" s="89"/>
      <c r="Q19" s="89"/>
    </row>
    <row r="20">
      <c r="B20" s="116"/>
      <c r="C20" s="100"/>
      <c r="D20" s="24"/>
      <c r="E20" s="155" t="s">
        <v>298</v>
      </c>
      <c r="F20" s="123" t="s">
        <v>194</v>
      </c>
      <c r="G20" s="123" t="s">
        <v>194</v>
      </c>
      <c r="H20" s="148" t="s">
        <v>277</v>
      </c>
      <c r="I20" s="53" t="s">
        <v>44</v>
      </c>
      <c r="J20" s="137"/>
      <c r="K20" s="137"/>
      <c r="L20" s="137"/>
      <c r="M20" s="137"/>
      <c r="N20" s="93"/>
      <c r="O20" s="89"/>
      <c r="P20" s="89"/>
      <c r="Q20" s="89"/>
    </row>
    <row r="21">
      <c r="B21" s="116"/>
      <c r="C21" s="72"/>
      <c r="D21" s="35"/>
      <c r="E21" s="153" t="s">
        <v>300</v>
      </c>
      <c r="F21" s="129" t="s">
        <v>194</v>
      </c>
      <c r="G21" s="129" t="s">
        <v>194</v>
      </c>
      <c r="H21" s="156" t="s">
        <v>194</v>
      </c>
      <c r="I21" s="53" t="s">
        <v>44</v>
      </c>
      <c r="J21" s="137"/>
      <c r="K21" s="137"/>
      <c r="L21" s="137"/>
      <c r="M21" s="137"/>
      <c r="N21" s="93"/>
      <c r="O21" s="89"/>
      <c r="P21" s="89"/>
      <c r="Q21" s="89"/>
    </row>
    <row r="22">
      <c r="B22" s="116"/>
      <c r="C22" s="141" t="s">
        <v>303</v>
      </c>
      <c r="D22" s="141" t="s">
        <v>305</v>
      </c>
      <c r="E22" s="142" t="s">
        <v>306</v>
      </c>
      <c r="F22" s="143" t="s">
        <v>194</v>
      </c>
      <c r="G22" s="157" t="s">
        <v>219</v>
      </c>
      <c r="H22" s="152" t="s">
        <v>219</v>
      </c>
      <c r="I22" s="53" t="s">
        <v>44</v>
      </c>
      <c r="J22" s="137"/>
      <c r="K22" s="137"/>
      <c r="L22" s="137"/>
      <c r="M22" s="137"/>
      <c r="N22" s="93"/>
      <c r="O22" s="89"/>
      <c r="P22" s="89"/>
      <c r="Q22" s="89"/>
    </row>
    <row r="23">
      <c r="B23" s="116"/>
      <c r="C23" s="116"/>
      <c r="D23" s="74"/>
      <c r="E23" s="155" t="s">
        <v>310</v>
      </c>
      <c r="F23" s="123" t="s">
        <v>194</v>
      </c>
      <c r="G23" s="158" t="s">
        <v>219</v>
      </c>
      <c r="H23" s="159" t="s">
        <v>219</v>
      </c>
      <c r="I23" s="53" t="s">
        <v>44</v>
      </c>
      <c r="J23" s="137"/>
      <c r="K23" s="137"/>
      <c r="L23" s="137"/>
      <c r="M23" s="137"/>
      <c r="N23" s="93"/>
      <c r="O23" s="89"/>
      <c r="P23" s="89"/>
      <c r="Q23" s="89"/>
    </row>
    <row r="24">
      <c r="B24" s="116"/>
      <c r="C24" s="116"/>
      <c r="D24" s="141" t="s">
        <v>314</v>
      </c>
      <c r="E24" s="155" t="s">
        <v>315</v>
      </c>
      <c r="F24" s="123" t="s">
        <v>194</v>
      </c>
      <c r="G24" s="158" t="s">
        <v>219</v>
      </c>
      <c r="H24" s="159" t="s">
        <v>219</v>
      </c>
      <c r="I24" s="53" t="s">
        <v>44</v>
      </c>
      <c r="J24" s="137"/>
      <c r="K24" s="137"/>
      <c r="L24" s="137"/>
      <c r="M24" s="137"/>
      <c r="N24" s="93"/>
      <c r="O24" s="89"/>
      <c r="P24" s="89"/>
      <c r="Q24" s="89"/>
    </row>
    <row r="25">
      <c r="B25" s="116"/>
      <c r="C25" s="116"/>
      <c r="D25" s="74"/>
      <c r="E25" s="155" t="s">
        <v>319</v>
      </c>
      <c r="F25" s="123" t="s">
        <v>194</v>
      </c>
      <c r="G25" s="158" t="s">
        <v>219</v>
      </c>
      <c r="H25" s="159" t="s">
        <v>219</v>
      </c>
      <c r="I25" s="53" t="s">
        <v>44</v>
      </c>
      <c r="J25" s="137"/>
      <c r="K25" s="137"/>
      <c r="L25" s="137"/>
      <c r="M25" s="137"/>
      <c r="N25" s="93"/>
      <c r="O25" s="89"/>
      <c r="P25" s="89"/>
      <c r="Q25" s="89"/>
    </row>
    <row r="26">
      <c r="B26" s="116"/>
      <c r="C26" s="74"/>
      <c r="D26" s="160" t="s">
        <v>321</v>
      </c>
      <c r="E26" s="149" t="s">
        <v>306</v>
      </c>
      <c r="F26" s="129" t="s">
        <v>194</v>
      </c>
      <c r="G26" s="161" t="s">
        <v>219</v>
      </c>
      <c r="H26" s="154" t="s">
        <v>219</v>
      </c>
      <c r="I26" s="53" t="s">
        <v>44</v>
      </c>
      <c r="J26" s="137"/>
      <c r="K26" s="137"/>
      <c r="L26" s="137"/>
      <c r="M26" s="137"/>
      <c r="N26" s="93"/>
      <c r="O26" s="89"/>
      <c r="P26" s="89"/>
      <c r="Q26" s="89"/>
    </row>
    <row r="27">
      <c r="B27" s="116"/>
      <c r="C27" s="133" t="s">
        <v>324</v>
      </c>
      <c r="D27" s="67"/>
      <c r="E27" s="142" t="s">
        <v>326</v>
      </c>
      <c r="F27" s="143" t="s">
        <v>194</v>
      </c>
      <c r="G27" s="143" t="s">
        <v>194</v>
      </c>
      <c r="H27" s="162" t="s">
        <v>194</v>
      </c>
      <c r="I27" s="53" t="s">
        <v>44</v>
      </c>
      <c r="J27" s="137"/>
      <c r="K27" s="137"/>
      <c r="L27" s="137"/>
      <c r="M27" s="137"/>
      <c r="N27" s="93"/>
      <c r="O27" s="89"/>
      <c r="P27" s="89"/>
      <c r="Q27" s="89"/>
    </row>
    <row r="28">
      <c r="B28" s="116"/>
      <c r="C28" s="72"/>
      <c r="D28" s="35"/>
      <c r="E28" s="149" t="s">
        <v>329</v>
      </c>
      <c r="F28" s="129" t="s">
        <v>194</v>
      </c>
      <c r="G28" s="129" t="s">
        <v>194</v>
      </c>
      <c r="H28" s="151" t="s">
        <v>277</v>
      </c>
      <c r="I28" s="53" t="s">
        <v>44</v>
      </c>
      <c r="J28" s="137"/>
      <c r="K28" s="137"/>
      <c r="L28" s="137"/>
      <c r="M28" s="137"/>
      <c r="N28" s="93"/>
      <c r="O28" s="89"/>
      <c r="P28" s="89"/>
      <c r="Q28" s="89"/>
    </row>
    <row r="29">
      <c r="B29" s="116"/>
      <c r="C29" s="133" t="s">
        <v>331</v>
      </c>
      <c r="D29" s="67"/>
      <c r="E29" s="142" t="s">
        <v>332</v>
      </c>
      <c r="F29" s="143" t="s">
        <v>194</v>
      </c>
      <c r="G29" s="143" t="s">
        <v>194</v>
      </c>
      <c r="H29" s="166" t="s">
        <v>334</v>
      </c>
      <c r="I29" s="53" t="s">
        <v>44</v>
      </c>
      <c r="J29" s="137"/>
      <c r="K29" s="137"/>
      <c r="L29" s="137"/>
      <c r="M29" s="137"/>
      <c r="N29" s="93"/>
      <c r="O29" s="89"/>
      <c r="P29" s="89"/>
      <c r="Q29" s="89"/>
    </row>
    <row r="30">
      <c r="B30" s="116"/>
      <c r="C30" s="72"/>
      <c r="D30" s="35"/>
      <c r="E30" s="149" t="s">
        <v>337</v>
      </c>
      <c r="F30" s="129" t="s">
        <v>194</v>
      </c>
      <c r="G30" s="129" t="s">
        <v>194</v>
      </c>
      <c r="H30" s="168" t="s">
        <v>334</v>
      </c>
      <c r="I30" s="53" t="s">
        <v>44</v>
      </c>
      <c r="J30" s="145"/>
      <c r="K30" s="145"/>
      <c r="L30" s="145"/>
      <c r="M30" s="145"/>
      <c r="N30" s="146"/>
      <c r="O30" s="89"/>
      <c r="P30" s="89"/>
      <c r="Q30" s="89"/>
    </row>
    <row r="31">
      <c r="B31" s="116"/>
      <c r="C31" s="141" t="s">
        <v>341</v>
      </c>
      <c r="D31" s="141" t="s">
        <v>341</v>
      </c>
      <c r="E31" s="142" t="s">
        <v>343</v>
      </c>
      <c r="F31" s="123" t="s">
        <v>194</v>
      </c>
      <c r="G31" s="123" t="s">
        <v>194</v>
      </c>
      <c r="H31" s="162" t="s">
        <v>194</v>
      </c>
      <c r="I31" s="53" t="s">
        <v>44</v>
      </c>
      <c r="J31" s="145"/>
      <c r="K31" s="145"/>
      <c r="L31" s="145"/>
      <c r="M31" s="145"/>
      <c r="N31" s="146"/>
      <c r="O31" s="89"/>
      <c r="P31" s="89"/>
      <c r="Q31" s="89"/>
    </row>
    <row r="32">
      <c r="B32" s="116"/>
      <c r="C32" s="116"/>
      <c r="D32" s="116"/>
      <c r="E32" s="142" t="s">
        <v>348</v>
      </c>
      <c r="F32" s="123" t="s">
        <v>194</v>
      </c>
      <c r="G32" s="123" t="s">
        <v>194</v>
      </c>
      <c r="H32" s="172" t="s">
        <v>277</v>
      </c>
      <c r="I32" s="53" t="s">
        <v>44</v>
      </c>
      <c r="J32" s="145"/>
      <c r="K32" s="145"/>
      <c r="L32" s="145"/>
      <c r="M32" s="145"/>
      <c r="N32" s="146"/>
      <c r="O32" s="89"/>
      <c r="P32" s="89"/>
      <c r="Q32" s="89"/>
    </row>
    <row r="33">
      <c r="B33" s="116"/>
      <c r="C33" s="116"/>
      <c r="D33" s="74"/>
      <c r="E33" s="142" t="s">
        <v>352</v>
      </c>
      <c r="F33" s="123" t="s">
        <v>194</v>
      </c>
      <c r="G33" s="175" t="s">
        <v>356</v>
      </c>
      <c r="H33" s="172" t="s">
        <v>277</v>
      </c>
      <c r="I33" s="53" t="s">
        <v>44</v>
      </c>
      <c r="J33" s="145"/>
      <c r="K33" s="145"/>
      <c r="L33" s="145"/>
      <c r="M33" s="145"/>
      <c r="N33" s="146"/>
      <c r="O33" s="89"/>
      <c r="P33" s="89"/>
      <c r="Q33" s="89"/>
    </row>
    <row r="34">
      <c r="B34" s="116"/>
      <c r="C34" s="116"/>
      <c r="D34" s="141" t="s">
        <v>357</v>
      </c>
      <c r="E34" s="142" t="s">
        <v>359</v>
      </c>
      <c r="F34" s="123" t="s">
        <v>194</v>
      </c>
      <c r="G34" s="123" t="s">
        <v>194</v>
      </c>
      <c r="H34" s="162" t="s">
        <v>194</v>
      </c>
      <c r="I34" s="53" t="s">
        <v>44</v>
      </c>
      <c r="J34" s="145"/>
      <c r="K34" s="145"/>
      <c r="L34" s="145"/>
      <c r="M34" s="145"/>
      <c r="N34" s="146"/>
      <c r="O34" s="89"/>
      <c r="P34" s="89"/>
      <c r="Q34" s="89"/>
    </row>
    <row r="35">
      <c r="B35" s="116"/>
      <c r="C35" s="116"/>
      <c r="D35" s="74"/>
      <c r="E35" s="142" t="s">
        <v>363</v>
      </c>
      <c r="F35" s="123" t="s">
        <v>194</v>
      </c>
      <c r="G35" s="176" t="s">
        <v>364</v>
      </c>
      <c r="H35" s="172" t="s">
        <v>277</v>
      </c>
      <c r="I35" s="53" t="s">
        <v>44</v>
      </c>
      <c r="J35" s="145"/>
      <c r="K35" s="145"/>
      <c r="L35" s="145"/>
      <c r="M35" s="145"/>
      <c r="N35" s="146"/>
      <c r="O35" s="89"/>
      <c r="P35" s="89"/>
      <c r="Q35" s="89"/>
    </row>
    <row r="36">
      <c r="B36" s="116"/>
      <c r="C36" s="116"/>
      <c r="D36" s="160" t="s">
        <v>366</v>
      </c>
      <c r="E36" s="142" t="s">
        <v>367</v>
      </c>
      <c r="F36" s="123" t="s">
        <v>194</v>
      </c>
      <c r="G36" s="123" t="s">
        <v>194</v>
      </c>
      <c r="H36" s="162" t="s">
        <v>194</v>
      </c>
      <c r="I36" s="53" t="s">
        <v>44</v>
      </c>
      <c r="J36" s="145"/>
      <c r="K36" s="145"/>
      <c r="L36" s="145"/>
      <c r="M36" s="145"/>
      <c r="N36" s="146"/>
      <c r="O36" s="89"/>
      <c r="P36" s="89"/>
      <c r="Q36" s="89"/>
    </row>
    <row r="37">
      <c r="B37" s="116"/>
      <c r="C37" s="116"/>
      <c r="D37" s="141" t="s">
        <v>370</v>
      </c>
      <c r="E37" s="142" t="s">
        <v>371</v>
      </c>
      <c r="F37" s="123" t="s">
        <v>194</v>
      </c>
      <c r="G37" s="123" t="s">
        <v>194</v>
      </c>
      <c r="H37" s="162" t="s">
        <v>194</v>
      </c>
      <c r="I37" s="53" t="s">
        <v>44</v>
      </c>
      <c r="J37" s="145"/>
      <c r="K37" s="145"/>
      <c r="L37" s="145"/>
      <c r="M37" s="145"/>
      <c r="N37" s="146"/>
      <c r="O37" s="89"/>
      <c r="P37" s="89"/>
      <c r="Q37" s="89"/>
    </row>
    <row r="38">
      <c r="B38" s="116"/>
      <c r="C38" s="116"/>
      <c r="D38" s="116"/>
      <c r="E38" s="142" t="s">
        <v>374</v>
      </c>
      <c r="F38" s="123" t="s">
        <v>194</v>
      </c>
      <c r="G38" s="123" t="s">
        <v>194</v>
      </c>
      <c r="H38" s="162" t="s">
        <v>194</v>
      </c>
      <c r="I38" s="53" t="s">
        <v>44</v>
      </c>
      <c r="J38" s="145"/>
      <c r="K38" s="145"/>
      <c r="L38" s="145"/>
      <c r="M38" s="145"/>
      <c r="N38" s="146"/>
      <c r="O38" s="89"/>
      <c r="P38" s="89"/>
      <c r="Q38" s="89"/>
    </row>
    <row r="39">
      <c r="B39" s="74"/>
      <c r="C39" s="74"/>
      <c r="D39" s="74"/>
      <c r="E39" s="184" t="s">
        <v>376</v>
      </c>
      <c r="F39" s="129" t="s">
        <v>194</v>
      </c>
      <c r="G39" s="129" t="s">
        <v>194</v>
      </c>
      <c r="H39" s="156" t="s">
        <v>194</v>
      </c>
      <c r="I39" s="53" t="s">
        <v>44</v>
      </c>
      <c r="J39" s="145"/>
      <c r="K39" s="145"/>
      <c r="L39" s="145"/>
      <c r="M39" s="145"/>
      <c r="N39" s="146"/>
      <c r="O39" s="89"/>
      <c r="P39" s="89"/>
      <c r="Q39" s="89"/>
    </row>
    <row r="40">
      <c r="B40" s="141" t="s">
        <v>378</v>
      </c>
      <c r="C40" s="133" t="s">
        <v>380</v>
      </c>
      <c r="D40" s="96"/>
      <c r="E40" s="142" t="s">
        <v>381</v>
      </c>
      <c r="F40" s="143" t="s">
        <v>194</v>
      </c>
      <c r="G40" s="143" t="s">
        <v>194</v>
      </c>
      <c r="H40" s="162" t="s">
        <v>194</v>
      </c>
      <c r="I40" s="53" t="s">
        <v>44</v>
      </c>
      <c r="J40" s="145"/>
      <c r="K40" s="145"/>
      <c r="L40" s="145"/>
      <c r="M40" s="145"/>
      <c r="N40" s="146"/>
      <c r="O40" s="89"/>
      <c r="P40" s="89"/>
      <c r="Q40" s="89"/>
    </row>
    <row r="41">
      <c r="B41" s="116"/>
      <c r="C41" s="100"/>
      <c r="E41" s="190" t="s">
        <v>384</v>
      </c>
      <c r="F41" s="129" t="s">
        <v>194</v>
      </c>
      <c r="G41" s="129" t="s">
        <v>194</v>
      </c>
      <c r="H41" s="156" t="s">
        <v>194</v>
      </c>
      <c r="I41" s="53" t="s">
        <v>44</v>
      </c>
      <c r="J41" s="145"/>
      <c r="K41" s="145"/>
      <c r="L41" s="145"/>
      <c r="M41" s="145"/>
      <c r="N41" s="146"/>
      <c r="O41" s="89"/>
      <c r="P41" s="89"/>
      <c r="Q41" s="89"/>
    </row>
    <row r="42">
      <c r="B42" s="116"/>
      <c r="C42" s="133" t="s">
        <v>386</v>
      </c>
      <c r="D42" s="96"/>
      <c r="E42" s="142" t="s">
        <v>388</v>
      </c>
      <c r="F42" s="143" t="s">
        <v>194</v>
      </c>
      <c r="G42" s="143" t="s">
        <v>194</v>
      </c>
      <c r="H42" s="162" t="s">
        <v>194</v>
      </c>
      <c r="I42" s="53" t="s">
        <v>44</v>
      </c>
      <c r="J42" s="145"/>
      <c r="K42" s="145"/>
      <c r="L42" s="145"/>
      <c r="M42" s="145"/>
      <c r="N42" s="146"/>
      <c r="O42" s="89"/>
      <c r="P42" s="89"/>
      <c r="Q42" s="89"/>
    </row>
    <row r="43">
      <c r="B43" s="116"/>
      <c r="C43" s="100"/>
      <c r="E43" s="149" t="s">
        <v>392</v>
      </c>
      <c r="F43" s="129" t="s">
        <v>194</v>
      </c>
      <c r="G43" s="129" t="s">
        <v>194</v>
      </c>
      <c r="H43" s="156" t="s">
        <v>194</v>
      </c>
      <c r="I43" s="53" t="s">
        <v>44</v>
      </c>
      <c r="J43" s="145"/>
      <c r="K43" s="145"/>
      <c r="L43" s="145"/>
      <c r="M43" s="145"/>
      <c r="N43" s="146"/>
      <c r="O43" s="89"/>
      <c r="P43" s="89"/>
      <c r="Q43" s="89"/>
    </row>
    <row r="44">
      <c r="B44" s="116"/>
      <c r="C44" s="133" t="s">
        <v>393</v>
      </c>
      <c r="D44" s="96"/>
      <c r="E44" s="142" t="s">
        <v>395</v>
      </c>
      <c r="F44" s="143" t="s">
        <v>194</v>
      </c>
      <c r="G44" s="143" t="s">
        <v>194</v>
      </c>
      <c r="H44" s="152" t="s">
        <v>219</v>
      </c>
      <c r="I44" s="53" t="s">
        <v>44</v>
      </c>
      <c r="J44" s="145"/>
      <c r="K44" s="145"/>
      <c r="L44" s="145"/>
      <c r="M44" s="145"/>
      <c r="N44" s="146"/>
      <c r="O44" s="89"/>
      <c r="P44" s="89"/>
      <c r="Q44" s="89"/>
    </row>
    <row r="45">
      <c r="B45" s="74"/>
      <c r="C45" s="100"/>
      <c r="E45" s="149" t="s">
        <v>398</v>
      </c>
      <c r="F45" s="129" t="s">
        <v>194</v>
      </c>
      <c r="G45" s="129" t="s">
        <v>194</v>
      </c>
      <c r="H45" s="154" t="s">
        <v>219</v>
      </c>
      <c r="I45" s="53" t="s">
        <v>44</v>
      </c>
      <c r="J45" s="145"/>
      <c r="K45" s="145"/>
      <c r="L45" s="145"/>
      <c r="M45" s="145"/>
      <c r="N45" s="146"/>
      <c r="O45" s="89"/>
      <c r="P45" s="89"/>
      <c r="Q45" s="89"/>
    </row>
    <row r="46">
      <c r="B46" s="141" t="s">
        <v>401</v>
      </c>
      <c r="C46" s="133" t="s">
        <v>404</v>
      </c>
      <c r="D46" s="96"/>
      <c r="E46" s="142" t="s">
        <v>405</v>
      </c>
      <c r="F46" s="143" t="s">
        <v>194</v>
      </c>
      <c r="G46" s="143" t="s">
        <v>194</v>
      </c>
      <c r="H46" s="162" t="s">
        <v>194</v>
      </c>
      <c r="I46" s="53" t="s">
        <v>44</v>
      </c>
      <c r="J46" s="145"/>
      <c r="K46" s="145"/>
      <c r="L46" s="145"/>
      <c r="M46" s="145"/>
      <c r="N46" s="146"/>
      <c r="O46" s="89"/>
      <c r="P46" s="89"/>
      <c r="Q46" s="89"/>
    </row>
    <row r="47">
      <c r="B47" s="116"/>
      <c r="C47" s="100"/>
      <c r="E47" s="149" t="s">
        <v>408</v>
      </c>
      <c r="F47" s="129" t="s">
        <v>194</v>
      </c>
      <c r="G47" s="129" t="s">
        <v>194</v>
      </c>
      <c r="H47" s="156" t="s">
        <v>194</v>
      </c>
      <c r="I47" s="53" t="s">
        <v>44</v>
      </c>
      <c r="J47" s="145"/>
      <c r="K47" s="145"/>
      <c r="L47" s="145"/>
      <c r="M47" s="145"/>
      <c r="N47" s="146"/>
      <c r="O47" s="89"/>
      <c r="P47" s="89"/>
      <c r="Q47" s="89"/>
    </row>
    <row r="48">
      <c r="B48" s="116"/>
      <c r="C48" s="141" t="s">
        <v>410</v>
      </c>
      <c r="D48" s="141" t="s">
        <v>411</v>
      </c>
      <c r="E48" s="142" t="s">
        <v>306</v>
      </c>
      <c r="F48" s="143" t="s">
        <v>194</v>
      </c>
      <c r="G48" s="143" t="s">
        <v>194</v>
      </c>
      <c r="H48" s="162" t="s">
        <v>194</v>
      </c>
      <c r="I48" s="53" t="s">
        <v>44</v>
      </c>
      <c r="J48" s="145"/>
      <c r="K48" s="145"/>
      <c r="L48" s="145"/>
      <c r="M48" s="145"/>
      <c r="N48" s="146"/>
      <c r="O48" s="89"/>
      <c r="P48" s="89"/>
      <c r="Q48" s="89"/>
    </row>
    <row r="49">
      <c r="B49" s="116"/>
      <c r="C49" s="116"/>
      <c r="D49" s="74"/>
      <c r="E49" s="155" t="s">
        <v>416</v>
      </c>
      <c r="F49" s="123" t="s">
        <v>194</v>
      </c>
      <c r="G49" s="123" t="s">
        <v>194</v>
      </c>
      <c r="H49" s="198" t="s">
        <v>194</v>
      </c>
      <c r="I49" s="53" t="s">
        <v>44</v>
      </c>
      <c r="J49" s="137"/>
      <c r="K49" s="137"/>
      <c r="L49" s="137"/>
      <c r="M49" s="137"/>
      <c r="N49" s="93"/>
      <c r="O49" s="89"/>
      <c r="P49" s="89"/>
      <c r="Q49" s="89"/>
    </row>
    <row r="50">
      <c r="B50" s="116"/>
      <c r="C50" s="116"/>
      <c r="D50" s="200" t="s">
        <v>421</v>
      </c>
      <c r="E50" s="202" t="s">
        <v>425</v>
      </c>
      <c r="F50" s="123" t="s">
        <v>194</v>
      </c>
      <c r="G50" s="123" t="s">
        <v>194</v>
      </c>
      <c r="H50" s="198" t="s">
        <v>194</v>
      </c>
      <c r="I50" s="53" t="s">
        <v>44</v>
      </c>
      <c r="J50" s="137"/>
      <c r="K50" s="137"/>
      <c r="L50" s="137"/>
      <c r="M50" s="137"/>
      <c r="N50" s="93"/>
      <c r="O50" s="89"/>
      <c r="P50" s="89"/>
      <c r="Q50" s="89"/>
    </row>
    <row r="51">
      <c r="B51" s="116"/>
      <c r="C51" s="116"/>
      <c r="D51" s="116"/>
      <c r="E51" s="202" t="s">
        <v>428</v>
      </c>
      <c r="F51" s="123" t="s">
        <v>194</v>
      </c>
      <c r="G51" s="123" t="s">
        <v>194</v>
      </c>
      <c r="H51" s="198" t="s">
        <v>194</v>
      </c>
      <c r="I51" s="53" t="s">
        <v>44</v>
      </c>
      <c r="J51" s="137"/>
      <c r="K51" s="137"/>
      <c r="L51" s="137"/>
      <c r="M51" s="137"/>
      <c r="N51" s="93"/>
      <c r="O51" s="89"/>
      <c r="P51" s="89"/>
      <c r="Q51" s="89"/>
    </row>
    <row r="52">
      <c r="B52" s="116"/>
      <c r="C52" s="116"/>
      <c r="D52" s="116"/>
      <c r="E52" s="202" t="s">
        <v>431</v>
      </c>
      <c r="F52" s="123" t="s">
        <v>194</v>
      </c>
      <c r="G52" s="123" t="s">
        <v>194</v>
      </c>
      <c r="H52" s="198" t="s">
        <v>194</v>
      </c>
      <c r="I52" s="53" t="s">
        <v>44</v>
      </c>
      <c r="J52" s="137"/>
      <c r="K52" s="137"/>
      <c r="L52" s="137"/>
      <c r="M52" s="137"/>
      <c r="N52" s="93"/>
      <c r="O52" s="89"/>
      <c r="P52" s="89"/>
      <c r="Q52" s="89"/>
    </row>
    <row r="53">
      <c r="B53" s="116"/>
      <c r="C53" s="74"/>
      <c r="D53" s="74"/>
      <c r="E53" s="208" t="s">
        <v>433</v>
      </c>
      <c r="F53" s="129" t="s">
        <v>194</v>
      </c>
      <c r="G53" s="129" t="s">
        <v>194</v>
      </c>
      <c r="H53" s="151" t="s">
        <v>277</v>
      </c>
      <c r="I53" s="53" t="s">
        <v>44</v>
      </c>
      <c r="J53" s="137"/>
      <c r="K53" s="137"/>
      <c r="L53" s="137"/>
      <c r="M53" s="137"/>
      <c r="N53" s="93"/>
      <c r="O53" s="89"/>
      <c r="P53" s="89"/>
      <c r="Q53" s="89"/>
    </row>
    <row r="54">
      <c r="B54" s="116"/>
      <c r="C54" s="141" t="s">
        <v>436</v>
      </c>
      <c r="D54" s="141" t="s">
        <v>440</v>
      </c>
      <c r="E54" s="142" t="s">
        <v>306</v>
      </c>
      <c r="F54" s="143" t="s">
        <v>194</v>
      </c>
      <c r="G54" s="143" t="s">
        <v>194</v>
      </c>
      <c r="H54" s="162" t="s">
        <v>194</v>
      </c>
      <c r="I54" s="53" t="s">
        <v>44</v>
      </c>
      <c r="J54" s="137"/>
      <c r="K54" s="137"/>
      <c r="L54" s="137"/>
      <c r="M54" s="137"/>
      <c r="N54" s="93"/>
      <c r="O54" s="89"/>
      <c r="P54" s="89"/>
      <c r="Q54" s="89"/>
    </row>
    <row r="55">
      <c r="B55" s="116"/>
      <c r="C55" s="116"/>
      <c r="D55" s="74"/>
      <c r="E55" s="155" t="s">
        <v>416</v>
      </c>
      <c r="F55" s="123" t="s">
        <v>194</v>
      </c>
      <c r="G55" s="123" t="s">
        <v>194</v>
      </c>
      <c r="H55" s="148" t="s">
        <v>277</v>
      </c>
      <c r="I55" s="53" t="s">
        <v>44</v>
      </c>
      <c r="J55" s="137"/>
      <c r="K55" s="137"/>
      <c r="L55" s="137"/>
      <c r="M55" s="137"/>
      <c r="N55" s="93"/>
      <c r="O55" s="89"/>
      <c r="P55" s="89"/>
      <c r="Q55" s="89"/>
    </row>
    <row r="56">
      <c r="B56" s="116"/>
      <c r="C56" s="116"/>
      <c r="D56" s="141" t="s">
        <v>446</v>
      </c>
      <c r="E56" s="155" t="s">
        <v>447</v>
      </c>
      <c r="F56" s="123" t="s">
        <v>194</v>
      </c>
      <c r="G56" s="123" t="s">
        <v>194</v>
      </c>
      <c r="H56" s="198" t="s">
        <v>194</v>
      </c>
      <c r="I56" s="53" t="s">
        <v>44</v>
      </c>
      <c r="J56" s="137"/>
      <c r="K56" s="137"/>
      <c r="L56" s="137"/>
      <c r="M56" s="137"/>
      <c r="N56" s="93"/>
      <c r="O56" s="89"/>
      <c r="P56" s="89"/>
      <c r="Q56" s="89"/>
    </row>
    <row r="57">
      <c r="B57" s="116"/>
      <c r="C57" s="74"/>
      <c r="D57" s="74"/>
      <c r="E57" s="149" t="s">
        <v>449</v>
      </c>
      <c r="F57" s="129" t="s">
        <v>194</v>
      </c>
      <c r="G57" s="129" t="s">
        <v>194</v>
      </c>
      <c r="H57" s="156" t="s">
        <v>194</v>
      </c>
      <c r="I57" s="53" t="s">
        <v>44</v>
      </c>
      <c r="J57" s="137"/>
      <c r="K57" s="137"/>
      <c r="L57" s="137"/>
      <c r="M57" s="137"/>
      <c r="N57" s="93"/>
      <c r="O57" s="89"/>
      <c r="P57" s="89"/>
      <c r="Q57" s="89"/>
    </row>
    <row r="58">
      <c r="B58" s="141" t="s">
        <v>451</v>
      </c>
      <c r="C58" s="133" t="s">
        <v>455</v>
      </c>
      <c r="D58" s="96"/>
      <c r="E58" s="142" t="s">
        <v>456</v>
      </c>
      <c r="F58" s="143" t="s">
        <v>194</v>
      </c>
      <c r="G58" s="143" t="s">
        <v>194</v>
      </c>
      <c r="H58" s="162" t="s">
        <v>194</v>
      </c>
      <c r="I58" s="53" t="s">
        <v>44</v>
      </c>
      <c r="J58" s="137"/>
      <c r="K58" s="137"/>
      <c r="L58" s="137"/>
      <c r="M58" s="137"/>
      <c r="N58" s="93"/>
      <c r="O58" s="89"/>
      <c r="P58" s="89"/>
      <c r="Q58" s="89"/>
    </row>
    <row r="59">
      <c r="B59" s="116"/>
      <c r="C59" s="100"/>
      <c r="E59" s="155" t="s">
        <v>458</v>
      </c>
      <c r="F59" s="123" t="s">
        <v>194</v>
      </c>
      <c r="G59" s="219" t="s">
        <v>356</v>
      </c>
      <c r="H59" s="219" t="s">
        <v>356</v>
      </c>
      <c r="I59" s="53" t="s">
        <v>44</v>
      </c>
      <c r="J59" s="137"/>
      <c r="K59" s="137"/>
      <c r="L59" s="137"/>
      <c r="M59" s="137"/>
      <c r="N59" s="93"/>
      <c r="O59" s="89"/>
      <c r="P59" s="89"/>
      <c r="Q59" s="89"/>
    </row>
    <row r="60">
      <c r="B60" s="116"/>
      <c r="C60" s="100"/>
      <c r="E60" s="155" t="s">
        <v>462</v>
      </c>
      <c r="F60" s="123" t="s">
        <v>194</v>
      </c>
      <c r="G60" s="123" t="s">
        <v>194</v>
      </c>
      <c r="H60" s="198" t="s">
        <v>194</v>
      </c>
      <c r="I60" s="53" t="s">
        <v>44</v>
      </c>
      <c r="J60" s="137"/>
      <c r="K60" s="137"/>
      <c r="L60" s="137"/>
      <c r="M60" s="137"/>
      <c r="N60" s="93"/>
      <c r="O60" s="89"/>
      <c r="P60" s="89"/>
      <c r="Q60" s="89"/>
    </row>
    <row r="61">
      <c r="B61" s="116"/>
      <c r="C61" s="100"/>
      <c r="E61" s="190" t="s">
        <v>467</v>
      </c>
      <c r="F61" s="129" t="s">
        <v>194</v>
      </c>
      <c r="G61" s="129" t="s">
        <v>194</v>
      </c>
      <c r="H61" s="151" t="s">
        <v>277</v>
      </c>
      <c r="I61" s="53" t="s">
        <v>44</v>
      </c>
      <c r="J61" s="137"/>
      <c r="K61" s="137"/>
      <c r="L61" s="137"/>
      <c r="M61" s="137"/>
      <c r="N61" s="93"/>
      <c r="O61" s="89"/>
      <c r="P61" s="89"/>
      <c r="Q61" s="89"/>
    </row>
    <row r="62">
      <c r="B62" s="116"/>
      <c r="C62" s="133" t="s">
        <v>471</v>
      </c>
      <c r="D62" s="96"/>
      <c r="E62" s="142" t="s">
        <v>463</v>
      </c>
      <c r="F62" s="143" t="s">
        <v>194</v>
      </c>
      <c r="G62" s="143" t="s">
        <v>194</v>
      </c>
      <c r="H62" s="162" t="s">
        <v>194</v>
      </c>
      <c r="I62" s="53" t="s">
        <v>44</v>
      </c>
      <c r="J62" s="137"/>
      <c r="K62" s="137"/>
      <c r="L62" s="137"/>
      <c r="M62" s="137"/>
      <c r="N62" s="93"/>
      <c r="O62" s="89"/>
      <c r="P62" s="89"/>
      <c r="Q62" s="89"/>
    </row>
    <row r="63">
      <c r="B63" s="116"/>
      <c r="C63" s="100"/>
      <c r="E63" s="127" t="s">
        <v>475</v>
      </c>
      <c r="F63" s="222" t="s">
        <v>194</v>
      </c>
      <c r="G63" s="222" t="s">
        <v>194</v>
      </c>
      <c r="H63" s="148" t="s">
        <v>277</v>
      </c>
      <c r="I63" s="53" t="s">
        <v>44</v>
      </c>
      <c r="J63" s="137"/>
      <c r="K63" s="137"/>
      <c r="L63" s="137"/>
      <c r="M63" s="137"/>
      <c r="N63" s="93"/>
      <c r="O63" s="89"/>
      <c r="P63" s="89"/>
      <c r="Q63" s="89"/>
    </row>
    <row r="64">
      <c r="B64" s="116"/>
      <c r="C64" s="100"/>
      <c r="E64" s="149" t="s">
        <v>481</v>
      </c>
      <c r="F64" s="129" t="s">
        <v>194</v>
      </c>
      <c r="G64" s="129" t="s">
        <v>194</v>
      </c>
      <c r="H64" s="156" t="s">
        <v>194</v>
      </c>
      <c r="I64" s="53" t="s">
        <v>44</v>
      </c>
      <c r="J64" s="137"/>
      <c r="K64" s="137"/>
      <c r="L64" s="137"/>
      <c r="M64" s="137"/>
      <c r="N64" s="93"/>
      <c r="O64" s="89"/>
      <c r="P64" s="89"/>
      <c r="Q64" s="89"/>
    </row>
    <row r="65">
      <c r="B65" s="133" t="s">
        <v>485</v>
      </c>
      <c r="C65" s="96"/>
      <c r="D65" s="67"/>
      <c r="E65" s="128" t="s">
        <v>487</v>
      </c>
      <c r="F65" s="224" t="s">
        <v>194</v>
      </c>
      <c r="G65" s="143" t="s">
        <v>194</v>
      </c>
      <c r="H65" s="166" t="s">
        <v>491</v>
      </c>
      <c r="I65" s="53" t="s">
        <v>44</v>
      </c>
      <c r="J65" s="137"/>
      <c r="K65" s="137"/>
      <c r="L65" s="137"/>
      <c r="M65" s="137"/>
      <c r="N65" s="93"/>
      <c r="O65" s="89"/>
      <c r="P65" s="89"/>
      <c r="Q65" s="89"/>
    </row>
    <row r="66">
      <c r="B66" s="100"/>
      <c r="D66" s="24"/>
      <c r="E66" s="128" t="s">
        <v>493</v>
      </c>
      <c r="F66" s="224" t="s">
        <v>194</v>
      </c>
      <c r="G66" s="123" t="s">
        <v>194</v>
      </c>
      <c r="H66" s="166" t="s">
        <v>247</v>
      </c>
      <c r="I66" s="53" t="s">
        <v>44</v>
      </c>
      <c r="J66" s="137"/>
      <c r="K66" s="137"/>
      <c r="L66" s="137"/>
      <c r="M66" s="137"/>
      <c r="N66" s="93"/>
      <c r="O66" s="89"/>
      <c r="P66" s="89"/>
      <c r="Q66" s="89"/>
    </row>
    <row r="67">
      <c r="B67" s="100"/>
      <c r="D67" s="24"/>
      <c r="E67" s="119" t="s">
        <v>495</v>
      </c>
      <c r="F67" s="224" t="s">
        <v>194</v>
      </c>
      <c r="G67" s="123" t="s">
        <v>194</v>
      </c>
      <c r="H67" s="198" t="s">
        <v>194</v>
      </c>
      <c r="I67" s="53" t="s">
        <v>44</v>
      </c>
      <c r="J67" s="137"/>
      <c r="K67" s="137"/>
      <c r="L67" s="137"/>
      <c r="M67" s="137"/>
      <c r="N67" s="93"/>
      <c r="O67" s="89"/>
      <c r="P67" s="89"/>
      <c r="Q67" s="89"/>
    </row>
    <row r="68">
      <c r="B68" s="100"/>
      <c r="D68" s="24"/>
      <c r="E68" s="119" t="s">
        <v>498</v>
      </c>
      <c r="F68" s="224" t="s">
        <v>194</v>
      </c>
      <c r="G68" s="123" t="s">
        <v>194</v>
      </c>
      <c r="H68" s="159" t="s">
        <v>219</v>
      </c>
      <c r="I68" s="53" t="s">
        <v>44</v>
      </c>
      <c r="J68" s="137"/>
      <c r="K68" s="137"/>
      <c r="L68" s="137"/>
      <c r="M68" s="137"/>
      <c r="N68" s="93"/>
      <c r="O68" s="89"/>
      <c r="P68" s="89"/>
      <c r="Q68" s="89"/>
    </row>
    <row r="69">
      <c r="B69" s="100"/>
      <c r="D69" s="24"/>
      <c r="E69" s="119" t="s">
        <v>500</v>
      </c>
      <c r="F69" s="224" t="s">
        <v>194</v>
      </c>
      <c r="G69" s="123" t="s">
        <v>194</v>
      </c>
      <c r="H69" s="198" t="s">
        <v>194</v>
      </c>
      <c r="I69" s="53" t="s">
        <v>44</v>
      </c>
      <c r="J69" s="137"/>
      <c r="K69" s="137"/>
      <c r="L69" s="137"/>
      <c r="M69" s="137"/>
      <c r="N69" s="93"/>
      <c r="O69" s="89"/>
      <c r="P69" s="89"/>
      <c r="Q69" s="89"/>
    </row>
    <row r="70">
      <c r="B70" s="72"/>
      <c r="C70" s="32"/>
      <c r="D70" s="35"/>
      <c r="E70" s="128" t="s">
        <v>504</v>
      </c>
      <c r="F70" s="224" t="s">
        <v>194</v>
      </c>
      <c r="G70" s="130" t="s">
        <v>194</v>
      </c>
      <c r="H70" s="228" t="s">
        <v>505</v>
      </c>
      <c r="I70" s="53" t="s">
        <v>44</v>
      </c>
      <c r="J70" s="128"/>
      <c r="K70" s="128"/>
      <c r="L70" s="128"/>
      <c r="M70" s="128"/>
      <c r="N70" s="132"/>
      <c r="O70" s="89"/>
      <c r="P70" s="89"/>
      <c r="Q70" s="89"/>
    </row>
    <row r="71">
      <c r="I71" s="87"/>
      <c r="N71" s="88"/>
    </row>
    <row r="72">
      <c r="I72" s="87"/>
      <c r="N72" s="88"/>
    </row>
    <row r="73">
      <c r="I73" s="87"/>
      <c r="N73" s="88"/>
    </row>
    <row r="74">
      <c r="I74" s="87"/>
      <c r="N74" s="88"/>
    </row>
    <row r="75">
      <c r="I75" s="87"/>
      <c r="N75" s="88"/>
    </row>
    <row r="76">
      <c r="I76" s="87"/>
      <c r="N76" s="88"/>
    </row>
    <row r="77">
      <c r="I77" s="87"/>
      <c r="N77" s="88"/>
    </row>
    <row r="78">
      <c r="I78" s="87"/>
      <c r="N78" s="88"/>
    </row>
    <row r="79">
      <c r="I79" s="87"/>
      <c r="N79" s="88"/>
    </row>
    <row r="80">
      <c r="I80" s="87"/>
      <c r="N80" s="88"/>
    </row>
    <row r="81">
      <c r="I81" s="87"/>
      <c r="N81" s="88"/>
    </row>
    <row r="82">
      <c r="I82" s="87"/>
      <c r="N82" s="88"/>
    </row>
    <row r="83">
      <c r="I83" s="87"/>
      <c r="N83" s="88"/>
    </row>
    <row r="84">
      <c r="I84" s="87"/>
      <c r="N84" s="88"/>
    </row>
    <row r="85">
      <c r="I85" s="87"/>
      <c r="N85" s="88"/>
    </row>
    <row r="86">
      <c r="I86" s="87"/>
      <c r="N86" s="88"/>
    </row>
    <row r="87">
      <c r="I87" s="87"/>
      <c r="N87" s="88"/>
    </row>
    <row r="88">
      <c r="I88" s="87"/>
      <c r="N88" s="88"/>
    </row>
    <row r="89">
      <c r="I89" s="87"/>
      <c r="N89" s="88"/>
    </row>
    <row r="90">
      <c r="I90" s="87"/>
      <c r="N90" s="88"/>
    </row>
    <row r="91">
      <c r="I91" s="87"/>
      <c r="N91" s="88"/>
    </row>
    <row r="92">
      <c r="I92" s="87"/>
      <c r="N92" s="88"/>
    </row>
    <row r="93">
      <c r="I93" s="87"/>
      <c r="N93" s="88"/>
    </row>
    <row r="94">
      <c r="I94" s="87"/>
      <c r="N94" s="88"/>
    </row>
    <row r="95">
      <c r="I95" s="87"/>
      <c r="N95" s="88"/>
    </row>
    <row r="96">
      <c r="I96" s="87"/>
      <c r="N96" s="88"/>
    </row>
    <row r="97">
      <c r="I97" s="87"/>
      <c r="N97" s="88"/>
    </row>
    <row r="98">
      <c r="I98" s="87"/>
      <c r="N98" s="88"/>
    </row>
    <row r="99">
      <c r="I99" s="87"/>
      <c r="N99" s="88"/>
    </row>
    <row r="100">
      <c r="I100" s="87"/>
      <c r="N100" s="88"/>
    </row>
    <row r="101">
      <c r="I101" s="87"/>
      <c r="N101" s="88"/>
    </row>
    <row r="102">
      <c r="I102" s="87"/>
      <c r="N102" s="88"/>
    </row>
    <row r="103">
      <c r="I103" s="87"/>
      <c r="N103" s="88"/>
    </row>
    <row r="104">
      <c r="I104" s="87"/>
      <c r="N104" s="88"/>
    </row>
    <row r="105">
      <c r="I105" s="87"/>
      <c r="N105" s="88"/>
    </row>
    <row r="106">
      <c r="I106" s="87"/>
      <c r="N106" s="88"/>
    </row>
    <row r="107">
      <c r="I107" s="87"/>
      <c r="N107" s="88"/>
    </row>
    <row r="108">
      <c r="I108" s="87"/>
      <c r="N108" s="88"/>
    </row>
    <row r="109">
      <c r="I109" s="87"/>
      <c r="N109" s="88"/>
    </row>
    <row r="110">
      <c r="I110" s="87"/>
      <c r="N110" s="88"/>
    </row>
    <row r="111">
      <c r="I111" s="87"/>
      <c r="N111" s="88"/>
    </row>
    <row r="112">
      <c r="I112" s="87"/>
      <c r="N112" s="88"/>
    </row>
    <row r="113">
      <c r="I113" s="87"/>
      <c r="N113" s="88"/>
    </row>
    <row r="114">
      <c r="I114" s="87"/>
      <c r="N114" s="88"/>
    </row>
    <row r="115">
      <c r="I115" s="87"/>
      <c r="N115" s="88"/>
    </row>
    <row r="116">
      <c r="I116" s="87"/>
      <c r="N116" s="88"/>
    </row>
    <row r="117">
      <c r="I117" s="87"/>
      <c r="N117" s="88"/>
    </row>
    <row r="118">
      <c r="I118" s="87"/>
      <c r="N118" s="88"/>
    </row>
    <row r="119">
      <c r="I119" s="87"/>
      <c r="N119" s="88"/>
    </row>
    <row r="120">
      <c r="I120" s="87"/>
      <c r="N120" s="88"/>
    </row>
    <row r="121">
      <c r="I121" s="87"/>
      <c r="N121" s="88"/>
    </row>
    <row r="122">
      <c r="I122" s="87"/>
      <c r="N122" s="88"/>
    </row>
    <row r="123">
      <c r="I123" s="87"/>
      <c r="N123" s="88"/>
    </row>
    <row r="124">
      <c r="I124" s="87"/>
      <c r="N124" s="88"/>
    </row>
    <row r="125">
      <c r="I125" s="87"/>
      <c r="N125" s="88"/>
    </row>
    <row r="126">
      <c r="I126" s="87"/>
      <c r="N126" s="88"/>
    </row>
    <row r="127">
      <c r="I127" s="87"/>
      <c r="N127" s="88"/>
    </row>
    <row r="128">
      <c r="I128" s="87"/>
      <c r="N128" s="88"/>
    </row>
    <row r="129">
      <c r="I129" s="87"/>
      <c r="N129" s="88"/>
    </row>
    <row r="130">
      <c r="I130" s="87"/>
      <c r="N130" s="88"/>
    </row>
    <row r="131">
      <c r="I131" s="87"/>
      <c r="N131" s="88"/>
    </row>
    <row r="132">
      <c r="I132" s="87"/>
      <c r="N132" s="88"/>
    </row>
    <row r="133">
      <c r="I133" s="87"/>
      <c r="N133" s="88"/>
    </row>
    <row r="134">
      <c r="I134" s="87"/>
      <c r="N134" s="88"/>
    </row>
    <row r="135">
      <c r="I135" s="87"/>
      <c r="N135" s="88"/>
    </row>
    <row r="136">
      <c r="I136" s="87"/>
      <c r="N136" s="88"/>
    </row>
    <row r="137">
      <c r="I137" s="87"/>
      <c r="N137" s="88"/>
    </row>
    <row r="138">
      <c r="I138" s="87"/>
      <c r="N138" s="88"/>
    </row>
    <row r="139">
      <c r="I139" s="87"/>
      <c r="N139" s="88"/>
    </row>
    <row r="140">
      <c r="I140" s="87"/>
      <c r="N140" s="88"/>
    </row>
    <row r="141">
      <c r="I141" s="87"/>
      <c r="N141" s="88"/>
    </row>
    <row r="142">
      <c r="I142" s="87"/>
      <c r="N142" s="88"/>
    </row>
    <row r="143">
      <c r="I143" s="87"/>
      <c r="N143" s="88"/>
    </row>
    <row r="144">
      <c r="I144" s="87"/>
      <c r="N144" s="88"/>
    </row>
    <row r="145">
      <c r="I145" s="87"/>
      <c r="N145" s="88"/>
    </row>
    <row r="146">
      <c r="I146" s="87"/>
      <c r="N146" s="88"/>
    </row>
    <row r="147">
      <c r="I147" s="87"/>
      <c r="N147" s="88"/>
    </row>
    <row r="148">
      <c r="I148" s="87"/>
      <c r="N148" s="88"/>
    </row>
    <row r="149">
      <c r="I149" s="87"/>
      <c r="N149" s="88"/>
    </row>
    <row r="150">
      <c r="I150" s="87"/>
      <c r="N150" s="88"/>
    </row>
    <row r="151">
      <c r="I151" s="87"/>
      <c r="N151" s="88"/>
    </row>
    <row r="152">
      <c r="I152" s="87"/>
      <c r="N152" s="88"/>
    </row>
    <row r="153">
      <c r="I153" s="87"/>
      <c r="N153" s="88"/>
    </row>
    <row r="154">
      <c r="I154" s="87"/>
      <c r="N154" s="88"/>
    </row>
    <row r="155">
      <c r="I155" s="87"/>
      <c r="N155" s="88"/>
    </row>
    <row r="156">
      <c r="I156" s="87"/>
      <c r="N156" s="88"/>
    </row>
    <row r="157">
      <c r="I157" s="87"/>
      <c r="N157" s="88"/>
    </row>
    <row r="158">
      <c r="I158" s="87"/>
      <c r="N158" s="88"/>
    </row>
    <row r="159">
      <c r="I159" s="87"/>
      <c r="N159" s="88"/>
    </row>
    <row r="160">
      <c r="I160" s="87"/>
      <c r="N160" s="88"/>
    </row>
    <row r="161">
      <c r="I161" s="87"/>
      <c r="N161" s="88"/>
    </row>
    <row r="162">
      <c r="I162" s="87"/>
      <c r="N162" s="88"/>
    </row>
    <row r="163">
      <c r="I163" s="87"/>
      <c r="N163" s="88"/>
    </row>
    <row r="164">
      <c r="I164" s="87"/>
      <c r="N164" s="88"/>
    </row>
    <row r="165">
      <c r="I165" s="87"/>
      <c r="N165" s="88"/>
    </row>
    <row r="166">
      <c r="I166" s="87"/>
      <c r="N166" s="88"/>
    </row>
    <row r="167">
      <c r="I167" s="87"/>
      <c r="N167" s="88"/>
    </row>
    <row r="168">
      <c r="I168" s="87"/>
      <c r="N168" s="88"/>
    </row>
    <row r="169">
      <c r="I169" s="87"/>
      <c r="N169" s="88"/>
    </row>
    <row r="170">
      <c r="I170" s="87"/>
      <c r="N170" s="88"/>
    </row>
    <row r="171">
      <c r="I171" s="87"/>
      <c r="N171" s="88"/>
    </row>
    <row r="172">
      <c r="I172" s="87"/>
      <c r="N172" s="88"/>
    </row>
    <row r="173">
      <c r="I173" s="87"/>
      <c r="N173" s="88"/>
    </row>
    <row r="174">
      <c r="I174" s="87"/>
      <c r="N174" s="88"/>
    </row>
    <row r="175">
      <c r="I175" s="87"/>
      <c r="N175" s="88"/>
    </row>
    <row r="176">
      <c r="I176" s="87"/>
      <c r="N176" s="88"/>
    </row>
    <row r="177">
      <c r="I177" s="87"/>
      <c r="N177" s="88"/>
    </row>
    <row r="178">
      <c r="I178" s="87"/>
      <c r="N178" s="88"/>
    </row>
    <row r="179">
      <c r="I179" s="87"/>
      <c r="N179" s="88"/>
    </row>
    <row r="180">
      <c r="I180" s="87"/>
      <c r="N180" s="88"/>
    </row>
    <row r="181">
      <c r="I181" s="87"/>
      <c r="N181" s="88"/>
    </row>
    <row r="182">
      <c r="I182" s="87"/>
      <c r="N182" s="88"/>
    </row>
    <row r="183">
      <c r="I183" s="87"/>
      <c r="N183" s="88"/>
    </row>
    <row r="184">
      <c r="I184" s="87"/>
      <c r="N184" s="88"/>
    </row>
    <row r="185">
      <c r="I185" s="87"/>
      <c r="N185" s="88"/>
    </row>
    <row r="186">
      <c r="I186" s="87"/>
      <c r="N186" s="88"/>
    </row>
    <row r="187">
      <c r="I187" s="87"/>
      <c r="N187" s="88"/>
    </row>
    <row r="188">
      <c r="I188" s="87"/>
      <c r="N188" s="88"/>
    </row>
    <row r="189">
      <c r="I189" s="87"/>
      <c r="N189" s="88"/>
    </row>
    <row r="190">
      <c r="I190" s="87"/>
      <c r="N190" s="88"/>
    </row>
    <row r="191">
      <c r="I191" s="87"/>
      <c r="N191" s="88"/>
    </row>
    <row r="192">
      <c r="I192" s="87"/>
      <c r="N192" s="88"/>
    </row>
    <row r="193">
      <c r="I193" s="87"/>
      <c r="N193" s="88"/>
    </row>
    <row r="194">
      <c r="I194" s="87"/>
      <c r="N194" s="88"/>
    </row>
    <row r="195">
      <c r="I195" s="87"/>
      <c r="N195" s="88"/>
    </row>
    <row r="196">
      <c r="I196" s="87"/>
      <c r="N196" s="88"/>
    </row>
    <row r="197">
      <c r="I197" s="87"/>
      <c r="N197" s="88"/>
    </row>
    <row r="198">
      <c r="I198" s="87"/>
      <c r="N198" s="88"/>
    </row>
    <row r="199">
      <c r="I199" s="87"/>
      <c r="N199" s="88"/>
    </row>
    <row r="200">
      <c r="I200" s="87"/>
      <c r="N200" s="88"/>
    </row>
    <row r="201">
      <c r="I201" s="87"/>
      <c r="N201" s="88"/>
    </row>
    <row r="202">
      <c r="I202" s="87"/>
      <c r="N202" s="88"/>
    </row>
    <row r="203">
      <c r="I203" s="87"/>
      <c r="N203" s="88"/>
    </row>
    <row r="204">
      <c r="I204" s="87"/>
      <c r="N204" s="88"/>
    </row>
    <row r="205">
      <c r="I205" s="87"/>
      <c r="N205" s="88"/>
    </row>
    <row r="206">
      <c r="I206" s="87"/>
      <c r="N206" s="88"/>
    </row>
    <row r="207">
      <c r="I207" s="87"/>
      <c r="N207" s="88"/>
    </row>
    <row r="208">
      <c r="I208" s="87"/>
      <c r="N208" s="88"/>
    </row>
    <row r="209">
      <c r="I209" s="87"/>
      <c r="N209" s="88"/>
    </row>
    <row r="210">
      <c r="I210" s="87"/>
      <c r="N210" s="88"/>
    </row>
    <row r="211">
      <c r="I211" s="87"/>
      <c r="N211" s="88"/>
    </row>
    <row r="212">
      <c r="I212" s="87"/>
      <c r="N212" s="88"/>
    </row>
    <row r="213">
      <c r="I213" s="87"/>
      <c r="N213" s="88"/>
    </row>
    <row r="214">
      <c r="I214" s="87"/>
      <c r="N214" s="88"/>
    </row>
    <row r="215">
      <c r="I215" s="87"/>
      <c r="N215" s="88"/>
    </row>
    <row r="216">
      <c r="I216" s="87"/>
      <c r="N216" s="88"/>
    </row>
    <row r="217">
      <c r="I217" s="87"/>
      <c r="N217" s="88"/>
    </row>
    <row r="218">
      <c r="I218" s="87"/>
      <c r="N218" s="88"/>
    </row>
    <row r="219">
      <c r="I219" s="87"/>
      <c r="N219" s="88"/>
    </row>
    <row r="220">
      <c r="I220" s="87"/>
      <c r="N220" s="88"/>
    </row>
    <row r="221">
      <c r="I221" s="87"/>
      <c r="N221" s="88"/>
    </row>
    <row r="222">
      <c r="I222" s="87"/>
      <c r="N222" s="88"/>
    </row>
    <row r="223">
      <c r="I223" s="87"/>
      <c r="N223" s="88"/>
    </row>
    <row r="224">
      <c r="I224" s="87"/>
      <c r="N224" s="88"/>
    </row>
    <row r="225">
      <c r="I225" s="87"/>
      <c r="N225" s="88"/>
    </row>
    <row r="226">
      <c r="I226" s="87"/>
      <c r="N226" s="88"/>
    </row>
    <row r="227">
      <c r="I227" s="87"/>
      <c r="N227" s="88"/>
    </row>
    <row r="228">
      <c r="I228" s="87"/>
      <c r="N228" s="88"/>
    </row>
    <row r="229">
      <c r="I229" s="87"/>
      <c r="N229" s="88"/>
    </row>
    <row r="230">
      <c r="I230" s="87"/>
      <c r="N230" s="88"/>
    </row>
    <row r="231">
      <c r="I231" s="87"/>
      <c r="N231" s="88"/>
    </row>
    <row r="232">
      <c r="I232" s="87"/>
      <c r="N232" s="88"/>
    </row>
    <row r="233">
      <c r="I233" s="87"/>
      <c r="N233" s="88"/>
    </row>
    <row r="234">
      <c r="I234" s="87"/>
      <c r="N234" s="88"/>
    </row>
    <row r="235">
      <c r="I235" s="87"/>
      <c r="N235" s="88"/>
    </row>
    <row r="236">
      <c r="I236" s="87"/>
      <c r="N236" s="88"/>
    </row>
    <row r="237">
      <c r="I237" s="87"/>
      <c r="N237" s="88"/>
    </row>
    <row r="238">
      <c r="I238" s="87"/>
      <c r="N238" s="88"/>
    </row>
    <row r="239">
      <c r="I239" s="87"/>
      <c r="N239" s="88"/>
    </row>
    <row r="240">
      <c r="I240" s="87"/>
      <c r="N240" s="88"/>
    </row>
    <row r="241">
      <c r="I241" s="87"/>
      <c r="N241" s="88"/>
    </row>
    <row r="242">
      <c r="I242" s="87"/>
      <c r="N242" s="88"/>
    </row>
    <row r="243">
      <c r="I243" s="87"/>
      <c r="N243" s="88"/>
    </row>
    <row r="244">
      <c r="I244" s="87"/>
      <c r="N244" s="88"/>
    </row>
    <row r="245">
      <c r="I245" s="87"/>
      <c r="N245" s="88"/>
    </row>
    <row r="246">
      <c r="I246" s="87"/>
      <c r="N246" s="88"/>
    </row>
    <row r="247">
      <c r="I247" s="87"/>
      <c r="N247" s="88"/>
    </row>
    <row r="248">
      <c r="I248" s="87"/>
      <c r="N248" s="88"/>
    </row>
    <row r="249">
      <c r="I249" s="87"/>
      <c r="N249" s="88"/>
    </row>
    <row r="250">
      <c r="I250" s="87"/>
      <c r="N250" s="88"/>
    </row>
    <row r="251">
      <c r="I251" s="87"/>
      <c r="N251" s="88"/>
    </row>
    <row r="252">
      <c r="I252" s="87"/>
      <c r="N252" s="88"/>
    </row>
    <row r="253">
      <c r="I253" s="87"/>
      <c r="N253" s="88"/>
    </row>
    <row r="254">
      <c r="I254" s="87"/>
      <c r="N254" s="88"/>
    </row>
    <row r="255">
      <c r="I255" s="87"/>
      <c r="N255" s="88"/>
    </row>
    <row r="256">
      <c r="I256" s="87"/>
      <c r="N256" s="88"/>
    </row>
    <row r="257">
      <c r="I257" s="87"/>
      <c r="N257" s="88"/>
    </row>
    <row r="258">
      <c r="I258" s="87"/>
      <c r="N258" s="88"/>
    </row>
    <row r="259">
      <c r="I259" s="87"/>
      <c r="N259" s="88"/>
    </row>
    <row r="260">
      <c r="I260" s="87"/>
      <c r="N260" s="88"/>
    </row>
    <row r="261">
      <c r="I261" s="87"/>
      <c r="N261" s="88"/>
    </row>
    <row r="262">
      <c r="I262" s="87"/>
      <c r="N262" s="88"/>
    </row>
    <row r="263">
      <c r="I263" s="87"/>
      <c r="N263" s="88"/>
    </row>
    <row r="264">
      <c r="I264" s="87"/>
      <c r="N264" s="88"/>
    </row>
    <row r="265">
      <c r="I265" s="87"/>
      <c r="N265" s="88"/>
    </row>
    <row r="266">
      <c r="I266" s="87"/>
      <c r="N266" s="88"/>
    </row>
    <row r="267">
      <c r="I267" s="87"/>
      <c r="N267" s="88"/>
    </row>
    <row r="268">
      <c r="I268" s="87"/>
      <c r="N268" s="88"/>
    </row>
    <row r="269">
      <c r="I269" s="87"/>
      <c r="N269" s="88"/>
    </row>
    <row r="270">
      <c r="I270" s="87"/>
      <c r="N270" s="88"/>
    </row>
    <row r="271">
      <c r="I271" s="87"/>
      <c r="N271" s="88"/>
    </row>
    <row r="272">
      <c r="I272" s="87"/>
      <c r="N272" s="88"/>
    </row>
    <row r="273">
      <c r="I273" s="87"/>
      <c r="N273" s="88"/>
    </row>
    <row r="274">
      <c r="I274" s="87"/>
      <c r="N274" s="88"/>
    </row>
    <row r="275">
      <c r="I275" s="87"/>
      <c r="N275" s="88"/>
    </row>
    <row r="276">
      <c r="I276" s="87"/>
      <c r="N276" s="88"/>
    </row>
    <row r="277">
      <c r="I277" s="87"/>
      <c r="N277" s="88"/>
    </row>
    <row r="278">
      <c r="I278" s="87"/>
      <c r="N278" s="88"/>
    </row>
    <row r="279">
      <c r="I279" s="87"/>
      <c r="N279" s="88"/>
    </row>
    <row r="280">
      <c r="I280" s="87"/>
      <c r="N280" s="88"/>
    </row>
    <row r="281">
      <c r="I281" s="87"/>
      <c r="N281" s="88"/>
    </row>
    <row r="282">
      <c r="I282" s="87"/>
      <c r="N282" s="88"/>
    </row>
    <row r="283">
      <c r="I283" s="87"/>
      <c r="N283" s="88"/>
    </row>
    <row r="284">
      <c r="I284" s="87"/>
      <c r="N284" s="88"/>
    </row>
    <row r="285">
      <c r="I285" s="87"/>
      <c r="N285" s="88"/>
    </row>
    <row r="286">
      <c r="I286" s="87"/>
      <c r="N286" s="88"/>
    </row>
    <row r="287">
      <c r="I287" s="87"/>
      <c r="N287" s="88"/>
    </row>
    <row r="288">
      <c r="I288" s="87"/>
      <c r="N288" s="88"/>
    </row>
    <row r="289">
      <c r="I289" s="87"/>
      <c r="N289" s="88"/>
    </row>
    <row r="290">
      <c r="I290" s="87"/>
      <c r="N290" s="88"/>
    </row>
    <row r="291">
      <c r="I291" s="87"/>
      <c r="N291" s="88"/>
    </row>
    <row r="292">
      <c r="I292" s="87"/>
      <c r="N292" s="88"/>
    </row>
    <row r="293">
      <c r="I293" s="87"/>
      <c r="N293" s="88"/>
    </row>
    <row r="294">
      <c r="I294" s="87"/>
      <c r="N294" s="88"/>
    </row>
    <row r="295">
      <c r="I295" s="87"/>
      <c r="N295" s="88"/>
    </row>
    <row r="296">
      <c r="I296" s="87"/>
      <c r="N296" s="88"/>
    </row>
    <row r="297">
      <c r="I297" s="87"/>
      <c r="N297" s="88"/>
    </row>
    <row r="298">
      <c r="I298" s="87"/>
      <c r="N298" s="88"/>
    </row>
    <row r="299">
      <c r="I299" s="87"/>
      <c r="N299" s="88"/>
    </row>
    <row r="300">
      <c r="I300" s="87"/>
      <c r="N300" s="88"/>
    </row>
    <row r="301">
      <c r="I301" s="87"/>
      <c r="N301" s="88"/>
    </row>
    <row r="302">
      <c r="I302" s="87"/>
      <c r="N302" s="88"/>
    </row>
    <row r="303">
      <c r="I303" s="87"/>
      <c r="N303" s="88"/>
    </row>
    <row r="304">
      <c r="I304" s="87"/>
      <c r="N304" s="88"/>
    </row>
    <row r="305">
      <c r="I305" s="87"/>
      <c r="N305" s="88"/>
    </row>
    <row r="306">
      <c r="I306" s="87"/>
      <c r="N306" s="88"/>
    </row>
    <row r="307">
      <c r="I307" s="87"/>
      <c r="N307" s="88"/>
    </row>
    <row r="308">
      <c r="I308" s="87"/>
      <c r="N308" s="88"/>
    </row>
    <row r="309">
      <c r="I309" s="87"/>
      <c r="N309" s="88"/>
    </row>
    <row r="310">
      <c r="I310" s="87"/>
      <c r="N310" s="88"/>
    </row>
    <row r="311">
      <c r="I311" s="87"/>
      <c r="N311" s="88"/>
    </row>
    <row r="312">
      <c r="I312" s="87"/>
      <c r="N312" s="88"/>
    </row>
    <row r="313">
      <c r="I313" s="87"/>
      <c r="N313" s="88"/>
    </row>
    <row r="314">
      <c r="I314" s="87"/>
      <c r="N314" s="88"/>
    </row>
    <row r="315">
      <c r="I315" s="87"/>
      <c r="N315" s="88"/>
    </row>
    <row r="316">
      <c r="I316" s="87"/>
      <c r="N316" s="88"/>
    </row>
    <row r="317">
      <c r="I317" s="87"/>
      <c r="N317" s="88"/>
    </row>
    <row r="318">
      <c r="I318" s="87"/>
      <c r="N318" s="88"/>
    </row>
    <row r="319">
      <c r="I319" s="87"/>
      <c r="N319" s="88"/>
    </row>
    <row r="320">
      <c r="I320" s="87"/>
      <c r="N320" s="88"/>
    </row>
    <row r="321">
      <c r="I321" s="87"/>
      <c r="N321" s="88"/>
    </row>
    <row r="322">
      <c r="I322" s="87"/>
      <c r="N322" s="88"/>
    </row>
    <row r="323">
      <c r="I323" s="87"/>
      <c r="N323" s="88"/>
    </row>
    <row r="324">
      <c r="I324" s="87"/>
      <c r="N324" s="88"/>
    </row>
    <row r="325">
      <c r="I325" s="87"/>
      <c r="N325" s="88"/>
    </row>
    <row r="326">
      <c r="I326" s="87"/>
      <c r="N326" s="88"/>
    </row>
    <row r="327">
      <c r="I327" s="87"/>
      <c r="N327" s="88"/>
    </row>
    <row r="328">
      <c r="I328" s="87"/>
      <c r="N328" s="88"/>
    </row>
    <row r="329">
      <c r="I329" s="87"/>
      <c r="N329" s="88"/>
    </row>
    <row r="330">
      <c r="I330" s="87"/>
      <c r="N330" s="88"/>
    </row>
    <row r="331">
      <c r="I331" s="87"/>
      <c r="N331" s="88"/>
    </row>
    <row r="332">
      <c r="I332" s="87"/>
      <c r="N332" s="88"/>
    </row>
    <row r="333">
      <c r="I333" s="87"/>
      <c r="N333" s="88"/>
    </row>
    <row r="334">
      <c r="I334" s="87"/>
      <c r="N334" s="88"/>
    </row>
    <row r="335">
      <c r="I335" s="87"/>
      <c r="N335" s="88"/>
    </row>
    <row r="336">
      <c r="I336" s="87"/>
      <c r="N336" s="88"/>
    </row>
    <row r="337">
      <c r="I337" s="87"/>
      <c r="N337" s="88"/>
    </row>
    <row r="338">
      <c r="I338" s="87"/>
      <c r="N338" s="88"/>
    </row>
    <row r="339">
      <c r="I339" s="87"/>
      <c r="N339" s="88"/>
    </row>
    <row r="340">
      <c r="I340" s="87"/>
      <c r="N340" s="88"/>
    </row>
    <row r="341">
      <c r="I341" s="87"/>
      <c r="N341" s="88"/>
    </row>
    <row r="342">
      <c r="I342" s="87"/>
      <c r="N342" s="88"/>
    </row>
    <row r="343">
      <c r="I343" s="87"/>
      <c r="N343" s="88"/>
    </row>
    <row r="344">
      <c r="I344" s="87"/>
      <c r="N344" s="88"/>
    </row>
    <row r="345">
      <c r="I345" s="87"/>
      <c r="N345" s="88"/>
    </row>
    <row r="346">
      <c r="I346" s="87"/>
      <c r="N346" s="88"/>
    </row>
    <row r="347">
      <c r="I347" s="87"/>
      <c r="N347" s="88"/>
    </row>
    <row r="348">
      <c r="I348" s="87"/>
      <c r="N348" s="88"/>
    </row>
    <row r="349">
      <c r="I349" s="87"/>
      <c r="N349" s="88"/>
    </row>
    <row r="350">
      <c r="I350" s="87"/>
      <c r="N350" s="88"/>
    </row>
    <row r="351">
      <c r="I351" s="87"/>
      <c r="N351" s="88"/>
    </row>
    <row r="352">
      <c r="I352" s="87"/>
      <c r="N352" s="88"/>
    </row>
    <row r="353">
      <c r="I353" s="87"/>
      <c r="N353" s="88"/>
    </row>
    <row r="354">
      <c r="I354" s="87"/>
      <c r="N354" s="88"/>
    </row>
    <row r="355">
      <c r="I355" s="87"/>
      <c r="N355" s="88"/>
    </row>
    <row r="356">
      <c r="I356" s="87"/>
      <c r="N356" s="88"/>
    </row>
    <row r="357">
      <c r="I357" s="87"/>
      <c r="N357" s="88"/>
    </row>
    <row r="358">
      <c r="I358" s="87"/>
      <c r="N358" s="88"/>
    </row>
    <row r="359">
      <c r="I359" s="87"/>
      <c r="N359" s="88"/>
    </row>
    <row r="360">
      <c r="I360" s="87"/>
      <c r="N360" s="88"/>
    </row>
    <row r="361">
      <c r="I361" s="87"/>
      <c r="N361" s="88"/>
    </row>
    <row r="362">
      <c r="I362" s="87"/>
      <c r="N362" s="88"/>
    </row>
    <row r="363">
      <c r="I363" s="87"/>
      <c r="N363" s="88"/>
    </row>
    <row r="364">
      <c r="I364" s="87"/>
      <c r="N364" s="88"/>
    </row>
    <row r="365">
      <c r="I365" s="87"/>
      <c r="N365" s="88"/>
    </row>
    <row r="366">
      <c r="I366" s="87"/>
      <c r="N366" s="88"/>
    </row>
    <row r="367">
      <c r="I367" s="87"/>
      <c r="N367" s="88"/>
    </row>
    <row r="368">
      <c r="I368" s="87"/>
      <c r="N368" s="88"/>
    </row>
    <row r="369">
      <c r="I369" s="87"/>
      <c r="N369" s="88"/>
    </row>
    <row r="370">
      <c r="I370" s="87"/>
      <c r="N370" s="88"/>
    </row>
    <row r="371">
      <c r="I371" s="87"/>
      <c r="N371" s="88"/>
    </row>
    <row r="372">
      <c r="I372" s="87"/>
      <c r="N372" s="88"/>
    </row>
    <row r="373">
      <c r="I373" s="87"/>
      <c r="N373" s="88"/>
    </row>
    <row r="374">
      <c r="I374" s="87"/>
      <c r="N374" s="88"/>
    </row>
    <row r="375">
      <c r="I375" s="87"/>
      <c r="N375" s="88"/>
    </row>
    <row r="376">
      <c r="I376" s="87"/>
      <c r="N376" s="88"/>
    </row>
    <row r="377">
      <c r="I377" s="87"/>
      <c r="N377" s="88"/>
    </row>
    <row r="378">
      <c r="I378" s="87"/>
      <c r="N378" s="88"/>
    </row>
    <row r="379">
      <c r="I379" s="87"/>
      <c r="N379" s="88"/>
    </row>
    <row r="380">
      <c r="I380" s="87"/>
      <c r="N380" s="88"/>
    </row>
    <row r="381">
      <c r="I381" s="87"/>
      <c r="N381" s="88"/>
    </row>
    <row r="382">
      <c r="I382" s="87"/>
      <c r="N382" s="88"/>
    </row>
    <row r="383">
      <c r="I383" s="87"/>
      <c r="N383" s="88"/>
    </row>
    <row r="384">
      <c r="I384" s="87"/>
      <c r="N384" s="88"/>
    </row>
    <row r="385">
      <c r="I385" s="87"/>
      <c r="N385" s="88"/>
    </row>
    <row r="386">
      <c r="I386" s="87"/>
      <c r="N386" s="88"/>
    </row>
    <row r="387">
      <c r="I387" s="87"/>
      <c r="N387" s="88"/>
    </row>
    <row r="388">
      <c r="I388" s="87"/>
      <c r="N388" s="88"/>
    </row>
    <row r="389">
      <c r="I389" s="87"/>
      <c r="N389" s="88"/>
    </row>
    <row r="390">
      <c r="I390" s="87"/>
      <c r="N390" s="88"/>
    </row>
    <row r="391">
      <c r="I391" s="87"/>
      <c r="N391" s="88"/>
    </row>
    <row r="392">
      <c r="I392" s="87"/>
      <c r="N392" s="88"/>
    </row>
    <row r="393">
      <c r="I393" s="87"/>
      <c r="N393" s="88"/>
    </row>
    <row r="394">
      <c r="I394" s="87"/>
      <c r="N394" s="88"/>
    </row>
    <row r="395">
      <c r="I395" s="87"/>
      <c r="N395" s="88"/>
    </row>
    <row r="396">
      <c r="I396" s="87"/>
      <c r="N396" s="88"/>
    </row>
    <row r="397">
      <c r="I397" s="87"/>
      <c r="N397" s="88"/>
    </row>
    <row r="398">
      <c r="I398" s="87"/>
      <c r="N398" s="88"/>
    </row>
    <row r="399">
      <c r="I399" s="87"/>
      <c r="N399" s="88"/>
    </row>
    <row r="400">
      <c r="I400" s="87"/>
      <c r="N400" s="88"/>
    </row>
    <row r="401">
      <c r="I401" s="87"/>
      <c r="N401" s="88"/>
    </row>
    <row r="402">
      <c r="I402" s="87"/>
      <c r="N402" s="88"/>
    </row>
    <row r="403">
      <c r="I403" s="87"/>
      <c r="N403" s="88"/>
    </row>
    <row r="404">
      <c r="I404" s="87"/>
      <c r="N404" s="88"/>
    </row>
    <row r="405">
      <c r="I405" s="87"/>
      <c r="N405" s="88"/>
    </row>
    <row r="406">
      <c r="I406" s="87"/>
      <c r="N406" s="88"/>
    </row>
    <row r="407">
      <c r="I407" s="87"/>
      <c r="N407" s="88"/>
    </row>
    <row r="408">
      <c r="I408" s="87"/>
      <c r="N408" s="88"/>
    </row>
    <row r="409">
      <c r="I409" s="87"/>
      <c r="N409" s="88"/>
    </row>
    <row r="410">
      <c r="I410" s="87"/>
      <c r="N410" s="88"/>
    </row>
    <row r="411">
      <c r="I411" s="87"/>
      <c r="N411" s="88"/>
    </row>
    <row r="412">
      <c r="I412" s="87"/>
      <c r="N412" s="88"/>
    </row>
    <row r="413">
      <c r="I413" s="87"/>
      <c r="N413" s="88"/>
    </row>
    <row r="414">
      <c r="I414" s="87"/>
      <c r="N414" s="88"/>
    </row>
    <row r="415">
      <c r="I415" s="87"/>
      <c r="N415" s="88"/>
    </row>
    <row r="416">
      <c r="I416" s="87"/>
      <c r="N416" s="88"/>
    </row>
    <row r="417">
      <c r="I417" s="87"/>
      <c r="N417" s="88"/>
    </row>
    <row r="418">
      <c r="I418" s="87"/>
      <c r="N418" s="88"/>
    </row>
    <row r="419">
      <c r="I419" s="87"/>
      <c r="N419" s="88"/>
    </row>
    <row r="420">
      <c r="I420" s="87"/>
      <c r="N420" s="88"/>
    </row>
    <row r="421">
      <c r="I421" s="87"/>
      <c r="N421" s="88"/>
    </row>
    <row r="422">
      <c r="I422" s="87"/>
      <c r="N422" s="88"/>
    </row>
    <row r="423">
      <c r="I423" s="87"/>
      <c r="N423" s="88"/>
    </row>
    <row r="424">
      <c r="I424" s="87"/>
      <c r="N424" s="88"/>
    </row>
    <row r="425">
      <c r="I425" s="87"/>
      <c r="N425" s="88"/>
    </row>
    <row r="426">
      <c r="I426" s="87"/>
      <c r="N426" s="88"/>
    </row>
    <row r="427">
      <c r="I427" s="87"/>
      <c r="N427" s="88"/>
    </row>
    <row r="428">
      <c r="I428" s="87"/>
      <c r="N428" s="88"/>
    </row>
    <row r="429">
      <c r="I429" s="87"/>
      <c r="N429" s="88"/>
    </row>
    <row r="430">
      <c r="I430" s="87"/>
      <c r="N430" s="88"/>
    </row>
    <row r="431">
      <c r="I431" s="87"/>
      <c r="N431" s="88"/>
    </row>
    <row r="432">
      <c r="I432" s="87"/>
      <c r="N432" s="88"/>
    </row>
    <row r="433">
      <c r="I433" s="87"/>
      <c r="N433" s="88"/>
    </row>
    <row r="434">
      <c r="I434" s="87"/>
      <c r="N434" s="88"/>
    </row>
    <row r="435">
      <c r="I435" s="87"/>
      <c r="N435" s="88"/>
    </row>
    <row r="436">
      <c r="I436" s="87"/>
      <c r="N436" s="88"/>
    </row>
    <row r="437">
      <c r="I437" s="87"/>
      <c r="N437" s="88"/>
    </row>
    <row r="438">
      <c r="I438" s="87"/>
      <c r="N438" s="88"/>
    </row>
    <row r="439">
      <c r="I439" s="87"/>
      <c r="N439" s="88"/>
    </row>
    <row r="440">
      <c r="I440" s="87"/>
      <c r="N440" s="88"/>
    </row>
    <row r="441">
      <c r="I441" s="87"/>
      <c r="N441" s="88"/>
    </row>
    <row r="442">
      <c r="I442" s="87"/>
      <c r="N442" s="88"/>
    </row>
    <row r="443">
      <c r="I443" s="87"/>
      <c r="N443" s="88"/>
    </row>
    <row r="444">
      <c r="I444" s="87"/>
      <c r="N444" s="88"/>
    </row>
    <row r="445">
      <c r="I445" s="87"/>
      <c r="N445" s="88"/>
    </row>
    <row r="446">
      <c r="I446" s="87"/>
      <c r="N446" s="88"/>
    </row>
    <row r="447">
      <c r="I447" s="87"/>
      <c r="N447" s="88"/>
    </row>
    <row r="448">
      <c r="I448" s="87"/>
      <c r="N448" s="88"/>
    </row>
    <row r="449">
      <c r="I449" s="87"/>
      <c r="N449" s="88"/>
    </row>
    <row r="450">
      <c r="I450" s="87"/>
      <c r="N450" s="88"/>
    </row>
    <row r="451">
      <c r="I451" s="87"/>
      <c r="N451" s="88"/>
    </row>
    <row r="452">
      <c r="I452" s="87"/>
      <c r="N452" s="88"/>
    </row>
    <row r="453">
      <c r="I453" s="87"/>
      <c r="N453" s="88"/>
    </row>
    <row r="454">
      <c r="I454" s="87"/>
      <c r="N454" s="88"/>
    </row>
    <row r="455">
      <c r="I455" s="87"/>
      <c r="N455" s="88"/>
    </row>
    <row r="456">
      <c r="I456" s="87"/>
      <c r="N456" s="88"/>
    </row>
    <row r="457">
      <c r="I457" s="87"/>
      <c r="N457" s="88"/>
    </row>
    <row r="458">
      <c r="I458" s="87"/>
      <c r="N458" s="88"/>
    </row>
    <row r="459">
      <c r="I459" s="87"/>
      <c r="N459" s="88"/>
    </row>
    <row r="460">
      <c r="I460" s="87"/>
      <c r="N460" s="88"/>
    </row>
    <row r="461">
      <c r="I461" s="87"/>
      <c r="N461" s="88"/>
    </row>
    <row r="462">
      <c r="I462" s="87"/>
      <c r="N462" s="88"/>
    </row>
    <row r="463">
      <c r="I463" s="87"/>
      <c r="N463" s="88"/>
    </row>
    <row r="464">
      <c r="I464" s="87"/>
      <c r="N464" s="88"/>
    </row>
    <row r="465">
      <c r="I465" s="87"/>
      <c r="N465" s="88"/>
    </row>
    <row r="466">
      <c r="I466" s="87"/>
      <c r="N466" s="88"/>
    </row>
    <row r="467">
      <c r="I467" s="87"/>
      <c r="N467" s="88"/>
    </row>
    <row r="468">
      <c r="I468" s="87"/>
      <c r="N468" s="88"/>
    </row>
    <row r="469">
      <c r="I469" s="87"/>
      <c r="N469" s="88"/>
    </row>
    <row r="470">
      <c r="I470" s="87"/>
      <c r="N470" s="88"/>
    </row>
    <row r="471">
      <c r="I471" s="87"/>
      <c r="N471" s="88"/>
    </row>
    <row r="472">
      <c r="I472" s="87"/>
      <c r="N472" s="88"/>
    </row>
    <row r="473">
      <c r="I473" s="87"/>
      <c r="N473" s="88"/>
    </row>
    <row r="474">
      <c r="I474" s="87"/>
      <c r="N474" s="88"/>
    </row>
    <row r="475">
      <c r="I475" s="87"/>
      <c r="N475" s="88"/>
    </row>
    <row r="476">
      <c r="I476" s="87"/>
      <c r="N476" s="88"/>
    </row>
    <row r="477">
      <c r="I477" s="87"/>
      <c r="N477" s="88"/>
    </row>
    <row r="478">
      <c r="I478" s="87"/>
      <c r="N478" s="88"/>
    </row>
    <row r="479">
      <c r="I479" s="87"/>
      <c r="N479" s="88"/>
    </row>
    <row r="480">
      <c r="I480" s="87"/>
      <c r="N480" s="88"/>
    </row>
    <row r="481">
      <c r="I481" s="87"/>
      <c r="N481" s="88"/>
    </row>
    <row r="482">
      <c r="I482" s="87"/>
      <c r="N482" s="88"/>
    </row>
    <row r="483">
      <c r="I483" s="87"/>
      <c r="N483" s="88"/>
    </row>
    <row r="484">
      <c r="I484" s="87"/>
      <c r="N484" s="88"/>
    </row>
    <row r="485">
      <c r="I485" s="87"/>
      <c r="N485" s="88"/>
    </row>
    <row r="486">
      <c r="I486" s="87"/>
      <c r="N486" s="88"/>
    </row>
    <row r="487">
      <c r="I487" s="87"/>
      <c r="N487" s="88"/>
    </row>
    <row r="488">
      <c r="I488" s="87"/>
      <c r="N488" s="88"/>
    </row>
    <row r="489">
      <c r="I489" s="87"/>
      <c r="N489" s="88"/>
    </row>
    <row r="490">
      <c r="I490" s="87"/>
      <c r="N490" s="88"/>
    </row>
    <row r="491">
      <c r="I491" s="87"/>
      <c r="N491" s="88"/>
    </row>
    <row r="492">
      <c r="I492" s="87"/>
      <c r="N492" s="88"/>
    </row>
    <row r="493">
      <c r="I493" s="87"/>
      <c r="N493" s="88"/>
    </row>
    <row r="494">
      <c r="I494" s="87"/>
      <c r="N494" s="88"/>
    </row>
    <row r="495">
      <c r="I495" s="87"/>
      <c r="N495" s="88"/>
    </row>
    <row r="496">
      <c r="I496" s="87"/>
      <c r="N496" s="88"/>
    </row>
    <row r="497">
      <c r="I497" s="87"/>
      <c r="N497" s="88"/>
    </row>
    <row r="498">
      <c r="I498" s="87"/>
      <c r="N498" s="88"/>
    </row>
    <row r="499">
      <c r="I499" s="87"/>
      <c r="N499" s="88"/>
    </row>
    <row r="500">
      <c r="I500" s="87"/>
      <c r="N500" s="88"/>
    </row>
    <row r="501">
      <c r="I501" s="87"/>
      <c r="N501" s="88"/>
    </row>
    <row r="502">
      <c r="I502" s="87"/>
      <c r="N502" s="88"/>
    </row>
    <row r="503">
      <c r="I503" s="87"/>
      <c r="N503" s="88"/>
    </row>
    <row r="504">
      <c r="I504" s="87"/>
      <c r="N504" s="88"/>
    </row>
    <row r="505">
      <c r="I505" s="87"/>
      <c r="N505" s="88"/>
    </row>
    <row r="506">
      <c r="I506" s="87"/>
      <c r="N506" s="88"/>
    </row>
    <row r="507">
      <c r="I507" s="87"/>
      <c r="N507" s="88"/>
    </row>
    <row r="508">
      <c r="I508" s="87"/>
      <c r="N508" s="88"/>
    </row>
    <row r="509">
      <c r="I509" s="87"/>
      <c r="N509" s="88"/>
    </row>
    <row r="510">
      <c r="I510" s="87"/>
      <c r="N510" s="88"/>
    </row>
    <row r="511">
      <c r="I511" s="87"/>
      <c r="N511" s="88"/>
    </row>
    <row r="512">
      <c r="I512" s="87"/>
      <c r="N512" s="88"/>
    </row>
    <row r="513">
      <c r="I513" s="87"/>
      <c r="N513" s="88"/>
    </row>
    <row r="514">
      <c r="I514" s="87"/>
      <c r="N514" s="88"/>
    </row>
    <row r="515">
      <c r="I515" s="87"/>
      <c r="N515" s="88"/>
    </row>
    <row r="516">
      <c r="I516" s="87"/>
      <c r="N516" s="88"/>
    </row>
    <row r="517">
      <c r="I517" s="87"/>
      <c r="N517" s="88"/>
    </row>
    <row r="518">
      <c r="I518" s="87"/>
      <c r="N518" s="88"/>
    </row>
    <row r="519">
      <c r="I519" s="87"/>
      <c r="N519" s="88"/>
    </row>
    <row r="520">
      <c r="I520" s="87"/>
      <c r="N520" s="88"/>
    </row>
    <row r="521">
      <c r="I521" s="87"/>
      <c r="N521" s="88"/>
    </row>
    <row r="522">
      <c r="I522" s="87"/>
      <c r="N522" s="88"/>
    </row>
    <row r="523">
      <c r="I523" s="87"/>
      <c r="N523" s="88"/>
    </row>
    <row r="524">
      <c r="I524" s="87"/>
      <c r="N524" s="88"/>
    </row>
    <row r="525">
      <c r="I525" s="87"/>
      <c r="N525" s="88"/>
    </row>
    <row r="526">
      <c r="I526" s="87"/>
      <c r="N526" s="88"/>
    </row>
    <row r="527">
      <c r="I527" s="87"/>
      <c r="N527" s="88"/>
    </row>
    <row r="528">
      <c r="I528" s="87"/>
      <c r="N528" s="88"/>
    </row>
    <row r="529">
      <c r="I529" s="87"/>
      <c r="N529" s="88"/>
    </row>
    <row r="530">
      <c r="I530" s="87"/>
      <c r="N530" s="88"/>
    </row>
    <row r="531">
      <c r="I531" s="87"/>
      <c r="N531" s="88"/>
    </row>
    <row r="532">
      <c r="I532" s="87"/>
      <c r="N532" s="88"/>
    </row>
    <row r="533">
      <c r="I533" s="87"/>
      <c r="N533" s="88"/>
    </row>
    <row r="534">
      <c r="I534" s="87"/>
      <c r="N534" s="88"/>
    </row>
    <row r="535">
      <c r="I535" s="87"/>
      <c r="N535" s="88"/>
    </row>
    <row r="536">
      <c r="I536" s="87"/>
      <c r="N536" s="88"/>
    </row>
    <row r="537">
      <c r="I537" s="87"/>
      <c r="N537" s="88"/>
    </row>
    <row r="538">
      <c r="I538" s="87"/>
      <c r="N538" s="88"/>
    </row>
    <row r="539">
      <c r="I539" s="87"/>
      <c r="N539" s="88"/>
    </row>
    <row r="540">
      <c r="I540" s="87"/>
      <c r="N540" s="88"/>
    </row>
    <row r="541">
      <c r="I541" s="87"/>
      <c r="N541" s="88"/>
    </row>
    <row r="542">
      <c r="I542" s="87"/>
      <c r="N542" s="88"/>
    </row>
    <row r="543">
      <c r="I543" s="87"/>
      <c r="N543" s="88"/>
    </row>
    <row r="544">
      <c r="I544" s="87"/>
      <c r="N544" s="88"/>
    </row>
    <row r="545">
      <c r="I545" s="87"/>
      <c r="N545" s="88"/>
    </row>
    <row r="546">
      <c r="I546" s="87"/>
      <c r="N546" s="88"/>
    </row>
    <row r="547">
      <c r="I547" s="87"/>
      <c r="N547" s="88"/>
    </row>
    <row r="548">
      <c r="I548" s="87"/>
      <c r="N548" s="88"/>
    </row>
    <row r="549">
      <c r="I549" s="87"/>
      <c r="N549" s="88"/>
    </row>
    <row r="550">
      <c r="I550" s="87"/>
      <c r="N550" s="88"/>
    </row>
    <row r="551">
      <c r="I551" s="87"/>
      <c r="N551" s="88"/>
    </row>
    <row r="552">
      <c r="I552" s="87"/>
      <c r="N552" s="88"/>
    </row>
    <row r="553">
      <c r="I553" s="87"/>
      <c r="N553" s="88"/>
    </row>
    <row r="554">
      <c r="I554" s="87"/>
      <c r="N554" s="88"/>
    </row>
    <row r="555">
      <c r="I555" s="87"/>
      <c r="N555" s="88"/>
    </row>
    <row r="556">
      <c r="I556" s="87"/>
      <c r="N556" s="88"/>
    </row>
    <row r="557">
      <c r="I557" s="87"/>
      <c r="N557" s="88"/>
    </row>
    <row r="558">
      <c r="I558" s="87"/>
      <c r="N558" s="88"/>
    </row>
    <row r="559">
      <c r="I559" s="87"/>
      <c r="N559" s="88"/>
    </row>
    <row r="560">
      <c r="I560" s="87"/>
      <c r="N560" s="88"/>
    </row>
    <row r="561">
      <c r="I561" s="87"/>
      <c r="N561" s="88"/>
    </row>
    <row r="562">
      <c r="I562" s="87"/>
      <c r="N562" s="88"/>
    </row>
    <row r="563">
      <c r="I563" s="87"/>
      <c r="N563" s="88"/>
    </row>
    <row r="564">
      <c r="I564" s="87"/>
      <c r="N564" s="88"/>
    </row>
    <row r="565">
      <c r="I565" s="87"/>
      <c r="N565" s="88"/>
    </row>
    <row r="566">
      <c r="I566" s="87"/>
      <c r="N566" s="88"/>
    </row>
    <row r="567">
      <c r="I567" s="87"/>
      <c r="N567" s="88"/>
    </row>
    <row r="568">
      <c r="I568" s="87"/>
      <c r="N568" s="88"/>
    </row>
    <row r="569">
      <c r="I569" s="87"/>
      <c r="N569" s="88"/>
    </row>
    <row r="570">
      <c r="I570" s="87"/>
      <c r="N570" s="88"/>
    </row>
    <row r="571">
      <c r="I571" s="87"/>
      <c r="N571" s="88"/>
    </row>
    <row r="572">
      <c r="I572" s="87"/>
      <c r="N572" s="88"/>
    </row>
    <row r="573">
      <c r="I573" s="87"/>
      <c r="N573" s="88"/>
    </row>
    <row r="574">
      <c r="I574" s="87"/>
      <c r="N574" s="88"/>
    </row>
    <row r="575">
      <c r="I575" s="87"/>
      <c r="N575" s="88"/>
    </row>
    <row r="576">
      <c r="I576" s="87"/>
      <c r="N576" s="88"/>
    </row>
    <row r="577">
      <c r="I577" s="87"/>
      <c r="N577" s="88"/>
    </row>
    <row r="578">
      <c r="I578" s="87"/>
      <c r="N578" s="88"/>
    </row>
    <row r="579">
      <c r="I579" s="87"/>
      <c r="N579" s="88"/>
    </row>
    <row r="580">
      <c r="I580" s="87"/>
      <c r="N580" s="88"/>
    </row>
    <row r="581">
      <c r="I581" s="87"/>
      <c r="N581" s="88"/>
    </row>
    <row r="582">
      <c r="I582" s="87"/>
      <c r="N582" s="88"/>
    </row>
    <row r="583">
      <c r="I583" s="87"/>
      <c r="N583" s="88"/>
    </row>
    <row r="584">
      <c r="I584" s="87"/>
      <c r="N584" s="88"/>
    </row>
    <row r="585">
      <c r="I585" s="87"/>
      <c r="N585" s="88"/>
    </row>
    <row r="586">
      <c r="I586" s="87"/>
      <c r="N586" s="88"/>
    </row>
    <row r="587">
      <c r="I587" s="87"/>
      <c r="N587" s="88"/>
    </row>
    <row r="588">
      <c r="I588" s="87"/>
      <c r="N588" s="88"/>
    </row>
    <row r="589">
      <c r="I589" s="87"/>
      <c r="N589" s="88"/>
    </row>
    <row r="590">
      <c r="I590" s="87"/>
      <c r="N590" s="88"/>
    </row>
    <row r="591">
      <c r="I591" s="87"/>
      <c r="N591" s="88"/>
    </row>
    <row r="592">
      <c r="I592" s="87"/>
      <c r="N592" s="88"/>
    </row>
    <row r="593">
      <c r="I593" s="87"/>
      <c r="N593" s="88"/>
    </row>
    <row r="594">
      <c r="I594" s="87"/>
      <c r="N594" s="88"/>
    </row>
    <row r="595">
      <c r="I595" s="87"/>
      <c r="N595" s="88"/>
    </row>
    <row r="596">
      <c r="I596" s="87"/>
      <c r="N596" s="88"/>
    </row>
    <row r="597">
      <c r="I597" s="87"/>
      <c r="N597" s="88"/>
    </row>
    <row r="598">
      <c r="I598" s="87"/>
      <c r="N598" s="88"/>
    </row>
    <row r="599">
      <c r="I599" s="87"/>
      <c r="N599" s="88"/>
    </row>
    <row r="600">
      <c r="I600" s="87"/>
      <c r="N600" s="88"/>
    </row>
    <row r="601">
      <c r="I601" s="87"/>
      <c r="N601" s="88"/>
    </row>
    <row r="602">
      <c r="I602" s="87"/>
      <c r="N602" s="88"/>
    </row>
    <row r="603">
      <c r="I603" s="87"/>
      <c r="N603" s="88"/>
    </row>
    <row r="604">
      <c r="I604" s="87"/>
      <c r="N604" s="88"/>
    </row>
    <row r="605">
      <c r="I605" s="87"/>
      <c r="N605" s="88"/>
    </row>
    <row r="606">
      <c r="I606" s="87"/>
      <c r="N606" s="88"/>
    </row>
    <row r="607">
      <c r="I607" s="87"/>
      <c r="N607" s="88"/>
    </row>
    <row r="608">
      <c r="I608" s="87"/>
      <c r="N608" s="88"/>
    </row>
    <row r="609">
      <c r="I609" s="87"/>
      <c r="N609" s="88"/>
    </row>
    <row r="610">
      <c r="I610" s="87"/>
      <c r="N610" s="88"/>
    </row>
    <row r="611">
      <c r="I611" s="87"/>
      <c r="N611" s="88"/>
    </row>
    <row r="612">
      <c r="I612" s="87"/>
      <c r="N612" s="88"/>
    </row>
    <row r="613">
      <c r="I613" s="87"/>
      <c r="N613" s="88"/>
    </row>
    <row r="614">
      <c r="I614" s="87"/>
      <c r="N614" s="88"/>
    </row>
    <row r="615">
      <c r="I615" s="87"/>
      <c r="N615" s="88"/>
    </row>
    <row r="616">
      <c r="I616" s="87"/>
      <c r="N616" s="88"/>
    </row>
    <row r="617">
      <c r="I617" s="87"/>
      <c r="N617" s="88"/>
    </row>
    <row r="618">
      <c r="I618" s="87"/>
      <c r="N618" s="88"/>
    </row>
    <row r="619">
      <c r="I619" s="87"/>
      <c r="N619" s="88"/>
    </row>
    <row r="620">
      <c r="I620" s="87"/>
      <c r="N620" s="88"/>
    </row>
    <row r="621">
      <c r="I621" s="87"/>
      <c r="N621" s="88"/>
    </row>
    <row r="622">
      <c r="I622" s="87"/>
      <c r="N622" s="88"/>
    </row>
    <row r="623">
      <c r="I623" s="87"/>
      <c r="N623" s="88"/>
    </row>
    <row r="624">
      <c r="I624" s="87"/>
      <c r="N624" s="88"/>
    </row>
    <row r="625">
      <c r="I625" s="87"/>
      <c r="N625" s="88"/>
    </row>
    <row r="626">
      <c r="I626" s="87"/>
      <c r="N626" s="88"/>
    </row>
    <row r="627">
      <c r="I627" s="87"/>
      <c r="N627" s="88"/>
    </row>
    <row r="628">
      <c r="I628" s="87"/>
      <c r="N628" s="88"/>
    </row>
    <row r="629">
      <c r="I629" s="87"/>
      <c r="N629" s="88"/>
    </row>
    <row r="630">
      <c r="I630" s="87"/>
      <c r="N630" s="88"/>
    </row>
    <row r="631">
      <c r="I631" s="87"/>
      <c r="N631" s="88"/>
    </row>
    <row r="632">
      <c r="I632" s="87"/>
      <c r="N632" s="88"/>
    </row>
    <row r="633">
      <c r="I633" s="87"/>
      <c r="N633" s="88"/>
    </row>
    <row r="634">
      <c r="I634" s="87"/>
      <c r="N634" s="88"/>
    </row>
    <row r="635">
      <c r="I635" s="87"/>
      <c r="N635" s="88"/>
    </row>
    <row r="636">
      <c r="I636" s="87"/>
      <c r="N636" s="88"/>
    </row>
    <row r="637">
      <c r="I637" s="87"/>
      <c r="N637" s="88"/>
    </row>
    <row r="638">
      <c r="I638" s="87"/>
      <c r="N638" s="88"/>
    </row>
    <row r="639">
      <c r="I639" s="87"/>
      <c r="N639" s="88"/>
    </row>
    <row r="640">
      <c r="I640" s="87"/>
      <c r="N640" s="88"/>
    </row>
    <row r="641">
      <c r="I641" s="87"/>
      <c r="N641" s="88"/>
    </row>
    <row r="642">
      <c r="I642" s="87"/>
      <c r="N642" s="88"/>
    </row>
    <row r="643">
      <c r="I643" s="87"/>
      <c r="N643" s="88"/>
    </row>
    <row r="644">
      <c r="I644" s="87"/>
      <c r="N644" s="88"/>
    </row>
    <row r="645">
      <c r="I645" s="87"/>
      <c r="N645" s="88"/>
    </row>
    <row r="646">
      <c r="I646" s="87"/>
      <c r="N646" s="88"/>
    </row>
    <row r="647">
      <c r="I647" s="87"/>
      <c r="N647" s="88"/>
    </row>
    <row r="648">
      <c r="I648" s="87"/>
      <c r="N648" s="88"/>
    </row>
    <row r="649">
      <c r="I649" s="87"/>
      <c r="N649" s="88"/>
    </row>
    <row r="650">
      <c r="I650" s="87"/>
      <c r="N650" s="88"/>
    </row>
    <row r="651">
      <c r="I651" s="87"/>
      <c r="N651" s="88"/>
    </row>
    <row r="652">
      <c r="I652" s="87"/>
      <c r="N652" s="88"/>
    </row>
    <row r="653">
      <c r="I653" s="87"/>
      <c r="N653" s="88"/>
    </row>
    <row r="654">
      <c r="I654" s="87"/>
      <c r="N654" s="88"/>
    </row>
    <row r="655">
      <c r="I655" s="87"/>
      <c r="N655" s="88"/>
    </row>
    <row r="656">
      <c r="I656" s="87"/>
      <c r="N656" s="88"/>
    </row>
    <row r="657">
      <c r="I657" s="87"/>
      <c r="N657" s="88"/>
    </row>
    <row r="658">
      <c r="I658" s="87"/>
      <c r="N658" s="88"/>
    </row>
    <row r="659">
      <c r="I659" s="87"/>
      <c r="N659" s="88"/>
    </row>
    <row r="660">
      <c r="I660" s="87"/>
      <c r="N660" s="88"/>
    </row>
    <row r="661">
      <c r="I661" s="87"/>
      <c r="N661" s="88"/>
    </row>
    <row r="662">
      <c r="I662" s="87"/>
      <c r="N662" s="88"/>
    </row>
    <row r="663">
      <c r="I663" s="87"/>
      <c r="N663" s="88"/>
    </row>
    <row r="664">
      <c r="I664" s="87"/>
      <c r="N664" s="88"/>
    </row>
    <row r="665">
      <c r="I665" s="87"/>
      <c r="N665" s="88"/>
    </row>
    <row r="666">
      <c r="I666" s="87"/>
      <c r="N666" s="88"/>
    </row>
    <row r="667">
      <c r="I667" s="87"/>
      <c r="N667" s="88"/>
    </row>
    <row r="668">
      <c r="I668" s="87"/>
      <c r="N668" s="88"/>
    </row>
    <row r="669">
      <c r="I669" s="87"/>
      <c r="N669" s="88"/>
    </row>
    <row r="670">
      <c r="I670" s="87"/>
      <c r="N670" s="88"/>
    </row>
    <row r="671">
      <c r="I671" s="87"/>
      <c r="N671" s="88"/>
    </row>
    <row r="672">
      <c r="I672" s="87"/>
      <c r="N672" s="88"/>
    </row>
    <row r="673">
      <c r="I673" s="87"/>
      <c r="N673" s="88"/>
    </row>
    <row r="674">
      <c r="I674" s="87"/>
      <c r="N674" s="88"/>
    </row>
    <row r="675">
      <c r="I675" s="87"/>
      <c r="N675" s="88"/>
    </row>
    <row r="676">
      <c r="I676" s="87"/>
      <c r="N676" s="88"/>
    </row>
    <row r="677">
      <c r="I677" s="87"/>
      <c r="N677" s="88"/>
    </row>
    <row r="678">
      <c r="I678" s="87"/>
      <c r="N678" s="88"/>
    </row>
    <row r="679">
      <c r="I679" s="87"/>
      <c r="N679" s="88"/>
    </row>
    <row r="680">
      <c r="I680" s="87"/>
      <c r="N680" s="88"/>
    </row>
    <row r="681">
      <c r="I681" s="87"/>
      <c r="N681" s="88"/>
    </row>
    <row r="682">
      <c r="I682" s="87"/>
      <c r="N682" s="88"/>
    </row>
    <row r="683">
      <c r="I683" s="87"/>
      <c r="N683" s="88"/>
    </row>
    <row r="684">
      <c r="I684" s="87"/>
      <c r="N684" s="88"/>
    </row>
    <row r="685">
      <c r="I685" s="87"/>
      <c r="N685" s="88"/>
    </row>
    <row r="686">
      <c r="I686" s="87"/>
      <c r="N686" s="88"/>
    </row>
    <row r="687">
      <c r="I687" s="87"/>
      <c r="N687" s="88"/>
    </row>
    <row r="688">
      <c r="I688" s="87"/>
      <c r="N688" s="88"/>
    </row>
    <row r="689">
      <c r="I689" s="87"/>
      <c r="N689" s="88"/>
    </row>
    <row r="690">
      <c r="I690" s="87"/>
      <c r="N690" s="88"/>
    </row>
    <row r="691">
      <c r="I691" s="87"/>
      <c r="N691" s="88"/>
    </row>
    <row r="692">
      <c r="I692" s="87"/>
      <c r="N692" s="88"/>
    </row>
    <row r="693">
      <c r="I693" s="87"/>
      <c r="N693" s="88"/>
    </row>
    <row r="694">
      <c r="I694" s="87"/>
      <c r="N694" s="88"/>
    </row>
    <row r="695">
      <c r="I695" s="87"/>
      <c r="N695" s="88"/>
    </row>
    <row r="696">
      <c r="I696" s="87"/>
      <c r="N696" s="88"/>
    </row>
    <row r="697">
      <c r="I697" s="87"/>
      <c r="N697" s="88"/>
    </row>
    <row r="698">
      <c r="I698" s="87"/>
      <c r="N698" s="88"/>
    </row>
    <row r="699">
      <c r="I699" s="87"/>
      <c r="N699" s="88"/>
    </row>
    <row r="700">
      <c r="I700" s="87"/>
      <c r="N700" s="88"/>
    </row>
    <row r="701">
      <c r="I701" s="87"/>
      <c r="N701" s="88"/>
    </row>
    <row r="702">
      <c r="I702" s="87"/>
      <c r="N702" s="88"/>
    </row>
    <row r="703">
      <c r="I703" s="87"/>
      <c r="N703" s="88"/>
    </row>
    <row r="704">
      <c r="I704" s="87"/>
      <c r="N704" s="88"/>
    </row>
    <row r="705">
      <c r="I705" s="87"/>
      <c r="N705" s="88"/>
    </row>
    <row r="706">
      <c r="I706" s="87"/>
      <c r="N706" s="88"/>
    </row>
    <row r="707">
      <c r="I707" s="87"/>
      <c r="N707" s="88"/>
    </row>
    <row r="708">
      <c r="I708" s="87"/>
      <c r="N708" s="88"/>
    </row>
    <row r="709">
      <c r="I709" s="87"/>
      <c r="N709" s="88"/>
    </row>
    <row r="710">
      <c r="I710" s="87"/>
      <c r="N710" s="88"/>
    </row>
    <row r="711">
      <c r="I711" s="87"/>
      <c r="N711" s="88"/>
    </row>
    <row r="712">
      <c r="I712" s="87"/>
      <c r="N712" s="88"/>
    </row>
    <row r="713">
      <c r="I713" s="87"/>
      <c r="N713" s="88"/>
    </row>
    <row r="714">
      <c r="I714" s="87"/>
      <c r="N714" s="88"/>
    </row>
    <row r="715">
      <c r="I715" s="87"/>
      <c r="N715" s="88"/>
    </row>
    <row r="716">
      <c r="I716" s="87"/>
      <c r="N716" s="88"/>
    </row>
    <row r="717">
      <c r="I717" s="87"/>
      <c r="N717" s="88"/>
    </row>
    <row r="718">
      <c r="I718" s="87"/>
      <c r="N718" s="88"/>
    </row>
    <row r="719">
      <c r="I719" s="87"/>
      <c r="N719" s="88"/>
    </row>
    <row r="720">
      <c r="I720" s="87"/>
      <c r="N720" s="88"/>
    </row>
    <row r="721">
      <c r="I721" s="87"/>
      <c r="N721" s="88"/>
    </row>
    <row r="722">
      <c r="I722" s="87"/>
      <c r="N722" s="88"/>
    </row>
    <row r="723">
      <c r="I723" s="87"/>
      <c r="N723" s="88"/>
    </row>
    <row r="724">
      <c r="I724" s="87"/>
      <c r="N724" s="88"/>
    </row>
    <row r="725">
      <c r="I725" s="87"/>
      <c r="N725" s="88"/>
    </row>
    <row r="726">
      <c r="I726" s="87"/>
      <c r="N726" s="88"/>
    </row>
    <row r="727">
      <c r="I727" s="87"/>
      <c r="N727" s="88"/>
    </row>
    <row r="728">
      <c r="I728" s="87"/>
      <c r="N728" s="88"/>
    </row>
    <row r="729">
      <c r="I729" s="87"/>
      <c r="N729" s="88"/>
    </row>
    <row r="730">
      <c r="I730" s="87"/>
      <c r="N730" s="88"/>
    </row>
    <row r="731">
      <c r="I731" s="87"/>
      <c r="N731" s="88"/>
    </row>
    <row r="732">
      <c r="I732" s="87"/>
      <c r="N732" s="88"/>
    </row>
    <row r="733">
      <c r="I733" s="87"/>
      <c r="N733" s="88"/>
    </row>
    <row r="734">
      <c r="I734" s="87"/>
      <c r="N734" s="88"/>
    </row>
    <row r="735">
      <c r="I735" s="87"/>
      <c r="N735" s="88"/>
    </row>
    <row r="736">
      <c r="I736" s="87"/>
      <c r="N736" s="88"/>
    </row>
    <row r="737">
      <c r="I737" s="87"/>
      <c r="N737" s="88"/>
    </row>
    <row r="738">
      <c r="I738" s="87"/>
      <c r="N738" s="88"/>
    </row>
    <row r="739">
      <c r="I739" s="87"/>
      <c r="N739" s="88"/>
    </row>
    <row r="740">
      <c r="I740" s="87"/>
      <c r="N740" s="88"/>
    </row>
    <row r="741">
      <c r="I741" s="87"/>
      <c r="N741" s="88"/>
    </row>
    <row r="742">
      <c r="I742" s="87"/>
      <c r="N742" s="88"/>
    </row>
    <row r="743">
      <c r="I743" s="87"/>
      <c r="N743" s="88"/>
    </row>
    <row r="744">
      <c r="I744" s="87"/>
      <c r="N744" s="88"/>
    </row>
    <row r="745">
      <c r="I745" s="87"/>
      <c r="N745" s="88"/>
    </row>
    <row r="746">
      <c r="I746" s="87"/>
      <c r="N746" s="88"/>
    </row>
    <row r="747">
      <c r="I747" s="87"/>
      <c r="N747" s="88"/>
    </row>
    <row r="748">
      <c r="I748" s="87"/>
      <c r="N748" s="88"/>
    </row>
    <row r="749">
      <c r="I749" s="87"/>
      <c r="N749" s="88"/>
    </row>
    <row r="750">
      <c r="I750" s="87"/>
      <c r="N750" s="88"/>
    </row>
    <row r="751">
      <c r="I751" s="87"/>
      <c r="N751" s="88"/>
    </row>
    <row r="752">
      <c r="I752" s="87"/>
      <c r="N752" s="88"/>
    </row>
    <row r="753">
      <c r="I753" s="87"/>
      <c r="N753" s="88"/>
    </row>
    <row r="754">
      <c r="I754" s="87"/>
      <c r="N754" s="88"/>
    </row>
    <row r="755">
      <c r="I755" s="87"/>
      <c r="N755" s="88"/>
    </row>
    <row r="756">
      <c r="I756" s="87"/>
      <c r="N756" s="88"/>
    </row>
    <row r="757">
      <c r="I757" s="87"/>
      <c r="N757" s="88"/>
    </row>
    <row r="758">
      <c r="I758" s="87"/>
      <c r="N758" s="88"/>
    </row>
    <row r="759">
      <c r="I759" s="87"/>
      <c r="N759" s="88"/>
    </row>
    <row r="760">
      <c r="I760" s="87"/>
      <c r="N760" s="88"/>
    </row>
    <row r="761">
      <c r="I761" s="87"/>
      <c r="N761" s="88"/>
    </row>
    <row r="762">
      <c r="I762" s="87"/>
      <c r="N762" s="88"/>
    </row>
    <row r="763">
      <c r="I763" s="87"/>
      <c r="N763" s="88"/>
    </row>
    <row r="764">
      <c r="I764" s="87"/>
      <c r="N764" s="88"/>
    </row>
    <row r="765">
      <c r="I765" s="87"/>
      <c r="N765" s="88"/>
    </row>
    <row r="766">
      <c r="I766" s="87"/>
      <c r="N766" s="88"/>
    </row>
    <row r="767">
      <c r="I767" s="87"/>
      <c r="N767" s="88"/>
    </row>
    <row r="768">
      <c r="I768" s="87"/>
      <c r="N768" s="88"/>
    </row>
    <row r="769">
      <c r="I769" s="87"/>
      <c r="N769" s="88"/>
    </row>
    <row r="770">
      <c r="I770" s="87"/>
      <c r="N770" s="88"/>
    </row>
    <row r="771">
      <c r="I771" s="87"/>
      <c r="N771" s="88"/>
    </row>
    <row r="772">
      <c r="I772" s="87"/>
      <c r="N772" s="88"/>
    </row>
    <row r="773">
      <c r="I773" s="87"/>
      <c r="N773" s="88"/>
    </row>
    <row r="774">
      <c r="I774" s="87"/>
      <c r="N774" s="88"/>
    </row>
    <row r="775">
      <c r="I775" s="87"/>
      <c r="N775" s="88"/>
    </row>
    <row r="776">
      <c r="I776" s="87"/>
      <c r="N776" s="88"/>
    </row>
    <row r="777">
      <c r="I777" s="87"/>
      <c r="N777" s="88"/>
    </row>
    <row r="778">
      <c r="I778" s="87"/>
      <c r="N778" s="88"/>
    </row>
    <row r="779">
      <c r="I779" s="87"/>
      <c r="N779" s="88"/>
    </row>
    <row r="780">
      <c r="I780" s="87"/>
      <c r="N780" s="88"/>
    </row>
    <row r="781">
      <c r="I781" s="87"/>
      <c r="N781" s="88"/>
    </row>
    <row r="782">
      <c r="I782" s="87"/>
      <c r="N782" s="88"/>
    </row>
    <row r="783">
      <c r="I783" s="87"/>
      <c r="N783" s="88"/>
    </row>
    <row r="784">
      <c r="I784" s="87"/>
      <c r="N784" s="88"/>
    </row>
    <row r="785">
      <c r="I785" s="87"/>
      <c r="N785" s="88"/>
    </row>
    <row r="786">
      <c r="I786" s="87"/>
      <c r="N786" s="88"/>
    </row>
    <row r="787">
      <c r="I787" s="87"/>
      <c r="N787" s="88"/>
    </row>
    <row r="788">
      <c r="I788" s="87"/>
      <c r="N788" s="88"/>
    </row>
    <row r="789">
      <c r="I789" s="87"/>
      <c r="N789" s="88"/>
    </row>
    <row r="790">
      <c r="I790" s="87"/>
      <c r="N790" s="88"/>
    </row>
    <row r="791">
      <c r="I791" s="87"/>
      <c r="N791" s="88"/>
    </row>
    <row r="792">
      <c r="I792" s="87"/>
      <c r="N792" s="88"/>
    </row>
    <row r="793">
      <c r="I793" s="87"/>
      <c r="N793" s="88"/>
    </row>
    <row r="794">
      <c r="I794" s="87"/>
      <c r="N794" s="88"/>
    </row>
    <row r="795">
      <c r="I795" s="87"/>
      <c r="N795" s="88"/>
    </row>
    <row r="796">
      <c r="I796" s="87"/>
      <c r="N796" s="88"/>
    </row>
    <row r="797">
      <c r="I797" s="87"/>
      <c r="N797" s="88"/>
    </row>
    <row r="798">
      <c r="I798" s="87"/>
      <c r="N798" s="88"/>
    </row>
    <row r="799">
      <c r="I799" s="87"/>
      <c r="N799" s="88"/>
    </row>
    <row r="800">
      <c r="I800" s="87"/>
      <c r="N800" s="88"/>
    </row>
    <row r="801">
      <c r="I801" s="87"/>
      <c r="N801" s="88"/>
    </row>
    <row r="802">
      <c r="I802" s="87"/>
      <c r="N802" s="88"/>
    </row>
    <row r="803">
      <c r="I803" s="87"/>
      <c r="N803" s="88"/>
    </row>
    <row r="804">
      <c r="I804" s="87"/>
      <c r="N804" s="88"/>
    </row>
    <row r="805">
      <c r="I805" s="87"/>
      <c r="N805" s="88"/>
    </row>
    <row r="806">
      <c r="I806" s="87"/>
      <c r="N806" s="88"/>
    </row>
    <row r="807">
      <c r="I807" s="87"/>
      <c r="N807" s="88"/>
    </row>
    <row r="808">
      <c r="I808" s="87"/>
      <c r="N808" s="88"/>
    </row>
    <row r="809">
      <c r="I809" s="87"/>
      <c r="N809" s="88"/>
    </row>
    <row r="810">
      <c r="I810" s="87"/>
      <c r="N810" s="88"/>
    </row>
    <row r="811">
      <c r="I811" s="87"/>
      <c r="N811" s="88"/>
    </row>
    <row r="812">
      <c r="I812" s="87"/>
      <c r="N812" s="88"/>
    </row>
    <row r="813">
      <c r="I813" s="87"/>
      <c r="N813" s="88"/>
    </row>
    <row r="814">
      <c r="I814" s="87"/>
      <c r="N814" s="88"/>
    </row>
    <row r="815">
      <c r="I815" s="87"/>
      <c r="N815" s="88"/>
    </row>
    <row r="816">
      <c r="I816" s="87"/>
      <c r="N816" s="88"/>
    </row>
    <row r="817">
      <c r="I817" s="87"/>
      <c r="N817" s="88"/>
    </row>
    <row r="818">
      <c r="I818" s="87"/>
      <c r="N818" s="88"/>
    </row>
    <row r="819">
      <c r="I819" s="87"/>
      <c r="N819" s="88"/>
    </row>
    <row r="820">
      <c r="I820" s="87"/>
      <c r="N820" s="88"/>
    </row>
    <row r="821">
      <c r="I821" s="87"/>
      <c r="N821" s="88"/>
    </row>
    <row r="822">
      <c r="I822" s="87"/>
      <c r="N822" s="88"/>
    </row>
    <row r="823">
      <c r="I823" s="87"/>
      <c r="N823" s="88"/>
    </row>
    <row r="824">
      <c r="I824" s="87"/>
      <c r="N824" s="88"/>
    </row>
    <row r="825">
      <c r="I825" s="87"/>
      <c r="N825" s="88"/>
    </row>
    <row r="826">
      <c r="I826" s="87"/>
      <c r="N826" s="88"/>
    </row>
    <row r="827">
      <c r="I827" s="87"/>
      <c r="N827" s="88"/>
    </row>
    <row r="828">
      <c r="I828" s="87"/>
      <c r="N828" s="88"/>
    </row>
    <row r="829">
      <c r="I829" s="87"/>
      <c r="N829" s="88"/>
    </row>
    <row r="830">
      <c r="I830" s="87"/>
      <c r="N830" s="88"/>
    </row>
    <row r="831">
      <c r="I831" s="87"/>
      <c r="N831" s="88"/>
    </row>
    <row r="832">
      <c r="I832" s="87"/>
      <c r="N832" s="88"/>
    </row>
    <row r="833">
      <c r="I833" s="87"/>
      <c r="N833" s="88"/>
    </row>
    <row r="834">
      <c r="I834" s="87"/>
      <c r="N834" s="88"/>
    </row>
    <row r="835">
      <c r="I835" s="87"/>
      <c r="N835" s="88"/>
    </row>
    <row r="836">
      <c r="I836" s="87"/>
      <c r="N836" s="88"/>
    </row>
    <row r="837">
      <c r="I837" s="87"/>
      <c r="N837" s="88"/>
    </row>
    <row r="838">
      <c r="I838" s="87"/>
      <c r="N838" s="88"/>
    </row>
    <row r="839">
      <c r="I839" s="87"/>
      <c r="N839" s="88"/>
    </row>
    <row r="840">
      <c r="I840" s="87"/>
      <c r="N840" s="88"/>
    </row>
    <row r="841">
      <c r="I841" s="87"/>
      <c r="N841" s="88"/>
    </row>
    <row r="842">
      <c r="I842" s="87"/>
      <c r="N842" s="88"/>
    </row>
    <row r="843">
      <c r="I843" s="87"/>
      <c r="N843" s="88"/>
    </row>
    <row r="844">
      <c r="I844" s="87"/>
      <c r="N844" s="88"/>
    </row>
    <row r="845">
      <c r="I845" s="87"/>
      <c r="N845" s="88"/>
    </row>
    <row r="846">
      <c r="I846" s="87"/>
      <c r="N846" s="88"/>
    </row>
    <row r="847">
      <c r="I847" s="87"/>
      <c r="N847" s="88"/>
    </row>
    <row r="848">
      <c r="I848" s="87"/>
      <c r="N848" s="88"/>
    </row>
    <row r="849">
      <c r="I849" s="87"/>
      <c r="N849" s="88"/>
    </row>
    <row r="850">
      <c r="I850" s="87"/>
      <c r="N850" s="88"/>
    </row>
    <row r="851">
      <c r="I851" s="87"/>
      <c r="N851" s="88"/>
    </row>
    <row r="852">
      <c r="I852" s="87"/>
      <c r="N852" s="88"/>
    </row>
    <row r="853">
      <c r="I853" s="87"/>
      <c r="N853" s="88"/>
    </row>
    <row r="854">
      <c r="I854" s="87"/>
      <c r="N854" s="88"/>
    </row>
    <row r="855">
      <c r="I855" s="87"/>
      <c r="N855" s="88"/>
    </row>
    <row r="856">
      <c r="I856" s="87"/>
      <c r="N856" s="88"/>
    </row>
    <row r="857">
      <c r="I857" s="87"/>
      <c r="N857" s="88"/>
    </row>
    <row r="858">
      <c r="I858" s="87"/>
      <c r="N858" s="88"/>
    </row>
    <row r="859">
      <c r="I859" s="87"/>
      <c r="N859" s="88"/>
    </row>
    <row r="860">
      <c r="I860" s="87"/>
      <c r="N860" s="88"/>
    </row>
    <row r="861">
      <c r="I861" s="87"/>
      <c r="N861" s="88"/>
    </row>
    <row r="862">
      <c r="I862" s="87"/>
      <c r="N862" s="88"/>
    </row>
    <row r="863">
      <c r="I863" s="87"/>
      <c r="N863" s="88"/>
    </row>
    <row r="864">
      <c r="I864" s="87"/>
      <c r="N864" s="88"/>
    </row>
    <row r="865">
      <c r="I865" s="87"/>
      <c r="N865" s="88"/>
    </row>
    <row r="866">
      <c r="I866" s="87"/>
      <c r="N866" s="88"/>
    </row>
    <row r="867">
      <c r="I867" s="87"/>
      <c r="N867" s="88"/>
    </row>
    <row r="868">
      <c r="I868" s="87"/>
      <c r="N868" s="88"/>
    </row>
    <row r="869">
      <c r="I869" s="87"/>
      <c r="N869" s="88"/>
    </row>
    <row r="870">
      <c r="I870" s="87"/>
      <c r="N870" s="88"/>
    </row>
    <row r="871">
      <c r="I871" s="87"/>
      <c r="N871" s="88"/>
    </row>
    <row r="872">
      <c r="I872" s="87"/>
      <c r="N872" s="88"/>
    </row>
    <row r="873">
      <c r="I873" s="87"/>
      <c r="N873" s="88"/>
    </row>
    <row r="874">
      <c r="I874" s="87"/>
      <c r="N874" s="88"/>
    </row>
    <row r="875">
      <c r="I875" s="87"/>
      <c r="N875" s="88"/>
    </row>
    <row r="876">
      <c r="I876" s="87"/>
      <c r="N876" s="88"/>
    </row>
    <row r="877">
      <c r="I877" s="87"/>
      <c r="N877" s="88"/>
    </row>
    <row r="878">
      <c r="I878" s="87"/>
      <c r="N878" s="88"/>
    </row>
    <row r="879">
      <c r="I879" s="87"/>
      <c r="N879" s="88"/>
    </row>
    <row r="880">
      <c r="I880" s="87"/>
      <c r="N880" s="88"/>
    </row>
    <row r="881">
      <c r="I881" s="87"/>
      <c r="N881" s="88"/>
    </row>
    <row r="882">
      <c r="I882" s="87"/>
      <c r="N882" s="88"/>
    </row>
    <row r="883">
      <c r="I883" s="87"/>
      <c r="N883" s="88"/>
    </row>
    <row r="884">
      <c r="I884" s="87"/>
      <c r="N884" s="88"/>
    </row>
    <row r="885">
      <c r="I885" s="87"/>
      <c r="N885" s="88"/>
    </row>
    <row r="886">
      <c r="I886" s="87"/>
      <c r="N886" s="88"/>
    </row>
    <row r="887">
      <c r="I887" s="87"/>
      <c r="N887" s="88"/>
    </row>
    <row r="888">
      <c r="I888" s="87"/>
      <c r="N888" s="88"/>
    </row>
    <row r="889">
      <c r="I889" s="87"/>
      <c r="N889" s="88"/>
    </row>
    <row r="890">
      <c r="I890" s="87"/>
      <c r="N890" s="88"/>
    </row>
    <row r="891">
      <c r="I891" s="87"/>
      <c r="N891" s="88"/>
    </row>
    <row r="892">
      <c r="I892" s="87"/>
      <c r="N892" s="88"/>
    </row>
    <row r="893">
      <c r="I893" s="87"/>
      <c r="N893" s="88"/>
    </row>
    <row r="894">
      <c r="I894" s="87"/>
      <c r="N894" s="88"/>
    </row>
    <row r="895">
      <c r="I895" s="87"/>
      <c r="N895" s="88"/>
    </row>
    <row r="896">
      <c r="I896" s="87"/>
      <c r="N896" s="88"/>
    </row>
    <row r="897">
      <c r="I897" s="87"/>
      <c r="N897" s="88"/>
    </row>
    <row r="898">
      <c r="I898" s="87"/>
      <c r="N898" s="88"/>
    </row>
    <row r="899">
      <c r="I899" s="87"/>
      <c r="N899" s="88"/>
    </row>
    <row r="900">
      <c r="I900" s="87"/>
      <c r="N900" s="88"/>
    </row>
    <row r="901">
      <c r="I901" s="87"/>
      <c r="N901" s="88"/>
    </row>
    <row r="902">
      <c r="I902" s="87"/>
      <c r="N902" s="88"/>
    </row>
    <row r="903">
      <c r="I903" s="87"/>
      <c r="N903" s="88"/>
    </row>
    <row r="904">
      <c r="I904" s="87"/>
      <c r="N904" s="88"/>
    </row>
    <row r="905">
      <c r="I905" s="87"/>
      <c r="N905" s="88"/>
    </row>
    <row r="906">
      <c r="I906" s="87"/>
      <c r="N906" s="88"/>
    </row>
    <row r="907">
      <c r="I907" s="87"/>
      <c r="N907" s="88"/>
    </row>
    <row r="908">
      <c r="I908" s="87"/>
      <c r="N908" s="88"/>
    </row>
    <row r="909">
      <c r="I909" s="87"/>
      <c r="N909" s="88"/>
    </row>
    <row r="910">
      <c r="I910" s="87"/>
      <c r="N910" s="88"/>
    </row>
    <row r="911">
      <c r="I911" s="87"/>
      <c r="N911" s="88"/>
    </row>
    <row r="912">
      <c r="I912" s="87"/>
      <c r="N912" s="88"/>
    </row>
    <row r="913">
      <c r="I913" s="87"/>
      <c r="N913" s="88"/>
    </row>
    <row r="914">
      <c r="I914" s="87"/>
      <c r="N914" s="88"/>
    </row>
    <row r="915">
      <c r="I915" s="87"/>
      <c r="N915" s="88"/>
    </row>
    <row r="916">
      <c r="I916" s="87"/>
      <c r="N916" s="88"/>
    </row>
    <row r="917">
      <c r="I917" s="87"/>
      <c r="N917" s="88"/>
    </row>
    <row r="918">
      <c r="I918" s="87"/>
      <c r="N918" s="88"/>
    </row>
    <row r="919">
      <c r="I919" s="87"/>
      <c r="N919" s="88"/>
    </row>
    <row r="920">
      <c r="I920" s="87"/>
      <c r="N920" s="88"/>
    </row>
    <row r="921">
      <c r="I921" s="87"/>
      <c r="N921" s="88"/>
    </row>
    <row r="922">
      <c r="I922" s="87"/>
      <c r="N922" s="88"/>
    </row>
    <row r="923">
      <c r="I923" s="87"/>
      <c r="N923" s="88"/>
    </row>
    <row r="924">
      <c r="I924" s="87"/>
      <c r="N924" s="88"/>
    </row>
    <row r="925">
      <c r="I925" s="87"/>
      <c r="N925" s="88"/>
    </row>
    <row r="926">
      <c r="I926" s="87"/>
      <c r="N926" s="88"/>
    </row>
    <row r="927">
      <c r="I927" s="87"/>
      <c r="N927" s="88"/>
    </row>
    <row r="928">
      <c r="I928" s="87"/>
      <c r="N928" s="88"/>
    </row>
    <row r="929">
      <c r="I929" s="87"/>
      <c r="N929" s="88"/>
    </row>
    <row r="930">
      <c r="I930" s="87"/>
      <c r="N930" s="88"/>
    </row>
    <row r="931">
      <c r="I931" s="87"/>
      <c r="N931" s="88"/>
    </row>
    <row r="932">
      <c r="I932" s="87"/>
      <c r="N932" s="88"/>
    </row>
    <row r="933">
      <c r="I933" s="87"/>
      <c r="N933" s="88"/>
    </row>
    <row r="934">
      <c r="I934" s="87"/>
      <c r="N934" s="88"/>
    </row>
    <row r="935">
      <c r="I935" s="87"/>
      <c r="N935" s="88"/>
    </row>
    <row r="936">
      <c r="I936" s="87"/>
      <c r="N936" s="88"/>
    </row>
    <row r="937">
      <c r="I937" s="87"/>
      <c r="N937" s="88"/>
    </row>
    <row r="938">
      <c r="I938" s="87"/>
      <c r="N938" s="88"/>
    </row>
    <row r="939">
      <c r="I939" s="87"/>
      <c r="N939" s="88"/>
    </row>
    <row r="940">
      <c r="I940" s="87"/>
      <c r="N940" s="88"/>
    </row>
    <row r="941">
      <c r="I941" s="87"/>
      <c r="N941" s="88"/>
    </row>
    <row r="942">
      <c r="I942" s="87"/>
      <c r="N942" s="88"/>
    </row>
    <row r="943">
      <c r="I943" s="87"/>
      <c r="N943" s="88"/>
    </row>
    <row r="944">
      <c r="I944" s="87"/>
      <c r="N944" s="88"/>
    </row>
    <row r="945">
      <c r="I945" s="87"/>
      <c r="N945" s="88"/>
    </row>
    <row r="946">
      <c r="I946" s="87"/>
      <c r="N946" s="88"/>
    </row>
    <row r="947">
      <c r="I947" s="87"/>
      <c r="N947" s="88"/>
    </row>
    <row r="948">
      <c r="I948" s="87"/>
      <c r="N948" s="88"/>
    </row>
    <row r="949">
      <c r="I949" s="87"/>
      <c r="N949" s="88"/>
    </row>
    <row r="950">
      <c r="I950" s="87"/>
      <c r="N950" s="88"/>
    </row>
    <row r="951">
      <c r="I951" s="87"/>
      <c r="N951" s="88"/>
    </row>
    <row r="952">
      <c r="I952" s="87"/>
      <c r="N952" s="88"/>
    </row>
    <row r="953">
      <c r="I953" s="87"/>
      <c r="N953" s="88"/>
    </row>
    <row r="954">
      <c r="I954" s="87"/>
      <c r="N954" s="88"/>
    </row>
    <row r="955">
      <c r="I955" s="87"/>
      <c r="N955" s="88"/>
    </row>
    <row r="956">
      <c r="I956" s="87"/>
      <c r="N956" s="88"/>
    </row>
    <row r="957">
      <c r="I957" s="87"/>
      <c r="N957" s="88"/>
    </row>
    <row r="958">
      <c r="I958" s="87"/>
      <c r="N958" s="88"/>
    </row>
    <row r="959">
      <c r="I959" s="87"/>
      <c r="N959" s="88"/>
    </row>
    <row r="960">
      <c r="I960" s="87"/>
      <c r="N960" s="88"/>
    </row>
    <row r="961">
      <c r="I961" s="87"/>
      <c r="N961" s="88"/>
    </row>
    <row r="962">
      <c r="I962" s="87"/>
      <c r="N962" s="88"/>
    </row>
    <row r="963">
      <c r="I963" s="87"/>
      <c r="N963" s="88"/>
    </row>
    <row r="964">
      <c r="I964" s="87"/>
      <c r="N964" s="88"/>
    </row>
    <row r="965">
      <c r="I965" s="87"/>
      <c r="N965" s="88"/>
    </row>
    <row r="966">
      <c r="I966" s="87"/>
      <c r="N966" s="88"/>
    </row>
    <row r="967">
      <c r="I967" s="87"/>
      <c r="N967" s="88"/>
    </row>
    <row r="968">
      <c r="I968" s="87"/>
      <c r="N968" s="88"/>
    </row>
    <row r="969">
      <c r="I969" s="87"/>
      <c r="N969" s="88"/>
    </row>
    <row r="970">
      <c r="I970" s="87"/>
      <c r="N970" s="88"/>
    </row>
    <row r="971">
      <c r="I971" s="87"/>
      <c r="N971" s="88"/>
    </row>
    <row r="972">
      <c r="I972" s="87"/>
      <c r="N972" s="88"/>
    </row>
    <row r="973">
      <c r="I973" s="87"/>
      <c r="N973" s="88"/>
    </row>
    <row r="974">
      <c r="I974" s="87"/>
      <c r="N974" s="88"/>
    </row>
    <row r="975">
      <c r="I975" s="87"/>
      <c r="N975" s="88"/>
    </row>
    <row r="976">
      <c r="I976" s="87"/>
      <c r="N976" s="88"/>
    </row>
    <row r="977">
      <c r="I977" s="87"/>
      <c r="N977" s="88"/>
    </row>
    <row r="978">
      <c r="I978" s="87"/>
      <c r="N978" s="88"/>
    </row>
    <row r="979">
      <c r="I979" s="87"/>
      <c r="N979" s="88"/>
    </row>
    <row r="980">
      <c r="I980" s="87"/>
      <c r="N980" s="88"/>
    </row>
    <row r="981">
      <c r="I981" s="87"/>
      <c r="N981" s="88"/>
    </row>
    <row r="982">
      <c r="I982" s="87"/>
      <c r="N982" s="88"/>
    </row>
    <row r="983">
      <c r="I983" s="87"/>
      <c r="N983" s="88"/>
    </row>
    <row r="984">
      <c r="I984" s="87"/>
      <c r="N984" s="88"/>
    </row>
    <row r="985">
      <c r="I985" s="87"/>
      <c r="N985" s="88"/>
    </row>
    <row r="986">
      <c r="I986" s="87"/>
      <c r="N986" s="88"/>
    </row>
    <row r="987">
      <c r="I987" s="87"/>
      <c r="N987" s="88"/>
    </row>
    <row r="988">
      <c r="I988" s="87"/>
      <c r="N988" s="88"/>
    </row>
    <row r="989">
      <c r="I989" s="87"/>
      <c r="N989" s="88"/>
    </row>
    <row r="990">
      <c r="I990" s="87"/>
      <c r="N990" s="88"/>
    </row>
    <row r="991">
      <c r="I991" s="87"/>
      <c r="N991" s="88"/>
    </row>
    <row r="992">
      <c r="I992" s="87"/>
      <c r="N992" s="88"/>
    </row>
    <row r="993">
      <c r="I993" s="87"/>
      <c r="N993" s="88"/>
    </row>
    <row r="994">
      <c r="I994" s="87"/>
      <c r="N994" s="88"/>
    </row>
    <row r="995">
      <c r="I995" s="87"/>
      <c r="N995" s="88"/>
    </row>
    <row r="996">
      <c r="I996" s="87"/>
      <c r="N996" s="88"/>
    </row>
    <row r="997">
      <c r="I997" s="87"/>
      <c r="N997" s="88"/>
    </row>
    <row r="998">
      <c r="I998" s="87"/>
      <c r="N998" s="88"/>
    </row>
  </sheetData>
  <mergeCells count="41">
    <mergeCell ref="C22:C26"/>
    <mergeCell ref="C31:C39"/>
    <mergeCell ref="B46:B57"/>
    <mergeCell ref="C48:C53"/>
    <mergeCell ref="C54:C57"/>
    <mergeCell ref="B58:B64"/>
    <mergeCell ref="C46:D47"/>
    <mergeCell ref="D48:D49"/>
    <mergeCell ref="D50:D53"/>
    <mergeCell ref="D54:D55"/>
    <mergeCell ref="D56:D57"/>
    <mergeCell ref="C58:D61"/>
    <mergeCell ref="C62:D64"/>
    <mergeCell ref="B65:D70"/>
    <mergeCell ref="B7:E7"/>
    <mergeCell ref="B8:D11"/>
    <mergeCell ref="B12:D13"/>
    <mergeCell ref="C14:D16"/>
    <mergeCell ref="C17:D18"/>
    <mergeCell ref="C29:D30"/>
    <mergeCell ref="D37:D39"/>
    <mergeCell ref="L6:L7"/>
    <mergeCell ref="M6:M7"/>
    <mergeCell ref="B4:M5"/>
    <mergeCell ref="O4:O6"/>
    <mergeCell ref="B6:E6"/>
    <mergeCell ref="F6:H6"/>
    <mergeCell ref="I6:I7"/>
    <mergeCell ref="J6:J7"/>
    <mergeCell ref="K6:K7"/>
    <mergeCell ref="C19:D21"/>
    <mergeCell ref="D22:D23"/>
    <mergeCell ref="D24:D25"/>
    <mergeCell ref="C27:D28"/>
    <mergeCell ref="D31:D33"/>
    <mergeCell ref="D34:D35"/>
    <mergeCell ref="B14:B39"/>
    <mergeCell ref="B40:B45"/>
    <mergeCell ref="C40:D41"/>
    <mergeCell ref="C42:D43"/>
    <mergeCell ref="C44:D45"/>
  </mergeCells>
  <dataValidations>
    <dataValidation type="list" allowBlank="1" showErrorMessage="1" sqref="I8:I70">
      <formula1>"PASS,FAIL,N/A,N/T"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26.38"/>
    <col customWidth="1" min="6" max="6" width="28.88"/>
    <col customWidth="1" min="7" max="7" width="26.38"/>
    <col customWidth="1" min="8" max="8" width="54.75"/>
    <col customWidth="1" min="9" max="9" width="45.0"/>
  </cols>
  <sheetData>
    <row r="1">
      <c r="A1" s="163"/>
      <c r="B1" s="163"/>
      <c r="C1" s="163"/>
      <c r="D1" s="164"/>
      <c r="E1" s="165"/>
      <c r="F1" s="165"/>
      <c r="G1" s="163"/>
      <c r="H1" s="163"/>
      <c r="I1" s="163"/>
      <c r="J1" s="163"/>
    </row>
    <row r="2">
      <c r="A2" s="163"/>
      <c r="B2" s="167" t="s">
        <v>336</v>
      </c>
    </row>
    <row r="3">
      <c r="A3" s="163"/>
      <c r="B3" s="100"/>
    </row>
    <row r="4">
      <c r="A4" s="163"/>
      <c r="B4" s="169" t="s">
        <v>203</v>
      </c>
      <c r="C4" s="69"/>
      <c r="D4" s="69"/>
      <c r="E4" s="170" t="s">
        <v>344</v>
      </c>
      <c r="F4" s="69"/>
      <c r="G4" s="171" t="s">
        <v>349</v>
      </c>
      <c r="H4" s="173" t="s">
        <v>208</v>
      </c>
      <c r="I4" s="174" t="s">
        <v>351</v>
      </c>
      <c r="J4" s="105" t="s">
        <v>29</v>
      </c>
      <c r="K4" s="106" t="s">
        <v>30</v>
      </c>
      <c r="L4" s="106" t="s">
        <v>31</v>
      </c>
      <c r="M4" s="106" t="s">
        <v>32</v>
      </c>
      <c r="N4" s="107" t="s">
        <v>18</v>
      </c>
    </row>
    <row r="5">
      <c r="A5" s="163"/>
      <c r="B5" s="169" t="s">
        <v>222</v>
      </c>
      <c r="C5" s="69"/>
      <c r="D5" s="69"/>
      <c r="E5" s="178" t="s">
        <v>227</v>
      </c>
      <c r="F5" s="178" t="s">
        <v>226</v>
      </c>
      <c r="G5" s="179" t="s">
        <v>226</v>
      </c>
      <c r="H5" s="180" t="s">
        <v>372</v>
      </c>
      <c r="I5" s="116"/>
      <c r="J5" s="74"/>
      <c r="K5" s="74"/>
      <c r="L5" s="74"/>
      <c r="M5" s="74"/>
      <c r="N5" s="74"/>
    </row>
    <row r="6">
      <c r="A6" s="163"/>
      <c r="B6" s="183" t="s">
        <v>255</v>
      </c>
      <c r="C6" s="69"/>
      <c r="D6" s="185" t="s">
        <v>255</v>
      </c>
      <c r="E6" s="186" t="s">
        <v>194</v>
      </c>
      <c r="F6" s="187" t="s">
        <v>194</v>
      </c>
      <c r="G6" s="188" t="s">
        <v>194</v>
      </c>
      <c r="H6" s="186" t="s">
        <v>194</v>
      </c>
      <c r="I6" s="189" t="s">
        <v>219</v>
      </c>
      <c r="J6" s="51"/>
      <c r="K6" s="119"/>
      <c r="L6" s="119"/>
      <c r="M6" s="119"/>
      <c r="N6" s="119"/>
    </row>
    <row r="7">
      <c r="A7" s="163"/>
      <c r="B7" s="191" t="s">
        <v>389</v>
      </c>
      <c r="C7" s="191" t="s">
        <v>400</v>
      </c>
      <c r="D7" s="192" t="s">
        <v>402</v>
      </c>
      <c r="E7" s="193" t="s">
        <v>194</v>
      </c>
      <c r="F7" s="194" t="s">
        <v>194</v>
      </c>
      <c r="G7" s="195" t="s">
        <v>413</v>
      </c>
      <c r="H7" s="196" t="s">
        <v>414</v>
      </c>
      <c r="I7" s="197" t="s">
        <v>219</v>
      </c>
      <c r="J7" s="51"/>
      <c r="K7" s="119"/>
      <c r="L7" s="119"/>
      <c r="M7" s="119"/>
      <c r="N7" s="119"/>
    </row>
    <row r="8">
      <c r="A8" s="163"/>
      <c r="B8" s="116"/>
      <c r="C8" s="116"/>
      <c r="D8" s="192" t="s">
        <v>420</v>
      </c>
      <c r="E8" s="196" t="s">
        <v>194</v>
      </c>
      <c r="F8" s="199" t="s">
        <v>194</v>
      </c>
      <c r="G8" s="195" t="s">
        <v>194</v>
      </c>
      <c r="H8" s="196" t="s">
        <v>194</v>
      </c>
      <c r="I8" s="201" t="s">
        <v>219</v>
      </c>
      <c r="J8" s="51"/>
      <c r="K8" s="119"/>
      <c r="L8" s="119"/>
      <c r="M8" s="119"/>
      <c r="N8" s="119"/>
    </row>
    <row r="9">
      <c r="A9" s="163"/>
      <c r="B9" s="116"/>
      <c r="C9" s="116"/>
      <c r="D9" s="203" t="s">
        <v>427</v>
      </c>
      <c r="E9" s="204" t="s">
        <v>194</v>
      </c>
      <c r="F9" s="205" t="s">
        <v>194</v>
      </c>
      <c r="G9" s="206" t="s">
        <v>194</v>
      </c>
      <c r="H9" s="204" t="s">
        <v>194</v>
      </c>
      <c r="I9" s="207" t="s">
        <v>219</v>
      </c>
      <c r="J9" s="51"/>
      <c r="K9" s="119"/>
      <c r="L9" s="119"/>
      <c r="M9" s="119"/>
      <c r="N9" s="119"/>
    </row>
    <row r="10">
      <c r="A10" s="163"/>
      <c r="B10" s="116"/>
      <c r="C10" s="191" t="s">
        <v>435</v>
      </c>
      <c r="D10" s="209" t="s">
        <v>437</v>
      </c>
      <c r="E10" s="210" t="s">
        <v>194</v>
      </c>
      <c r="F10" s="211" t="s">
        <v>194</v>
      </c>
      <c r="G10" s="212" t="s">
        <v>442</v>
      </c>
      <c r="H10" s="213" t="s">
        <v>444</v>
      </c>
      <c r="I10" s="214" t="s">
        <v>219</v>
      </c>
      <c r="J10" s="51"/>
      <c r="K10" s="119"/>
      <c r="L10" s="119"/>
      <c r="M10" s="119"/>
      <c r="N10" s="119"/>
    </row>
    <row r="11">
      <c r="A11" s="163"/>
      <c r="B11" s="116"/>
      <c r="C11" s="116"/>
      <c r="D11" s="192" t="s">
        <v>448</v>
      </c>
      <c r="E11" s="196" t="s">
        <v>194</v>
      </c>
      <c r="F11" s="199" t="s">
        <v>194</v>
      </c>
      <c r="G11" s="195" t="s">
        <v>194</v>
      </c>
      <c r="H11" s="196" t="s">
        <v>194</v>
      </c>
      <c r="I11" s="201" t="s">
        <v>219</v>
      </c>
      <c r="J11" s="51"/>
      <c r="K11" s="119"/>
      <c r="L11" s="119"/>
      <c r="M11" s="119"/>
      <c r="N11" s="119"/>
    </row>
    <row r="12">
      <c r="A12" s="163"/>
      <c r="B12" s="116"/>
      <c r="C12" s="116"/>
      <c r="D12" s="185" t="s">
        <v>452</v>
      </c>
      <c r="E12" s="215" t="s">
        <v>194</v>
      </c>
      <c r="F12" s="216" t="s">
        <v>194</v>
      </c>
      <c r="G12" s="217" t="s">
        <v>194</v>
      </c>
      <c r="H12" s="186" t="s">
        <v>194</v>
      </c>
      <c r="I12" s="218" t="s">
        <v>219</v>
      </c>
      <c r="J12" s="51"/>
      <c r="K12" s="119"/>
      <c r="L12" s="119"/>
      <c r="M12" s="119"/>
      <c r="N12" s="119"/>
    </row>
    <row r="13">
      <c r="A13" s="163"/>
      <c r="B13" s="116"/>
      <c r="C13" s="220" t="s">
        <v>461</v>
      </c>
      <c r="D13" s="192" t="s">
        <v>463</v>
      </c>
      <c r="E13" s="193" t="s">
        <v>194</v>
      </c>
      <c r="F13" s="194" t="s">
        <v>194</v>
      </c>
      <c r="G13" s="195" t="s">
        <v>465</v>
      </c>
      <c r="H13" s="196" t="s">
        <v>466</v>
      </c>
      <c r="I13" s="197" t="s">
        <v>219</v>
      </c>
      <c r="J13" s="51"/>
      <c r="K13" s="119"/>
      <c r="L13" s="119"/>
      <c r="M13" s="119"/>
      <c r="N13" s="119"/>
    </row>
    <row r="14">
      <c r="A14" s="163"/>
      <c r="B14" s="116"/>
      <c r="C14" s="116"/>
      <c r="D14" s="192" t="s">
        <v>470</v>
      </c>
      <c r="E14" s="196" t="s">
        <v>194</v>
      </c>
      <c r="F14" s="199" t="s">
        <v>194</v>
      </c>
      <c r="G14" s="195" t="s">
        <v>194</v>
      </c>
      <c r="H14" s="196" t="s">
        <v>194</v>
      </c>
      <c r="I14" s="201" t="s">
        <v>219</v>
      </c>
      <c r="J14" s="51"/>
      <c r="K14" s="119"/>
      <c r="L14" s="119"/>
      <c r="M14" s="119"/>
      <c r="N14" s="119"/>
    </row>
    <row r="15">
      <c r="A15" s="163"/>
      <c r="B15" s="116"/>
      <c r="C15" s="116"/>
      <c r="D15" s="203" t="s">
        <v>473</v>
      </c>
      <c r="E15" s="204" t="s">
        <v>194</v>
      </c>
      <c r="F15" s="205" t="s">
        <v>194</v>
      </c>
      <c r="G15" s="206" t="s">
        <v>194</v>
      </c>
      <c r="H15" s="221" t="s">
        <v>194</v>
      </c>
      <c r="I15" s="207" t="s">
        <v>219</v>
      </c>
      <c r="J15" s="51"/>
      <c r="K15" s="119"/>
      <c r="L15" s="119"/>
      <c r="M15" s="119"/>
      <c r="N15" s="119"/>
    </row>
    <row r="16">
      <c r="A16" s="163"/>
      <c r="B16" s="116"/>
      <c r="C16" s="191" t="s">
        <v>479</v>
      </c>
      <c r="D16" s="209" t="s">
        <v>480</v>
      </c>
      <c r="E16" s="210" t="s">
        <v>194</v>
      </c>
      <c r="F16" s="211" t="s">
        <v>194</v>
      </c>
      <c r="G16" s="212" t="s">
        <v>482</v>
      </c>
      <c r="H16" s="213" t="s">
        <v>483</v>
      </c>
      <c r="I16" s="214" t="s">
        <v>219</v>
      </c>
      <c r="J16" s="51"/>
      <c r="K16" s="119"/>
      <c r="L16" s="119"/>
      <c r="M16" s="119"/>
      <c r="N16" s="119"/>
    </row>
    <row r="17">
      <c r="A17" s="163"/>
      <c r="B17" s="116"/>
      <c r="C17" s="116"/>
      <c r="D17" s="192" t="s">
        <v>486</v>
      </c>
      <c r="E17" s="196" t="s">
        <v>194</v>
      </c>
      <c r="F17" s="199" t="s">
        <v>194</v>
      </c>
      <c r="G17" s="195" t="s">
        <v>194</v>
      </c>
      <c r="H17" s="196" t="s">
        <v>194</v>
      </c>
      <c r="I17" s="201" t="s">
        <v>219</v>
      </c>
      <c r="J17" s="51"/>
      <c r="K17" s="119"/>
      <c r="L17" s="119"/>
      <c r="M17" s="119"/>
      <c r="N17" s="119"/>
    </row>
    <row r="18">
      <c r="A18" s="163"/>
      <c r="B18" s="116"/>
      <c r="C18" s="116"/>
      <c r="D18" s="185" t="s">
        <v>492</v>
      </c>
      <c r="E18" s="186" t="s">
        <v>194</v>
      </c>
      <c r="F18" s="225" t="s">
        <v>194</v>
      </c>
      <c r="G18" s="226" t="s">
        <v>194</v>
      </c>
      <c r="H18" s="227" t="s">
        <v>194</v>
      </c>
      <c r="I18" s="218" t="s">
        <v>219</v>
      </c>
      <c r="J18" s="51"/>
      <c r="K18" s="119"/>
      <c r="L18" s="119"/>
      <c r="M18" s="119"/>
      <c r="N18" s="119"/>
    </row>
    <row r="19">
      <c r="A19" s="163"/>
      <c r="B19" s="116"/>
      <c r="C19" s="220" t="s">
        <v>501</v>
      </c>
      <c r="D19" s="185" t="s">
        <v>506</v>
      </c>
      <c r="E19" s="186" t="s">
        <v>194</v>
      </c>
      <c r="F19" s="216" t="s">
        <v>194</v>
      </c>
      <c r="G19" s="229" t="s">
        <v>507</v>
      </c>
      <c r="H19" s="215" t="s">
        <v>509</v>
      </c>
      <c r="I19" s="230" t="s">
        <v>219</v>
      </c>
      <c r="J19" s="51"/>
      <c r="K19" s="119"/>
      <c r="L19" s="119"/>
      <c r="M19" s="119"/>
      <c r="N19" s="119"/>
    </row>
    <row r="20">
      <c r="A20" s="163"/>
      <c r="B20" s="116"/>
      <c r="C20" s="116"/>
      <c r="D20" s="203" t="s">
        <v>514</v>
      </c>
      <c r="E20" s="221" t="s">
        <v>194</v>
      </c>
      <c r="F20" s="205" t="s">
        <v>194</v>
      </c>
      <c r="G20" s="220" t="s">
        <v>515</v>
      </c>
      <c r="H20" s="204" t="s">
        <v>515</v>
      </c>
      <c r="I20" s="231" t="s">
        <v>219</v>
      </c>
      <c r="J20" s="51"/>
      <c r="K20" s="119"/>
      <c r="L20" s="119"/>
      <c r="M20" s="119"/>
      <c r="N20" s="119"/>
    </row>
    <row r="21">
      <c r="A21" s="163"/>
      <c r="B21" s="232" t="s">
        <v>519</v>
      </c>
      <c r="C21" s="191" t="s">
        <v>521</v>
      </c>
      <c r="D21" s="233" t="s">
        <v>525</v>
      </c>
      <c r="E21" s="211" t="s">
        <v>194</v>
      </c>
      <c r="F21" s="234" t="s">
        <v>194</v>
      </c>
      <c r="G21" s="235" t="s">
        <v>194</v>
      </c>
      <c r="H21" s="236" t="s">
        <v>527</v>
      </c>
      <c r="I21" s="214" t="s">
        <v>219</v>
      </c>
      <c r="J21" s="51"/>
      <c r="K21" s="119"/>
      <c r="L21" s="119"/>
      <c r="M21" s="119"/>
      <c r="N21" s="119"/>
    </row>
    <row r="22">
      <c r="A22" s="163"/>
      <c r="B22" s="100"/>
      <c r="C22" s="116"/>
      <c r="D22" s="237" t="s">
        <v>530</v>
      </c>
      <c r="E22" s="194" t="s">
        <v>194</v>
      </c>
      <c r="F22" s="238" t="s">
        <v>194</v>
      </c>
      <c r="G22" s="239" t="s">
        <v>194</v>
      </c>
      <c r="H22" s="240" t="s">
        <v>194</v>
      </c>
      <c r="I22" s="201" t="s">
        <v>219</v>
      </c>
      <c r="J22" s="51"/>
      <c r="K22" s="119"/>
      <c r="L22" s="119"/>
      <c r="M22" s="119"/>
      <c r="N22" s="119"/>
    </row>
    <row r="23">
      <c r="A23" s="163"/>
      <c r="B23" s="100"/>
      <c r="C23" s="116"/>
      <c r="D23" s="241" t="s">
        <v>535</v>
      </c>
      <c r="E23" s="216" t="s">
        <v>194</v>
      </c>
      <c r="F23" s="216" t="s">
        <v>194</v>
      </c>
      <c r="G23" s="217" t="s">
        <v>194</v>
      </c>
      <c r="H23" s="215" t="s">
        <v>194</v>
      </c>
      <c r="I23" s="218" t="s">
        <v>219</v>
      </c>
      <c r="J23" s="51"/>
      <c r="K23" s="119"/>
      <c r="L23" s="119"/>
      <c r="M23" s="119"/>
      <c r="N23" s="119"/>
    </row>
    <row r="24">
      <c r="A24" s="163"/>
      <c r="B24" s="100"/>
      <c r="C24" s="220" t="s">
        <v>538</v>
      </c>
      <c r="D24" s="237" t="s">
        <v>343</v>
      </c>
      <c r="E24" s="194" t="s">
        <v>194</v>
      </c>
      <c r="F24" s="194" t="s">
        <v>194</v>
      </c>
      <c r="G24" s="242" t="s">
        <v>194</v>
      </c>
      <c r="H24" s="193" t="s">
        <v>194</v>
      </c>
      <c r="I24" s="197" t="s">
        <v>219</v>
      </c>
      <c r="J24" s="51"/>
      <c r="K24" s="119"/>
      <c r="L24" s="119"/>
      <c r="M24" s="119"/>
      <c r="N24" s="119"/>
    </row>
    <row r="25">
      <c r="A25" s="163"/>
      <c r="B25" s="100"/>
      <c r="C25" s="116"/>
      <c r="D25" s="237" t="s">
        <v>348</v>
      </c>
      <c r="E25" s="243" t="s">
        <v>277</v>
      </c>
      <c r="F25" s="194" t="s">
        <v>194</v>
      </c>
      <c r="G25" s="242" t="s">
        <v>194</v>
      </c>
      <c r="H25" s="193" t="s">
        <v>194</v>
      </c>
      <c r="I25" s="201" t="s">
        <v>219</v>
      </c>
      <c r="J25" s="51"/>
      <c r="K25" s="119"/>
      <c r="L25" s="119"/>
      <c r="M25" s="119"/>
      <c r="N25" s="119"/>
    </row>
    <row r="26">
      <c r="A26" s="163"/>
      <c r="B26" s="100"/>
      <c r="C26" s="116"/>
      <c r="D26" s="237" t="s">
        <v>352</v>
      </c>
      <c r="E26" s="243" t="s">
        <v>277</v>
      </c>
      <c r="F26" s="244" t="s">
        <v>547</v>
      </c>
      <c r="G26" s="195" t="s">
        <v>194</v>
      </c>
      <c r="H26" s="196" t="s">
        <v>194</v>
      </c>
      <c r="I26" s="201" t="s">
        <v>219</v>
      </c>
      <c r="J26" s="51"/>
      <c r="K26" s="119"/>
      <c r="L26" s="119"/>
      <c r="M26" s="119"/>
      <c r="N26" s="119"/>
    </row>
    <row r="27">
      <c r="A27" s="163"/>
      <c r="B27" s="100"/>
      <c r="C27" s="116"/>
      <c r="D27" s="237" t="s">
        <v>359</v>
      </c>
      <c r="E27" s="194" t="s">
        <v>194</v>
      </c>
      <c r="F27" s="194" t="s">
        <v>194</v>
      </c>
      <c r="G27" s="242" t="s">
        <v>194</v>
      </c>
      <c r="H27" s="193" t="s">
        <v>194</v>
      </c>
      <c r="I27" s="201" t="s">
        <v>219</v>
      </c>
      <c r="J27" s="51"/>
      <c r="K27" s="119"/>
      <c r="L27" s="119"/>
      <c r="M27" s="119"/>
      <c r="N27" s="119"/>
    </row>
    <row r="28">
      <c r="A28" s="163"/>
      <c r="B28" s="100"/>
      <c r="C28" s="116"/>
      <c r="D28" s="237" t="s">
        <v>363</v>
      </c>
      <c r="E28" s="243" t="s">
        <v>277</v>
      </c>
      <c r="F28" s="199" t="s">
        <v>550</v>
      </c>
      <c r="G28" s="195" t="s">
        <v>550</v>
      </c>
      <c r="H28" s="196" t="s">
        <v>550</v>
      </c>
      <c r="I28" s="201" t="s">
        <v>219</v>
      </c>
      <c r="J28" s="51"/>
      <c r="K28" s="119"/>
      <c r="L28" s="119"/>
      <c r="M28" s="119"/>
      <c r="N28" s="119"/>
    </row>
    <row r="29">
      <c r="A29" s="163"/>
      <c r="B29" s="100"/>
      <c r="C29" s="116"/>
      <c r="D29" s="237" t="s">
        <v>367</v>
      </c>
      <c r="E29" s="194" t="s">
        <v>194</v>
      </c>
      <c r="F29" s="194" t="s">
        <v>194</v>
      </c>
      <c r="G29" s="242" t="s">
        <v>194</v>
      </c>
      <c r="H29" s="193" t="s">
        <v>194</v>
      </c>
      <c r="I29" s="201" t="s">
        <v>219</v>
      </c>
      <c r="J29" s="51"/>
      <c r="K29" s="119"/>
      <c r="L29" s="119"/>
      <c r="M29" s="119"/>
      <c r="N29" s="119"/>
    </row>
    <row r="30">
      <c r="A30" s="163"/>
      <c r="B30" s="100"/>
      <c r="C30" s="116"/>
      <c r="D30" s="237" t="s">
        <v>371</v>
      </c>
      <c r="E30" s="194" t="s">
        <v>194</v>
      </c>
      <c r="F30" s="194" t="s">
        <v>194</v>
      </c>
      <c r="G30" s="242" t="s">
        <v>194</v>
      </c>
      <c r="H30" s="193" t="s">
        <v>194</v>
      </c>
      <c r="I30" s="201" t="s">
        <v>219</v>
      </c>
      <c r="J30" s="51"/>
      <c r="K30" s="119"/>
      <c r="L30" s="119"/>
      <c r="M30" s="119"/>
      <c r="N30" s="119"/>
    </row>
    <row r="31">
      <c r="A31" s="163"/>
      <c r="B31" s="100"/>
      <c r="C31" s="116"/>
      <c r="D31" s="237" t="s">
        <v>374</v>
      </c>
      <c r="E31" s="194" t="s">
        <v>194</v>
      </c>
      <c r="F31" s="194" t="s">
        <v>194</v>
      </c>
      <c r="G31" s="242" t="s">
        <v>194</v>
      </c>
      <c r="H31" s="193" t="s">
        <v>194</v>
      </c>
      <c r="I31" s="201" t="s">
        <v>219</v>
      </c>
      <c r="J31" s="51"/>
      <c r="K31" s="119"/>
      <c r="L31" s="119"/>
      <c r="M31" s="119"/>
      <c r="N31" s="119"/>
    </row>
    <row r="32">
      <c r="A32" s="163"/>
      <c r="B32" s="100"/>
      <c r="C32" s="116"/>
      <c r="D32" s="245" t="s">
        <v>376</v>
      </c>
      <c r="E32" s="205" t="s">
        <v>194</v>
      </c>
      <c r="F32" s="205" t="s">
        <v>194</v>
      </c>
      <c r="G32" s="206" t="s">
        <v>194</v>
      </c>
      <c r="H32" s="221" t="s">
        <v>194</v>
      </c>
      <c r="I32" s="207" t="s">
        <v>219</v>
      </c>
      <c r="J32" s="51"/>
      <c r="K32" s="119"/>
      <c r="L32" s="119"/>
      <c r="M32" s="119"/>
      <c r="N32" s="119"/>
    </row>
    <row r="33">
      <c r="A33" s="163"/>
      <c r="B33" s="232" t="s">
        <v>553</v>
      </c>
      <c r="C33" s="191" t="s">
        <v>555</v>
      </c>
      <c r="D33" s="233" t="s">
        <v>556</v>
      </c>
      <c r="E33" s="246" t="s">
        <v>194</v>
      </c>
      <c r="F33" s="246" t="s">
        <v>194</v>
      </c>
      <c r="G33" s="212" t="s">
        <v>558</v>
      </c>
      <c r="H33" s="213" t="s">
        <v>558</v>
      </c>
      <c r="I33" s="214" t="s">
        <v>219</v>
      </c>
      <c r="J33" s="51"/>
      <c r="K33" s="119"/>
      <c r="L33" s="119"/>
      <c r="M33" s="119"/>
      <c r="N33" s="119"/>
    </row>
    <row r="34">
      <c r="A34" s="163"/>
      <c r="B34" s="100"/>
      <c r="C34" s="116"/>
      <c r="D34" s="241" t="s">
        <v>560</v>
      </c>
      <c r="E34" s="216" t="s">
        <v>194</v>
      </c>
      <c r="F34" s="216" t="s">
        <v>194</v>
      </c>
      <c r="G34" s="217" t="s">
        <v>194</v>
      </c>
      <c r="H34" s="186" t="s">
        <v>194</v>
      </c>
      <c r="I34" s="230" t="s">
        <v>219</v>
      </c>
      <c r="J34" s="51"/>
      <c r="K34" s="119"/>
      <c r="L34" s="119"/>
      <c r="M34" s="119"/>
      <c r="N34" s="119"/>
    </row>
    <row r="35">
      <c r="A35" s="163"/>
      <c r="B35" s="100"/>
      <c r="C35" s="220" t="s">
        <v>561</v>
      </c>
      <c r="D35" s="245" t="s">
        <v>563</v>
      </c>
      <c r="E35" s="247" t="s">
        <v>194</v>
      </c>
      <c r="F35" s="247" t="s">
        <v>194</v>
      </c>
      <c r="G35" s="220" t="s">
        <v>564</v>
      </c>
      <c r="H35" s="204" t="s">
        <v>564</v>
      </c>
      <c r="I35" s="231" t="s">
        <v>219</v>
      </c>
      <c r="J35" s="51"/>
      <c r="K35" s="119"/>
      <c r="L35" s="119"/>
      <c r="M35" s="119"/>
      <c r="N35" s="119"/>
    </row>
    <row r="36">
      <c r="A36" s="163"/>
      <c r="B36" s="191" t="s">
        <v>565</v>
      </c>
      <c r="C36" s="248" t="s">
        <v>568</v>
      </c>
      <c r="D36" s="233" t="s">
        <v>456</v>
      </c>
      <c r="E36" s="211" t="s">
        <v>194</v>
      </c>
      <c r="F36" s="211" t="s">
        <v>194</v>
      </c>
      <c r="G36" s="249" t="s">
        <v>194</v>
      </c>
      <c r="H36" s="210" t="s">
        <v>194</v>
      </c>
      <c r="I36" s="214" t="s">
        <v>219</v>
      </c>
      <c r="J36" s="51"/>
      <c r="K36" s="119"/>
      <c r="L36" s="119"/>
      <c r="M36" s="119"/>
      <c r="N36" s="119"/>
    </row>
    <row r="37">
      <c r="A37" s="163"/>
      <c r="B37" s="116"/>
      <c r="C37" s="24"/>
      <c r="D37" s="250" t="s">
        <v>458</v>
      </c>
      <c r="E37" s="251" t="s">
        <v>277</v>
      </c>
      <c r="F37" s="244" t="s">
        <v>573</v>
      </c>
      <c r="G37" s="252" t="s">
        <v>194</v>
      </c>
      <c r="H37" s="252" t="s">
        <v>194</v>
      </c>
      <c r="I37" s="207" t="s">
        <v>219</v>
      </c>
      <c r="J37" s="51"/>
      <c r="K37" s="119"/>
      <c r="L37" s="119"/>
      <c r="M37" s="119"/>
      <c r="N37" s="119"/>
    </row>
    <row r="38">
      <c r="A38" s="163"/>
      <c r="B38" s="116"/>
      <c r="C38" s="24"/>
      <c r="D38" s="237" t="s">
        <v>462</v>
      </c>
      <c r="E38" s="194" t="s">
        <v>194</v>
      </c>
      <c r="F38" s="194" t="s">
        <v>194</v>
      </c>
      <c r="G38" s="242" t="s">
        <v>194</v>
      </c>
      <c r="H38" s="193" t="s">
        <v>194</v>
      </c>
      <c r="I38" s="201" t="s">
        <v>219</v>
      </c>
      <c r="J38" s="51"/>
      <c r="K38" s="119"/>
      <c r="L38" s="119"/>
      <c r="M38" s="119"/>
      <c r="N38" s="119"/>
    </row>
    <row r="39">
      <c r="A39" s="163"/>
      <c r="B39" s="116"/>
      <c r="C39" s="24"/>
      <c r="D39" s="241" t="s">
        <v>578</v>
      </c>
      <c r="E39" s="253" t="s">
        <v>277</v>
      </c>
      <c r="F39" s="254" t="s">
        <v>194</v>
      </c>
      <c r="G39" s="229" t="s">
        <v>194</v>
      </c>
      <c r="H39" s="229" t="s">
        <v>194</v>
      </c>
      <c r="I39" s="218" t="s">
        <v>219</v>
      </c>
      <c r="J39" s="51"/>
      <c r="K39" s="119"/>
      <c r="L39" s="119"/>
      <c r="M39" s="119"/>
      <c r="N39" s="119"/>
    </row>
    <row r="40">
      <c r="A40" s="163"/>
      <c r="B40" s="116"/>
      <c r="C40" s="191" t="s">
        <v>471</v>
      </c>
      <c r="D40" s="192" t="s">
        <v>580</v>
      </c>
      <c r="E40" s="194" t="s">
        <v>194</v>
      </c>
      <c r="F40" s="194" t="s">
        <v>194</v>
      </c>
      <c r="G40" s="242" t="s">
        <v>194</v>
      </c>
      <c r="H40" s="193" t="s">
        <v>194</v>
      </c>
      <c r="I40" s="197" t="s">
        <v>219</v>
      </c>
      <c r="J40" s="51"/>
      <c r="K40" s="119"/>
      <c r="L40" s="119"/>
      <c r="M40" s="119"/>
      <c r="N40" s="119"/>
    </row>
    <row r="41">
      <c r="A41" s="163"/>
      <c r="B41" s="116"/>
      <c r="C41" s="116"/>
      <c r="D41" s="192" t="s">
        <v>475</v>
      </c>
      <c r="E41" s="243" t="s">
        <v>277</v>
      </c>
      <c r="F41" s="199" t="s">
        <v>194</v>
      </c>
      <c r="G41" s="195" t="s">
        <v>194</v>
      </c>
      <c r="H41" s="195" t="s">
        <v>194</v>
      </c>
      <c r="I41" s="201" t="s">
        <v>219</v>
      </c>
      <c r="J41" s="51"/>
      <c r="K41" s="119"/>
      <c r="L41" s="119"/>
      <c r="M41" s="119"/>
      <c r="N41" s="119"/>
    </row>
    <row r="42">
      <c r="A42" s="163"/>
      <c r="B42" s="116"/>
      <c r="C42" s="116"/>
      <c r="D42" s="255" t="s">
        <v>584</v>
      </c>
      <c r="E42" s="221" t="s">
        <v>194</v>
      </c>
      <c r="F42" s="205" t="s">
        <v>194</v>
      </c>
      <c r="G42" s="206" t="s">
        <v>194</v>
      </c>
      <c r="H42" s="221" t="s">
        <v>194</v>
      </c>
      <c r="I42" s="207" t="s">
        <v>219</v>
      </c>
      <c r="J42" s="51"/>
      <c r="K42" s="119"/>
      <c r="L42" s="119"/>
      <c r="M42" s="119"/>
      <c r="N42" s="119"/>
    </row>
    <row r="43">
      <c r="A43" s="163"/>
      <c r="B43" s="254" t="s">
        <v>586</v>
      </c>
      <c r="C43" s="32"/>
      <c r="D43" s="256" t="s">
        <v>590</v>
      </c>
      <c r="E43" s="188" t="s">
        <v>194</v>
      </c>
      <c r="F43" s="188" t="s">
        <v>194</v>
      </c>
      <c r="G43" s="257" t="s">
        <v>592</v>
      </c>
      <c r="H43" s="258" t="s">
        <v>592</v>
      </c>
      <c r="I43" s="189" t="s">
        <v>219</v>
      </c>
      <c r="J43" s="51"/>
      <c r="K43" s="119"/>
      <c r="L43" s="119"/>
      <c r="M43" s="119"/>
      <c r="N43" s="119"/>
    </row>
    <row r="44">
      <c r="A44" s="163"/>
      <c r="B44" s="254" t="s">
        <v>504</v>
      </c>
      <c r="C44" s="32"/>
      <c r="D44" s="259" t="s">
        <v>596</v>
      </c>
      <c r="E44" s="205" t="s">
        <v>194</v>
      </c>
      <c r="F44" s="205" t="s">
        <v>194</v>
      </c>
      <c r="G44" s="220" t="s">
        <v>597</v>
      </c>
      <c r="H44" s="260" t="s">
        <v>597</v>
      </c>
      <c r="I44" s="231" t="s">
        <v>219</v>
      </c>
      <c r="J44" s="51"/>
      <c r="K44" s="119"/>
      <c r="L44" s="119"/>
      <c r="M44" s="119"/>
      <c r="N44" s="119"/>
    </row>
    <row r="45">
      <c r="A45" s="163"/>
      <c r="B45" s="183" t="s">
        <v>599</v>
      </c>
      <c r="C45" s="69"/>
      <c r="D45" s="261" t="s">
        <v>601</v>
      </c>
      <c r="E45" s="262" t="s">
        <v>219</v>
      </c>
      <c r="F45" s="262" t="s">
        <v>219</v>
      </c>
      <c r="G45" s="189" t="s">
        <v>219</v>
      </c>
      <c r="H45" s="263" t="s">
        <v>219</v>
      </c>
      <c r="I45" s="188" t="s">
        <v>194</v>
      </c>
      <c r="J45" s="51"/>
      <c r="K45" s="119"/>
      <c r="L45" s="119"/>
      <c r="M45" s="119"/>
      <c r="N45" s="119"/>
    </row>
    <row r="46">
      <c r="A46" s="163"/>
      <c r="B46" s="163"/>
      <c r="C46" s="163"/>
      <c r="D46" s="164"/>
      <c r="E46" s="163"/>
      <c r="F46" s="163"/>
      <c r="G46" s="163"/>
      <c r="H46" s="163"/>
      <c r="I46" s="163"/>
      <c r="J46" s="163"/>
    </row>
  </sheetData>
  <mergeCells count="28">
    <mergeCell ref="M4:M5"/>
    <mergeCell ref="N4:N5"/>
    <mergeCell ref="B2:N3"/>
    <mergeCell ref="B4:D4"/>
    <mergeCell ref="E4:F4"/>
    <mergeCell ref="I4:I5"/>
    <mergeCell ref="J4:J5"/>
    <mergeCell ref="K4:K5"/>
    <mergeCell ref="L4:L5"/>
    <mergeCell ref="B5:D5"/>
    <mergeCell ref="B6:C6"/>
    <mergeCell ref="C7:C9"/>
    <mergeCell ref="C10:C12"/>
    <mergeCell ref="C13:C15"/>
    <mergeCell ref="C16:C18"/>
    <mergeCell ref="C19:C20"/>
    <mergeCell ref="C21:C23"/>
    <mergeCell ref="C40:C42"/>
    <mergeCell ref="B43:C43"/>
    <mergeCell ref="B44:C44"/>
    <mergeCell ref="B45:C45"/>
    <mergeCell ref="B7:B20"/>
    <mergeCell ref="B21:B32"/>
    <mergeCell ref="C24:C32"/>
    <mergeCell ref="B33:B35"/>
    <mergeCell ref="C33:C34"/>
    <mergeCell ref="B36:B42"/>
    <mergeCell ref="C36:C39"/>
  </mergeCells>
  <dataValidations>
    <dataValidation type="list" allowBlank="1" showErrorMessage="1" sqref="J6:J45">
      <formula1>"PASS,FAIL,N/A,N/T"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4" max="14" width="44.88"/>
    <col customWidth="1" min="15" max="15" width="14.13"/>
    <col customWidth="1" min="16" max="16" width="44.88"/>
    <col customWidth="1" min="17" max="17" width="72.38"/>
    <col customWidth="1" min="18" max="21" width="4.13"/>
  </cols>
  <sheetData>
    <row r="1">
      <c r="A1" s="5" t="s">
        <v>1</v>
      </c>
      <c r="B1" s="17" t="s">
        <v>3</v>
      </c>
      <c r="C1" s="5" t="s">
        <v>10</v>
      </c>
      <c r="D1" s="20" t="s">
        <v>11</v>
      </c>
      <c r="E1" s="17" t="s">
        <v>13</v>
      </c>
      <c r="F1" s="17" t="s">
        <v>14</v>
      </c>
      <c r="G1" s="17" t="s">
        <v>15</v>
      </c>
      <c r="H1" s="25" t="s">
        <v>16</v>
      </c>
      <c r="I1" s="25" t="s">
        <v>19</v>
      </c>
      <c r="J1" s="25" t="s">
        <v>20</v>
      </c>
      <c r="K1" s="25" t="s">
        <v>21</v>
      </c>
      <c r="L1" s="25" t="s">
        <v>22</v>
      </c>
      <c r="M1" s="25" t="s">
        <v>23</v>
      </c>
      <c r="N1" s="17" t="s">
        <v>25</v>
      </c>
      <c r="O1" s="17" t="s">
        <v>26</v>
      </c>
      <c r="P1" s="17" t="s">
        <v>27</v>
      </c>
      <c r="Q1" s="17" t="s">
        <v>28</v>
      </c>
      <c r="R1" s="5" t="s">
        <v>29</v>
      </c>
      <c r="S1" s="20" t="s">
        <v>30</v>
      </c>
      <c r="T1" s="20" t="s">
        <v>31</v>
      </c>
      <c r="U1" s="20" t="s">
        <v>32</v>
      </c>
      <c r="V1" s="17" t="s">
        <v>18</v>
      </c>
      <c r="W1" s="2"/>
      <c r="X1" s="2"/>
      <c r="Y1" s="2"/>
      <c r="Z1" s="2"/>
      <c r="AA1" s="2"/>
    </row>
    <row r="2">
      <c r="A2" s="270" t="s">
        <v>750</v>
      </c>
      <c r="B2" s="28" t="s">
        <v>36</v>
      </c>
      <c r="C2" s="28" t="s">
        <v>43</v>
      </c>
      <c r="D2" s="28" t="s">
        <v>44</v>
      </c>
      <c r="E2" s="28" t="s">
        <v>44</v>
      </c>
      <c r="F2" s="28" t="s">
        <v>46</v>
      </c>
      <c r="G2" s="28" t="s">
        <v>47</v>
      </c>
      <c r="H2" s="28" t="s">
        <v>48</v>
      </c>
      <c r="I2" s="28" t="s">
        <v>49</v>
      </c>
      <c r="J2" s="28" t="s">
        <v>50</v>
      </c>
      <c r="K2" s="28" t="s">
        <v>51</v>
      </c>
      <c r="L2" s="28" t="s">
        <v>52</v>
      </c>
      <c r="M2" s="28" t="s">
        <v>52</v>
      </c>
      <c r="N2" s="271" t="s">
        <v>53</v>
      </c>
      <c r="O2" s="271" t="s">
        <v>44</v>
      </c>
      <c r="P2" s="271" t="s">
        <v>54</v>
      </c>
      <c r="Q2" s="271" t="s">
        <v>758</v>
      </c>
      <c r="R2" s="28" t="s">
        <v>44</v>
      </c>
      <c r="S2" s="28" t="s">
        <v>44</v>
      </c>
      <c r="T2" s="28" t="s">
        <v>44</v>
      </c>
      <c r="U2" s="28" t="s">
        <v>44</v>
      </c>
      <c r="V2" s="28" t="s">
        <v>760</v>
      </c>
      <c r="W2" s="28" t="s">
        <v>761</v>
      </c>
      <c r="X2" s="28"/>
      <c r="Y2" s="28"/>
      <c r="Z2" s="28"/>
      <c r="AA2" s="28"/>
    </row>
    <row r="3">
      <c r="A3" s="270" t="s">
        <v>762</v>
      </c>
      <c r="B3" s="28" t="s">
        <v>36</v>
      </c>
      <c r="C3" s="28" t="s">
        <v>59</v>
      </c>
      <c r="D3" s="28" t="s">
        <v>44</v>
      </c>
      <c r="E3" s="28" t="s">
        <v>44</v>
      </c>
      <c r="F3" s="28" t="s">
        <v>46</v>
      </c>
      <c r="G3" s="28" t="s">
        <v>47</v>
      </c>
      <c r="H3" s="28" t="s">
        <v>48</v>
      </c>
      <c r="I3" s="28" t="s">
        <v>49</v>
      </c>
      <c r="J3" s="28" t="s">
        <v>50</v>
      </c>
      <c r="K3" s="28" t="s">
        <v>51</v>
      </c>
      <c r="L3" s="28" t="s">
        <v>52</v>
      </c>
      <c r="M3" s="28" t="s">
        <v>52</v>
      </c>
      <c r="N3" s="271" t="s">
        <v>61</v>
      </c>
      <c r="O3" s="271" t="s">
        <v>44</v>
      </c>
      <c r="P3" s="271" t="s">
        <v>62</v>
      </c>
      <c r="Q3" s="271" t="s">
        <v>63</v>
      </c>
      <c r="R3" s="28" t="s">
        <v>44</v>
      </c>
      <c r="S3" s="28" t="s">
        <v>44</v>
      </c>
      <c r="T3" s="28" t="s">
        <v>44</v>
      </c>
      <c r="U3" s="28" t="s">
        <v>44</v>
      </c>
      <c r="V3" s="28" t="s">
        <v>773</v>
      </c>
      <c r="W3" s="28" t="s">
        <v>774</v>
      </c>
      <c r="X3" s="28"/>
      <c r="Y3" s="28"/>
      <c r="Z3" s="28"/>
      <c r="AA3" s="28"/>
    </row>
    <row r="4">
      <c r="A4" s="270" t="s">
        <v>778</v>
      </c>
      <c r="B4" s="28" t="s">
        <v>36</v>
      </c>
      <c r="C4" s="28" t="s">
        <v>66</v>
      </c>
      <c r="D4" s="28" t="s">
        <v>44</v>
      </c>
      <c r="E4" s="28" t="s">
        <v>44</v>
      </c>
      <c r="F4" s="28" t="s">
        <v>46</v>
      </c>
      <c r="G4" s="28" t="s">
        <v>47</v>
      </c>
      <c r="H4" s="28" t="s">
        <v>48</v>
      </c>
      <c r="I4" s="28" t="s">
        <v>49</v>
      </c>
      <c r="J4" s="28" t="s">
        <v>50</v>
      </c>
      <c r="K4" s="28" t="s">
        <v>51</v>
      </c>
      <c r="L4" s="28" t="s">
        <v>52</v>
      </c>
      <c r="M4" s="28" t="s">
        <v>52</v>
      </c>
      <c r="N4" s="271" t="s">
        <v>61</v>
      </c>
      <c r="O4" s="271" t="s">
        <v>44</v>
      </c>
      <c r="P4" s="271" t="s">
        <v>68</v>
      </c>
      <c r="Q4" s="271" t="s">
        <v>69</v>
      </c>
      <c r="R4" s="28" t="s">
        <v>44</v>
      </c>
      <c r="S4" s="28" t="s">
        <v>44</v>
      </c>
      <c r="T4" s="28" t="s">
        <v>44</v>
      </c>
      <c r="U4" s="28" t="s">
        <v>44</v>
      </c>
      <c r="V4" s="28" t="s">
        <v>783</v>
      </c>
      <c r="W4" s="28" t="s">
        <v>784</v>
      </c>
      <c r="X4" s="28"/>
      <c r="Y4" s="28"/>
      <c r="Z4" s="28"/>
      <c r="AA4" s="28"/>
    </row>
    <row r="5">
      <c r="A5" s="270" t="s">
        <v>785</v>
      </c>
      <c r="B5" s="28" t="s">
        <v>36</v>
      </c>
      <c r="C5" s="28" t="s">
        <v>70</v>
      </c>
      <c r="D5" s="28" t="s">
        <v>44</v>
      </c>
      <c r="E5" s="28" t="s">
        <v>44</v>
      </c>
      <c r="F5" s="28" t="s">
        <v>46</v>
      </c>
      <c r="G5" s="28" t="s">
        <v>47</v>
      </c>
      <c r="H5" s="28" t="s">
        <v>48</v>
      </c>
      <c r="I5" s="28" t="s">
        <v>49</v>
      </c>
      <c r="J5" s="28" t="s">
        <v>50</v>
      </c>
      <c r="K5" s="28" t="s">
        <v>51</v>
      </c>
      <c r="L5" s="28" t="s">
        <v>52</v>
      </c>
      <c r="M5" s="28" t="s">
        <v>52</v>
      </c>
      <c r="N5" s="271" t="s">
        <v>74</v>
      </c>
      <c r="O5" s="271" t="s">
        <v>44</v>
      </c>
      <c r="P5" s="271" t="s">
        <v>75</v>
      </c>
      <c r="Q5" s="271" t="s">
        <v>76</v>
      </c>
      <c r="R5" s="28" t="s">
        <v>44</v>
      </c>
      <c r="S5" s="28" t="s">
        <v>44</v>
      </c>
      <c r="T5" s="28" t="s">
        <v>44</v>
      </c>
      <c r="U5" s="28" t="s">
        <v>44</v>
      </c>
      <c r="V5" s="28" t="s">
        <v>788</v>
      </c>
      <c r="W5" s="28" t="s">
        <v>774</v>
      </c>
      <c r="X5" s="28"/>
      <c r="Y5" s="28"/>
      <c r="Z5" s="28"/>
      <c r="AA5" s="28"/>
    </row>
    <row r="6">
      <c r="A6" s="270" t="s">
        <v>789</v>
      </c>
      <c r="B6" s="28" t="s">
        <v>36</v>
      </c>
      <c r="C6" s="28" t="s">
        <v>78</v>
      </c>
      <c r="D6" s="28" t="s">
        <v>44</v>
      </c>
      <c r="E6" s="28" t="s">
        <v>44</v>
      </c>
      <c r="F6" s="28" t="s">
        <v>46</v>
      </c>
      <c r="G6" s="28" t="s">
        <v>47</v>
      </c>
      <c r="H6" s="28" t="s">
        <v>48</v>
      </c>
      <c r="I6" s="28" t="s">
        <v>49</v>
      </c>
      <c r="J6" s="28" t="s">
        <v>50</v>
      </c>
      <c r="K6" s="28" t="s">
        <v>51</v>
      </c>
      <c r="L6" s="28" t="s">
        <v>52</v>
      </c>
      <c r="M6" s="28" t="s">
        <v>52</v>
      </c>
      <c r="N6" s="271" t="s">
        <v>74</v>
      </c>
      <c r="O6" s="271" t="s">
        <v>44</v>
      </c>
      <c r="P6" s="271" t="s">
        <v>794</v>
      </c>
      <c r="Q6" s="271" t="s">
        <v>80</v>
      </c>
      <c r="R6" s="28" t="s">
        <v>44</v>
      </c>
      <c r="S6" s="28" t="s">
        <v>44</v>
      </c>
      <c r="T6" s="28" t="s">
        <v>44</v>
      </c>
      <c r="U6" s="28" t="s">
        <v>44</v>
      </c>
      <c r="V6" s="28" t="s">
        <v>795</v>
      </c>
      <c r="W6" s="28" t="s">
        <v>774</v>
      </c>
      <c r="X6" s="28"/>
      <c r="Y6" s="28"/>
      <c r="Z6" s="28"/>
      <c r="AA6" s="28"/>
    </row>
    <row r="7">
      <c r="A7" s="270" t="s">
        <v>796</v>
      </c>
      <c r="B7" s="28" t="s">
        <v>36</v>
      </c>
      <c r="C7" s="28" t="s">
        <v>81</v>
      </c>
      <c r="D7" s="28" t="s">
        <v>44</v>
      </c>
      <c r="E7" s="28" t="s">
        <v>44</v>
      </c>
      <c r="F7" s="28" t="s">
        <v>46</v>
      </c>
      <c r="G7" s="28" t="s">
        <v>47</v>
      </c>
      <c r="H7" s="28" t="s">
        <v>48</v>
      </c>
      <c r="I7" s="28" t="s">
        <v>49</v>
      </c>
      <c r="J7" s="28" t="s">
        <v>50</v>
      </c>
      <c r="K7" s="28" t="s">
        <v>51</v>
      </c>
      <c r="L7" s="28" t="s">
        <v>52</v>
      </c>
      <c r="M7" s="28" t="s">
        <v>52</v>
      </c>
      <c r="N7" s="271" t="s">
        <v>74</v>
      </c>
      <c r="O7" s="271" t="s">
        <v>44</v>
      </c>
      <c r="P7" s="271" t="s">
        <v>82</v>
      </c>
      <c r="Q7" s="271" t="s">
        <v>83</v>
      </c>
      <c r="R7" s="28" t="s">
        <v>44</v>
      </c>
      <c r="S7" s="28" t="s">
        <v>44</v>
      </c>
      <c r="T7" s="28" t="s">
        <v>44</v>
      </c>
      <c r="U7" s="28" t="s">
        <v>44</v>
      </c>
      <c r="V7" s="28" t="s">
        <v>802</v>
      </c>
      <c r="W7" s="28" t="s">
        <v>774</v>
      </c>
      <c r="X7" s="28"/>
      <c r="Y7" s="28"/>
      <c r="Z7" s="28"/>
      <c r="AA7" s="28"/>
    </row>
    <row r="8">
      <c r="A8" s="270" t="s">
        <v>803</v>
      </c>
      <c r="B8" s="28" t="s">
        <v>36</v>
      </c>
      <c r="C8" s="28" t="s">
        <v>84</v>
      </c>
      <c r="D8" s="28" t="s">
        <v>44</v>
      </c>
      <c r="E8" s="28" t="s">
        <v>44</v>
      </c>
      <c r="F8" s="28" t="s">
        <v>46</v>
      </c>
      <c r="G8" s="28" t="s">
        <v>85</v>
      </c>
      <c r="H8" s="28" t="s">
        <v>86</v>
      </c>
      <c r="I8" s="28" t="s">
        <v>49</v>
      </c>
      <c r="J8" s="28" t="s">
        <v>50</v>
      </c>
      <c r="K8" s="28" t="s">
        <v>51</v>
      </c>
      <c r="L8" s="28" t="s">
        <v>52</v>
      </c>
      <c r="M8" s="28" t="s">
        <v>52</v>
      </c>
      <c r="N8" s="271" t="s">
        <v>87</v>
      </c>
      <c r="O8" s="271" t="s">
        <v>44</v>
      </c>
      <c r="P8" s="271" t="s">
        <v>88</v>
      </c>
      <c r="Q8" s="271" t="s">
        <v>89</v>
      </c>
      <c r="R8" s="28" t="s">
        <v>44</v>
      </c>
      <c r="S8" s="28" t="s">
        <v>44</v>
      </c>
      <c r="T8" s="28" t="s">
        <v>44</v>
      </c>
      <c r="U8" s="28" t="s">
        <v>44</v>
      </c>
      <c r="V8" s="28" t="s">
        <v>808</v>
      </c>
      <c r="W8" s="28" t="s">
        <v>774</v>
      </c>
      <c r="X8" s="28"/>
      <c r="Y8" s="28"/>
      <c r="Z8" s="28"/>
      <c r="AA8" s="28"/>
    </row>
    <row r="9">
      <c r="A9" s="270" t="s">
        <v>809</v>
      </c>
      <c r="B9" s="28" t="s">
        <v>36</v>
      </c>
      <c r="C9" s="28" t="s">
        <v>90</v>
      </c>
      <c r="D9" s="28" t="s">
        <v>44</v>
      </c>
      <c r="E9" s="28" t="s">
        <v>44</v>
      </c>
      <c r="F9" s="28" t="s">
        <v>46</v>
      </c>
      <c r="G9" s="28" t="s">
        <v>47</v>
      </c>
      <c r="H9" s="28" t="s">
        <v>91</v>
      </c>
      <c r="I9" s="28" t="s">
        <v>49</v>
      </c>
      <c r="J9" s="28" t="s">
        <v>50</v>
      </c>
      <c r="K9" s="28" t="s">
        <v>51</v>
      </c>
      <c r="L9" s="28" t="s">
        <v>52</v>
      </c>
      <c r="M9" s="28" t="s">
        <v>52</v>
      </c>
      <c r="N9" s="271" t="s">
        <v>87</v>
      </c>
      <c r="O9" s="271" t="s">
        <v>44</v>
      </c>
      <c r="P9" s="271" t="s">
        <v>92</v>
      </c>
      <c r="Q9" s="271" t="s">
        <v>93</v>
      </c>
      <c r="R9" s="28" t="s">
        <v>44</v>
      </c>
      <c r="S9" s="28" t="s">
        <v>44</v>
      </c>
      <c r="T9" s="28" t="s">
        <v>44</v>
      </c>
      <c r="U9" s="28" t="s">
        <v>44</v>
      </c>
      <c r="V9" s="28" t="s">
        <v>812</v>
      </c>
      <c r="W9" s="28" t="s">
        <v>774</v>
      </c>
      <c r="X9" s="28"/>
      <c r="Y9" s="28"/>
      <c r="Z9" s="28"/>
      <c r="AA9" s="28"/>
    </row>
    <row r="10">
      <c r="A10" s="270" t="s">
        <v>813</v>
      </c>
      <c r="B10" s="28" t="s">
        <v>36</v>
      </c>
      <c r="C10" s="28" t="s">
        <v>94</v>
      </c>
      <c r="D10" s="28" t="s">
        <v>44</v>
      </c>
      <c r="E10" s="28" t="s">
        <v>44</v>
      </c>
      <c r="F10" s="28" t="s">
        <v>46</v>
      </c>
      <c r="G10" s="28" t="s">
        <v>47</v>
      </c>
      <c r="H10" s="28" t="s">
        <v>95</v>
      </c>
      <c r="I10" s="28" t="s">
        <v>49</v>
      </c>
      <c r="J10" s="28" t="s">
        <v>50</v>
      </c>
      <c r="K10" s="28" t="s">
        <v>51</v>
      </c>
      <c r="L10" s="28" t="s">
        <v>52</v>
      </c>
      <c r="M10" s="28" t="s">
        <v>52</v>
      </c>
      <c r="N10" s="271" t="s">
        <v>96</v>
      </c>
      <c r="O10" s="271" t="s">
        <v>44</v>
      </c>
      <c r="P10" s="271" t="s">
        <v>97</v>
      </c>
      <c r="Q10" s="271" t="s">
        <v>815</v>
      </c>
      <c r="R10" s="28" t="s">
        <v>44</v>
      </c>
      <c r="S10" s="28" t="s">
        <v>44</v>
      </c>
      <c r="T10" s="28" t="s">
        <v>44</v>
      </c>
      <c r="U10" s="28" t="s">
        <v>44</v>
      </c>
      <c r="V10" s="28" t="s">
        <v>817</v>
      </c>
      <c r="W10" s="28" t="s">
        <v>819</v>
      </c>
      <c r="X10" s="28"/>
      <c r="Y10" s="28"/>
      <c r="Z10" s="28"/>
      <c r="AA10" s="28"/>
    </row>
    <row r="11">
      <c r="A11" s="270" t="s">
        <v>820</v>
      </c>
      <c r="B11" s="28" t="s">
        <v>36</v>
      </c>
      <c r="C11" s="28" t="s">
        <v>99</v>
      </c>
      <c r="D11" s="28" t="s">
        <v>44</v>
      </c>
      <c r="E11" s="28" t="s">
        <v>44</v>
      </c>
      <c r="F11" s="28" t="s">
        <v>46</v>
      </c>
      <c r="G11" s="28" t="s">
        <v>47</v>
      </c>
      <c r="H11" s="28" t="s">
        <v>95</v>
      </c>
      <c r="I11" s="28" t="s">
        <v>49</v>
      </c>
      <c r="J11" s="28" t="s">
        <v>50</v>
      </c>
      <c r="K11" s="28" t="s">
        <v>51</v>
      </c>
      <c r="L11" s="28" t="s">
        <v>52</v>
      </c>
      <c r="M11" s="28" t="s">
        <v>52</v>
      </c>
      <c r="N11" s="271" t="s">
        <v>96</v>
      </c>
      <c r="O11" s="271" t="s">
        <v>44</v>
      </c>
      <c r="P11" s="271" t="s">
        <v>100</v>
      </c>
      <c r="Q11" s="271" t="s">
        <v>821</v>
      </c>
      <c r="R11" s="28" t="s">
        <v>44</v>
      </c>
      <c r="S11" s="28" t="s">
        <v>44</v>
      </c>
      <c r="T11" s="28" t="s">
        <v>44</v>
      </c>
      <c r="U11" s="28" t="s">
        <v>44</v>
      </c>
      <c r="V11" s="28" t="s">
        <v>822</v>
      </c>
      <c r="W11" s="28" t="s">
        <v>823</v>
      </c>
      <c r="X11" s="28"/>
      <c r="Y11" s="28"/>
      <c r="Z11" s="28"/>
      <c r="AA11" s="28"/>
    </row>
    <row r="12">
      <c r="A12" s="270" t="s">
        <v>824</v>
      </c>
      <c r="B12" s="28" t="s">
        <v>36</v>
      </c>
      <c r="C12" s="28" t="s">
        <v>102</v>
      </c>
      <c r="D12" s="28" t="s">
        <v>44</v>
      </c>
      <c r="E12" s="28" t="s">
        <v>44</v>
      </c>
      <c r="F12" s="28" t="s">
        <v>46</v>
      </c>
      <c r="G12" s="28" t="s">
        <v>47</v>
      </c>
      <c r="H12" s="28" t="s">
        <v>95</v>
      </c>
      <c r="I12" s="28" t="s">
        <v>49</v>
      </c>
      <c r="J12" s="28" t="s">
        <v>50</v>
      </c>
      <c r="K12" s="28" t="s">
        <v>51</v>
      </c>
      <c r="L12" s="28" t="s">
        <v>52</v>
      </c>
      <c r="M12" s="28" t="s">
        <v>52</v>
      </c>
      <c r="N12" s="271" t="s">
        <v>103</v>
      </c>
      <c r="O12" s="271" t="s">
        <v>44</v>
      </c>
      <c r="P12" s="271" t="s">
        <v>104</v>
      </c>
      <c r="Q12" s="271" t="s">
        <v>105</v>
      </c>
      <c r="R12" s="28" t="s">
        <v>44</v>
      </c>
      <c r="S12" s="28" t="s">
        <v>44</v>
      </c>
      <c r="T12" s="28" t="s">
        <v>44</v>
      </c>
      <c r="U12" s="28" t="s">
        <v>44</v>
      </c>
      <c r="V12" s="28" t="s">
        <v>826</v>
      </c>
      <c r="W12" s="28" t="s">
        <v>827</v>
      </c>
      <c r="X12" s="28"/>
      <c r="Y12" s="28"/>
      <c r="Z12" s="28"/>
      <c r="AA12" s="28"/>
    </row>
    <row r="13">
      <c r="A13" s="270" t="s">
        <v>828</v>
      </c>
      <c r="B13" s="28" t="s">
        <v>36</v>
      </c>
      <c r="C13" s="28" t="s">
        <v>106</v>
      </c>
      <c r="D13" s="28" t="s">
        <v>44</v>
      </c>
      <c r="E13" s="28" t="s">
        <v>44</v>
      </c>
      <c r="F13" s="28" t="s">
        <v>46</v>
      </c>
      <c r="G13" s="28" t="s">
        <v>47</v>
      </c>
      <c r="H13" s="28" t="s">
        <v>95</v>
      </c>
      <c r="I13" s="28" t="s">
        <v>49</v>
      </c>
      <c r="J13" s="28" t="s">
        <v>50</v>
      </c>
      <c r="K13" s="28" t="s">
        <v>51</v>
      </c>
      <c r="L13" s="28" t="s">
        <v>52</v>
      </c>
      <c r="M13" s="28" t="s">
        <v>52</v>
      </c>
      <c r="N13" s="271" t="s">
        <v>107</v>
      </c>
      <c r="O13" s="271" t="s">
        <v>44</v>
      </c>
      <c r="P13" s="271" t="s">
        <v>108</v>
      </c>
      <c r="Q13" s="271" t="s">
        <v>109</v>
      </c>
      <c r="R13" s="28" t="s">
        <v>44</v>
      </c>
      <c r="S13" s="28" t="s">
        <v>44</v>
      </c>
      <c r="T13" s="28" t="s">
        <v>44</v>
      </c>
      <c r="U13" s="28" t="s">
        <v>44</v>
      </c>
      <c r="V13" s="28" t="s">
        <v>831</v>
      </c>
      <c r="W13" s="28" t="s">
        <v>827</v>
      </c>
      <c r="X13" s="28"/>
      <c r="Y13" s="28"/>
      <c r="Z13" s="28"/>
      <c r="AA13" s="28"/>
    </row>
    <row r="14">
      <c r="A14" s="270" t="s">
        <v>832</v>
      </c>
      <c r="B14" s="28" t="s">
        <v>36</v>
      </c>
      <c r="C14" s="28" t="s">
        <v>110</v>
      </c>
      <c r="D14" s="28" t="s">
        <v>44</v>
      </c>
      <c r="E14" s="28" t="s">
        <v>44</v>
      </c>
      <c r="F14" s="28" t="s">
        <v>46</v>
      </c>
      <c r="G14" s="28" t="s">
        <v>111</v>
      </c>
      <c r="H14" s="28" t="s">
        <v>112</v>
      </c>
      <c r="I14" s="28" t="s">
        <v>49</v>
      </c>
      <c r="J14" s="28" t="s">
        <v>50</v>
      </c>
      <c r="K14" s="28" t="s">
        <v>51</v>
      </c>
      <c r="L14" s="28" t="s">
        <v>52</v>
      </c>
      <c r="M14" s="28" t="s">
        <v>52</v>
      </c>
      <c r="N14" s="271" t="s">
        <v>87</v>
      </c>
      <c r="O14" s="271" t="s">
        <v>44</v>
      </c>
      <c r="P14" s="271" t="s">
        <v>104</v>
      </c>
      <c r="Q14" s="271" t="s">
        <v>113</v>
      </c>
      <c r="R14" s="28" t="s">
        <v>44</v>
      </c>
      <c r="S14" s="28" t="s">
        <v>44</v>
      </c>
      <c r="T14" s="28" t="s">
        <v>44</v>
      </c>
      <c r="U14" s="28" t="s">
        <v>44</v>
      </c>
      <c r="V14" s="28" t="s">
        <v>834</v>
      </c>
      <c r="W14" s="28" t="s">
        <v>827</v>
      </c>
      <c r="X14" s="28"/>
      <c r="Y14" s="28"/>
      <c r="Z14" s="28"/>
      <c r="AA14" s="28"/>
    </row>
    <row r="15">
      <c r="A15" s="270" t="s">
        <v>835</v>
      </c>
      <c r="B15" s="28" t="s">
        <v>36</v>
      </c>
      <c r="C15" s="28" t="s">
        <v>114</v>
      </c>
      <c r="D15" s="28" t="s">
        <v>44</v>
      </c>
      <c r="E15" s="28" t="s">
        <v>44</v>
      </c>
      <c r="F15" s="28" t="s">
        <v>46</v>
      </c>
      <c r="G15" s="28" t="s">
        <v>47</v>
      </c>
      <c r="H15" s="28" t="s">
        <v>48</v>
      </c>
      <c r="I15" s="28" t="s">
        <v>49</v>
      </c>
      <c r="J15" s="28" t="s">
        <v>50</v>
      </c>
      <c r="K15" s="28" t="s">
        <v>51</v>
      </c>
      <c r="L15" s="28" t="s">
        <v>52</v>
      </c>
      <c r="M15" s="28" t="s">
        <v>52</v>
      </c>
      <c r="N15" s="271" t="s">
        <v>61</v>
      </c>
      <c r="O15" s="271" t="s">
        <v>44</v>
      </c>
      <c r="P15" s="271" t="s">
        <v>115</v>
      </c>
      <c r="Q15" s="271" t="s">
        <v>116</v>
      </c>
      <c r="R15" s="28" t="s">
        <v>44</v>
      </c>
      <c r="S15" s="28" t="s">
        <v>44</v>
      </c>
      <c r="T15" s="28" t="s">
        <v>44</v>
      </c>
      <c r="U15" s="28" t="s">
        <v>44</v>
      </c>
      <c r="V15" s="28" t="s">
        <v>838</v>
      </c>
      <c r="W15" s="28" t="s">
        <v>839</v>
      </c>
      <c r="X15" s="28"/>
      <c r="Y15" s="28"/>
      <c r="Z15" s="28"/>
      <c r="AA15" s="28"/>
    </row>
    <row r="16">
      <c r="A16" s="270" t="s">
        <v>840</v>
      </c>
      <c r="B16" s="28" t="s">
        <v>36</v>
      </c>
      <c r="C16" s="28" t="s">
        <v>117</v>
      </c>
      <c r="D16" s="28" t="s">
        <v>44</v>
      </c>
      <c r="E16" s="28" t="s">
        <v>44</v>
      </c>
      <c r="F16" s="28" t="s">
        <v>46</v>
      </c>
      <c r="G16" s="28" t="s">
        <v>47</v>
      </c>
      <c r="H16" s="28" t="s">
        <v>48</v>
      </c>
      <c r="I16" s="28" t="s">
        <v>49</v>
      </c>
      <c r="J16" s="28" t="s">
        <v>50</v>
      </c>
      <c r="K16" s="28" t="s">
        <v>51</v>
      </c>
      <c r="L16" s="28" t="s">
        <v>52</v>
      </c>
      <c r="M16" s="28" t="s">
        <v>52</v>
      </c>
      <c r="N16" s="271" t="s">
        <v>61</v>
      </c>
      <c r="O16" s="271" t="s">
        <v>44</v>
      </c>
      <c r="P16" s="271" t="s">
        <v>118</v>
      </c>
      <c r="Q16" s="271" t="s">
        <v>119</v>
      </c>
      <c r="R16" s="28" t="s">
        <v>44</v>
      </c>
      <c r="S16" s="28" t="s">
        <v>44</v>
      </c>
      <c r="T16" s="28" t="s">
        <v>44</v>
      </c>
      <c r="U16" s="28" t="s">
        <v>44</v>
      </c>
      <c r="V16" s="28" t="s">
        <v>842</v>
      </c>
      <c r="W16" s="28" t="s">
        <v>839</v>
      </c>
      <c r="X16" s="28"/>
      <c r="Y16" s="28"/>
      <c r="Z16" s="28"/>
      <c r="AA16" s="28"/>
    </row>
    <row r="17">
      <c r="A17" s="270" t="s">
        <v>844</v>
      </c>
      <c r="B17" s="28" t="s">
        <v>36</v>
      </c>
      <c r="C17" s="28" t="s">
        <v>845</v>
      </c>
      <c r="D17" s="28" t="s">
        <v>44</v>
      </c>
      <c r="E17" s="28" t="s">
        <v>44</v>
      </c>
      <c r="F17" s="28" t="s">
        <v>46</v>
      </c>
      <c r="G17" s="28" t="s">
        <v>47</v>
      </c>
      <c r="H17" s="28" t="s">
        <v>48</v>
      </c>
      <c r="I17" s="28" t="s">
        <v>49</v>
      </c>
      <c r="J17" s="28" t="s">
        <v>50</v>
      </c>
      <c r="K17" s="28" t="s">
        <v>51</v>
      </c>
      <c r="L17" s="28" t="s">
        <v>52</v>
      </c>
      <c r="M17" s="28" t="s">
        <v>52</v>
      </c>
      <c r="N17" s="271" t="s">
        <v>61</v>
      </c>
      <c r="O17" s="271" t="s">
        <v>44</v>
      </c>
      <c r="P17" s="271" t="s">
        <v>847</v>
      </c>
      <c r="Q17" s="271" t="s">
        <v>848</v>
      </c>
      <c r="R17" s="28" t="s">
        <v>44</v>
      </c>
      <c r="S17" s="28" t="s">
        <v>44</v>
      </c>
      <c r="T17" s="28" t="s">
        <v>44</v>
      </c>
      <c r="U17" s="28" t="s">
        <v>44</v>
      </c>
      <c r="V17" s="28" t="s">
        <v>849</v>
      </c>
      <c r="W17" s="28" t="s">
        <v>850</v>
      </c>
      <c r="X17" s="28"/>
      <c r="Y17" s="28"/>
      <c r="Z17" s="28"/>
      <c r="AA17" s="28"/>
    </row>
    <row r="18">
      <c r="A18" s="270" t="s">
        <v>851</v>
      </c>
      <c r="B18" s="28" t="s">
        <v>36</v>
      </c>
      <c r="C18" s="28" t="s">
        <v>853</v>
      </c>
      <c r="D18" s="28" t="s">
        <v>44</v>
      </c>
      <c r="E18" s="28" t="s">
        <v>44</v>
      </c>
      <c r="F18" s="28" t="s">
        <v>46</v>
      </c>
      <c r="G18" s="28" t="s">
        <v>47</v>
      </c>
      <c r="H18" s="28" t="s">
        <v>48</v>
      </c>
      <c r="I18" s="28" t="s">
        <v>49</v>
      </c>
      <c r="J18" s="28" t="s">
        <v>50</v>
      </c>
      <c r="K18" s="28" t="s">
        <v>51</v>
      </c>
      <c r="L18" s="28" t="s">
        <v>52</v>
      </c>
      <c r="M18" s="28" t="s">
        <v>52</v>
      </c>
      <c r="N18" s="271" t="s">
        <v>61</v>
      </c>
      <c r="O18" s="271" t="s">
        <v>44</v>
      </c>
      <c r="P18" s="271" t="s">
        <v>854</v>
      </c>
      <c r="Q18" s="271" t="s">
        <v>855</v>
      </c>
      <c r="R18" s="28" t="s">
        <v>44</v>
      </c>
      <c r="S18" s="28" t="s">
        <v>44</v>
      </c>
      <c r="T18" s="28" t="s">
        <v>44</v>
      </c>
      <c r="U18" s="28" t="s">
        <v>44</v>
      </c>
      <c r="V18" s="28" t="s">
        <v>856</v>
      </c>
      <c r="W18" s="28" t="s">
        <v>857</v>
      </c>
      <c r="X18" s="28"/>
      <c r="Y18" s="28"/>
      <c r="Z18" s="28"/>
      <c r="AA18" s="28"/>
    </row>
    <row r="19">
      <c r="A19" s="270" t="s">
        <v>859</v>
      </c>
      <c r="B19" s="28" t="s">
        <v>36</v>
      </c>
      <c r="C19" s="28" t="s">
        <v>861</v>
      </c>
      <c r="D19" s="28" t="s">
        <v>44</v>
      </c>
      <c r="E19" s="28" t="s">
        <v>44</v>
      </c>
      <c r="F19" s="28" t="s">
        <v>46</v>
      </c>
      <c r="G19" s="28" t="s">
        <v>47</v>
      </c>
      <c r="H19" s="28" t="s">
        <v>48</v>
      </c>
      <c r="I19" s="28" t="s">
        <v>49</v>
      </c>
      <c r="J19" s="28" t="s">
        <v>50</v>
      </c>
      <c r="K19" s="28" t="s">
        <v>51</v>
      </c>
      <c r="L19" s="28" t="s">
        <v>52</v>
      </c>
      <c r="M19" s="28" t="s">
        <v>52</v>
      </c>
      <c r="N19" s="271" t="s">
        <v>61</v>
      </c>
      <c r="O19" s="271" t="s">
        <v>44</v>
      </c>
      <c r="P19" s="271" t="s">
        <v>863</v>
      </c>
      <c r="Q19" s="271" t="s">
        <v>864</v>
      </c>
      <c r="R19" s="28" t="s">
        <v>44</v>
      </c>
      <c r="S19" s="28" t="s">
        <v>44</v>
      </c>
      <c r="T19" s="28" t="s">
        <v>44</v>
      </c>
      <c r="U19" s="28" t="s">
        <v>44</v>
      </c>
      <c r="V19" s="28" t="s">
        <v>865</v>
      </c>
      <c r="W19" s="28" t="s">
        <v>857</v>
      </c>
      <c r="X19" s="28"/>
      <c r="Y19" s="28"/>
      <c r="Z19" s="28"/>
      <c r="AA19" s="28"/>
    </row>
    <row r="20">
      <c r="A20" s="270" t="s">
        <v>866</v>
      </c>
      <c r="B20" s="28" t="s">
        <v>36</v>
      </c>
      <c r="C20" s="28" t="s">
        <v>868</v>
      </c>
      <c r="D20" s="28" t="s">
        <v>44</v>
      </c>
      <c r="E20" s="28" t="s">
        <v>44</v>
      </c>
      <c r="F20" s="28" t="s">
        <v>46</v>
      </c>
      <c r="G20" s="28" t="s">
        <v>47</v>
      </c>
      <c r="H20" s="28" t="s">
        <v>91</v>
      </c>
      <c r="I20" s="28" t="s">
        <v>49</v>
      </c>
      <c r="J20" s="28" t="s">
        <v>50</v>
      </c>
      <c r="K20" s="28" t="s">
        <v>51</v>
      </c>
      <c r="L20" s="28" t="s">
        <v>52</v>
      </c>
      <c r="M20" s="28" t="s">
        <v>52</v>
      </c>
      <c r="N20" s="271" t="s">
        <v>869</v>
      </c>
      <c r="O20" s="271" t="s">
        <v>44</v>
      </c>
      <c r="P20" s="271" t="s">
        <v>870</v>
      </c>
      <c r="Q20" s="271" t="s">
        <v>871</v>
      </c>
      <c r="R20" s="28" t="s">
        <v>44</v>
      </c>
      <c r="S20" s="28" t="s">
        <v>44</v>
      </c>
      <c r="T20" s="28" t="s">
        <v>44</v>
      </c>
      <c r="U20" s="28" t="s">
        <v>44</v>
      </c>
      <c r="V20" s="28" t="s">
        <v>873</v>
      </c>
      <c r="W20" s="28" t="s">
        <v>875</v>
      </c>
      <c r="X20" s="28"/>
      <c r="Y20" s="28"/>
      <c r="Z20" s="28"/>
      <c r="AA20" s="28"/>
    </row>
    <row r="21">
      <c r="A21" s="270" t="s">
        <v>877</v>
      </c>
      <c r="B21" s="28" t="s">
        <v>36</v>
      </c>
      <c r="C21" s="28" t="s">
        <v>878</v>
      </c>
      <c r="D21" s="28" t="s">
        <v>44</v>
      </c>
      <c r="E21" s="28" t="s">
        <v>44</v>
      </c>
      <c r="F21" s="28" t="s">
        <v>46</v>
      </c>
      <c r="G21" s="28" t="s">
        <v>47</v>
      </c>
      <c r="H21" s="28" t="s">
        <v>48</v>
      </c>
      <c r="I21" s="28" t="s">
        <v>49</v>
      </c>
      <c r="J21" s="28" t="s">
        <v>50</v>
      </c>
      <c r="K21" s="28" t="s">
        <v>51</v>
      </c>
      <c r="L21" s="28" t="s">
        <v>52</v>
      </c>
      <c r="M21" s="28" t="s">
        <v>52</v>
      </c>
      <c r="N21" s="271" t="s">
        <v>61</v>
      </c>
      <c r="O21" s="271" t="s">
        <v>44</v>
      </c>
      <c r="P21" s="271" t="s">
        <v>879</v>
      </c>
      <c r="Q21" s="271" t="s">
        <v>880</v>
      </c>
      <c r="R21" s="28" t="s">
        <v>44</v>
      </c>
      <c r="S21" s="28" t="s">
        <v>44</v>
      </c>
      <c r="T21" s="28" t="s">
        <v>44</v>
      </c>
      <c r="U21" s="28" t="s">
        <v>44</v>
      </c>
      <c r="V21" s="28" t="s">
        <v>881</v>
      </c>
      <c r="W21" s="28" t="s">
        <v>882</v>
      </c>
      <c r="X21" s="28"/>
      <c r="Y21" s="28"/>
      <c r="Z21" s="28"/>
      <c r="AA21" s="28"/>
    </row>
    <row r="22">
      <c r="A22" s="270" t="s">
        <v>883</v>
      </c>
      <c r="B22" s="28" t="s">
        <v>36</v>
      </c>
      <c r="C22" s="28" t="s">
        <v>885</v>
      </c>
      <c r="D22" s="28" t="s">
        <v>44</v>
      </c>
      <c r="E22" s="28" t="s">
        <v>44</v>
      </c>
      <c r="F22" s="28" t="s">
        <v>46</v>
      </c>
      <c r="G22" s="28" t="s">
        <v>47</v>
      </c>
      <c r="H22" s="28" t="s">
        <v>48</v>
      </c>
      <c r="I22" s="28" t="s">
        <v>49</v>
      </c>
      <c r="J22" s="28" t="s">
        <v>50</v>
      </c>
      <c r="K22" s="28" t="s">
        <v>51</v>
      </c>
      <c r="L22" s="28" t="s">
        <v>52</v>
      </c>
      <c r="M22" s="28" t="s">
        <v>52</v>
      </c>
      <c r="N22" s="271" t="s">
        <v>886</v>
      </c>
      <c r="O22" s="271" t="s">
        <v>44</v>
      </c>
      <c r="P22" s="271" t="s">
        <v>887</v>
      </c>
      <c r="Q22" s="271" t="s">
        <v>888</v>
      </c>
      <c r="R22" s="28" t="s">
        <v>44</v>
      </c>
      <c r="S22" s="28" t="s">
        <v>44</v>
      </c>
      <c r="T22" s="28" t="s">
        <v>44</v>
      </c>
      <c r="U22" s="28" t="s">
        <v>44</v>
      </c>
      <c r="V22" s="28" t="s">
        <v>890</v>
      </c>
      <c r="W22" s="28" t="s">
        <v>774</v>
      </c>
      <c r="X22" s="28"/>
      <c r="Y22" s="28"/>
      <c r="Z22" s="28"/>
      <c r="AA22" s="28"/>
    </row>
    <row r="23">
      <c r="A23" s="270" t="s">
        <v>892</v>
      </c>
      <c r="B23" s="28" t="s">
        <v>36</v>
      </c>
      <c r="C23" s="28" t="s">
        <v>894</v>
      </c>
      <c r="D23" s="28" t="s">
        <v>44</v>
      </c>
      <c r="E23" s="28" t="s">
        <v>44</v>
      </c>
      <c r="F23" s="28" t="s">
        <v>46</v>
      </c>
      <c r="G23" s="28" t="s">
        <v>47</v>
      </c>
      <c r="H23" s="28" t="s">
        <v>48</v>
      </c>
      <c r="I23" s="28" t="s">
        <v>49</v>
      </c>
      <c r="J23" s="28" t="s">
        <v>50</v>
      </c>
      <c r="K23" s="28" t="s">
        <v>51</v>
      </c>
      <c r="L23" s="28" t="s">
        <v>52</v>
      </c>
      <c r="M23" s="28" t="s">
        <v>52</v>
      </c>
      <c r="N23" s="271" t="s">
        <v>886</v>
      </c>
      <c r="O23" s="271" t="s">
        <v>44</v>
      </c>
      <c r="P23" s="271" t="s">
        <v>895</v>
      </c>
      <c r="Q23" s="271" t="s">
        <v>896</v>
      </c>
      <c r="R23" s="28" t="s">
        <v>44</v>
      </c>
      <c r="S23" s="28" t="s">
        <v>44</v>
      </c>
      <c r="T23" s="28" t="s">
        <v>44</v>
      </c>
      <c r="U23" s="28" t="s">
        <v>44</v>
      </c>
      <c r="V23" s="28" t="s">
        <v>897</v>
      </c>
      <c r="W23" s="28" t="s">
        <v>898</v>
      </c>
      <c r="X23" s="28"/>
      <c r="Y23" s="28"/>
      <c r="Z23" s="28"/>
      <c r="AA23" s="28"/>
    </row>
    <row r="24">
      <c r="A24" s="270" t="s">
        <v>900</v>
      </c>
      <c r="B24" s="28" t="s">
        <v>36</v>
      </c>
      <c r="C24" s="28" t="s">
        <v>901</v>
      </c>
      <c r="D24" s="28" t="s">
        <v>44</v>
      </c>
      <c r="E24" s="28" t="s">
        <v>44</v>
      </c>
      <c r="F24" s="28" t="s">
        <v>46</v>
      </c>
      <c r="G24" s="28" t="s">
        <v>197</v>
      </c>
      <c r="H24" s="28" t="s">
        <v>198</v>
      </c>
      <c r="I24" s="28" t="s">
        <v>49</v>
      </c>
      <c r="J24" s="28" t="s">
        <v>50</v>
      </c>
      <c r="K24" s="28" t="s">
        <v>51</v>
      </c>
      <c r="L24" s="28" t="s">
        <v>52</v>
      </c>
      <c r="M24" s="28" t="s">
        <v>52</v>
      </c>
      <c r="N24" s="271" t="s">
        <v>886</v>
      </c>
      <c r="O24" s="271" t="s">
        <v>44</v>
      </c>
      <c r="P24" s="271" t="s">
        <v>902</v>
      </c>
      <c r="Q24" s="271" t="s">
        <v>903</v>
      </c>
      <c r="R24" s="28" t="s">
        <v>44</v>
      </c>
      <c r="S24" s="28" t="s">
        <v>44</v>
      </c>
      <c r="T24" s="28" t="s">
        <v>44</v>
      </c>
      <c r="U24" s="28" t="s">
        <v>44</v>
      </c>
      <c r="V24" s="28" t="s">
        <v>904</v>
      </c>
      <c r="W24" s="28" t="s">
        <v>906</v>
      </c>
      <c r="X24" s="28"/>
      <c r="Y24" s="28"/>
      <c r="Z24" s="28"/>
      <c r="AA24" s="28"/>
    </row>
    <row r="25">
      <c r="A25" s="270" t="s">
        <v>908</v>
      </c>
      <c r="B25" s="28" t="s">
        <v>36</v>
      </c>
      <c r="C25" s="28" t="s">
        <v>909</v>
      </c>
      <c r="D25" s="28" t="s">
        <v>44</v>
      </c>
      <c r="E25" s="28" t="s">
        <v>44</v>
      </c>
      <c r="F25" s="28" t="s">
        <v>46</v>
      </c>
      <c r="G25" s="28" t="s">
        <v>47</v>
      </c>
      <c r="H25" s="28" t="s">
        <v>91</v>
      </c>
      <c r="I25" s="28" t="s">
        <v>49</v>
      </c>
      <c r="J25" s="28" t="s">
        <v>50</v>
      </c>
      <c r="K25" s="28" t="s">
        <v>51</v>
      </c>
      <c r="L25" s="28" t="s">
        <v>52</v>
      </c>
      <c r="M25" s="28" t="s">
        <v>52</v>
      </c>
      <c r="N25" s="271" t="s">
        <v>910</v>
      </c>
      <c r="O25" s="271" t="s">
        <v>44</v>
      </c>
      <c r="P25" s="271" t="s">
        <v>911</v>
      </c>
      <c r="Q25" s="271" t="s">
        <v>912</v>
      </c>
      <c r="R25" s="28" t="s">
        <v>44</v>
      </c>
      <c r="S25" s="28" t="s">
        <v>44</v>
      </c>
      <c r="T25" s="28" t="s">
        <v>44</v>
      </c>
      <c r="U25" s="28" t="s">
        <v>44</v>
      </c>
      <c r="V25" s="28" t="s">
        <v>913</v>
      </c>
      <c r="W25" s="28" t="s">
        <v>914</v>
      </c>
      <c r="X25" s="28"/>
      <c r="Y25" s="28"/>
      <c r="Z25" s="28"/>
      <c r="AA25" s="28"/>
    </row>
    <row r="26">
      <c r="A26" s="270" t="s">
        <v>916</v>
      </c>
      <c r="B26" s="28" t="s">
        <v>36</v>
      </c>
      <c r="C26" s="28" t="s">
        <v>120</v>
      </c>
      <c r="D26" s="28" t="s">
        <v>44</v>
      </c>
      <c r="E26" s="28" t="s">
        <v>44</v>
      </c>
      <c r="F26" s="28" t="s">
        <v>46</v>
      </c>
      <c r="G26" s="28" t="s">
        <v>47</v>
      </c>
      <c r="H26" s="28" t="s">
        <v>48</v>
      </c>
      <c r="I26" s="28" t="s">
        <v>49</v>
      </c>
      <c r="J26" s="28" t="s">
        <v>50</v>
      </c>
      <c r="K26" s="28" t="s">
        <v>51</v>
      </c>
      <c r="L26" s="28" t="s">
        <v>52</v>
      </c>
      <c r="M26" s="28" t="s">
        <v>52</v>
      </c>
      <c r="N26" s="271" t="s">
        <v>121</v>
      </c>
      <c r="O26" s="271" t="s">
        <v>44</v>
      </c>
      <c r="P26" s="271" t="s">
        <v>122</v>
      </c>
      <c r="Q26" s="271" t="s">
        <v>123</v>
      </c>
      <c r="R26" s="28" t="s">
        <v>44</v>
      </c>
      <c r="S26" s="28" t="s">
        <v>44</v>
      </c>
      <c r="T26" s="28" t="s">
        <v>44</v>
      </c>
      <c r="U26" s="28" t="s">
        <v>44</v>
      </c>
      <c r="V26" s="28" t="s">
        <v>918</v>
      </c>
      <c r="W26" s="28" t="s">
        <v>774</v>
      </c>
      <c r="X26" s="28"/>
      <c r="Y26" s="28"/>
      <c r="Z26" s="28"/>
      <c r="AA26" s="28"/>
    </row>
    <row r="27">
      <c r="A27" s="270" t="s">
        <v>920</v>
      </c>
      <c r="B27" s="28" t="s">
        <v>36</v>
      </c>
      <c r="C27" s="28" t="s">
        <v>124</v>
      </c>
      <c r="D27" s="28" t="s">
        <v>44</v>
      </c>
      <c r="E27" s="28" t="s">
        <v>44</v>
      </c>
      <c r="F27" s="28" t="s">
        <v>46</v>
      </c>
      <c r="G27" s="28" t="s">
        <v>111</v>
      </c>
      <c r="H27" s="28" t="s">
        <v>91</v>
      </c>
      <c r="I27" s="28" t="s">
        <v>49</v>
      </c>
      <c r="J27" s="28" t="s">
        <v>50</v>
      </c>
      <c r="K27" s="28" t="s">
        <v>51</v>
      </c>
      <c r="L27" s="28" t="s">
        <v>52</v>
      </c>
      <c r="M27" s="28" t="s">
        <v>52</v>
      </c>
      <c r="N27" s="271" t="s">
        <v>126</v>
      </c>
      <c r="O27" s="271" t="s">
        <v>44</v>
      </c>
      <c r="P27" s="271" t="s">
        <v>127</v>
      </c>
      <c r="Q27" s="271" t="s">
        <v>128</v>
      </c>
      <c r="R27" s="28" t="s">
        <v>44</v>
      </c>
      <c r="S27" s="28" t="s">
        <v>44</v>
      </c>
      <c r="T27" s="28" t="s">
        <v>44</v>
      </c>
      <c r="U27" s="28" t="s">
        <v>44</v>
      </c>
      <c r="V27" s="28" t="s">
        <v>922</v>
      </c>
      <c r="W27" s="28" t="s">
        <v>774</v>
      </c>
      <c r="X27" s="28"/>
      <c r="Y27" s="28"/>
      <c r="Z27" s="28"/>
      <c r="AA27" s="28"/>
    </row>
    <row r="28">
      <c r="A28" s="270" t="s">
        <v>924</v>
      </c>
      <c r="B28" s="28" t="s">
        <v>36</v>
      </c>
      <c r="C28" s="28" t="s">
        <v>925</v>
      </c>
      <c r="D28" s="28" t="s">
        <v>44</v>
      </c>
      <c r="E28" s="28" t="s">
        <v>44</v>
      </c>
      <c r="F28" s="28" t="s">
        <v>46</v>
      </c>
      <c r="G28" s="28" t="s">
        <v>47</v>
      </c>
      <c r="H28" s="28" t="s">
        <v>48</v>
      </c>
      <c r="I28" s="28" t="s">
        <v>49</v>
      </c>
      <c r="J28" s="28" t="s">
        <v>50</v>
      </c>
      <c r="K28" s="28" t="s">
        <v>51</v>
      </c>
      <c r="L28" s="28" t="s">
        <v>52</v>
      </c>
      <c r="M28" s="28" t="s">
        <v>52</v>
      </c>
      <c r="N28" s="271" t="s">
        <v>145</v>
      </c>
      <c r="O28" s="271" t="s">
        <v>44</v>
      </c>
      <c r="P28" s="271" t="s">
        <v>928</v>
      </c>
      <c r="Q28" s="271" t="s">
        <v>929</v>
      </c>
      <c r="R28" s="28" t="s">
        <v>44</v>
      </c>
      <c r="S28" s="28" t="s">
        <v>44</v>
      </c>
      <c r="T28" s="28" t="s">
        <v>44</v>
      </c>
      <c r="U28" s="28" t="s">
        <v>44</v>
      </c>
      <c r="V28" s="28" t="s">
        <v>930</v>
      </c>
      <c r="W28" s="28" t="s">
        <v>898</v>
      </c>
      <c r="X28" s="28"/>
      <c r="Y28" s="28"/>
      <c r="Z28" s="28"/>
      <c r="AA28" s="28"/>
    </row>
    <row r="29">
      <c r="A29" s="270" t="s">
        <v>932</v>
      </c>
      <c r="B29" s="28" t="s">
        <v>36</v>
      </c>
      <c r="C29" s="28" t="s">
        <v>933</v>
      </c>
      <c r="D29" s="28" t="s">
        <v>44</v>
      </c>
      <c r="E29" s="28" t="s">
        <v>44</v>
      </c>
      <c r="F29" s="28" t="s">
        <v>46</v>
      </c>
      <c r="G29" s="28" t="s">
        <v>47</v>
      </c>
      <c r="H29" s="28" t="s">
        <v>48</v>
      </c>
      <c r="I29" s="28" t="s">
        <v>49</v>
      </c>
      <c r="J29" s="28" t="s">
        <v>50</v>
      </c>
      <c r="K29" s="28" t="s">
        <v>51</v>
      </c>
      <c r="L29" s="28" t="s">
        <v>52</v>
      </c>
      <c r="M29" s="28" t="s">
        <v>52</v>
      </c>
      <c r="N29" s="271" t="s">
        <v>145</v>
      </c>
      <c r="O29" s="271" t="s">
        <v>44</v>
      </c>
      <c r="P29" s="271" t="s">
        <v>935</v>
      </c>
      <c r="Q29" s="271" t="s">
        <v>936</v>
      </c>
      <c r="R29" s="28" t="s">
        <v>44</v>
      </c>
      <c r="S29" s="28" t="s">
        <v>44</v>
      </c>
      <c r="T29" s="28" t="s">
        <v>44</v>
      </c>
      <c r="U29" s="28" t="s">
        <v>44</v>
      </c>
      <c r="V29" s="28" t="s">
        <v>938</v>
      </c>
      <c r="W29" s="28" t="s">
        <v>939</v>
      </c>
      <c r="X29" s="28"/>
      <c r="Y29" s="28"/>
      <c r="Z29" s="28"/>
      <c r="AA29" s="28"/>
    </row>
    <row r="30">
      <c r="A30" s="270" t="s">
        <v>941</v>
      </c>
      <c r="B30" s="28" t="s">
        <v>36</v>
      </c>
      <c r="C30" s="28" t="s">
        <v>129</v>
      </c>
      <c r="D30" s="28" t="s">
        <v>44</v>
      </c>
      <c r="E30" s="28" t="s">
        <v>44</v>
      </c>
      <c r="F30" s="28" t="s">
        <v>46</v>
      </c>
      <c r="G30" s="28" t="s">
        <v>47</v>
      </c>
      <c r="H30" s="28" t="s">
        <v>48</v>
      </c>
      <c r="I30" s="28" t="s">
        <v>49</v>
      </c>
      <c r="J30" s="28" t="s">
        <v>50</v>
      </c>
      <c r="K30" s="28" t="s">
        <v>51</v>
      </c>
      <c r="L30" s="28" t="s">
        <v>52</v>
      </c>
      <c r="M30" s="28" t="s">
        <v>52</v>
      </c>
      <c r="N30" s="271" t="s">
        <v>61</v>
      </c>
      <c r="O30" s="271" t="s">
        <v>44</v>
      </c>
      <c r="P30" s="271" t="s">
        <v>130</v>
      </c>
      <c r="Q30" s="271" t="s">
        <v>131</v>
      </c>
      <c r="R30" s="28" t="s">
        <v>44</v>
      </c>
      <c r="S30" s="28" t="s">
        <v>44</v>
      </c>
      <c r="T30" s="28" t="s">
        <v>44</v>
      </c>
      <c r="U30" s="28" t="s">
        <v>44</v>
      </c>
      <c r="V30" s="28" t="s">
        <v>942</v>
      </c>
      <c r="W30" s="28" t="s">
        <v>774</v>
      </c>
      <c r="X30" s="28"/>
      <c r="Y30" s="28"/>
      <c r="Z30" s="28"/>
      <c r="AA30" s="28"/>
    </row>
    <row r="31">
      <c r="A31" s="270" t="s">
        <v>944</v>
      </c>
      <c r="B31" s="28" t="s">
        <v>36</v>
      </c>
      <c r="C31" s="28" t="s">
        <v>132</v>
      </c>
      <c r="D31" s="28" t="s">
        <v>44</v>
      </c>
      <c r="E31" s="28" t="s">
        <v>44</v>
      </c>
      <c r="F31" s="28" t="s">
        <v>46</v>
      </c>
      <c r="G31" s="28" t="s">
        <v>47</v>
      </c>
      <c r="H31" s="28" t="s">
        <v>48</v>
      </c>
      <c r="I31" s="28" t="s">
        <v>49</v>
      </c>
      <c r="J31" s="28" t="s">
        <v>50</v>
      </c>
      <c r="K31" s="28" t="s">
        <v>51</v>
      </c>
      <c r="L31" s="28" t="s">
        <v>52</v>
      </c>
      <c r="M31" s="28" t="s">
        <v>52</v>
      </c>
      <c r="N31" s="271" t="s">
        <v>61</v>
      </c>
      <c r="O31" s="271" t="s">
        <v>44</v>
      </c>
      <c r="P31" s="271" t="s">
        <v>133</v>
      </c>
      <c r="Q31" s="271" t="s">
        <v>134</v>
      </c>
      <c r="R31" s="28" t="s">
        <v>44</v>
      </c>
      <c r="S31" s="28" t="s">
        <v>44</v>
      </c>
      <c r="T31" s="28" t="s">
        <v>44</v>
      </c>
      <c r="U31" s="28" t="s">
        <v>44</v>
      </c>
      <c r="V31" s="28" t="s">
        <v>947</v>
      </c>
      <c r="W31" s="28" t="s">
        <v>948</v>
      </c>
      <c r="X31" s="28"/>
      <c r="Y31" s="28"/>
      <c r="Z31" s="28"/>
      <c r="AA31" s="28"/>
    </row>
    <row r="32">
      <c r="A32" s="270" t="s">
        <v>949</v>
      </c>
      <c r="B32" s="28" t="s">
        <v>36</v>
      </c>
      <c r="C32" s="28" t="s">
        <v>135</v>
      </c>
      <c r="D32" s="28" t="s">
        <v>44</v>
      </c>
      <c r="E32" s="28" t="s">
        <v>44</v>
      </c>
      <c r="F32" s="28" t="s">
        <v>46</v>
      </c>
      <c r="G32" s="28" t="s">
        <v>47</v>
      </c>
      <c r="H32" s="28" t="s">
        <v>95</v>
      </c>
      <c r="I32" s="28" t="s">
        <v>49</v>
      </c>
      <c r="J32" s="28" t="s">
        <v>50</v>
      </c>
      <c r="K32" s="28" t="s">
        <v>51</v>
      </c>
      <c r="L32" s="28" t="s">
        <v>52</v>
      </c>
      <c r="M32" s="28" t="s">
        <v>52</v>
      </c>
      <c r="N32" s="271" t="s">
        <v>136</v>
      </c>
      <c r="O32" s="271" t="s">
        <v>44</v>
      </c>
      <c r="P32" s="271" t="s">
        <v>137</v>
      </c>
      <c r="Q32" s="271" t="s">
        <v>138</v>
      </c>
      <c r="R32" s="28" t="s">
        <v>44</v>
      </c>
      <c r="S32" s="28" t="s">
        <v>44</v>
      </c>
      <c r="T32" s="28" t="s">
        <v>44</v>
      </c>
      <c r="U32" s="28" t="s">
        <v>44</v>
      </c>
      <c r="V32" s="28" t="s">
        <v>951</v>
      </c>
      <c r="W32" s="28" t="s">
        <v>952</v>
      </c>
      <c r="X32" s="28"/>
      <c r="Y32" s="28"/>
      <c r="Z32" s="28"/>
      <c r="AA32" s="28"/>
    </row>
    <row r="33">
      <c r="A33" s="270" t="s">
        <v>953</v>
      </c>
      <c r="B33" s="28" t="s">
        <v>36</v>
      </c>
      <c r="C33" s="28" t="s">
        <v>954</v>
      </c>
      <c r="D33" s="28" t="s">
        <v>44</v>
      </c>
      <c r="E33" s="28" t="s">
        <v>44</v>
      </c>
      <c r="F33" s="28" t="s">
        <v>46</v>
      </c>
      <c r="G33" s="28" t="s">
        <v>47</v>
      </c>
      <c r="H33" s="28" t="s">
        <v>48</v>
      </c>
      <c r="I33" s="28" t="s">
        <v>49</v>
      </c>
      <c r="J33" s="28" t="s">
        <v>50</v>
      </c>
      <c r="K33" s="28" t="s">
        <v>51</v>
      </c>
      <c r="L33" s="28" t="s">
        <v>52</v>
      </c>
      <c r="M33" s="28" t="s">
        <v>52</v>
      </c>
      <c r="N33" s="271" t="s">
        <v>136</v>
      </c>
      <c r="O33" s="271" t="s">
        <v>44</v>
      </c>
      <c r="P33" s="271" t="s">
        <v>957</v>
      </c>
      <c r="Q33" s="271" t="s">
        <v>958</v>
      </c>
      <c r="R33" s="28" t="s">
        <v>44</v>
      </c>
      <c r="S33" s="28" t="s">
        <v>44</v>
      </c>
      <c r="T33" s="28" t="s">
        <v>44</v>
      </c>
      <c r="U33" s="28" t="s">
        <v>44</v>
      </c>
      <c r="V33" s="28" t="s">
        <v>959</v>
      </c>
      <c r="W33" s="28" t="s">
        <v>960</v>
      </c>
      <c r="X33" s="28"/>
      <c r="Y33" s="28"/>
      <c r="Z33" s="28"/>
      <c r="AA33" s="28"/>
    </row>
    <row r="34">
      <c r="A34" s="270" t="s">
        <v>961</v>
      </c>
      <c r="B34" s="28" t="s">
        <v>36</v>
      </c>
      <c r="C34" s="28" t="s">
        <v>139</v>
      </c>
      <c r="D34" s="28" t="s">
        <v>44</v>
      </c>
      <c r="E34" s="28" t="s">
        <v>44</v>
      </c>
      <c r="F34" s="28" t="s">
        <v>46</v>
      </c>
      <c r="G34" s="28" t="s">
        <v>111</v>
      </c>
      <c r="H34" s="28" t="s">
        <v>91</v>
      </c>
      <c r="I34" s="28" t="s">
        <v>49</v>
      </c>
      <c r="J34" s="28" t="s">
        <v>50</v>
      </c>
      <c r="K34" s="28" t="s">
        <v>51</v>
      </c>
      <c r="L34" s="28" t="s">
        <v>52</v>
      </c>
      <c r="M34" s="28" t="s">
        <v>52</v>
      </c>
      <c r="N34" s="271" t="s">
        <v>140</v>
      </c>
      <c r="O34" s="271" t="s">
        <v>44</v>
      </c>
      <c r="P34" s="271" t="s">
        <v>141</v>
      </c>
      <c r="Q34" s="271" t="s">
        <v>963</v>
      </c>
      <c r="R34" s="28" t="s">
        <v>44</v>
      </c>
      <c r="S34" s="28" t="s">
        <v>44</v>
      </c>
      <c r="T34" s="28" t="s">
        <v>44</v>
      </c>
      <c r="U34" s="28" t="s">
        <v>44</v>
      </c>
      <c r="V34" s="28" t="s">
        <v>964</v>
      </c>
      <c r="W34" s="28" t="s">
        <v>965</v>
      </c>
      <c r="X34" s="28"/>
      <c r="Y34" s="28"/>
      <c r="Z34" s="28"/>
      <c r="AA34" s="28"/>
    </row>
    <row r="35">
      <c r="A35" s="270" t="s">
        <v>966</v>
      </c>
      <c r="B35" s="28" t="s">
        <v>36</v>
      </c>
      <c r="C35" s="28" t="s">
        <v>967</v>
      </c>
      <c r="D35" s="28" t="s">
        <v>44</v>
      </c>
      <c r="E35" s="28" t="s">
        <v>44</v>
      </c>
      <c r="F35" s="28" t="s">
        <v>46</v>
      </c>
      <c r="G35" s="28" t="s">
        <v>47</v>
      </c>
      <c r="H35" s="28" t="s">
        <v>48</v>
      </c>
      <c r="I35" s="28" t="s">
        <v>49</v>
      </c>
      <c r="J35" s="28" t="s">
        <v>50</v>
      </c>
      <c r="K35" s="28" t="s">
        <v>51</v>
      </c>
      <c r="L35" s="28" t="s">
        <v>52</v>
      </c>
      <c r="M35" s="28" t="s">
        <v>52</v>
      </c>
      <c r="N35" s="271" t="s">
        <v>61</v>
      </c>
      <c r="O35" s="271" t="s">
        <v>44</v>
      </c>
      <c r="P35" s="271" t="s">
        <v>968</v>
      </c>
      <c r="Q35" s="271" t="s">
        <v>969</v>
      </c>
      <c r="R35" s="28" t="s">
        <v>44</v>
      </c>
      <c r="S35" s="28" t="s">
        <v>44</v>
      </c>
      <c r="T35" s="28" t="s">
        <v>44</v>
      </c>
      <c r="U35" s="28" t="s">
        <v>44</v>
      </c>
      <c r="V35" s="28" t="s">
        <v>970</v>
      </c>
      <c r="W35" s="28" t="s">
        <v>774</v>
      </c>
      <c r="X35" s="28"/>
      <c r="Y35" s="28"/>
      <c r="Z35" s="28"/>
      <c r="AA35" s="28"/>
    </row>
    <row r="36">
      <c r="A36" s="270" t="s">
        <v>971</v>
      </c>
      <c r="B36" s="28" t="s">
        <v>36</v>
      </c>
      <c r="C36" s="28" t="s">
        <v>972</v>
      </c>
      <c r="D36" s="28" t="s">
        <v>44</v>
      </c>
      <c r="E36" s="28" t="s">
        <v>44</v>
      </c>
      <c r="F36" s="28" t="s">
        <v>46</v>
      </c>
      <c r="G36" s="28" t="s">
        <v>47</v>
      </c>
      <c r="H36" s="28" t="s">
        <v>48</v>
      </c>
      <c r="I36" s="28" t="s">
        <v>49</v>
      </c>
      <c r="J36" s="28" t="s">
        <v>50</v>
      </c>
      <c r="K36" s="28" t="s">
        <v>51</v>
      </c>
      <c r="L36" s="28" t="s">
        <v>52</v>
      </c>
      <c r="M36" s="28" t="s">
        <v>52</v>
      </c>
      <c r="N36" s="271" t="s">
        <v>886</v>
      </c>
      <c r="O36" s="271" t="s">
        <v>44</v>
      </c>
      <c r="P36" s="271" t="s">
        <v>973</v>
      </c>
      <c r="Q36" s="271" t="s">
        <v>974</v>
      </c>
      <c r="R36" s="28" t="s">
        <v>44</v>
      </c>
      <c r="S36" s="28" t="s">
        <v>44</v>
      </c>
      <c r="T36" s="28" t="s">
        <v>44</v>
      </c>
      <c r="U36" s="28" t="s">
        <v>44</v>
      </c>
      <c r="V36" s="28" t="s">
        <v>975</v>
      </c>
      <c r="W36" s="28" t="s">
        <v>976</v>
      </c>
      <c r="X36" s="28"/>
      <c r="Y36" s="28"/>
      <c r="Z36" s="28"/>
      <c r="AA36" s="28"/>
    </row>
    <row r="37">
      <c r="A37" s="270" t="s">
        <v>977</v>
      </c>
      <c r="B37" s="28" t="s">
        <v>36</v>
      </c>
      <c r="C37" s="28" t="s">
        <v>978</v>
      </c>
      <c r="D37" s="28" t="s">
        <v>44</v>
      </c>
      <c r="E37" s="28" t="s">
        <v>44</v>
      </c>
      <c r="F37" s="28" t="s">
        <v>46</v>
      </c>
      <c r="G37" s="28" t="s">
        <v>47</v>
      </c>
      <c r="H37" s="28" t="s">
        <v>95</v>
      </c>
      <c r="I37" s="28" t="s">
        <v>49</v>
      </c>
      <c r="J37" s="28" t="s">
        <v>50</v>
      </c>
      <c r="K37" s="28" t="s">
        <v>51</v>
      </c>
      <c r="L37" s="28" t="s">
        <v>52</v>
      </c>
      <c r="M37" s="28" t="s">
        <v>52</v>
      </c>
      <c r="N37" s="271" t="s">
        <v>979</v>
      </c>
      <c r="O37" s="271" t="s">
        <v>44</v>
      </c>
      <c r="P37" s="271" t="s">
        <v>980</v>
      </c>
      <c r="Q37" s="271" t="s">
        <v>981</v>
      </c>
      <c r="R37" s="28" t="s">
        <v>44</v>
      </c>
      <c r="S37" s="28" t="s">
        <v>44</v>
      </c>
      <c r="T37" s="28" t="s">
        <v>44</v>
      </c>
      <c r="U37" s="28" t="s">
        <v>44</v>
      </c>
      <c r="V37" s="28" t="s">
        <v>982</v>
      </c>
      <c r="W37" s="28" t="s">
        <v>983</v>
      </c>
      <c r="X37" s="28"/>
      <c r="Y37" s="28"/>
      <c r="Z37" s="28"/>
      <c r="AA37" s="28"/>
    </row>
    <row r="38">
      <c r="A38" s="270" t="s">
        <v>984</v>
      </c>
      <c r="B38" s="28" t="s">
        <v>36</v>
      </c>
      <c r="C38" s="28" t="s">
        <v>143</v>
      </c>
      <c r="D38" s="28" t="s">
        <v>44</v>
      </c>
      <c r="E38" s="28" t="s">
        <v>44</v>
      </c>
      <c r="F38" s="28" t="s">
        <v>46</v>
      </c>
      <c r="G38" s="28" t="s">
        <v>47</v>
      </c>
      <c r="H38" s="28" t="s">
        <v>48</v>
      </c>
      <c r="I38" s="28" t="s">
        <v>49</v>
      </c>
      <c r="J38" s="28" t="s">
        <v>144</v>
      </c>
      <c r="K38" s="28" t="s">
        <v>51</v>
      </c>
      <c r="L38" s="28" t="s">
        <v>52</v>
      </c>
      <c r="M38" s="28" t="s">
        <v>52</v>
      </c>
      <c r="N38" s="271" t="s">
        <v>145</v>
      </c>
      <c r="O38" s="271" t="s">
        <v>44</v>
      </c>
      <c r="P38" s="271" t="s">
        <v>146</v>
      </c>
      <c r="Q38" s="271" t="s">
        <v>147</v>
      </c>
      <c r="R38" s="28" t="s">
        <v>44</v>
      </c>
      <c r="S38" s="28" t="s">
        <v>44</v>
      </c>
      <c r="T38" s="28" t="s">
        <v>44</v>
      </c>
      <c r="U38" s="28" t="s">
        <v>44</v>
      </c>
      <c r="V38" s="28" t="s">
        <v>985</v>
      </c>
      <c r="W38" s="28" t="s">
        <v>774</v>
      </c>
      <c r="X38" s="28"/>
      <c r="Y38" s="28"/>
      <c r="Z38" s="28"/>
      <c r="AA38" s="28"/>
    </row>
    <row r="39">
      <c r="A39" s="270" t="s">
        <v>986</v>
      </c>
      <c r="B39" s="28" t="s">
        <v>36</v>
      </c>
      <c r="C39" s="28" t="s">
        <v>148</v>
      </c>
      <c r="D39" s="28" t="s">
        <v>44</v>
      </c>
      <c r="E39" s="28" t="s">
        <v>44</v>
      </c>
      <c r="F39" s="28" t="s">
        <v>46</v>
      </c>
      <c r="G39" s="28" t="s">
        <v>47</v>
      </c>
      <c r="H39" s="28" t="s">
        <v>48</v>
      </c>
      <c r="I39" s="28" t="s">
        <v>49</v>
      </c>
      <c r="J39" s="28" t="s">
        <v>144</v>
      </c>
      <c r="K39" s="28" t="s">
        <v>51</v>
      </c>
      <c r="L39" s="28" t="s">
        <v>52</v>
      </c>
      <c r="M39" s="28" t="s">
        <v>52</v>
      </c>
      <c r="N39" s="271" t="s">
        <v>145</v>
      </c>
      <c r="O39" s="271" t="s">
        <v>44</v>
      </c>
      <c r="P39" s="271" t="s">
        <v>149</v>
      </c>
      <c r="Q39" s="271" t="s">
        <v>987</v>
      </c>
      <c r="R39" s="28" t="s">
        <v>44</v>
      </c>
      <c r="S39" s="28" t="s">
        <v>44</v>
      </c>
      <c r="T39" s="28" t="s">
        <v>44</v>
      </c>
      <c r="U39" s="28" t="s">
        <v>44</v>
      </c>
      <c r="V39" s="28" t="s">
        <v>988</v>
      </c>
      <c r="W39" s="28" t="s">
        <v>989</v>
      </c>
      <c r="X39" s="28"/>
      <c r="Y39" s="28"/>
      <c r="Z39" s="28"/>
      <c r="AA39" s="28"/>
    </row>
    <row r="40">
      <c r="A40" s="270" t="s">
        <v>991</v>
      </c>
      <c r="B40" s="28" t="s">
        <v>36</v>
      </c>
      <c r="C40" s="28" t="s">
        <v>151</v>
      </c>
      <c r="D40" s="28" t="s">
        <v>44</v>
      </c>
      <c r="E40" s="28" t="s">
        <v>44</v>
      </c>
      <c r="F40" s="28" t="s">
        <v>46</v>
      </c>
      <c r="G40" s="28" t="s">
        <v>47</v>
      </c>
      <c r="H40" s="28" t="s">
        <v>48</v>
      </c>
      <c r="I40" s="28" t="s">
        <v>49</v>
      </c>
      <c r="J40" s="28" t="s">
        <v>144</v>
      </c>
      <c r="K40" s="28" t="s">
        <v>51</v>
      </c>
      <c r="L40" s="28" t="s">
        <v>52</v>
      </c>
      <c r="M40" s="28" t="s">
        <v>52</v>
      </c>
      <c r="N40" s="271" t="s">
        <v>145</v>
      </c>
      <c r="O40" s="271" t="s">
        <v>44</v>
      </c>
      <c r="P40" s="271" t="s">
        <v>152</v>
      </c>
      <c r="Q40" s="271" t="s">
        <v>153</v>
      </c>
      <c r="R40" s="28" t="s">
        <v>44</v>
      </c>
      <c r="S40" s="28" t="s">
        <v>44</v>
      </c>
      <c r="T40" s="28" t="s">
        <v>44</v>
      </c>
      <c r="U40" s="28" t="s">
        <v>44</v>
      </c>
      <c r="V40" s="28" t="s">
        <v>992</v>
      </c>
      <c r="W40" s="28" t="s">
        <v>774</v>
      </c>
      <c r="X40" s="28"/>
      <c r="Y40" s="28"/>
      <c r="Z40" s="28"/>
      <c r="AA40" s="28"/>
    </row>
    <row r="41">
      <c r="A41" s="270" t="s">
        <v>993</v>
      </c>
      <c r="B41" s="28" t="s">
        <v>36</v>
      </c>
      <c r="C41" s="28" t="s">
        <v>155</v>
      </c>
      <c r="D41" s="28" t="s">
        <v>44</v>
      </c>
      <c r="E41" s="28" t="s">
        <v>44</v>
      </c>
      <c r="F41" s="28" t="s">
        <v>46</v>
      </c>
      <c r="G41" s="28" t="s">
        <v>47</v>
      </c>
      <c r="H41" s="28" t="s">
        <v>48</v>
      </c>
      <c r="I41" s="28" t="s">
        <v>49</v>
      </c>
      <c r="J41" s="28" t="s">
        <v>144</v>
      </c>
      <c r="K41" s="28" t="s">
        <v>51</v>
      </c>
      <c r="L41" s="28" t="s">
        <v>52</v>
      </c>
      <c r="M41" s="28" t="s">
        <v>52</v>
      </c>
      <c r="N41" s="271" t="s">
        <v>145</v>
      </c>
      <c r="O41" s="271" t="s">
        <v>44</v>
      </c>
      <c r="P41" s="271" t="s">
        <v>156</v>
      </c>
      <c r="Q41" s="271" t="s">
        <v>157</v>
      </c>
      <c r="R41" s="28" t="s">
        <v>44</v>
      </c>
      <c r="S41" s="28" t="s">
        <v>44</v>
      </c>
      <c r="T41" s="28" t="s">
        <v>44</v>
      </c>
      <c r="U41" s="28" t="s">
        <v>44</v>
      </c>
      <c r="V41" s="28" t="s">
        <v>995</v>
      </c>
      <c r="W41" s="28" t="s">
        <v>774</v>
      </c>
      <c r="X41" s="28"/>
      <c r="Y41" s="28"/>
      <c r="Z41" s="28"/>
      <c r="AA41" s="28"/>
    </row>
    <row r="42">
      <c r="A42" s="270" t="s">
        <v>998</v>
      </c>
      <c r="B42" s="28" t="s">
        <v>36</v>
      </c>
      <c r="C42" s="28" t="s">
        <v>158</v>
      </c>
      <c r="D42" s="28" t="s">
        <v>44</v>
      </c>
      <c r="E42" s="28" t="s">
        <v>44</v>
      </c>
      <c r="F42" s="28" t="s">
        <v>46</v>
      </c>
      <c r="G42" s="28" t="s">
        <v>47</v>
      </c>
      <c r="H42" s="28" t="s">
        <v>48</v>
      </c>
      <c r="I42" s="28" t="s">
        <v>49</v>
      </c>
      <c r="J42" s="28" t="s">
        <v>144</v>
      </c>
      <c r="K42" s="28" t="s">
        <v>51</v>
      </c>
      <c r="L42" s="28" t="s">
        <v>52</v>
      </c>
      <c r="M42" s="28" t="s">
        <v>52</v>
      </c>
      <c r="N42" s="271" t="s">
        <v>145</v>
      </c>
      <c r="O42" s="271" t="s">
        <v>44</v>
      </c>
      <c r="P42" s="271" t="s">
        <v>159</v>
      </c>
      <c r="Q42" s="271" t="s">
        <v>160</v>
      </c>
      <c r="R42" s="28" t="s">
        <v>44</v>
      </c>
      <c r="S42" s="28" t="s">
        <v>44</v>
      </c>
      <c r="T42" s="28" t="s">
        <v>44</v>
      </c>
      <c r="U42" s="28" t="s">
        <v>44</v>
      </c>
      <c r="V42" s="28" t="s">
        <v>999</v>
      </c>
      <c r="W42" s="28" t="s">
        <v>774</v>
      </c>
      <c r="X42" s="28"/>
      <c r="Y42" s="28"/>
      <c r="Z42" s="28"/>
      <c r="AA42" s="28"/>
    </row>
    <row r="43">
      <c r="A43" s="270" t="s">
        <v>1000</v>
      </c>
      <c r="B43" s="28" t="s">
        <v>36</v>
      </c>
      <c r="C43" s="28" t="s">
        <v>161</v>
      </c>
      <c r="D43" s="28" t="s">
        <v>44</v>
      </c>
      <c r="E43" s="28" t="s">
        <v>44</v>
      </c>
      <c r="F43" s="28" t="s">
        <v>46</v>
      </c>
      <c r="G43" s="28" t="s">
        <v>47</v>
      </c>
      <c r="H43" s="28" t="s">
        <v>48</v>
      </c>
      <c r="I43" s="28" t="s">
        <v>49</v>
      </c>
      <c r="J43" s="28" t="s">
        <v>144</v>
      </c>
      <c r="K43" s="28" t="s">
        <v>51</v>
      </c>
      <c r="L43" s="28" t="s">
        <v>52</v>
      </c>
      <c r="M43" s="28" t="s">
        <v>52</v>
      </c>
      <c r="N43" s="271" t="s">
        <v>145</v>
      </c>
      <c r="O43" s="271" t="s">
        <v>44</v>
      </c>
      <c r="P43" s="271" t="s">
        <v>162</v>
      </c>
      <c r="Q43" s="271" t="s">
        <v>163</v>
      </c>
      <c r="R43" s="28" t="s">
        <v>44</v>
      </c>
      <c r="S43" s="28" t="s">
        <v>44</v>
      </c>
      <c r="T43" s="28" t="s">
        <v>44</v>
      </c>
      <c r="U43" s="28" t="s">
        <v>44</v>
      </c>
      <c r="V43" s="28" t="s">
        <v>1004</v>
      </c>
      <c r="W43" s="28" t="s">
        <v>774</v>
      </c>
      <c r="X43" s="28"/>
      <c r="Y43" s="28"/>
      <c r="Z43" s="28"/>
      <c r="AA43" s="28"/>
    </row>
    <row r="44">
      <c r="A44" s="270" t="s">
        <v>1005</v>
      </c>
      <c r="B44" s="28" t="s">
        <v>36</v>
      </c>
      <c r="C44" s="28" t="s">
        <v>165</v>
      </c>
      <c r="D44" s="28" t="s">
        <v>44</v>
      </c>
      <c r="E44" s="28" t="s">
        <v>44</v>
      </c>
      <c r="F44" s="28" t="s">
        <v>46</v>
      </c>
      <c r="G44" s="28" t="s">
        <v>47</v>
      </c>
      <c r="H44" s="28" t="s">
        <v>48</v>
      </c>
      <c r="I44" s="28" t="s">
        <v>49</v>
      </c>
      <c r="J44" s="28" t="s">
        <v>144</v>
      </c>
      <c r="K44" s="28" t="s">
        <v>51</v>
      </c>
      <c r="L44" s="28" t="s">
        <v>52</v>
      </c>
      <c r="M44" s="28" t="s">
        <v>52</v>
      </c>
      <c r="N44" s="271" t="s">
        <v>145</v>
      </c>
      <c r="O44" s="271" t="s">
        <v>44</v>
      </c>
      <c r="P44" s="271" t="s">
        <v>166</v>
      </c>
      <c r="Q44" s="271" t="s">
        <v>167</v>
      </c>
      <c r="R44" s="28" t="s">
        <v>44</v>
      </c>
      <c r="S44" s="28" t="s">
        <v>44</v>
      </c>
      <c r="T44" s="28" t="s">
        <v>44</v>
      </c>
      <c r="U44" s="28" t="s">
        <v>44</v>
      </c>
      <c r="V44" s="28" t="s">
        <v>1006</v>
      </c>
      <c r="W44" s="28" t="s">
        <v>774</v>
      </c>
      <c r="X44" s="28"/>
      <c r="Y44" s="28"/>
      <c r="Z44" s="28"/>
      <c r="AA44" s="28"/>
    </row>
    <row r="45">
      <c r="A45" s="270" t="s">
        <v>1008</v>
      </c>
      <c r="B45" s="28" t="s">
        <v>36</v>
      </c>
      <c r="C45" s="28" t="s">
        <v>168</v>
      </c>
      <c r="D45" s="28" t="s">
        <v>44</v>
      </c>
      <c r="E45" s="28" t="s">
        <v>44</v>
      </c>
      <c r="F45" s="28" t="s">
        <v>46</v>
      </c>
      <c r="G45" s="28" t="s">
        <v>47</v>
      </c>
      <c r="H45" s="28" t="s">
        <v>48</v>
      </c>
      <c r="I45" s="28" t="s">
        <v>49</v>
      </c>
      <c r="J45" s="28" t="s">
        <v>144</v>
      </c>
      <c r="K45" s="28" t="s">
        <v>51</v>
      </c>
      <c r="L45" s="28" t="s">
        <v>52</v>
      </c>
      <c r="M45" s="28" t="s">
        <v>52</v>
      </c>
      <c r="N45" s="271" t="s">
        <v>169</v>
      </c>
      <c r="O45" s="271" t="s">
        <v>44</v>
      </c>
      <c r="P45" s="271" t="s">
        <v>171</v>
      </c>
      <c r="Q45" s="271" t="s">
        <v>172</v>
      </c>
      <c r="R45" s="28" t="s">
        <v>44</v>
      </c>
      <c r="S45" s="28" t="s">
        <v>44</v>
      </c>
      <c r="T45" s="28" t="s">
        <v>44</v>
      </c>
      <c r="U45" s="28" t="s">
        <v>44</v>
      </c>
      <c r="V45" s="28" t="s">
        <v>1014</v>
      </c>
      <c r="W45" s="28" t="s">
        <v>774</v>
      </c>
      <c r="X45" s="28"/>
      <c r="Y45" s="28"/>
      <c r="Z45" s="28"/>
      <c r="AA45" s="28"/>
    </row>
    <row r="46">
      <c r="A46" s="270" t="s">
        <v>1016</v>
      </c>
      <c r="B46" s="28" t="s">
        <v>36</v>
      </c>
      <c r="C46" s="28" t="s">
        <v>1017</v>
      </c>
      <c r="D46" s="28" t="s">
        <v>44</v>
      </c>
      <c r="E46" s="28" t="s">
        <v>44</v>
      </c>
      <c r="F46" s="28" t="s">
        <v>46</v>
      </c>
      <c r="G46" s="28" t="s">
        <v>47</v>
      </c>
      <c r="H46" s="28" t="s">
        <v>48</v>
      </c>
      <c r="I46" s="28" t="s">
        <v>49</v>
      </c>
      <c r="J46" s="28" t="s">
        <v>144</v>
      </c>
      <c r="K46" s="28" t="s">
        <v>51</v>
      </c>
      <c r="L46" s="28" t="s">
        <v>52</v>
      </c>
      <c r="M46" s="28" t="s">
        <v>52</v>
      </c>
      <c r="N46" s="271" t="s">
        <v>145</v>
      </c>
      <c r="O46" s="271" t="s">
        <v>44</v>
      </c>
      <c r="P46" s="271" t="s">
        <v>1018</v>
      </c>
      <c r="Q46" s="271" t="s">
        <v>1019</v>
      </c>
      <c r="R46" s="28" t="s">
        <v>44</v>
      </c>
      <c r="S46" s="28" t="s">
        <v>44</v>
      </c>
      <c r="T46" s="28" t="s">
        <v>44</v>
      </c>
      <c r="U46" s="28" t="s">
        <v>44</v>
      </c>
      <c r="V46" s="28" t="s">
        <v>1021</v>
      </c>
      <c r="W46" s="28" t="s">
        <v>1022</v>
      </c>
      <c r="X46" s="28"/>
      <c r="Y46" s="28"/>
      <c r="Z46" s="28"/>
      <c r="AA46" s="28"/>
    </row>
    <row r="47">
      <c r="A47" s="270" t="s">
        <v>1023</v>
      </c>
      <c r="B47" s="28" t="s">
        <v>36</v>
      </c>
      <c r="C47" s="28" t="s">
        <v>173</v>
      </c>
      <c r="D47" s="28" t="s">
        <v>44</v>
      </c>
      <c r="E47" s="28" t="s">
        <v>44</v>
      </c>
      <c r="F47" s="28" t="s">
        <v>46</v>
      </c>
      <c r="G47" s="28" t="s">
        <v>47</v>
      </c>
      <c r="H47" s="28" t="s">
        <v>91</v>
      </c>
      <c r="I47" s="28" t="s">
        <v>49</v>
      </c>
      <c r="J47" s="28" t="s">
        <v>144</v>
      </c>
      <c r="K47" s="28" t="s">
        <v>51</v>
      </c>
      <c r="L47" s="28" t="s">
        <v>52</v>
      </c>
      <c r="M47" s="28" t="s">
        <v>52</v>
      </c>
      <c r="N47" s="271" t="s">
        <v>145</v>
      </c>
      <c r="O47" s="271" t="s">
        <v>44</v>
      </c>
      <c r="P47" s="271" t="s">
        <v>174</v>
      </c>
      <c r="Q47" s="271" t="s">
        <v>1026</v>
      </c>
      <c r="R47" s="28" t="s">
        <v>44</v>
      </c>
      <c r="S47" s="28" t="s">
        <v>44</v>
      </c>
      <c r="T47" s="28" t="s">
        <v>44</v>
      </c>
      <c r="U47" s="28" t="s">
        <v>44</v>
      </c>
      <c r="V47" s="28" t="s">
        <v>1027</v>
      </c>
      <c r="W47" s="28" t="s">
        <v>1028</v>
      </c>
      <c r="X47" s="28"/>
      <c r="Y47" s="28"/>
      <c r="Z47" s="28"/>
      <c r="AA47" s="28"/>
    </row>
    <row r="48">
      <c r="A48" s="270" t="s">
        <v>1029</v>
      </c>
      <c r="B48" s="28" t="s">
        <v>36</v>
      </c>
      <c r="C48" s="28" t="s">
        <v>176</v>
      </c>
      <c r="D48" s="28" t="s">
        <v>44</v>
      </c>
      <c r="E48" s="28" t="s">
        <v>44</v>
      </c>
      <c r="F48" s="28" t="s">
        <v>46</v>
      </c>
      <c r="G48" s="28" t="s">
        <v>85</v>
      </c>
      <c r="H48" s="28" t="s">
        <v>86</v>
      </c>
      <c r="I48" s="28" t="s">
        <v>49</v>
      </c>
      <c r="J48" s="28" t="s">
        <v>144</v>
      </c>
      <c r="K48" s="28" t="s">
        <v>51</v>
      </c>
      <c r="L48" s="28" t="s">
        <v>52</v>
      </c>
      <c r="M48" s="28" t="s">
        <v>52</v>
      </c>
      <c r="N48" s="271" t="s">
        <v>177</v>
      </c>
      <c r="O48" s="271" t="s">
        <v>44</v>
      </c>
      <c r="P48" s="271" t="s">
        <v>178</v>
      </c>
      <c r="Q48" s="271" t="s">
        <v>1031</v>
      </c>
      <c r="R48" s="28" t="s">
        <v>44</v>
      </c>
      <c r="S48" s="28" t="s">
        <v>44</v>
      </c>
      <c r="T48" s="28" t="s">
        <v>44</v>
      </c>
      <c r="U48" s="28" t="s">
        <v>44</v>
      </c>
      <c r="V48" s="28" t="s">
        <v>1032</v>
      </c>
      <c r="W48" s="28" t="s">
        <v>1033</v>
      </c>
      <c r="X48" s="28"/>
      <c r="Y48" s="28"/>
      <c r="Z48" s="28"/>
      <c r="AA48" s="28"/>
    </row>
    <row r="49">
      <c r="A49" s="270" t="s">
        <v>1036</v>
      </c>
      <c r="B49" s="28" t="s">
        <v>36</v>
      </c>
      <c r="C49" s="28" t="s">
        <v>180</v>
      </c>
      <c r="D49" s="28" t="s">
        <v>44</v>
      </c>
      <c r="E49" s="28" t="s">
        <v>44</v>
      </c>
      <c r="F49" s="28" t="s">
        <v>46</v>
      </c>
      <c r="G49" s="28" t="s">
        <v>47</v>
      </c>
      <c r="H49" s="28" t="s">
        <v>48</v>
      </c>
      <c r="I49" s="28" t="s">
        <v>49</v>
      </c>
      <c r="J49" s="28" t="s">
        <v>144</v>
      </c>
      <c r="K49" s="28" t="s">
        <v>51</v>
      </c>
      <c r="L49" s="28" t="s">
        <v>52</v>
      </c>
      <c r="M49" s="28" t="s">
        <v>52</v>
      </c>
      <c r="N49" s="271" t="s">
        <v>145</v>
      </c>
      <c r="O49" s="271" t="s">
        <v>44</v>
      </c>
      <c r="P49" s="271" t="s">
        <v>181</v>
      </c>
      <c r="Q49" s="271" t="s">
        <v>182</v>
      </c>
      <c r="R49" s="28" t="s">
        <v>44</v>
      </c>
      <c r="S49" s="28" t="s">
        <v>44</v>
      </c>
      <c r="T49" s="28" t="s">
        <v>44</v>
      </c>
      <c r="U49" s="28" t="s">
        <v>44</v>
      </c>
      <c r="V49" s="28" t="s">
        <v>1037</v>
      </c>
      <c r="W49" s="28" t="s">
        <v>774</v>
      </c>
      <c r="X49" s="28"/>
      <c r="Y49" s="28"/>
      <c r="Z49" s="28"/>
      <c r="AA49" s="28"/>
    </row>
    <row r="50">
      <c r="A50" s="270" t="s">
        <v>1039</v>
      </c>
      <c r="B50" s="28" t="s">
        <v>36</v>
      </c>
      <c r="C50" s="28" t="s">
        <v>184</v>
      </c>
      <c r="D50" s="28" t="s">
        <v>44</v>
      </c>
      <c r="E50" s="28" t="s">
        <v>44</v>
      </c>
      <c r="F50" s="28" t="s">
        <v>46</v>
      </c>
      <c r="G50" s="28" t="s">
        <v>47</v>
      </c>
      <c r="H50" s="28" t="s">
        <v>48</v>
      </c>
      <c r="I50" s="28" t="s">
        <v>49</v>
      </c>
      <c r="J50" s="28" t="s">
        <v>144</v>
      </c>
      <c r="K50" s="28" t="s">
        <v>51</v>
      </c>
      <c r="L50" s="28" t="s">
        <v>52</v>
      </c>
      <c r="M50" s="28" t="s">
        <v>52</v>
      </c>
      <c r="N50" s="271" t="s">
        <v>145</v>
      </c>
      <c r="O50" s="271" t="s">
        <v>44</v>
      </c>
      <c r="P50" s="271" t="s">
        <v>185</v>
      </c>
      <c r="Q50" s="271" t="s">
        <v>186</v>
      </c>
      <c r="R50" s="28" t="s">
        <v>44</v>
      </c>
      <c r="S50" s="28" t="s">
        <v>44</v>
      </c>
      <c r="T50" s="28" t="s">
        <v>44</v>
      </c>
      <c r="U50" s="28" t="s">
        <v>44</v>
      </c>
      <c r="V50" s="28" t="s">
        <v>1042</v>
      </c>
      <c r="W50" s="28" t="s">
        <v>774</v>
      </c>
      <c r="X50" s="28"/>
      <c r="Y50" s="28"/>
      <c r="Z50" s="28"/>
      <c r="AA50" s="28"/>
    </row>
    <row r="51">
      <c r="A51" s="270" t="s">
        <v>1043</v>
      </c>
      <c r="B51" s="28" t="s">
        <v>36</v>
      </c>
      <c r="C51" s="28" t="s">
        <v>187</v>
      </c>
      <c r="D51" s="28" t="s">
        <v>44</v>
      </c>
      <c r="E51" s="28" t="s">
        <v>44</v>
      </c>
      <c r="F51" s="28" t="s">
        <v>46</v>
      </c>
      <c r="G51" s="28" t="s">
        <v>47</v>
      </c>
      <c r="H51" s="28" t="s">
        <v>91</v>
      </c>
      <c r="I51" s="28" t="s">
        <v>49</v>
      </c>
      <c r="J51" s="28" t="s">
        <v>144</v>
      </c>
      <c r="K51" s="28" t="s">
        <v>51</v>
      </c>
      <c r="L51" s="28" t="s">
        <v>52</v>
      </c>
      <c r="M51" s="28" t="s">
        <v>52</v>
      </c>
      <c r="N51" s="271" t="s">
        <v>169</v>
      </c>
      <c r="O51" s="271" t="s">
        <v>44</v>
      </c>
      <c r="P51" s="271" t="s">
        <v>188</v>
      </c>
      <c r="Q51" s="271" t="s">
        <v>1044</v>
      </c>
      <c r="R51" s="28" t="s">
        <v>44</v>
      </c>
      <c r="S51" s="28" t="s">
        <v>44</v>
      </c>
      <c r="T51" s="28" t="s">
        <v>44</v>
      </c>
      <c r="U51" s="28" t="s">
        <v>44</v>
      </c>
      <c r="V51" s="28" t="s">
        <v>1046</v>
      </c>
      <c r="W51" s="28" t="s">
        <v>1047</v>
      </c>
      <c r="X51" s="28"/>
      <c r="Y51" s="28"/>
      <c r="Z51" s="28"/>
      <c r="AA51" s="28"/>
    </row>
    <row r="52">
      <c r="A52" s="270" t="s">
        <v>1048</v>
      </c>
      <c r="B52" s="28" t="s">
        <v>36</v>
      </c>
      <c r="C52" s="28" t="s">
        <v>190</v>
      </c>
      <c r="D52" s="28" t="s">
        <v>44</v>
      </c>
      <c r="E52" s="28" t="s">
        <v>44</v>
      </c>
      <c r="F52" s="28" t="s">
        <v>46</v>
      </c>
      <c r="G52" s="28" t="s">
        <v>85</v>
      </c>
      <c r="H52" s="28" t="s">
        <v>86</v>
      </c>
      <c r="I52" s="28" t="s">
        <v>49</v>
      </c>
      <c r="J52" s="28" t="s">
        <v>144</v>
      </c>
      <c r="K52" s="28" t="s">
        <v>51</v>
      </c>
      <c r="L52" s="28" t="s">
        <v>52</v>
      </c>
      <c r="M52" s="28" t="s">
        <v>52</v>
      </c>
      <c r="N52" s="271" t="s">
        <v>145</v>
      </c>
      <c r="O52" s="271" t="s">
        <v>44</v>
      </c>
      <c r="P52" s="271" t="s">
        <v>191</v>
      </c>
      <c r="Q52" s="271" t="s">
        <v>1052</v>
      </c>
      <c r="R52" s="28" t="s">
        <v>44</v>
      </c>
      <c r="S52" s="28" t="s">
        <v>44</v>
      </c>
      <c r="T52" s="28" t="s">
        <v>44</v>
      </c>
      <c r="U52" s="28" t="s">
        <v>44</v>
      </c>
      <c r="V52" s="28" t="s">
        <v>1053</v>
      </c>
      <c r="W52" s="28" t="s">
        <v>1054</v>
      </c>
      <c r="X52" s="28"/>
      <c r="Y52" s="28"/>
      <c r="Z52" s="28"/>
      <c r="AA52" s="28"/>
    </row>
    <row r="53">
      <c r="A53" s="270" t="s">
        <v>1055</v>
      </c>
      <c r="B53" s="28" t="s">
        <v>36</v>
      </c>
      <c r="C53" s="28" t="s">
        <v>195</v>
      </c>
      <c r="D53" s="28" t="s">
        <v>44</v>
      </c>
      <c r="E53" s="28" t="s">
        <v>44</v>
      </c>
      <c r="F53" s="28" t="s">
        <v>46</v>
      </c>
      <c r="G53" s="28" t="s">
        <v>197</v>
      </c>
      <c r="H53" s="28" t="s">
        <v>198</v>
      </c>
      <c r="I53" s="28" t="s">
        <v>49</v>
      </c>
      <c r="J53" s="28" t="s">
        <v>144</v>
      </c>
      <c r="K53" s="28" t="s">
        <v>51</v>
      </c>
      <c r="L53" s="28" t="s">
        <v>52</v>
      </c>
      <c r="M53" s="28" t="s">
        <v>52</v>
      </c>
      <c r="N53" s="271" t="s">
        <v>145</v>
      </c>
      <c r="O53" s="271" t="s">
        <v>44</v>
      </c>
      <c r="P53" s="271" t="s">
        <v>199</v>
      </c>
      <c r="Q53" s="271" t="s">
        <v>1057</v>
      </c>
      <c r="R53" s="28" t="s">
        <v>44</v>
      </c>
      <c r="S53" s="28" t="s">
        <v>44</v>
      </c>
      <c r="T53" s="28" t="s">
        <v>44</v>
      </c>
      <c r="U53" s="28" t="s">
        <v>44</v>
      </c>
      <c r="V53" s="28" t="s">
        <v>1058</v>
      </c>
      <c r="W53" s="28" t="s">
        <v>1059</v>
      </c>
      <c r="X53" s="28"/>
      <c r="Y53" s="28"/>
      <c r="Z53" s="28"/>
      <c r="AA53" s="28"/>
    </row>
    <row r="54">
      <c r="A54" s="270" t="s">
        <v>1061</v>
      </c>
      <c r="B54" s="28" t="s">
        <v>36</v>
      </c>
      <c r="C54" s="28" t="s">
        <v>1062</v>
      </c>
      <c r="D54" s="28" t="s">
        <v>44</v>
      </c>
      <c r="E54" s="28" t="s">
        <v>44</v>
      </c>
      <c r="F54" s="28" t="s">
        <v>46</v>
      </c>
      <c r="G54" s="28" t="s">
        <v>47</v>
      </c>
      <c r="H54" s="28" t="s">
        <v>95</v>
      </c>
      <c r="I54" s="28" t="s">
        <v>49</v>
      </c>
      <c r="J54" s="28" t="s">
        <v>144</v>
      </c>
      <c r="K54" s="28" t="s">
        <v>51</v>
      </c>
      <c r="L54" s="28" t="s">
        <v>52</v>
      </c>
      <c r="M54" s="28" t="s">
        <v>52</v>
      </c>
      <c r="N54" s="271" t="s">
        <v>145</v>
      </c>
      <c r="O54" s="271" t="s">
        <v>44</v>
      </c>
      <c r="P54" s="271" t="s">
        <v>1065</v>
      </c>
      <c r="Q54" s="271" t="s">
        <v>1066</v>
      </c>
      <c r="R54" s="28" t="s">
        <v>44</v>
      </c>
      <c r="S54" s="28" t="s">
        <v>44</v>
      </c>
      <c r="T54" s="28" t="s">
        <v>44</v>
      </c>
      <c r="U54" s="28" t="s">
        <v>44</v>
      </c>
      <c r="V54" s="28" t="s">
        <v>1068</v>
      </c>
      <c r="W54" s="28" t="s">
        <v>1069</v>
      </c>
      <c r="X54" s="28"/>
      <c r="Y54" s="28"/>
      <c r="Z54" s="28"/>
      <c r="AA54" s="28"/>
    </row>
    <row r="55">
      <c r="A55" s="270" t="s">
        <v>1070</v>
      </c>
      <c r="B55" s="28" t="s">
        <v>36</v>
      </c>
      <c r="C55" s="28" t="s">
        <v>1071</v>
      </c>
      <c r="D55" s="28" t="s">
        <v>44</v>
      </c>
      <c r="E55" s="28" t="s">
        <v>44</v>
      </c>
      <c r="F55" s="28" t="s">
        <v>46</v>
      </c>
      <c r="G55" s="28" t="s">
        <v>47</v>
      </c>
      <c r="H55" s="28" t="s">
        <v>95</v>
      </c>
      <c r="I55" s="28" t="s">
        <v>49</v>
      </c>
      <c r="J55" s="28" t="s">
        <v>50</v>
      </c>
      <c r="K55" s="28" t="s">
        <v>51</v>
      </c>
      <c r="L55" s="28" t="s">
        <v>52</v>
      </c>
      <c r="M55" s="28" t="s">
        <v>52</v>
      </c>
      <c r="N55" s="271" t="s">
        <v>1072</v>
      </c>
      <c r="O55" s="271" t="s">
        <v>44</v>
      </c>
      <c r="P55" s="271" t="s">
        <v>1073</v>
      </c>
      <c r="Q55" s="271" t="s">
        <v>1074</v>
      </c>
      <c r="R55" s="28" t="s">
        <v>44</v>
      </c>
      <c r="S55" s="28" t="s">
        <v>44</v>
      </c>
      <c r="T55" s="28" t="s">
        <v>44</v>
      </c>
      <c r="U55" s="28" t="s">
        <v>44</v>
      </c>
      <c r="V55" s="28" t="s">
        <v>1075</v>
      </c>
      <c r="W55" s="28" t="s">
        <v>1076</v>
      </c>
      <c r="X55" s="28"/>
      <c r="Y55" s="28"/>
      <c r="Z55" s="28"/>
      <c r="AA55" s="28"/>
    </row>
    <row r="56">
      <c r="A56" s="270" t="s">
        <v>1077</v>
      </c>
      <c r="B56" s="28" t="s">
        <v>36</v>
      </c>
      <c r="C56" s="28" t="s">
        <v>1078</v>
      </c>
      <c r="D56" s="28" t="s">
        <v>44</v>
      </c>
      <c r="E56" s="28" t="s">
        <v>44</v>
      </c>
      <c r="F56" s="28" t="s">
        <v>46</v>
      </c>
      <c r="G56" s="28" t="s">
        <v>47</v>
      </c>
      <c r="H56" s="28" t="s">
        <v>95</v>
      </c>
      <c r="I56" s="28" t="s">
        <v>49</v>
      </c>
      <c r="J56" s="28" t="s">
        <v>50</v>
      </c>
      <c r="K56" s="28" t="s">
        <v>51</v>
      </c>
      <c r="L56" s="28" t="s">
        <v>52</v>
      </c>
      <c r="M56" s="28" t="s">
        <v>52</v>
      </c>
      <c r="N56" s="271" t="s">
        <v>1079</v>
      </c>
      <c r="O56" s="271" t="s">
        <v>44</v>
      </c>
      <c r="P56" s="271" t="s">
        <v>1080</v>
      </c>
      <c r="Q56" s="271" t="s">
        <v>1081</v>
      </c>
      <c r="R56" s="28" t="s">
        <v>44</v>
      </c>
      <c r="S56" s="28" t="s">
        <v>44</v>
      </c>
      <c r="T56" s="28" t="s">
        <v>44</v>
      </c>
      <c r="U56" s="28" t="s">
        <v>44</v>
      </c>
      <c r="V56" s="28" t="s">
        <v>1082</v>
      </c>
      <c r="W56" s="28" t="s">
        <v>1083</v>
      </c>
      <c r="X56" s="28"/>
      <c r="Y56" s="28"/>
      <c r="Z56" s="28"/>
      <c r="AA56" s="28"/>
    </row>
    <row r="57">
      <c r="A57" s="270" t="s">
        <v>1084</v>
      </c>
      <c r="B57" s="28" t="s">
        <v>36</v>
      </c>
      <c r="C57" s="28" t="s">
        <v>204</v>
      </c>
      <c r="D57" s="28" t="s">
        <v>44</v>
      </c>
      <c r="E57" s="28" t="s">
        <v>44</v>
      </c>
      <c r="F57" s="28" t="s">
        <v>205</v>
      </c>
      <c r="G57" s="28" t="s">
        <v>111</v>
      </c>
      <c r="H57" s="28" t="s">
        <v>91</v>
      </c>
      <c r="I57" s="28" t="s">
        <v>49</v>
      </c>
      <c r="J57" s="28" t="s">
        <v>206</v>
      </c>
      <c r="K57" s="28" t="s">
        <v>51</v>
      </c>
      <c r="L57" s="28" t="s">
        <v>52</v>
      </c>
      <c r="M57" s="28" t="s">
        <v>52</v>
      </c>
      <c r="N57" s="28" t="s">
        <v>207</v>
      </c>
      <c r="O57" s="28" t="s">
        <v>44</v>
      </c>
      <c r="P57" s="28" t="s">
        <v>209</v>
      </c>
      <c r="Q57" s="28" t="s">
        <v>210</v>
      </c>
      <c r="R57" s="28" t="s">
        <v>44</v>
      </c>
      <c r="S57" s="28" t="s">
        <v>44</v>
      </c>
      <c r="T57" s="28" t="s">
        <v>44</v>
      </c>
      <c r="U57" s="28" t="s">
        <v>44</v>
      </c>
      <c r="V57" s="28" t="s">
        <v>1086</v>
      </c>
      <c r="W57" s="28" t="s">
        <v>774</v>
      </c>
      <c r="X57" s="28"/>
      <c r="Y57" s="28"/>
      <c r="Z57" s="28"/>
      <c r="AA57" s="28"/>
    </row>
    <row r="58">
      <c r="A58" s="270" t="s">
        <v>1087</v>
      </c>
      <c r="B58" s="28" t="s">
        <v>36</v>
      </c>
      <c r="C58" s="28" t="s">
        <v>211</v>
      </c>
      <c r="D58" s="28" t="s">
        <v>44</v>
      </c>
      <c r="E58" s="28" t="s">
        <v>44</v>
      </c>
      <c r="F58" s="28" t="s">
        <v>205</v>
      </c>
      <c r="G58" s="28" t="s">
        <v>47</v>
      </c>
      <c r="H58" s="28" t="s">
        <v>48</v>
      </c>
      <c r="I58" s="28" t="s">
        <v>49</v>
      </c>
      <c r="J58" s="28" t="s">
        <v>206</v>
      </c>
      <c r="K58" s="28" t="s">
        <v>51</v>
      </c>
      <c r="L58" s="28" t="s">
        <v>52</v>
      </c>
      <c r="M58" s="28" t="s">
        <v>52</v>
      </c>
      <c r="N58" s="28" t="s">
        <v>212</v>
      </c>
      <c r="O58" s="28" t="s">
        <v>44</v>
      </c>
      <c r="P58" s="28" t="s">
        <v>213</v>
      </c>
      <c r="Q58" s="28" t="s">
        <v>214</v>
      </c>
      <c r="R58" s="28" t="s">
        <v>44</v>
      </c>
      <c r="S58" s="28" t="s">
        <v>44</v>
      </c>
      <c r="T58" s="28" t="s">
        <v>44</v>
      </c>
      <c r="U58" s="28" t="s">
        <v>44</v>
      </c>
      <c r="V58" s="28" t="s">
        <v>1089</v>
      </c>
      <c r="W58" s="28" t="s">
        <v>774</v>
      </c>
      <c r="X58" s="28"/>
      <c r="Y58" s="28"/>
      <c r="Z58" s="28"/>
      <c r="AA58" s="28"/>
    </row>
    <row r="59">
      <c r="A59" s="270" t="s">
        <v>1090</v>
      </c>
      <c r="B59" s="28" t="s">
        <v>36</v>
      </c>
      <c r="C59" s="28" t="s">
        <v>215</v>
      </c>
      <c r="D59" s="28" t="s">
        <v>44</v>
      </c>
      <c r="E59" s="28" t="s">
        <v>44</v>
      </c>
      <c r="F59" s="28" t="s">
        <v>205</v>
      </c>
      <c r="G59" s="28" t="s">
        <v>47</v>
      </c>
      <c r="H59" s="28" t="s">
        <v>48</v>
      </c>
      <c r="I59" s="28" t="s">
        <v>49</v>
      </c>
      <c r="J59" s="28" t="s">
        <v>206</v>
      </c>
      <c r="K59" s="28" t="s">
        <v>51</v>
      </c>
      <c r="L59" s="28" t="s">
        <v>52</v>
      </c>
      <c r="M59" s="28" t="s">
        <v>52</v>
      </c>
      <c r="N59" s="28" t="s">
        <v>216</v>
      </c>
      <c r="O59" s="28" t="s">
        <v>44</v>
      </c>
      <c r="P59" s="28" t="s">
        <v>217</v>
      </c>
      <c r="Q59" s="28" t="s">
        <v>218</v>
      </c>
      <c r="R59" s="28" t="s">
        <v>44</v>
      </c>
      <c r="S59" s="28" t="s">
        <v>44</v>
      </c>
      <c r="T59" s="28" t="s">
        <v>44</v>
      </c>
      <c r="U59" s="28" t="s">
        <v>44</v>
      </c>
      <c r="V59" s="28" t="s">
        <v>1094</v>
      </c>
      <c r="W59" s="28" t="s">
        <v>774</v>
      </c>
      <c r="X59" s="28"/>
      <c r="Y59" s="28"/>
      <c r="Z59" s="28"/>
      <c r="AA59" s="28"/>
    </row>
    <row r="60">
      <c r="A60" s="270" t="s">
        <v>1095</v>
      </c>
      <c r="B60" s="28" t="s">
        <v>36</v>
      </c>
      <c r="C60" s="28" t="s">
        <v>221</v>
      </c>
      <c r="D60" s="28" t="s">
        <v>44</v>
      </c>
      <c r="E60" s="28" t="s">
        <v>44</v>
      </c>
      <c r="F60" s="28" t="s">
        <v>205</v>
      </c>
      <c r="G60" s="28" t="s">
        <v>47</v>
      </c>
      <c r="H60" s="28" t="s">
        <v>95</v>
      </c>
      <c r="I60" s="28" t="s">
        <v>49</v>
      </c>
      <c r="J60" s="28" t="s">
        <v>206</v>
      </c>
      <c r="K60" s="28" t="s">
        <v>51</v>
      </c>
      <c r="L60" s="28" t="s">
        <v>52</v>
      </c>
      <c r="M60" s="28" t="s">
        <v>52</v>
      </c>
      <c r="N60" s="28" t="s">
        <v>136</v>
      </c>
      <c r="O60" s="28" t="s">
        <v>44</v>
      </c>
      <c r="P60" s="28" t="s">
        <v>223</v>
      </c>
      <c r="Q60" s="28" t="s">
        <v>225</v>
      </c>
      <c r="R60" s="28" t="s">
        <v>44</v>
      </c>
      <c r="S60" s="28" t="s">
        <v>44</v>
      </c>
      <c r="T60" s="28" t="s">
        <v>44</v>
      </c>
      <c r="U60" s="28" t="s">
        <v>44</v>
      </c>
      <c r="V60" s="28" t="s">
        <v>1096</v>
      </c>
      <c r="W60" s="28" t="s">
        <v>774</v>
      </c>
      <c r="X60" s="28"/>
      <c r="Y60" s="28"/>
      <c r="Z60" s="28"/>
      <c r="AA60" s="28"/>
    </row>
    <row r="61">
      <c r="A61" s="270" t="s">
        <v>1097</v>
      </c>
      <c r="B61" s="28" t="s">
        <v>36</v>
      </c>
      <c r="C61" s="28" t="s">
        <v>228</v>
      </c>
      <c r="D61" s="28" t="s">
        <v>44</v>
      </c>
      <c r="E61" s="28" t="s">
        <v>44</v>
      </c>
      <c r="F61" s="28" t="s">
        <v>205</v>
      </c>
      <c r="G61" s="28" t="s">
        <v>47</v>
      </c>
      <c r="H61" s="28" t="s">
        <v>48</v>
      </c>
      <c r="I61" s="28" t="s">
        <v>49</v>
      </c>
      <c r="J61" s="28" t="s">
        <v>206</v>
      </c>
      <c r="K61" s="28" t="s">
        <v>51</v>
      </c>
      <c r="L61" s="28" t="s">
        <v>52</v>
      </c>
      <c r="M61" s="28" t="s">
        <v>52</v>
      </c>
      <c r="N61" s="28" t="s">
        <v>229</v>
      </c>
      <c r="O61" s="28" t="s">
        <v>44</v>
      </c>
      <c r="P61" s="28" t="s">
        <v>230</v>
      </c>
      <c r="Q61" s="28" t="s">
        <v>231</v>
      </c>
      <c r="R61" s="28" t="s">
        <v>44</v>
      </c>
      <c r="S61" s="28" t="s">
        <v>44</v>
      </c>
      <c r="T61" s="28" t="s">
        <v>44</v>
      </c>
      <c r="U61" s="28" t="s">
        <v>44</v>
      </c>
      <c r="V61" s="28" t="s">
        <v>1098</v>
      </c>
      <c r="W61" s="28" t="s">
        <v>1099</v>
      </c>
      <c r="X61" s="28"/>
      <c r="Y61" s="28"/>
      <c r="Z61" s="28"/>
      <c r="AA61" s="28"/>
    </row>
    <row r="62">
      <c r="A62" s="270" t="s">
        <v>1100</v>
      </c>
      <c r="B62" s="28" t="s">
        <v>36</v>
      </c>
      <c r="C62" s="28" t="s">
        <v>232</v>
      </c>
      <c r="D62" s="28" t="s">
        <v>44</v>
      </c>
      <c r="E62" s="28" t="s">
        <v>44</v>
      </c>
      <c r="F62" s="28" t="s">
        <v>205</v>
      </c>
      <c r="G62" s="28" t="s">
        <v>47</v>
      </c>
      <c r="H62" s="28" t="s">
        <v>95</v>
      </c>
      <c r="I62" s="28" t="s">
        <v>49</v>
      </c>
      <c r="J62" s="28" t="s">
        <v>206</v>
      </c>
      <c r="K62" s="28" t="s">
        <v>51</v>
      </c>
      <c r="L62" s="28" t="s">
        <v>52</v>
      </c>
      <c r="M62" s="28" t="s">
        <v>52</v>
      </c>
      <c r="N62" s="28" t="s">
        <v>233</v>
      </c>
      <c r="O62" s="28" t="s">
        <v>44</v>
      </c>
      <c r="P62" s="28" t="s">
        <v>223</v>
      </c>
      <c r="Q62" s="28" t="s">
        <v>234</v>
      </c>
      <c r="R62" s="28" t="s">
        <v>44</v>
      </c>
      <c r="S62" s="28" t="s">
        <v>44</v>
      </c>
      <c r="T62" s="28" t="s">
        <v>44</v>
      </c>
      <c r="U62" s="28" t="s">
        <v>44</v>
      </c>
      <c r="V62" s="28" t="s">
        <v>1102</v>
      </c>
      <c r="W62" s="28" t="s">
        <v>774</v>
      </c>
      <c r="X62" s="28"/>
      <c r="Y62" s="28"/>
      <c r="Z62" s="28"/>
      <c r="AA62" s="28"/>
    </row>
    <row r="63">
      <c r="A63" s="270" t="s">
        <v>1103</v>
      </c>
      <c r="B63" s="28" t="s">
        <v>36</v>
      </c>
      <c r="C63" s="28" t="s">
        <v>236</v>
      </c>
      <c r="D63" s="28" t="s">
        <v>44</v>
      </c>
      <c r="E63" s="28" t="s">
        <v>44</v>
      </c>
      <c r="F63" s="28" t="s">
        <v>205</v>
      </c>
      <c r="G63" s="28" t="s">
        <v>47</v>
      </c>
      <c r="H63" s="28" t="s">
        <v>95</v>
      </c>
      <c r="I63" s="28" t="s">
        <v>49</v>
      </c>
      <c r="J63" s="28" t="s">
        <v>206</v>
      </c>
      <c r="K63" s="28" t="s">
        <v>51</v>
      </c>
      <c r="L63" s="28" t="s">
        <v>52</v>
      </c>
      <c r="M63" s="28" t="s">
        <v>52</v>
      </c>
      <c r="N63" s="28" t="s">
        <v>233</v>
      </c>
      <c r="O63" s="28" t="s">
        <v>44</v>
      </c>
      <c r="P63" s="28" t="s">
        <v>223</v>
      </c>
      <c r="Q63" s="28" t="s">
        <v>237</v>
      </c>
      <c r="R63" s="28" t="s">
        <v>44</v>
      </c>
      <c r="S63" s="28" t="s">
        <v>44</v>
      </c>
      <c r="T63" s="28" t="s">
        <v>44</v>
      </c>
      <c r="U63" s="28" t="s">
        <v>44</v>
      </c>
      <c r="V63" s="28" t="s">
        <v>1105</v>
      </c>
      <c r="W63" s="28" t="s">
        <v>774</v>
      </c>
      <c r="X63" s="28"/>
      <c r="Y63" s="28"/>
      <c r="Z63" s="28"/>
      <c r="AA63" s="28"/>
    </row>
    <row r="64">
      <c r="A64" s="270" t="s">
        <v>1108</v>
      </c>
      <c r="B64" s="28" t="s">
        <v>36</v>
      </c>
      <c r="C64" s="28" t="s">
        <v>238</v>
      </c>
      <c r="D64" s="28" t="s">
        <v>44</v>
      </c>
      <c r="E64" s="28" t="s">
        <v>44</v>
      </c>
      <c r="F64" s="28" t="s">
        <v>205</v>
      </c>
      <c r="G64" s="28" t="s">
        <v>47</v>
      </c>
      <c r="H64" s="28" t="s">
        <v>95</v>
      </c>
      <c r="I64" s="28" t="s">
        <v>49</v>
      </c>
      <c r="J64" s="28" t="s">
        <v>206</v>
      </c>
      <c r="K64" s="28" t="s">
        <v>51</v>
      </c>
      <c r="L64" s="28" t="s">
        <v>52</v>
      </c>
      <c r="M64" s="28" t="s">
        <v>52</v>
      </c>
      <c r="N64" s="28" t="s">
        <v>240</v>
      </c>
      <c r="O64" s="28" t="s">
        <v>44</v>
      </c>
      <c r="P64" s="28" t="s">
        <v>223</v>
      </c>
      <c r="Q64" s="28" t="s">
        <v>241</v>
      </c>
      <c r="R64" s="28" t="s">
        <v>44</v>
      </c>
      <c r="S64" s="28" t="s">
        <v>44</v>
      </c>
      <c r="T64" s="28" t="s">
        <v>44</v>
      </c>
      <c r="U64" s="28" t="s">
        <v>44</v>
      </c>
      <c r="V64" s="28" t="s">
        <v>1109</v>
      </c>
      <c r="W64" s="28" t="s">
        <v>774</v>
      </c>
      <c r="X64" s="28"/>
      <c r="Y64" s="28"/>
      <c r="Z64" s="28"/>
      <c r="AA64" s="28"/>
    </row>
    <row r="65">
      <c r="A65" s="270" t="s">
        <v>1111</v>
      </c>
      <c r="B65" s="28" t="s">
        <v>36</v>
      </c>
      <c r="C65" s="28" t="s">
        <v>243</v>
      </c>
      <c r="D65" s="28" t="s">
        <v>44</v>
      </c>
      <c r="E65" s="28" t="s">
        <v>44</v>
      </c>
      <c r="F65" s="28" t="s">
        <v>205</v>
      </c>
      <c r="G65" s="28" t="s">
        <v>47</v>
      </c>
      <c r="H65" s="28" t="s">
        <v>95</v>
      </c>
      <c r="I65" s="28" t="s">
        <v>49</v>
      </c>
      <c r="J65" s="28" t="s">
        <v>206</v>
      </c>
      <c r="K65" s="28" t="s">
        <v>51</v>
      </c>
      <c r="L65" s="28" t="s">
        <v>52</v>
      </c>
      <c r="M65" s="28" t="s">
        <v>52</v>
      </c>
      <c r="N65" s="28" t="s">
        <v>245</v>
      </c>
      <c r="O65" s="28" t="s">
        <v>44</v>
      </c>
      <c r="P65" s="28" t="s">
        <v>223</v>
      </c>
      <c r="Q65" s="28" t="s">
        <v>246</v>
      </c>
      <c r="R65" s="28" t="s">
        <v>44</v>
      </c>
      <c r="S65" s="28" t="s">
        <v>44</v>
      </c>
      <c r="T65" s="28" t="s">
        <v>44</v>
      </c>
      <c r="U65" s="28" t="s">
        <v>44</v>
      </c>
      <c r="V65" s="28" t="s">
        <v>1112</v>
      </c>
      <c r="W65" s="28" t="s">
        <v>774</v>
      </c>
      <c r="X65" s="28"/>
      <c r="Y65" s="28"/>
      <c r="Z65" s="28"/>
      <c r="AA65" s="28"/>
    </row>
    <row r="66">
      <c r="A66" s="270" t="s">
        <v>1115</v>
      </c>
      <c r="B66" s="28" t="s">
        <v>36</v>
      </c>
      <c r="C66" s="28" t="s">
        <v>248</v>
      </c>
      <c r="D66" s="28" t="s">
        <v>44</v>
      </c>
      <c r="E66" s="28" t="s">
        <v>44</v>
      </c>
      <c r="F66" s="28" t="s">
        <v>205</v>
      </c>
      <c r="G66" s="28" t="s">
        <v>47</v>
      </c>
      <c r="H66" s="28" t="s">
        <v>95</v>
      </c>
      <c r="I66" s="28" t="s">
        <v>49</v>
      </c>
      <c r="J66" s="28" t="s">
        <v>206</v>
      </c>
      <c r="K66" s="28" t="s">
        <v>51</v>
      </c>
      <c r="L66" s="28" t="s">
        <v>52</v>
      </c>
      <c r="M66" s="28" t="s">
        <v>52</v>
      </c>
      <c r="N66" s="28" t="s">
        <v>249</v>
      </c>
      <c r="O66" s="28" t="s">
        <v>44</v>
      </c>
      <c r="P66" s="28" t="s">
        <v>223</v>
      </c>
      <c r="Q66" s="28" t="s">
        <v>241</v>
      </c>
      <c r="R66" s="28" t="s">
        <v>44</v>
      </c>
      <c r="S66" s="28" t="s">
        <v>44</v>
      </c>
      <c r="T66" s="28" t="s">
        <v>44</v>
      </c>
      <c r="U66" s="28" t="s">
        <v>44</v>
      </c>
      <c r="V66" s="28" t="s">
        <v>1116</v>
      </c>
      <c r="W66" s="28" t="s">
        <v>1117</v>
      </c>
      <c r="X66" s="28"/>
      <c r="Y66" s="28"/>
      <c r="Z66" s="28"/>
      <c r="AA66" s="28"/>
    </row>
    <row r="67">
      <c r="A67" s="270" t="s">
        <v>1119</v>
      </c>
      <c r="B67" s="28" t="s">
        <v>36</v>
      </c>
      <c r="C67" s="28" t="s">
        <v>251</v>
      </c>
      <c r="D67" s="28" t="s">
        <v>44</v>
      </c>
      <c r="E67" s="28" t="s">
        <v>44</v>
      </c>
      <c r="F67" s="28" t="s">
        <v>205</v>
      </c>
      <c r="G67" s="28" t="s">
        <v>47</v>
      </c>
      <c r="H67" s="28" t="s">
        <v>95</v>
      </c>
      <c r="I67" s="28" t="s">
        <v>49</v>
      </c>
      <c r="J67" s="28" t="s">
        <v>206</v>
      </c>
      <c r="K67" s="28" t="s">
        <v>51</v>
      </c>
      <c r="L67" s="28" t="s">
        <v>52</v>
      </c>
      <c r="M67" s="28" t="s">
        <v>52</v>
      </c>
      <c r="N67" s="28" t="s">
        <v>252</v>
      </c>
      <c r="O67" s="28" t="s">
        <v>44</v>
      </c>
      <c r="P67" s="28" t="s">
        <v>253</v>
      </c>
      <c r="Q67" s="28" t="s">
        <v>254</v>
      </c>
      <c r="R67" s="28" t="s">
        <v>44</v>
      </c>
      <c r="S67" s="28" t="s">
        <v>44</v>
      </c>
      <c r="T67" s="28" t="s">
        <v>44</v>
      </c>
      <c r="U67" s="28" t="s">
        <v>44</v>
      </c>
      <c r="V67" s="28" t="s">
        <v>1120</v>
      </c>
      <c r="W67" s="28" t="s">
        <v>774</v>
      </c>
      <c r="X67" s="28"/>
      <c r="Y67" s="28"/>
      <c r="Z67" s="28"/>
      <c r="AA67" s="28"/>
    </row>
    <row r="68">
      <c r="A68" s="270" t="s">
        <v>1123</v>
      </c>
      <c r="B68" s="28" t="s">
        <v>36</v>
      </c>
      <c r="C68" s="28" t="s">
        <v>256</v>
      </c>
      <c r="D68" s="28" t="s">
        <v>44</v>
      </c>
      <c r="E68" s="28" t="s">
        <v>44</v>
      </c>
      <c r="F68" s="28" t="s">
        <v>205</v>
      </c>
      <c r="G68" s="28" t="s">
        <v>47</v>
      </c>
      <c r="H68" s="28" t="s">
        <v>95</v>
      </c>
      <c r="I68" s="28" t="s">
        <v>49</v>
      </c>
      <c r="J68" s="28" t="s">
        <v>206</v>
      </c>
      <c r="K68" s="28" t="s">
        <v>51</v>
      </c>
      <c r="L68" s="28" t="s">
        <v>52</v>
      </c>
      <c r="M68" s="28" t="s">
        <v>52</v>
      </c>
      <c r="N68" s="28" t="s">
        <v>259</v>
      </c>
      <c r="O68" s="28" t="s">
        <v>44</v>
      </c>
      <c r="P68" s="28" t="s">
        <v>260</v>
      </c>
      <c r="Q68" s="28" t="s">
        <v>261</v>
      </c>
      <c r="R68" s="28" t="s">
        <v>44</v>
      </c>
      <c r="S68" s="28" t="s">
        <v>44</v>
      </c>
      <c r="T68" s="28" t="s">
        <v>44</v>
      </c>
      <c r="U68" s="28" t="s">
        <v>44</v>
      </c>
      <c r="V68" s="28" t="s">
        <v>1124</v>
      </c>
      <c r="W68" s="28" t="s">
        <v>1125</v>
      </c>
      <c r="X68" s="28"/>
      <c r="Y68" s="28"/>
      <c r="Z68" s="28"/>
      <c r="AA68" s="28"/>
    </row>
    <row r="69">
      <c r="A69" s="270" t="s">
        <v>1127</v>
      </c>
      <c r="B69" s="28" t="s">
        <v>36</v>
      </c>
      <c r="C69" s="28" t="s">
        <v>262</v>
      </c>
      <c r="D69" s="28" t="s">
        <v>44</v>
      </c>
      <c r="E69" s="28" t="s">
        <v>44</v>
      </c>
      <c r="F69" s="28" t="s">
        <v>205</v>
      </c>
      <c r="G69" s="28" t="s">
        <v>47</v>
      </c>
      <c r="H69" s="28" t="s">
        <v>91</v>
      </c>
      <c r="I69" s="28" t="s">
        <v>49</v>
      </c>
      <c r="J69" s="28" t="s">
        <v>206</v>
      </c>
      <c r="K69" s="28" t="s">
        <v>51</v>
      </c>
      <c r="L69" s="28" t="s">
        <v>52</v>
      </c>
      <c r="M69" s="28" t="s">
        <v>52</v>
      </c>
      <c r="N69" s="28" t="s">
        <v>264</v>
      </c>
      <c r="O69" s="28" t="s">
        <v>44</v>
      </c>
      <c r="P69" s="28" t="s">
        <v>266</v>
      </c>
      <c r="Q69" s="28" t="s">
        <v>267</v>
      </c>
      <c r="R69" s="28" t="s">
        <v>44</v>
      </c>
      <c r="S69" s="28" t="s">
        <v>44</v>
      </c>
      <c r="T69" s="28" t="s">
        <v>44</v>
      </c>
      <c r="U69" s="28" t="s">
        <v>44</v>
      </c>
      <c r="V69" s="28" t="s">
        <v>1129</v>
      </c>
      <c r="W69" s="28" t="s">
        <v>1131</v>
      </c>
      <c r="X69" s="28"/>
      <c r="Y69" s="28"/>
      <c r="Z69" s="28"/>
      <c r="AA69" s="28"/>
    </row>
    <row r="70">
      <c r="A70" s="270" t="s">
        <v>1132</v>
      </c>
      <c r="B70" s="28" t="s">
        <v>36</v>
      </c>
      <c r="C70" s="28" t="s">
        <v>271</v>
      </c>
      <c r="D70" s="28" t="s">
        <v>44</v>
      </c>
      <c r="E70" s="28" t="s">
        <v>44</v>
      </c>
      <c r="F70" s="28" t="s">
        <v>205</v>
      </c>
      <c r="G70" s="28" t="s">
        <v>47</v>
      </c>
      <c r="H70" s="28" t="s">
        <v>91</v>
      </c>
      <c r="I70" s="28" t="s">
        <v>49</v>
      </c>
      <c r="J70" s="28" t="s">
        <v>206</v>
      </c>
      <c r="K70" s="28" t="s">
        <v>51</v>
      </c>
      <c r="L70" s="28" t="s">
        <v>52</v>
      </c>
      <c r="M70" s="28" t="s">
        <v>52</v>
      </c>
      <c r="N70" s="28" t="s">
        <v>264</v>
      </c>
      <c r="O70" s="28" t="s">
        <v>44</v>
      </c>
      <c r="P70" s="28" t="s">
        <v>273</v>
      </c>
      <c r="Q70" s="28" t="s">
        <v>274</v>
      </c>
      <c r="R70" s="28" t="s">
        <v>44</v>
      </c>
      <c r="S70" s="28" t="s">
        <v>44</v>
      </c>
      <c r="T70" s="28" t="s">
        <v>44</v>
      </c>
      <c r="U70" s="28" t="s">
        <v>44</v>
      </c>
      <c r="V70" s="28" t="s">
        <v>1134</v>
      </c>
      <c r="W70" s="28" t="s">
        <v>1135</v>
      </c>
      <c r="X70" s="28"/>
      <c r="Y70" s="28"/>
      <c r="Z70" s="28"/>
      <c r="AA70" s="28"/>
    </row>
    <row r="71">
      <c r="A71" s="270" t="s">
        <v>1136</v>
      </c>
      <c r="B71" s="28" t="s">
        <v>36</v>
      </c>
      <c r="C71" s="28" t="s">
        <v>276</v>
      </c>
      <c r="D71" s="28" t="s">
        <v>44</v>
      </c>
      <c r="E71" s="28" t="s">
        <v>44</v>
      </c>
      <c r="F71" s="28" t="s">
        <v>205</v>
      </c>
      <c r="G71" s="28" t="s">
        <v>47</v>
      </c>
      <c r="H71" s="28" t="s">
        <v>95</v>
      </c>
      <c r="I71" s="28" t="s">
        <v>49</v>
      </c>
      <c r="J71" s="28" t="s">
        <v>206</v>
      </c>
      <c r="K71" s="28" t="s">
        <v>51</v>
      </c>
      <c r="L71" s="28" t="s">
        <v>52</v>
      </c>
      <c r="M71" s="28" t="s">
        <v>52</v>
      </c>
      <c r="N71" s="28" t="s">
        <v>264</v>
      </c>
      <c r="O71" s="28" t="s">
        <v>44</v>
      </c>
      <c r="P71" s="28" t="s">
        <v>278</v>
      </c>
      <c r="Q71" s="28" t="s">
        <v>279</v>
      </c>
      <c r="R71" s="28" t="s">
        <v>44</v>
      </c>
      <c r="S71" s="28" t="s">
        <v>44</v>
      </c>
      <c r="T71" s="28" t="s">
        <v>44</v>
      </c>
      <c r="U71" s="28" t="s">
        <v>44</v>
      </c>
      <c r="V71" s="28" t="s">
        <v>1139</v>
      </c>
      <c r="W71" s="28" t="s">
        <v>1140</v>
      </c>
      <c r="X71" s="28"/>
      <c r="Y71" s="28"/>
      <c r="Z71" s="28"/>
      <c r="AA71" s="28"/>
    </row>
    <row r="72">
      <c r="A72" s="270" t="s">
        <v>1141</v>
      </c>
      <c r="B72" s="28" t="s">
        <v>36</v>
      </c>
      <c r="C72" s="28" t="s">
        <v>281</v>
      </c>
      <c r="D72" s="28" t="s">
        <v>44</v>
      </c>
      <c r="E72" s="28" t="s">
        <v>44</v>
      </c>
      <c r="F72" s="28" t="s">
        <v>205</v>
      </c>
      <c r="G72" s="28" t="s">
        <v>47</v>
      </c>
      <c r="H72" s="28" t="s">
        <v>48</v>
      </c>
      <c r="I72" s="28" t="s">
        <v>49</v>
      </c>
      <c r="J72" s="28" t="s">
        <v>206</v>
      </c>
      <c r="K72" s="28" t="s">
        <v>51</v>
      </c>
      <c r="L72" s="28" t="s">
        <v>52</v>
      </c>
      <c r="M72" s="28" t="s">
        <v>52</v>
      </c>
      <c r="N72" s="28" t="s">
        <v>264</v>
      </c>
      <c r="O72" s="28" t="s">
        <v>44</v>
      </c>
      <c r="P72" s="28" t="s">
        <v>282</v>
      </c>
      <c r="Q72" s="28" t="s">
        <v>283</v>
      </c>
      <c r="R72" s="28" t="s">
        <v>44</v>
      </c>
      <c r="S72" s="28" t="s">
        <v>44</v>
      </c>
      <c r="T72" s="28" t="s">
        <v>44</v>
      </c>
      <c r="U72" s="28" t="s">
        <v>44</v>
      </c>
      <c r="V72" s="28" t="s">
        <v>1142</v>
      </c>
      <c r="W72" s="28" t="s">
        <v>774</v>
      </c>
      <c r="X72" s="28"/>
      <c r="Y72" s="28"/>
      <c r="Z72" s="28"/>
      <c r="AA72" s="28"/>
    </row>
    <row r="73">
      <c r="A73" s="270" t="s">
        <v>1144</v>
      </c>
      <c r="B73" s="28" t="s">
        <v>36</v>
      </c>
      <c r="C73" s="28" t="s">
        <v>286</v>
      </c>
      <c r="D73" s="28" t="s">
        <v>44</v>
      </c>
      <c r="E73" s="28" t="s">
        <v>44</v>
      </c>
      <c r="F73" s="28" t="s">
        <v>205</v>
      </c>
      <c r="G73" s="28" t="s">
        <v>47</v>
      </c>
      <c r="H73" s="28" t="s">
        <v>48</v>
      </c>
      <c r="I73" s="28" t="s">
        <v>49</v>
      </c>
      <c r="J73" s="28" t="s">
        <v>206</v>
      </c>
      <c r="K73" s="28" t="s">
        <v>51</v>
      </c>
      <c r="L73" s="28" t="s">
        <v>52</v>
      </c>
      <c r="M73" s="28" t="s">
        <v>52</v>
      </c>
      <c r="N73" s="28" t="s">
        <v>287</v>
      </c>
      <c r="O73" s="28" t="s">
        <v>44</v>
      </c>
      <c r="P73" s="28" t="s">
        <v>288</v>
      </c>
      <c r="Q73" s="28" t="s">
        <v>289</v>
      </c>
      <c r="R73" s="28" t="s">
        <v>44</v>
      </c>
      <c r="S73" s="28" t="s">
        <v>44</v>
      </c>
      <c r="T73" s="28" t="s">
        <v>44</v>
      </c>
      <c r="U73" s="28" t="s">
        <v>44</v>
      </c>
      <c r="V73" s="28" t="s">
        <v>1146</v>
      </c>
      <c r="W73" s="28" t="s">
        <v>774</v>
      </c>
      <c r="X73" s="28"/>
      <c r="Y73" s="28"/>
      <c r="Z73" s="28"/>
      <c r="AA73" s="28"/>
    </row>
    <row r="74">
      <c r="A74" s="270" t="s">
        <v>1148</v>
      </c>
      <c r="B74" s="28" t="s">
        <v>36</v>
      </c>
      <c r="C74" s="28" t="s">
        <v>291</v>
      </c>
      <c r="D74" s="28" t="s">
        <v>44</v>
      </c>
      <c r="E74" s="28" t="s">
        <v>44</v>
      </c>
      <c r="F74" s="28" t="s">
        <v>205</v>
      </c>
      <c r="G74" s="28" t="s">
        <v>47</v>
      </c>
      <c r="H74" s="28" t="s">
        <v>95</v>
      </c>
      <c r="I74" s="28" t="s">
        <v>49</v>
      </c>
      <c r="J74" s="28" t="s">
        <v>206</v>
      </c>
      <c r="K74" s="28" t="s">
        <v>51</v>
      </c>
      <c r="L74" s="28" t="s">
        <v>52</v>
      </c>
      <c r="M74" s="28" t="s">
        <v>52</v>
      </c>
      <c r="N74" s="28" t="s">
        <v>293</v>
      </c>
      <c r="O74" s="28" t="s">
        <v>44</v>
      </c>
      <c r="P74" s="28" t="s">
        <v>296</v>
      </c>
      <c r="Q74" s="28" t="s">
        <v>297</v>
      </c>
      <c r="R74" s="28" t="s">
        <v>44</v>
      </c>
      <c r="S74" s="28" t="s">
        <v>44</v>
      </c>
      <c r="T74" s="28" t="s">
        <v>44</v>
      </c>
      <c r="U74" s="28" t="s">
        <v>44</v>
      </c>
      <c r="V74" s="28" t="s">
        <v>1149</v>
      </c>
      <c r="W74" s="28" t="s">
        <v>1150</v>
      </c>
      <c r="X74" s="28"/>
      <c r="Y74" s="28"/>
      <c r="Z74" s="28"/>
      <c r="AA74" s="28"/>
    </row>
    <row r="75">
      <c r="A75" s="270" t="s">
        <v>1152</v>
      </c>
      <c r="B75" s="28" t="s">
        <v>36</v>
      </c>
      <c r="C75" s="28" t="s">
        <v>299</v>
      </c>
      <c r="D75" s="28" t="s">
        <v>44</v>
      </c>
      <c r="E75" s="28" t="s">
        <v>44</v>
      </c>
      <c r="F75" s="28" t="s">
        <v>205</v>
      </c>
      <c r="G75" s="28" t="s">
        <v>47</v>
      </c>
      <c r="H75" s="28" t="s">
        <v>95</v>
      </c>
      <c r="I75" s="28" t="s">
        <v>49</v>
      </c>
      <c r="J75" s="28" t="s">
        <v>206</v>
      </c>
      <c r="K75" s="28" t="s">
        <v>51</v>
      </c>
      <c r="L75" s="28" t="s">
        <v>52</v>
      </c>
      <c r="M75" s="28" t="s">
        <v>52</v>
      </c>
      <c r="N75" s="28" t="s">
        <v>301</v>
      </c>
      <c r="O75" s="28" t="s">
        <v>44</v>
      </c>
      <c r="P75" s="28" t="s">
        <v>296</v>
      </c>
      <c r="Q75" s="28" t="s">
        <v>302</v>
      </c>
      <c r="R75" s="28" t="s">
        <v>44</v>
      </c>
      <c r="S75" s="28" t="s">
        <v>44</v>
      </c>
      <c r="T75" s="28" t="s">
        <v>44</v>
      </c>
      <c r="U75" s="28" t="s">
        <v>44</v>
      </c>
      <c r="V75" s="28" t="s">
        <v>1154</v>
      </c>
      <c r="W75" s="28" t="s">
        <v>1156</v>
      </c>
      <c r="X75" s="28"/>
      <c r="Y75" s="28"/>
      <c r="Z75" s="28"/>
      <c r="AA75" s="28"/>
    </row>
    <row r="76">
      <c r="A76" s="270" t="s">
        <v>1157</v>
      </c>
      <c r="B76" s="28" t="s">
        <v>36</v>
      </c>
      <c r="C76" s="28" t="s">
        <v>304</v>
      </c>
      <c r="D76" s="28" t="s">
        <v>44</v>
      </c>
      <c r="E76" s="28" t="s">
        <v>44</v>
      </c>
      <c r="F76" s="28" t="s">
        <v>205</v>
      </c>
      <c r="G76" s="28" t="s">
        <v>47</v>
      </c>
      <c r="H76" s="28" t="s">
        <v>95</v>
      </c>
      <c r="I76" s="28" t="s">
        <v>49</v>
      </c>
      <c r="J76" s="28" t="s">
        <v>206</v>
      </c>
      <c r="K76" s="28" t="s">
        <v>51</v>
      </c>
      <c r="L76" s="28" t="s">
        <v>52</v>
      </c>
      <c r="M76" s="28" t="s">
        <v>52</v>
      </c>
      <c r="N76" s="28" t="s">
        <v>307</v>
      </c>
      <c r="O76" s="28" t="s">
        <v>44</v>
      </c>
      <c r="P76" s="28" t="s">
        <v>296</v>
      </c>
      <c r="Q76" s="28" t="s">
        <v>308</v>
      </c>
      <c r="R76" s="28" t="s">
        <v>44</v>
      </c>
      <c r="S76" s="28" t="s">
        <v>44</v>
      </c>
      <c r="T76" s="28" t="s">
        <v>44</v>
      </c>
      <c r="U76" s="28" t="s">
        <v>44</v>
      </c>
      <c r="V76" s="28" t="s">
        <v>1158</v>
      </c>
      <c r="W76" s="28" t="s">
        <v>1159</v>
      </c>
      <c r="X76" s="28"/>
      <c r="Y76" s="28"/>
      <c r="Z76" s="28"/>
      <c r="AA76" s="28"/>
    </row>
    <row r="77">
      <c r="A77" s="270" t="s">
        <v>1161</v>
      </c>
      <c r="B77" s="28" t="s">
        <v>36</v>
      </c>
      <c r="C77" s="28" t="s">
        <v>309</v>
      </c>
      <c r="D77" s="28" t="s">
        <v>44</v>
      </c>
      <c r="E77" s="28" t="s">
        <v>44</v>
      </c>
      <c r="F77" s="28" t="s">
        <v>205</v>
      </c>
      <c r="G77" s="28" t="s">
        <v>47</v>
      </c>
      <c r="H77" s="28" t="s">
        <v>91</v>
      </c>
      <c r="I77" s="28" t="s">
        <v>49</v>
      </c>
      <c r="J77" s="28" t="s">
        <v>206</v>
      </c>
      <c r="K77" s="28" t="s">
        <v>51</v>
      </c>
      <c r="L77" s="28" t="s">
        <v>52</v>
      </c>
      <c r="M77" s="28" t="s">
        <v>52</v>
      </c>
      <c r="N77" s="28" t="s">
        <v>264</v>
      </c>
      <c r="O77" s="28" t="s">
        <v>44</v>
      </c>
      <c r="P77" s="28" t="s">
        <v>311</v>
      </c>
      <c r="Q77" s="28" t="s">
        <v>312</v>
      </c>
      <c r="R77" s="28" t="s">
        <v>44</v>
      </c>
      <c r="S77" s="28" t="s">
        <v>44</v>
      </c>
      <c r="T77" s="28" t="s">
        <v>44</v>
      </c>
      <c r="U77" s="28" t="s">
        <v>44</v>
      </c>
      <c r="V77" s="28" t="s">
        <v>1162</v>
      </c>
      <c r="W77" s="28" t="s">
        <v>774</v>
      </c>
      <c r="X77" s="28"/>
      <c r="Y77" s="28"/>
      <c r="Z77" s="28"/>
      <c r="AA77" s="28"/>
    </row>
    <row r="78">
      <c r="A78" s="270" t="s">
        <v>1165</v>
      </c>
      <c r="B78" s="28" t="s">
        <v>36</v>
      </c>
      <c r="C78" s="28" t="s">
        <v>313</v>
      </c>
      <c r="D78" s="28" t="s">
        <v>44</v>
      </c>
      <c r="E78" s="28" t="s">
        <v>44</v>
      </c>
      <c r="F78" s="28" t="s">
        <v>205</v>
      </c>
      <c r="G78" s="28" t="s">
        <v>47</v>
      </c>
      <c r="H78" s="28" t="s">
        <v>48</v>
      </c>
      <c r="I78" s="28" t="s">
        <v>49</v>
      </c>
      <c r="J78" s="28" t="s">
        <v>206</v>
      </c>
      <c r="K78" s="28" t="s">
        <v>51</v>
      </c>
      <c r="L78" s="28" t="s">
        <v>52</v>
      </c>
      <c r="M78" s="28" t="s">
        <v>52</v>
      </c>
      <c r="N78" s="28" t="s">
        <v>316</v>
      </c>
      <c r="O78" s="28" t="s">
        <v>44</v>
      </c>
      <c r="P78" s="28" t="s">
        <v>317</v>
      </c>
      <c r="Q78" s="28" t="s">
        <v>318</v>
      </c>
      <c r="R78" s="28" t="s">
        <v>44</v>
      </c>
      <c r="S78" s="28" t="s">
        <v>44</v>
      </c>
      <c r="T78" s="28" t="s">
        <v>44</v>
      </c>
      <c r="U78" s="28" t="s">
        <v>44</v>
      </c>
      <c r="V78" s="28" t="s">
        <v>1166</v>
      </c>
      <c r="W78" s="28" t="s">
        <v>1168</v>
      </c>
      <c r="X78" s="28"/>
      <c r="Y78" s="28"/>
      <c r="Z78" s="28"/>
      <c r="AA78" s="28"/>
    </row>
    <row r="79">
      <c r="A79" s="270" t="s">
        <v>1169</v>
      </c>
      <c r="B79" s="28" t="s">
        <v>36</v>
      </c>
      <c r="C79" s="28" t="s">
        <v>320</v>
      </c>
      <c r="D79" s="28" t="s">
        <v>44</v>
      </c>
      <c r="E79" s="28" t="s">
        <v>44</v>
      </c>
      <c r="F79" s="28" t="s">
        <v>205</v>
      </c>
      <c r="G79" s="28" t="s">
        <v>47</v>
      </c>
      <c r="H79" s="28" t="s">
        <v>48</v>
      </c>
      <c r="I79" s="28" t="s">
        <v>49</v>
      </c>
      <c r="J79" s="28" t="s">
        <v>206</v>
      </c>
      <c r="K79" s="28" t="s">
        <v>51</v>
      </c>
      <c r="L79" s="28" t="s">
        <v>52</v>
      </c>
      <c r="M79" s="28" t="s">
        <v>52</v>
      </c>
      <c r="N79" s="28" t="s">
        <v>264</v>
      </c>
      <c r="O79" s="28" t="s">
        <v>44</v>
      </c>
      <c r="P79" s="28" t="s">
        <v>322</v>
      </c>
      <c r="Q79" s="28" t="s">
        <v>323</v>
      </c>
      <c r="R79" s="28" t="s">
        <v>44</v>
      </c>
      <c r="S79" s="28" t="s">
        <v>44</v>
      </c>
      <c r="T79" s="28" t="s">
        <v>44</v>
      </c>
      <c r="U79" s="28" t="s">
        <v>44</v>
      </c>
      <c r="V79" s="28" t="s">
        <v>1172</v>
      </c>
      <c r="W79" s="28" t="s">
        <v>774</v>
      </c>
      <c r="X79" s="28"/>
      <c r="Y79" s="28"/>
      <c r="Z79" s="28"/>
      <c r="AA79" s="28"/>
    </row>
    <row r="80">
      <c r="A80" s="270" t="s">
        <v>1173</v>
      </c>
      <c r="B80" s="28" t="s">
        <v>36</v>
      </c>
      <c r="C80" s="28" t="s">
        <v>325</v>
      </c>
      <c r="D80" s="28" t="s">
        <v>44</v>
      </c>
      <c r="E80" s="28" t="s">
        <v>44</v>
      </c>
      <c r="F80" s="28" t="s">
        <v>205</v>
      </c>
      <c r="G80" s="28" t="s">
        <v>47</v>
      </c>
      <c r="H80" s="28" t="s">
        <v>48</v>
      </c>
      <c r="I80" s="28" t="s">
        <v>49</v>
      </c>
      <c r="J80" s="28" t="s">
        <v>206</v>
      </c>
      <c r="K80" s="28" t="s">
        <v>51</v>
      </c>
      <c r="L80" s="28" t="s">
        <v>52</v>
      </c>
      <c r="M80" s="28" t="s">
        <v>52</v>
      </c>
      <c r="N80" s="28" t="s">
        <v>264</v>
      </c>
      <c r="O80" s="28" t="s">
        <v>44</v>
      </c>
      <c r="P80" s="28" t="s">
        <v>327</v>
      </c>
      <c r="Q80" s="28" t="s">
        <v>328</v>
      </c>
      <c r="R80" s="28" t="s">
        <v>44</v>
      </c>
      <c r="S80" s="28" t="s">
        <v>44</v>
      </c>
      <c r="T80" s="28" t="s">
        <v>44</v>
      </c>
      <c r="U80" s="28" t="s">
        <v>44</v>
      </c>
      <c r="V80" s="28" t="s">
        <v>1175</v>
      </c>
      <c r="W80" s="28" t="s">
        <v>1176</v>
      </c>
      <c r="X80" s="28"/>
      <c r="Y80" s="28"/>
      <c r="Z80" s="28"/>
      <c r="AA80" s="28"/>
    </row>
    <row r="81">
      <c r="A81" s="270" t="s">
        <v>1177</v>
      </c>
      <c r="B81" s="28" t="s">
        <v>36</v>
      </c>
      <c r="C81" s="28" t="s">
        <v>330</v>
      </c>
      <c r="D81" s="28" t="s">
        <v>44</v>
      </c>
      <c r="E81" s="28" t="s">
        <v>44</v>
      </c>
      <c r="F81" s="28" t="s">
        <v>205</v>
      </c>
      <c r="G81" s="28" t="s">
        <v>85</v>
      </c>
      <c r="H81" s="28" t="s">
        <v>86</v>
      </c>
      <c r="I81" s="28" t="s">
        <v>49</v>
      </c>
      <c r="J81" s="28" t="s">
        <v>206</v>
      </c>
      <c r="K81" s="28" t="s">
        <v>51</v>
      </c>
      <c r="L81" s="28" t="s">
        <v>52</v>
      </c>
      <c r="M81" s="28" t="s">
        <v>52</v>
      </c>
      <c r="N81" s="28" t="s">
        <v>264</v>
      </c>
      <c r="O81" s="28" t="s">
        <v>44</v>
      </c>
      <c r="P81" s="28" t="s">
        <v>333</v>
      </c>
      <c r="Q81" s="28" t="s">
        <v>335</v>
      </c>
      <c r="R81" s="28" t="s">
        <v>44</v>
      </c>
      <c r="S81" s="28" t="s">
        <v>44</v>
      </c>
      <c r="T81" s="28" t="s">
        <v>44</v>
      </c>
      <c r="U81" s="28" t="s">
        <v>44</v>
      </c>
      <c r="V81" s="28" t="s">
        <v>1180</v>
      </c>
      <c r="W81" s="28" t="s">
        <v>1181</v>
      </c>
      <c r="X81" s="28"/>
      <c r="Y81" s="28"/>
      <c r="Z81" s="28"/>
      <c r="AA81" s="28"/>
    </row>
    <row r="82">
      <c r="A82" s="270" t="s">
        <v>1182</v>
      </c>
      <c r="B82" s="28" t="s">
        <v>36</v>
      </c>
      <c r="C82" s="28" t="s">
        <v>338</v>
      </c>
      <c r="D82" s="28" t="s">
        <v>44</v>
      </c>
      <c r="E82" s="28" t="s">
        <v>44</v>
      </c>
      <c r="F82" s="28" t="s">
        <v>205</v>
      </c>
      <c r="G82" s="28" t="s">
        <v>47</v>
      </c>
      <c r="H82" s="28" t="s">
        <v>48</v>
      </c>
      <c r="I82" s="28" t="s">
        <v>49</v>
      </c>
      <c r="J82" s="28" t="s">
        <v>206</v>
      </c>
      <c r="K82" s="28" t="s">
        <v>51</v>
      </c>
      <c r="L82" s="28" t="s">
        <v>52</v>
      </c>
      <c r="M82" s="28" t="s">
        <v>52</v>
      </c>
      <c r="N82" s="28" t="s">
        <v>264</v>
      </c>
      <c r="O82" s="28" t="s">
        <v>44</v>
      </c>
      <c r="P82" s="28" t="s">
        <v>339</v>
      </c>
      <c r="Q82" s="28" t="s">
        <v>340</v>
      </c>
      <c r="R82" s="28" t="s">
        <v>44</v>
      </c>
      <c r="S82" s="28" t="s">
        <v>44</v>
      </c>
      <c r="T82" s="28" t="s">
        <v>44</v>
      </c>
      <c r="U82" s="28" t="s">
        <v>44</v>
      </c>
      <c r="V82" s="28" t="s">
        <v>1184</v>
      </c>
      <c r="W82" s="28" t="s">
        <v>1185</v>
      </c>
      <c r="X82" s="28"/>
      <c r="Y82" s="28"/>
      <c r="Z82" s="28"/>
      <c r="AA82" s="28"/>
    </row>
    <row r="83">
      <c r="A83" s="270" t="s">
        <v>1186</v>
      </c>
      <c r="B83" s="28" t="s">
        <v>36</v>
      </c>
      <c r="C83" s="28" t="s">
        <v>342</v>
      </c>
      <c r="D83" s="28" t="s">
        <v>44</v>
      </c>
      <c r="E83" s="28" t="s">
        <v>44</v>
      </c>
      <c r="F83" s="28" t="s">
        <v>205</v>
      </c>
      <c r="G83" s="28" t="s">
        <v>197</v>
      </c>
      <c r="H83" s="28" t="s">
        <v>112</v>
      </c>
      <c r="I83" s="28" t="s">
        <v>49</v>
      </c>
      <c r="J83" s="28" t="s">
        <v>206</v>
      </c>
      <c r="K83" s="28" t="s">
        <v>51</v>
      </c>
      <c r="L83" s="28" t="s">
        <v>52</v>
      </c>
      <c r="M83" s="28" t="s">
        <v>52</v>
      </c>
      <c r="N83" s="28" t="s">
        <v>345</v>
      </c>
      <c r="O83" s="28" t="s">
        <v>44</v>
      </c>
      <c r="P83" s="28" t="s">
        <v>346</v>
      </c>
      <c r="Q83" s="28" t="s">
        <v>347</v>
      </c>
      <c r="R83" s="28" t="s">
        <v>44</v>
      </c>
      <c r="S83" s="28" t="s">
        <v>44</v>
      </c>
      <c r="T83" s="28" t="s">
        <v>44</v>
      </c>
      <c r="U83" s="28" t="s">
        <v>44</v>
      </c>
      <c r="V83" s="28" t="s">
        <v>1189</v>
      </c>
      <c r="W83" s="28" t="s">
        <v>774</v>
      </c>
      <c r="X83" s="28"/>
      <c r="Y83" s="28"/>
      <c r="Z83" s="28"/>
      <c r="AA83" s="28"/>
    </row>
    <row r="84">
      <c r="A84" s="270" t="s">
        <v>1190</v>
      </c>
      <c r="B84" s="28" t="s">
        <v>36</v>
      </c>
      <c r="C84" s="28" t="s">
        <v>350</v>
      </c>
      <c r="D84" s="28" t="s">
        <v>44</v>
      </c>
      <c r="E84" s="28" t="s">
        <v>44</v>
      </c>
      <c r="F84" s="28" t="s">
        <v>205</v>
      </c>
      <c r="G84" s="28" t="s">
        <v>197</v>
      </c>
      <c r="H84" s="28" t="s">
        <v>112</v>
      </c>
      <c r="I84" s="28" t="s">
        <v>49</v>
      </c>
      <c r="J84" s="28" t="s">
        <v>206</v>
      </c>
      <c r="K84" s="28" t="s">
        <v>51</v>
      </c>
      <c r="L84" s="28" t="s">
        <v>52</v>
      </c>
      <c r="M84" s="28" t="s">
        <v>52</v>
      </c>
      <c r="N84" s="28" t="s">
        <v>353</v>
      </c>
      <c r="O84" s="28" t="s">
        <v>44</v>
      </c>
      <c r="P84" s="28" t="s">
        <v>354</v>
      </c>
      <c r="Q84" s="28" t="s">
        <v>355</v>
      </c>
      <c r="R84" s="28" t="s">
        <v>44</v>
      </c>
      <c r="S84" s="28" t="s">
        <v>44</v>
      </c>
      <c r="T84" s="28" t="s">
        <v>44</v>
      </c>
      <c r="U84" s="28" t="s">
        <v>44</v>
      </c>
      <c r="V84" s="28" t="s">
        <v>1192</v>
      </c>
      <c r="W84" s="28" t="s">
        <v>774</v>
      </c>
      <c r="X84" s="28"/>
      <c r="Y84" s="28"/>
      <c r="Z84" s="28"/>
      <c r="AA84" s="28"/>
    </row>
    <row r="85">
      <c r="A85" s="270" t="s">
        <v>1195</v>
      </c>
      <c r="B85" s="28" t="s">
        <v>36</v>
      </c>
      <c r="C85" s="28" t="s">
        <v>358</v>
      </c>
      <c r="D85" s="28" t="s">
        <v>44</v>
      </c>
      <c r="E85" s="28" t="s">
        <v>44</v>
      </c>
      <c r="F85" s="28" t="s">
        <v>205</v>
      </c>
      <c r="G85" s="28" t="s">
        <v>47</v>
      </c>
      <c r="H85" s="28" t="s">
        <v>48</v>
      </c>
      <c r="I85" s="28" t="s">
        <v>49</v>
      </c>
      <c r="J85" s="28" t="s">
        <v>206</v>
      </c>
      <c r="K85" s="28" t="s">
        <v>51</v>
      </c>
      <c r="L85" s="28" t="s">
        <v>52</v>
      </c>
      <c r="M85" s="28" t="s">
        <v>52</v>
      </c>
      <c r="N85" s="28" t="s">
        <v>353</v>
      </c>
      <c r="O85" s="28" t="s">
        <v>44</v>
      </c>
      <c r="P85" s="28" t="s">
        <v>360</v>
      </c>
      <c r="Q85" s="28" t="s">
        <v>361</v>
      </c>
      <c r="R85" s="28" t="s">
        <v>44</v>
      </c>
      <c r="S85" s="28" t="s">
        <v>44</v>
      </c>
      <c r="T85" s="28" t="s">
        <v>44</v>
      </c>
      <c r="U85" s="28" t="s">
        <v>44</v>
      </c>
      <c r="V85" s="28" t="s">
        <v>1197</v>
      </c>
      <c r="W85" s="28" t="s">
        <v>1198</v>
      </c>
      <c r="X85" s="28"/>
      <c r="Y85" s="28"/>
      <c r="Z85" s="28"/>
      <c r="AA85" s="28"/>
    </row>
    <row r="86">
      <c r="A86" s="270" t="s">
        <v>1200</v>
      </c>
      <c r="B86" s="28" t="s">
        <v>36</v>
      </c>
      <c r="C86" s="28" t="s">
        <v>365</v>
      </c>
      <c r="D86" s="28" t="s">
        <v>44</v>
      </c>
      <c r="E86" s="28" t="s">
        <v>44</v>
      </c>
      <c r="F86" s="28" t="s">
        <v>205</v>
      </c>
      <c r="G86" s="28" t="s">
        <v>47</v>
      </c>
      <c r="H86" s="28" t="s">
        <v>48</v>
      </c>
      <c r="I86" s="28" t="s">
        <v>49</v>
      </c>
      <c r="J86" s="28" t="s">
        <v>206</v>
      </c>
      <c r="K86" s="28" t="s">
        <v>51</v>
      </c>
      <c r="L86" s="28" t="s">
        <v>52</v>
      </c>
      <c r="M86" s="28" t="s">
        <v>52</v>
      </c>
      <c r="N86" s="28" t="s">
        <v>212</v>
      </c>
      <c r="O86" s="28" t="s">
        <v>44</v>
      </c>
      <c r="P86" s="28" t="s">
        <v>368</v>
      </c>
      <c r="Q86" s="28" t="s">
        <v>369</v>
      </c>
      <c r="R86" s="28" t="s">
        <v>44</v>
      </c>
      <c r="S86" s="28" t="s">
        <v>44</v>
      </c>
      <c r="T86" s="28" t="s">
        <v>44</v>
      </c>
      <c r="U86" s="28" t="s">
        <v>44</v>
      </c>
      <c r="V86" s="28" t="s">
        <v>1202</v>
      </c>
      <c r="W86" s="28" t="s">
        <v>774</v>
      </c>
      <c r="X86" s="28"/>
      <c r="Y86" s="28"/>
      <c r="Z86" s="28"/>
      <c r="AA86" s="28"/>
    </row>
    <row r="87">
      <c r="A87" s="270" t="s">
        <v>1204</v>
      </c>
      <c r="B87" s="28" t="s">
        <v>36</v>
      </c>
      <c r="C87" s="28" t="s">
        <v>373</v>
      </c>
      <c r="D87" s="28" t="s">
        <v>44</v>
      </c>
      <c r="E87" s="28" t="s">
        <v>44</v>
      </c>
      <c r="F87" s="28" t="s">
        <v>205</v>
      </c>
      <c r="G87" s="28" t="s">
        <v>47</v>
      </c>
      <c r="H87" s="28" t="s">
        <v>48</v>
      </c>
      <c r="I87" s="28" t="s">
        <v>49</v>
      </c>
      <c r="J87" s="28" t="s">
        <v>206</v>
      </c>
      <c r="K87" s="28" t="s">
        <v>51</v>
      </c>
      <c r="L87" s="28" t="s">
        <v>52</v>
      </c>
      <c r="M87" s="28" t="s">
        <v>52</v>
      </c>
      <c r="N87" s="28" t="s">
        <v>264</v>
      </c>
      <c r="O87" s="28" t="s">
        <v>44</v>
      </c>
      <c r="P87" s="28" t="s">
        <v>375</v>
      </c>
      <c r="Q87" s="28" t="s">
        <v>377</v>
      </c>
      <c r="R87" s="28" t="s">
        <v>44</v>
      </c>
      <c r="S87" s="28" t="s">
        <v>44</v>
      </c>
      <c r="T87" s="28" t="s">
        <v>44</v>
      </c>
      <c r="U87" s="28" t="s">
        <v>44</v>
      </c>
      <c r="V87" s="28" t="s">
        <v>1205</v>
      </c>
      <c r="W87" s="28" t="s">
        <v>774</v>
      </c>
      <c r="X87" s="28"/>
      <c r="Y87" s="28"/>
      <c r="Z87" s="28"/>
      <c r="AA87" s="28"/>
    </row>
    <row r="88">
      <c r="A88" s="270" t="s">
        <v>1207</v>
      </c>
      <c r="B88" s="28" t="s">
        <v>36</v>
      </c>
      <c r="C88" s="28" t="s">
        <v>379</v>
      </c>
      <c r="D88" s="28" t="s">
        <v>44</v>
      </c>
      <c r="E88" s="28" t="s">
        <v>44</v>
      </c>
      <c r="F88" s="28" t="s">
        <v>205</v>
      </c>
      <c r="G88" s="28" t="s">
        <v>197</v>
      </c>
      <c r="H88" s="28" t="s">
        <v>112</v>
      </c>
      <c r="I88" s="28" t="s">
        <v>49</v>
      </c>
      <c r="J88" s="28" t="s">
        <v>206</v>
      </c>
      <c r="K88" s="28" t="s">
        <v>51</v>
      </c>
      <c r="L88" s="28" t="s">
        <v>52</v>
      </c>
      <c r="M88" s="28" t="s">
        <v>52</v>
      </c>
      <c r="N88" s="28" t="s">
        <v>264</v>
      </c>
      <c r="O88" s="28" t="s">
        <v>44</v>
      </c>
      <c r="P88" s="28" t="s">
        <v>382</v>
      </c>
      <c r="Q88" s="28" t="s">
        <v>383</v>
      </c>
      <c r="R88" s="28" t="s">
        <v>44</v>
      </c>
      <c r="S88" s="28" t="s">
        <v>44</v>
      </c>
      <c r="T88" s="28" t="s">
        <v>44</v>
      </c>
      <c r="U88" s="28" t="s">
        <v>44</v>
      </c>
      <c r="V88" s="28" t="s">
        <v>1209</v>
      </c>
      <c r="W88" s="28" t="s">
        <v>774</v>
      </c>
      <c r="X88" s="28"/>
      <c r="Y88" s="28"/>
      <c r="Z88" s="28"/>
      <c r="AA88" s="28"/>
    </row>
    <row r="89">
      <c r="A89" s="270" t="s">
        <v>1211</v>
      </c>
      <c r="B89" s="28" t="s">
        <v>36</v>
      </c>
      <c r="C89" s="28" t="s">
        <v>385</v>
      </c>
      <c r="D89" s="28" t="s">
        <v>44</v>
      </c>
      <c r="E89" s="28" t="s">
        <v>44</v>
      </c>
      <c r="F89" s="28" t="s">
        <v>205</v>
      </c>
      <c r="G89" s="28" t="s">
        <v>47</v>
      </c>
      <c r="H89" s="28" t="s">
        <v>95</v>
      </c>
      <c r="I89" s="28" t="s">
        <v>49</v>
      </c>
      <c r="J89" s="28" t="s">
        <v>206</v>
      </c>
      <c r="K89" s="28" t="s">
        <v>51</v>
      </c>
      <c r="L89" s="28" t="s">
        <v>52</v>
      </c>
      <c r="M89" s="28" t="s">
        <v>52</v>
      </c>
      <c r="N89" s="28" t="s">
        <v>387</v>
      </c>
      <c r="O89" s="28" t="s">
        <v>44</v>
      </c>
      <c r="P89" s="28" t="s">
        <v>390</v>
      </c>
      <c r="Q89" s="28" t="s">
        <v>391</v>
      </c>
      <c r="R89" s="28" t="s">
        <v>44</v>
      </c>
      <c r="S89" s="28" t="s">
        <v>44</v>
      </c>
      <c r="T89" s="28" t="s">
        <v>44</v>
      </c>
      <c r="U89" s="28" t="s">
        <v>44</v>
      </c>
      <c r="V89" s="28" t="s">
        <v>1213</v>
      </c>
      <c r="W89" s="28" t="s">
        <v>1214</v>
      </c>
      <c r="X89" s="28"/>
      <c r="Y89" s="28"/>
      <c r="Z89" s="28"/>
      <c r="AA89" s="28"/>
    </row>
    <row r="90">
      <c r="A90" s="270" t="s">
        <v>1215</v>
      </c>
      <c r="B90" s="28" t="s">
        <v>36</v>
      </c>
      <c r="C90" s="28" t="s">
        <v>394</v>
      </c>
      <c r="D90" s="28" t="s">
        <v>44</v>
      </c>
      <c r="E90" s="28" t="s">
        <v>44</v>
      </c>
      <c r="F90" s="28" t="s">
        <v>205</v>
      </c>
      <c r="G90" s="28" t="s">
        <v>47</v>
      </c>
      <c r="H90" s="28" t="s">
        <v>48</v>
      </c>
      <c r="I90" s="28" t="s">
        <v>49</v>
      </c>
      <c r="J90" s="28" t="s">
        <v>396</v>
      </c>
      <c r="K90" s="28" t="s">
        <v>51</v>
      </c>
      <c r="L90" s="28" t="s">
        <v>52</v>
      </c>
      <c r="M90" s="28" t="s">
        <v>52</v>
      </c>
      <c r="N90" s="28" t="s">
        <v>264</v>
      </c>
      <c r="O90" s="28" t="s">
        <v>44</v>
      </c>
      <c r="P90" s="28" t="s">
        <v>397</v>
      </c>
      <c r="Q90" s="28" t="s">
        <v>399</v>
      </c>
      <c r="R90" s="28" t="s">
        <v>44</v>
      </c>
      <c r="S90" s="28" t="s">
        <v>44</v>
      </c>
      <c r="T90" s="28" t="s">
        <v>44</v>
      </c>
      <c r="U90" s="28" t="s">
        <v>44</v>
      </c>
      <c r="V90" s="28" t="s">
        <v>1218</v>
      </c>
      <c r="W90" s="28" t="s">
        <v>774</v>
      </c>
      <c r="X90" s="28"/>
      <c r="Y90" s="28"/>
      <c r="Z90" s="28"/>
      <c r="AA90" s="28"/>
    </row>
    <row r="91">
      <c r="A91" s="270" t="s">
        <v>1219</v>
      </c>
      <c r="B91" s="28" t="s">
        <v>36</v>
      </c>
      <c r="C91" s="28" t="s">
        <v>403</v>
      </c>
      <c r="D91" s="28" t="s">
        <v>44</v>
      </c>
      <c r="E91" s="28" t="s">
        <v>44</v>
      </c>
      <c r="F91" s="28" t="s">
        <v>205</v>
      </c>
      <c r="G91" s="28" t="s">
        <v>47</v>
      </c>
      <c r="H91" s="28" t="s">
        <v>48</v>
      </c>
      <c r="I91" s="28" t="s">
        <v>49</v>
      </c>
      <c r="J91" s="28" t="s">
        <v>396</v>
      </c>
      <c r="K91" s="28" t="s">
        <v>51</v>
      </c>
      <c r="L91" s="28" t="s">
        <v>52</v>
      </c>
      <c r="M91" s="28" t="s">
        <v>52</v>
      </c>
      <c r="N91" s="28" t="s">
        <v>406</v>
      </c>
      <c r="O91" s="28" t="s">
        <v>44</v>
      </c>
      <c r="P91" s="28" t="s">
        <v>407</v>
      </c>
      <c r="Q91" s="28" t="s">
        <v>409</v>
      </c>
      <c r="R91" s="28" t="s">
        <v>44</v>
      </c>
      <c r="S91" s="28" t="s">
        <v>44</v>
      </c>
      <c r="T91" s="28" t="s">
        <v>44</v>
      </c>
      <c r="U91" s="28" t="s">
        <v>44</v>
      </c>
      <c r="V91" s="28" t="s">
        <v>1221</v>
      </c>
      <c r="W91" s="28" t="s">
        <v>1222</v>
      </c>
      <c r="X91" s="28"/>
      <c r="Y91" s="28"/>
      <c r="Z91" s="28"/>
      <c r="AA91" s="28"/>
    </row>
    <row r="92">
      <c r="A92" s="270" t="s">
        <v>1223</v>
      </c>
      <c r="B92" s="28" t="s">
        <v>36</v>
      </c>
      <c r="C92" s="28" t="s">
        <v>412</v>
      </c>
      <c r="D92" s="28" t="s">
        <v>44</v>
      </c>
      <c r="E92" s="28" t="s">
        <v>44</v>
      </c>
      <c r="F92" s="28" t="s">
        <v>205</v>
      </c>
      <c r="G92" s="28" t="s">
        <v>47</v>
      </c>
      <c r="H92" s="28" t="s">
        <v>48</v>
      </c>
      <c r="I92" s="28" t="s">
        <v>49</v>
      </c>
      <c r="J92" s="28" t="s">
        <v>396</v>
      </c>
      <c r="K92" s="28" t="s">
        <v>51</v>
      </c>
      <c r="L92" s="28" t="s">
        <v>52</v>
      </c>
      <c r="M92" s="28" t="s">
        <v>52</v>
      </c>
      <c r="N92" s="28" t="s">
        <v>415</v>
      </c>
      <c r="O92" s="28" t="s">
        <v>44</v>
      </c>
      <c r="P92" s="28" t="s">
        <v>417</v>
      </c>
      <c r="Q92" s="28" t="s">
        <v>418</v>
      </c>
      <c r="R92" s="28" t="s">
        <v>44</v>
      </c>
      <c r="S92" s="28" t="s">
        <v>44</v>
      </c>
      <c r="T92" s="28" t="s">
        <v>44</v>
      </c>
      <c r="U92" s="28" t="s">
        <v>44</v>
      </c>
      <c r="V92" s="28" t="s">
        <v>1227</v>
      </c>
      <c r="W92" s="28" t="s">
        <v>774</v>
      </c>
      <c r="X92" s="28"/>
      <c r="Y92" s="28"/>
      <c r="Z92" s="28"/>
      <c r="AA92" s="28"/>
    </row>
    <row r="93">
      <c r="A93" s="270" t="s">
        <v>1228</v>
      </c>
      <c r="B93" s="28" t="s">
        <v>36</v>
      </c>
      <c r="C93" s="28" t="s">
        <v>419</v>
      </c>
      <c r="D93" s="28" t="s">
        <v>44</v>
      </c>
      <c r="E93" s="28" t="s">
        <v>44</v>
      </c>
      <c r="F93" s="28" t="s">
        <v>205</v>
      </c>
      <c r="G93" s="28" t="s">
        <v>47</v>
      </c>
      <c r="H93" s="28" t="s">
        <v>48</v>
      </c>
      <c r="I93" s="28" t="s">
        <v>49</v>
      </c>
      <c r="J93" s="28" t="s">
        <v>396</v>
      </c>
      <c r="K93" s="28" t="s">
        <v>51</v>
      </c>
      <c r="L93" s="28" t="s">
        <v>52</v>
      </c>
      <c r="M93" s="28" t="s">
        <v>52</v>
      </c>
      <c r="N93" s="28" t="s">
        <v>422</v>
      </c>
      <c r="O93" s="28" t="s">
        <v>44</v>
      </c>
      <c r="P93" s="28" t="s">
        <v>423</v>
      </c>
      <c r="Q93" s="28" t="s">
        <v>424</v>
      </c>
      <c r="R93" s="28" t="s">
        <v>44</v>
      </c>
      <c r="S93" s="28" t="s">
        <v>44</v>
      </c>
      <c r="T93" s="28" t="s">
        <v>44</v>
      </c>
      <c r="U93" s="28" t="s">
        <v>44</v>
      </c>
      <c r="V93" s="28" t="s">
        <v>1230</v>
      </c>
      <c r="W93" s="28" t="s">
        <v>774</v>
      </c>
      <c r="X93" s="28"/>
      <c r="Y93" s="28"/>
      <c r="Z93" s="28"/>
      <c r="AA93" s="28"/>
    </row>
    <row r="94">
      <c r="A94" s="270" t="s">
        <v>1231</v>
      </c>
      <c r="B94" s="28" t="s">
        <v>36</v>
      </c>
      <c r="C94" s="28" t="s">
        <v>426</v>
      </c>
      <c r="D94" s="28" t="s">
        <v>44</v>
      </c>
      <c r="E94" s="28" t="s">
        <v>44</v>
      </c>
      <c r="F94" s="28" t="s">
        <v>205</v>
      </c>
      <c r="G94" s="28" t="s">
        <v>47</v>
      </c>
      <c r="H94" s="28" t="s">
        <v>95</v>
      </c>
      <c r="I94" s="28" t="s">
        <v>49</v>
      </c>
      <c r="J94" s="28" t="s">
        <v>396</v>
      </c>
      <c r="K94" s="28" t="s">
        <v>51</v>
      </c>
      <c r="L94" s="28" t="s">
        <v>52</v>
      </c>
      <c r="M94" s="28" t="s">
        <v>52</v>
      </c>
      <c r="N94" s="28" t="s">
        <v>429</v>
      </c>
      <c r="O94" s="28" t="s">
        <v>44</v>
      </c>
      <c r="P94" s="28" t="s">
        <v>430</v>
      </c>
      <c r="Q94" s="28" t="s">
        <v>432</v>
      </c>
      <c r="R94" s="28" t="s">
        <v>44</v>
      </c>
      <c r="S94" s="28" t="s">
        <v>44</v>
      </c>
      <c r="T94" s="28" t="s">
        <v>44</v>
      </c>
      <c r="U94" s="28" t="s">
        <v>44</v>
      </c>
      <c r="V94" s="28" t="s">
        <v>1234</v>
      </c>
      <c r="W94" s="28" t="s">
        <v>774</v>
      </c>
      <c r="X94" s="28"/>
      <c r="Y94" s="28"/>
      <c r="Z94" s="28"/>
      <c r="AA94" s="28"/>
    </row>
    <row r="95">
      <c r="A95" s="270" t="s">
        <v>1235</v>
      </c>
      <c r="B95" s="28" t="s">
        <v>36</v>
      </c>
      <c r="C95" s="28" t="s">
        <v>434</v>
      </c>
      <c r="D95" s="28" t="s">
        <v>44</v>
      </c>
      <c r="E95" s="28" t="s">
        <v>44</v>
      </c>
      <c r="F95" s="28" t="s">
        <v>205</v>
      </c>
      <c r="G95" s="28" t="s">
        <v>47</v>
      </c>
      <c r="H95" s="28" t="s">
        <v>48</v>
      </c>
      <c r="I95" s="28" t="s">
        <v>49</v>
      </c>
      <c r="J95" s="28" t="s">
        <v>396</v>
      </c>
      <c r="K95" s="28" t="s">
        <v>51</v>
      </c>
      <c r="L95" s="28" t="s">
        <v>52</v>
      </c>
      <c r="M95" s="28" t="s">
        <v>52</v>
      </c>
      <c r="N95" s="28" t="s">
        <v>415</v>
      </c>
      <c r="O95" s="28" t="s">
        <v>44</v>
      </c>
      <c r="P95" s="28" t="s">
        <v>438</v>
      </c>
      <c r="Q95" s="28" t="s">
        <v>439</v>
      </c>
      <c r="R95" s="28" t="s">
        <v>44</v>
      </c>
      <c r="S95" s="28" t="s">
        <v>44</v>
      </c>
      <c r="T95" s="28" t="s">
        <v>44</v>
      </c>
      <c r="U95" s="28" t="s">
        <v>44</v>
      </c>
      <c r="V95" s="28" t="s">
        <v>1237</v>
      </c>
      <c r="W95" s="28" t="s">
        <v>774</v>
      </c>
      <c r="X95" s="28"/>
      <c r="Y95" s="28"/>
      <c r="Z95" s="28"/>
      <c r="AA95" s="28"/>
    </row>
    <row r="96">
      <c r="A96" s="270" t="s">
        <v>1238</v>
      </c>
      <c r="B96" s="28" t="s">
        <v>36</v>
      </c>
      <c r="C96" s="28" t="s">
        <v>441</v>
      </c>
      <c r="D96" s="28" t="s">
        <v>44</v>
      </c>
      <c r="E96" s="28" t="s">
        <v>44</v>
      </c>
      <c r="F96" s="28" t="s">
        <v>205</v>
      </c>
      <c r="G96" s="28" t="s">
        <v>47</v>
      </c>
      <c r="H96" s="28" t="s">
        <v>48</v>
      </c>
      <c r="I96" s="28" t="s">
        <v>49</v>
      </c>
      <c r="J96" s="28" t="s">
        <v>396</v>
      </c>
      <c r="K96" s="28" t="s">
        <v>51</v>
      </c>
      <c r="L96" s="28" t="s">
        <v>52</v>
      </c>
      <c r="M96" s="28" t="s">
        <v>52</v>
      </c>
      <c r="N96" s="28" t="s">
        <v>415</v>
      </c>
      <c r="O96" s="28" t="s">
        <v>44</v>
      </c>
      <c r="P96" s="28" t="s">
        <v>443</v>
      </c>
      <c r="Q96" s="28" t="s">
        <v>445</v>
      </c>
      <c r="R96" s="28" t="s">
        <v>44</v>
      </c>
      <c r="S96" s="28" t="s">
        <v>44</v>
      </c>
      <c r="T96" s="28" t="s">
        <v>44</v>
      </c>
      <c r="U96" s="28" t="s">
        <v>44</v>
      </c>
      <c r="V96" s="28" t="s">
        <v>1239</v>
      </c>
      <c r="W96" s="28" t="s">
        <v>774</v>
      </c>
      <c r="X96" s="28"/>
      <c r="Y96" s="28"/>
      <c r="Z96" s="28"/>
      <c r="AA96" s="28"/>
    </row>
    <row r="97">
      <c r="A97" s="270" t="s">
        <v>1240</v>
      </c>
      <c r="B97" s="28" t="s">
        <v>36</v>
      </c>
      <c r="C97" s="28" t="s">
        <v>450</v>
      </c>
      <c r="D97" s="28" t="s">
        <v>44</v>
      </c>
      <c r="E97" s="28" t="s">
        <v>44</v>
      </c>
      <c r="F97" s="28" t="s">
        <v>205</v>
      </c>
      <c r="G97" s="28" t="s">
        <v>47</v>
      </c>
      <c r="H97" s="28" t="s">
        <v>48</v>
      </c>
      <c r="I97" s="28" t="s">
        <v>49</v>
      </c>
      <c r="J97" s="28" t="s">
        <v>396</v>
      </c>
      <c r="K97" s="28" t="s">
        <v>51</v>
      </c>
      <c r="L97" s="28" t="s">
        <v>52</v>
      </c>
      <c r="M97" s="28" t="s">
        <v>52</v>
      </c>
      <c r="N97" s="28" t="s">
        <v>415</v>
      </c>
      <c r="O97" s="28" t="s">
        <v>44</v>
      </c>
      <c r="P97" s="28" t="s">
        <v>453</v>
      </c>
      <c r="Q97" s="28" t="s">
        <v>454</v>
      </c>
      <c r="R97" s="28" t="s">
        <v>44</v>
      </c>
      <c r="S97" s="28" t="s">
        <v>44</v>
      </c>
      <c r="T97" s="28" t="s">
        <v>44</v>
      </c>
      <c r="U97" s="28" t="s">
        <v>44</v>
      </c>
      <c r="V97" s="28" t="s">
        <v>1242</v>
      </c>
      <c r="W97" s="28" t="s">
        <v>774</v>
      </c>
      <c r="X97" s="28"/>
      <c r="Y97" s="28"/>
      <c r="Z97" s="28"/>
      <c r="AA97" s="28"/>
    </row>
    <row r="98">
      <c r="A98" s="270" t="s">
        <v>1243</v>
      </c>
      <c r="B98" s="28" t="s">
        <v>36</v>
      </c>
      <c r="C98" s="28" t="s">
        <v>457</v>
      </c>
      <c r="D98" s="28" t="s">
        <v>44</v>
      </c>
      <c r="E98" s="28" t="s">
        <v>44</v>
      </c>
      <c r="F98" s="28" t="s">
        <v>205</v>
      </c>
      <c r="G98" s="28" t="s">
        <v>47</v>
      </c>
      <c r="H98" s="28" t="s">
        <v>48</v>
      </c>
      <c r="I98" s="28" t="s">
        <v>49</v>
      </c>
      <c r="J98" s="28" t="s">
        <v>396</v>
      </c>
      <c r="K98" s="28" t="s">
        <v>51</v>
      </c>
      <c r="L98" s="28" t="s">
        <v>52</v>
      </c>
      <c r="M98" s="28" t="s">
        <v>52</v>
      </c>
      <c r="N98" s="28" t="s">
        <v>415</v>
      </c>
      <c r="O98" s="28" t="s">
        <v>44</v>
      </c>
      <c r="P98" s="28" t="s">
        <v>459</v>
      </c>
      <c r="Q98" s="28" t="s">
        <v>460</v>
      </c>
      <c r="R98" s="28" t="s">
        <v>44</v>
      </c>
      <c r="S98" s="28" t="s">
        <v>44</v>
      </c>
      <c r="T98" s="28" t="s">
        <v>44</v>
      </c>
      <c r="U98" s="28" t="s">
        <v>44</v>
      </c>
      <c r="V98" s="28" t="s">
        <v>1244</v>
      </c>
      <c r="W98" s="28" t="s">
        <v>774</v>
      </c>
      <c r="X98" s="28"/>
      <c r="Y98" s="28"/>
      <c r="Z98" s="28"/>
      <c r="AA98" s="28"/>
    </row>
    <row r="99">
      <c r="A99" s="270" t="s">
        <v>1245</v>
      </c>
      <c r="B99" s="28" t="s">
        <v>36</v>
      </c>
      <c r="C99" s="28" t="s">
        <v>464</v>
      </c>
      <c r="D99" s="28" t="s">
        <v>44</v>
      </c>
      <c r="E99" s="28" t="s">
        <v>44</v>
      </c>
      <c r="F99" s="28" t="s">
        <v>205</v>
      </c>
      <c r="G99" s="28" t="s">
        <v>111</v>
      </c>
      <c r="H99" s="28" t="s">
        <v>91</v>
      </c>
      <c r="I99" s="28" t="s">
        <v>49</v>
      </c>
      <c r="J99" s="28" t="s">
        <v>396</v>
      </c>
      <c r="K99" s="28" t="s">
        <v>51</v>
      </c>
      <c r="L99" s="28" t="s">
        <v>52</v>
      </c>
      <c r="M99" s="28" t="s">
        <v>52</v>
      </c>
      <c r="N99" s="28" t="s">
        <v>468</v>
      </c>
      <c r="O99" s="28" t="s">
        <v>44</v>
      </c>
      <c r="P99" s="28" t="s">
        <v>469</v>
      </c>
      <c r="Q99" s="28" t="s">
        <v>472</v>
      </c>
      <c r="R99" s="28" t="s">
        <v>44</v>
      </c>
      <c r="S99" s="28" t="s">
        <v>44</v>
      </c>
      <c r="T99" s="28" t="s">
        <v>44</v>
      </c>
      <c r="U99" s="28" t="s">
        <v>44</v>
      </c>
      <c r="V99" s="28" t="s">
        <v>1247</v>
      </c>
      <c r="W99" s="28" t="s">
        <v>774</v>
      </c>
      <c r="X99" s="28"/>
      <c r="Y99" s="28"/>
      <c r="Z99" s="28"/>
      <c r="AA99" s="28"/>
    </row>
    <row r="100">
      <c r="A100" s="270" t="s">
        <v>1248</v>
      </c>
      <c r="B100" s="28" t="s">
        <v>36</v>
      </c>
      <c r="C100" s="28" t="s">
        <v>474</v>
      </c>
      <c r="D100" s="28" t="s">
        <v>44</v>
      </c>
      <c r="E100" s="28" t="s">
        <v>44</v>
      </c>
      <c r="F100" s="28" t="s">
        <v>205</v>
      </c>
      <c r="G100" s="28" t="s">
        <v>47</v>
      </c>
      <c r="H100" s="28" t="s">
        <v>48</v>
      </c>
      <c r="I100" s="28" t="s">
        <v>49</v>
      </c>
      <c r="J100" s="28" t="s">
        <v>396</v>
      </c>
      <c r="K100" s="28" t="s">
        <v>51</v>
      </c>
      <c r="L100" s="28" t="s">
        <v>52</v>
      </c>
      <c r="M100" s="28" t="s">
        <v>52</v>
      </c>
      <c r="N100" s="28" t="s">
        <v>476</v>
      </c>
      <c r="O100" s="28" t="s">
        <v>44</v>
      </c>
      <c r="P100" s="28" t="s">
        <v>477</v>
      </c>
      <c r="Q100" s="28" t="s">
        <v>478</v>
      </c>
      <c r="R100" s="28" t="s">
        <v>44</v>
      </c>
      <c r="S100" s="28" t="s">
        <v>44</v>
      </c>
      <c r="T100" s="28" t="s">
        <v>44</v>
      </c>
      <c r="U100" s="28" t="s">
        <v>44</v>
      </c>
      <c r="V100" s="28" t="s">
        <v>1251</v>
      </c>
      <c r="W100" s="28" t="s">
        <v>774</v>
      </c>
      <c r="X100" s="28"/>
      <c r="Y100" s="28"/>
      <c r="Z100" s="28"/>
      <c r="AA100" s="28"/>
    </row>
    <row r="101">
      <c r="A101" s="270" t="s">
        <v>1253</v>
      </c>
      <c r="B101" s="28" t="s">
        <v>36</v>
      </c>
      <c r="C101" s="28" t="s">
        <v>484</v>
      </c>
      <c r="D101" s="28" t="s">
        <v>44</v>
      </c>
      <c r="E101" s="28" t="s">
        <v>44</v>
      </c>
      <c r="F101" s="28" t="s">
        <v>205</v>
      </c>
      <c r="G101" s="28" t="s">
        <v>47</v>
      </c>
      <c r="H101" s="28" t="s">
        <v>48</v>
      </c>
      <c r="I101" s="28" t="s">
        <v>49</v>
      </c>
      <c r="J101" s="28" t="s">
        <v>396</v>
      </c>
      <c r="K101" s="28" t="s">
        <v>51</v>
      </c>
      <c r="L101" s="28" t="s">
        <v>52</v>
      </c>
      <c r="M101" s="28" t="s">
        <v>52</v>
      </c>
      <c r="N101" s="28" t="s">
        <v>488</v>
      </c>
      <c r="O101" s="28" t="s">
        <v>44</v>
      </c>
      <c r="P101" s="28" t="s">
        <v>489</v>
      </c>
      <c r="Q101" s="28" t="s">
        <v>490</v>
      </c>
      <c r="R101" s="28" t="s">
        <v>44</v>
      </c>
      <c r="S101" s="28" t="s">
        <v>44</v>
      </c>
      <c r="T101" s="28" t="s">
        <v>44</v>
      </c>
      <c r="U101" s="28" t="s">
        <v>44</v>
      </c>
      <c r="V101" s="28" t="s">
        <v>1257</v>
      </c>
      <c r="W101" s="28" t="s">
        <v>774</v>
      </c>
      <c r="X101" s="28"/>
      <c r="Y101" s="28"/>
      <c r="Z101" s="28"/>
      <c r="AA101" s="28"/>
    </row>
    <row r="102">
      <c r="A102" s="270" t="s">
        <v>1258</v>
      </c>
      <c r="B102" s="28" t="s">
        <v>36</v>
      </c>
      <c r="C102" s="28" t="s">
        <v>494</v>
      </c>
      <c r="D102" s="28" t="s">
        <v>44</v>
      </c>
      <c r="E102" s="28" t="s">
        <v>44</v>
      </c>
      <c r="F102" s="28" t="s">
        <v>205</v>
      </c>
      <c r="G102" s="28" t="s">
        <v>47</v>
      </c>
      <c r="H102" s="28" t="s">
        <v>48</v>
      </c>
      <c r="I102" s="28" t="s">
        <v>49</v>
      </c>
      <c r="J102" s="28" t="s">
        <v>396</v>
      </c>
      <c r="K102" s="28" t="s">
        <v>51</v>
      </c>
      <c r="L102" s="28" t="s">
        <v>52</v>
      </c>
      <c r="M102" s="28" t="s">
        <v>52</v>
      </c>
      <c r="N102" s="28" t="s">
        <v>468</v>
      </c>
      <c r="O102" s="28" t="s">
        <v>44</v>
      </c>
      <c r="P102" s="28" t="s">
        <v>496</v>
      </c>
      <c r="Q102" s="28" t="s">
        <v>497</v>
      </c>
      <c r="R102" s="28" t="s">
        <v>44</v>
      </c>
      <c r="S102" s="28" t="s">
        <v>44</v>
      </c>
      <c r="T102" s="28" t="s">
        <v>44</v>
      </c>
      <c r="U102" s="28" t="s">
        <v>44</v>
      </c>
      <c r="V102" s="28" t="s">
        <v>1259</v>
      </c>
      <c r="W102" s="28" t="s">
        <v>774</v>
      </c>
      <c r="X102" s="28"/>
      <c r="Y102" s="28"/>
      <c r="Z102" s="28"/>
      <c r="AA102" s="28"/>
    </row>
    <row r="103">
      <c r="A103" s="270" t="s">
        <v>1260</v>
      </c>
      <c r="B103" s="28" t="s">
        <v>36</v>
      </c>
      <c r="C103" s="28" t="s">
        <v>499</v>
      </c>
      <c r="D103" s="28" t="s">
        <v>44</v>
      </c>
      <c r="E103" s="28" t="s">
        <v>44</v>
      </c>
      <c r="F103" s="28" t="s">
        <v>205</v>
      </c>
      <c r="G103" s="28" t="s">
        <v>47</v>
      </c>
      <c r="H103" s="28" t="s">
        <v>48</v>
      </c>
      <c r="I103" s="28" t="s">
        <v>49</v>
      </c>
      <c r="J103" s="28" t="s">
        <v>396</v>
      </c>
      <c r="K103" s="28" t="s">
        <v>51</v>
      </c>
      <c r="L103" s="28" t="s">
        <v>52</v>
      </c>
      <c r="M103" s="28" t="s">
        <v>52</v>
      </c>
      <c r="N103" s="28" t="s">
        <v>488</v>
      </c>
      <c r="O103" s="28" t="s">
        <v>44</v>
      </c>
      <c r="P103" s="28" t="s">
        <v>502</v>
      </c>
      <c r="Q103" s="28" t="s">
        <v>503</v>
      </c>
      <c r="R103" s="28" t="s">
        <v>44</v>
      </c>
      <c r="S103" s="28" t="s">
        <v>44</v>
      </c>
      <c r="T103" s="28" t="s">
        <v>44</v>
      </c>
      <c r="U103" s="28" t="s">
        <v>44</v>
      </c>
      <c r="V103" s="28" t="s">
        <v>1263</v>
      </c>
      <c r="W103" s="28" t="s">
        <v>774</v>
      </c>
      <c r="X103" s="28"/>
      <c r="Y103" s="28"/>
      <c r="Z103" s="28"/>
      <c r="AA103" s="28"/>
    </row>
    <row r="104">
      <c r="A104" s="270" t="s">
        <v>1264</v>
      </c>
      <c r="B104" s="28" t="s">
        <v>36</v>
      </c>
      <c r="C104" s="28" t="s">
        <v>508</v>
      </c>
      <c r="D104" s="28" t="s">
        <v>44</v>
      </c>
      <c r="E104" s="28" t="s">
        <v>44</v>
      </c>
      <c r="F104" s="28" t="s">
        <v>205</v>
      </c>
      <c r="G104" s="28" t="s">
        <v>111</v>
      </c>
      <c r="H104" s="28" t="s">
        <v>91</v>
      </c>
      <c r="I104" s="28" t="s">
        <v>49</v>
      </c>
      <c r="J104" s="28" t="s">
        <v>396</v>
      </c>
      <c r="K104" s="28" t="s">
        <v>51</v>
      </c>
      <c r="L104" s="28" t="s">
        <v>52</v>
      </c>
      <c r="M104" s="28" t="s">
        <v>52</v>
      </c>
      <c r="N104" s="28" t="s">
        <v>510</v>
      </c>
      <c r="O104" s="28" t="s">
        <v>44</v>
      </c>
      <c r="P104" s="28" t="s">
        <v>511</v>
      </c>
      <c r="Q104" s="28" t="s">
        <v>512</v>
      </c>
      <c r="R104" s="28" t="s">
        <v>44</v>
      </c>
      <c r="S104" s="28" t="s">
        <v>44</v>
      </c>
      <c r="T104" s="28" t="s">
        <v>44</v>
      </c>
      <c r="U104" s="28" t="s">
        <v>44</v>
      </c>
      <c r="V104" s="28" t="s">
        <v>1266</v>
      </c>
      <c r="W104" s="28" t="s">
        <v>774</v>
      </c>
      <c r="X104" s="28"/>
      <c r="Y104" s="28"/>
      <c r="Z104" s="28"/>
      <c r="AA104" s="28"/>
    </row>
    <row r="105">
      <c r="A105" s="270" t="s">
        <v>1268</v>
      </c>
      <c r="B105" s="28" t="s">
        <v>36</v>
      </c>
      <c r="C105" s="28" t="s">
        <v>513</v>
      </c>
      <c r="D105" s="28" t="s">
        <v>44</v>
      </c>
      <c r="E105" s="28" t="s">
        <v>44</v>
      </c>
      <c r="F105" s="28" t="s">
        <v>205</v>
      </c>
      <c r="G105" s="28" t="s">
        <v>47</v>
      </c>
      <c r="H105" s="28" t="s">
        <v>95</v>
      </c>
      <c r="I105" s="28" t="s">
        <v>49</v>
      </c>
      <c r="J105" s="28" t="s">
        <v>396</v>
      </c>
      <c r="K105" s="28" t="s">
        <v>51</v>
      </c>
      <c r="L105" s="28" t="s">
        <v>52</v>
      </c>
      <c r="M105" s="28" t="s">
        <v>52</v>
      </c>
      <c r="N105" s="28" t="s">
        <v>516</v>
      </c>
      <c r="O105" s="28" t="s">
        <v>44</v>
      </c>
      <c r="P105" s="28" t="s">
        <v>517</v>
      </c>
      <c r="Q105" s="28" t="s">
        <v>518</v>
      </c>
      <c r="R105" s="28" t="s">
        <v>44</v>
      </c>
      <c r="S105" s="28" t="s">
        <v>44</v>
      </c>
      <c r="T105" s="28" t="s">
        <v>44</v>
      </c>
      <c r="U105" s="28" t="s">
        <v>44</v>
      </c>
      <c r="V105" s="28" t="s">
        <v>1270</v>
      </c>
      <c r="W105" s="28" t="s">
        <v>1271</v>
      </c>
      <c r="X105" s="28"/>
      <c r="Y105" s="28"/>
      <c r="Z105" s="28"/>
      <c r="AA105" s="28"/>
    </row>
    <row r="106">
      <c r="A106" s="270" t="s">
        <v>1273</v>
      </c>
      <c r="B106" s="28" t="s">
        <v>36</v>
      </c>
      <c r="C106" s="28" t="s">
        <v>520</v>
      </c>
      <c r="D106" s="28" t="s">
        <v>44</v>
      </c>
      <c r="E106" s="28" t="s">
        <v>44</v>
      </c>
      <c r="F106" s="28" t="s">
        <v>205</v>
      </c>
      <c r="G106" s="28" t="s">
        <v>47</v>
      </c>
      <c r="H106" s="28" t="s">
        <v>48</v>
      </c>
      <c r="I106" s="28" t="s">
        <v>49</v>
      </c>
      <c r="J106" s="28" t="s">
        <v>396</v>
      </c>
      <c r="K106" s="28" t="s">
        <v>51</v>
      </c>
      <c r="L106" s="28" t="s">
        <v>52</v>
      </c>
      <c r="M106" s="28" t="s">
        <v>52</v>
      </c>
      <c r="N106" s="28" t="s">
        <v>522</v>
      </c>
      <c r="O106" s="28" t="s">
        <v>44</v>
      </c>
      <c r="P106" s="28" t="s">
        <v>523</v>
      </c>
      <c r="Q106" s="28" t="s">
        <v>524</v>
      </c>
      <c r="R106" s="28" t="s">
        <v>44</v>
      </c>
      <c r="S106" s="28" t="s">
        <v>44</v>
      </c>
      <c r="T106" s="28" t="s">
        <v>44</v>
      </c>
      <c r="U106" s="28" t="s">
        <v>44</v>
      </c>
      <c r="V106" s="28" t="s">
        <v>1275</v>
      </c>
      <c r="W106" s="28" t="s">
        <v>1276</v>
      </c>
      <c r="X106" s="28"/>
      <c r="Y106" s="28"/>
      <c r="Z106" s="28"/>
      <c r="AA106" s="28"/>
    </row>
    <row r="107">
      <c r="A107" s="270" t="s">
        <v>1278</v>
      </c>
      <c r="B107" s="28" t="s">
        <v>36</v>
      </c>
      <c r="C107" s="28" t="s">
        <v>526</v>
      </c>
      <c r="D107" s="28" t="s">
        <v>44</v>
      </c>
      <c r="E107" s="28" t="s">
        <v>44</v>
      </c>
      <c r="F107" s="28" t="s">
        <v>205</v>
      </c>
      <c r="G107" s="28" t="s">
        <v>47</v>
      </c>
      <c r="H107" s="28" t="s">
        <v>48</v>
      </c>
      <c r="I107" s="28" t="s">
        <v>49</v>
      </c>
      <c r="J107" s="28" t="s">
        <v>396</v>
      </c>
      <c r="K107" s="28" t="s">
        <v>51</v>
      </c>
      <c r="L107" s="28" t="s">
        <v>52</v>
      </c>
      <c r="M107" s="28" t="s">
        <v>52</v>
      </c>
      <c r="N107" s="28" t="s">
        <v>488</v>
      </c>
      <c r="O107" s="28" t="s">
        <v>44</v>
      </c>
      <c r="P107" s="28" t="s">
        <v>528</v>
      </c>
      <c r="Q107" s="28" t="s">
        <v>529</v>
      </c>
      <c r="R107" s="28" t="s">
        <v>44</v>
      </c>
      <c r="S107" s="28" t="s">
        <v>44</v>
      </c>
      <c r="T107" s="28" t="s">
        <v>44</v>
      </c>
      <c r="U107" s="28" t="s">
        <v>44</v>
      </c>
      <c r="V107" s="28" t="s">
        <v>1280</v>
      </c>
      <c r="W107" s="28" t="s">
        <v>774</v>
      </c>
      <c r="X107" s="28"/>
      <c r="Y107" s="28"/>
      <c r="Z107" s="28"/>
      <c r="AA107" s="28"/>
    </row>
    <row r="108">
      <c r="A108" s="270" t="s">
        <v>1282</v>
      </c>
      <c r="B108" s="28" t="s">
        <v>36</v>
      </c>
      <c r="C108" s="28" t="s">
        <v>531</v>
      </c>
      <c r="D108" s="28" t="s">
        <v>44</v>
      </c>
      <c r="E108" s="28" t="s">
        <v>44</v>
      </c>
      <c r="F108" s="28" t="s">
        <v>205</v>
      </c>
      <c r="G108" s="28" t="s">
        <v>47</v>
      </c>
      <c r="H108" s="28" t="s">
        <v>48</v>
      </c>
      <c r="I108" s="28" t="s">
        <v>49</v>
      </c>
      <c r="J108" s="28" t="s">
        <v>396</v>
      </c>
      <c r="K108" s="28" t="s">
        <v>51</v>
      </c>
      <c r="L108" s="28" t="s">
        <v>52</v>
      </c>
      <c r="M108" s="28" t="s">
        <v>52</v>
      </c>
      <c r="N108" s="28" t="s">
        <v>488</v>
      </c>
      <c r="O108" s="28" t="s">
        <v>44</v>
      </c>
      <c r="P108" s="28" t="s">
        <v>532</v>
      </c>
      <c r="Q108" s="28" t="s">
        <v>533</v>
      </c>
      <c r="R108" s="28" t="s">
        <v>44</v>
      </c>
      <c r="S108" s="28" t="s">
        <v>44</v>
      </c>
      <c r="T108" s="28" t="s">
        <v>44</v>
      </c>
      <c r="U108" s="28" t="s">
        <v>44</v>
      </c>
      <c r="V108" s="28" t="s">
        <v>1283</v>
      </c>
      <c r="W108" s="28" t="s">
        <v>774</v>
      </c>
      <c r="X108" s="28"/>
      <c r="Y108" s="28"/>
      <c r="Z108" s="28"/>
      <c r="AA108" s="28"/>
    </row>
    <row r="109">
      <c r="A109" s="270" t="s">
        <v>1284</v>
      </c>
      <c r="B109" s="28" t="s">
        <v>36</v>
      </c>
      <c r="C109" s="28" t="s">
        <v>534</v>
      </c>
      <c r="D109" s="28" t="s">
        <v>44</v>
      </c>
      <c r="E109" s="28" t="s">
        <v>44</v>
      </c>
      <c r="F109" s="28" t="s">
        <v>205</v>
      </c>
      <c r="G109" s="28" t="s">
        <v>47</v>
      </c>
      <c r="H109" s="28" t="s">
        <v>48</v>
      </c>
      <c r="I109" s="28" t="s">
        <v>49</v>
      </c>
      <c r="J109" s="28" t="s">
        <v>396</v>
      </c>
      <c r="K109" s="28" t="s">
        <v>51</v>
      </c>
      <c r="L109" s="28" t="s">
        <v>52</v>
      </c>
      <c r="M109" s="28" t="s">
        <v>52</v>
      </c>
      <c r="N109" s="28" t="s">
        <v>488</v>
      </c>
      <c r="O109" s="28" t="s">
        <v>44</v>
      </c>
      <c r="P109" s="28" t="s">
        <v>536</v>
      </c>
      <c r="Q109" s="28" t="s">
        <v>537</v>
      </c>
      <c r="R109" s="28" t="s">
        <v>44</v>
      </c>
      <c r="S109" s="28" t="s">
        <v>44</v>
      </c>
      <c r="T109" s="28" t="s">
        <v>44</v>
      </c>
      <c r="U109" s="28" t="s">
        <v>44</v>
      </c>
      <c r="V109" s="28" t="s">
        <v>1286</v>
      </c>
      <c r="W109" s="28" t="s">
        <v>1287</v>
      </c>
      <c r="X109" s="28"/>
      <c r="Y109" s="28"/>
      <c r="Z109" s="28"/>
      <c r="AA109" s="28"/>
    </row>
    <row r="110">
      <c r="A110" s="270" t="s">
        <v>1289</v>
      </c>
      <c r="B110" s="28" t="s">
        <v>36</v>
      </c>
      <c r="C110" s="28" t="s">
        <v>539</v>
      </c>
      <c r="D110" s="28" t="s">
        <v>44</v>
      </c>
      <c r="E110" s="28" t="s">
        <v>44</v>
      </c>
      <c r="F110" s="28" t="s">
        <v>205</v>
      </c>
      <c r="G110" s="28" t="s">
        <v>47</v>
      </c>
      <c r="H110" s="28" t="s">
        <v>48</v>
      </c>
      <c r="I110" s="28" t="s">
        <v>49</v>
      </c>
      <c r="J110" s="28" t="s">
        <v>396</v>
      </c>
      <c r="K110" s="28" t="s">
        <v>51</v>
      </c>
      <c r="L110" s="28" t="s">
        <v>52</v>
      </c>
      <c r="M110" s="28" t="s">
        <v>52</v>
      </c>
      <c r="N110" s="28" t="s">
        <v>540</v>
      </c>
      <c r="O110" s="28" t="s">
        <v>44</v>
      </c>
      <c r="P110" s="28" t="s">
        <v>541</v>
      </c>
      <c r="Q110" s="28" t="s">
        <v>542</v>
      </c>
      <c r="R110" s="28" t="s">
        <v>44</v>
      </c>
      <c r="S110" s="28" t="s">
        <v>44</v>
      </c>
      <c r="T110" s="28" t="s">
        <v>44</v>
      </c>
      <c r="U110" s="28" t="s">
        <v>44</v>
      </c>
      <c r="V110" s="28" t="s">
        <v>1291</v>
      </c>
      <c r="W110" s="28" t="s">
        <v>774</v>
      </c>
      <c r="X110" s="28"/>
      <c r="Y110" s="28"/>
      <c r="Z110" s="28"/>
      <c r="AA110" s="28"/>
    </row>
    <row r="111">
      <c r="A111" s="270" t="s">
        <v>1292</v>
      </c>
      <c r="B111" s="28" t="s">
        <v>36</v>
      </c>
      <c r="C111" s="28" t="s">
        <v>543</v>
      </c>
      <c r="D111" s="28" t="s">
        <v>44</v>
      </c>
      <c r="E111" s="28" t="s">
        <v>44</v>
      </c>
      <c r="F111" s="28" t="s">
        <v>205</v>
      </c>
      <c r="G111" s="28" t="s">
        <v>47</v>
      </c>
      <c r="H111" s="28" t="s">
        <v>48</v>
      </c>
      <c r="I111" s="28" t="s">
        <v>49</v>
      </c>
      <c r="J111" s="28" t="s">
        <v>396</v>
      </c>
      <c r="K111" s="28" t="s">
        <v>51</v>
      </c>
      <c r="L111" s="28" t="s">
        <v>52</v>
      </c>
      <c r="M111" s="28" t="s">
        <v>52</v>
      </c>
      <c r="N111" s="28" t="s">
        <v>544</v>
      </c>
      <c r="O111" s="28" t="s">
        <v>44</v>
      </c>
      <c r="P111" s="28" t="s">
        <v>545</v>
      </c>
      <c r="Q111" s="28" t="s">
        <v>546</v>
      </c>
      <c r="R111" s="28" t="s">
        <v>44</v>
      </c>
      <c r="S111" s="28" t="s">
        <v>44</v>
      </c>
      <c r="T111" s="28" t="s">
        <v>44</v>
      </c>
      <c r="U111" s="28" t="s">
        <v>44</v>
      </c>
      <c r="V111" s="28" t="s">
        <v>1293</v>
      </c>
      <c r="W111" s="28" t="s">
        <v>774</v>
      </c>
      <c r="X111" s="28"/>
      <c r="Y111" s="28"/>
      <c r="Z111" s="28"/>
      <c r="AA111" s="28"/>
    </row>
    <row r="112">
      <c r="A112" s="270" t="s">
        <v>1294</v>
      </c>
      <c r="B112" s="28" t="s">
        <v>36</v>
      </c>
      <c r="C112" s="28" t="s">
        <v>548</v>
      </c>
      <c r="D112" s="28" t="s">
        <v>44</v>
      </c>
      <c r="E112" s="28" t="s">
        <v>44</v>
      </c>
      <c r="F112" s="28" t="s">
        <v>205</v>
      </c>
      <c r="G112" s="28" t="s">
        <v>47</v>
      </c>
      <c r="H112" s="28" t="s">
        <v>48</v>
      </c>
      <c r="I112" s="28" t="s">
        <v>49</v>
      </c>
      <c r="J112" s="28" t="s">
        <v>396</v>
      </c>
      <c r="K112" s="28" t="s">
        <v>51</v>
      </c>
      <c r="L112" s="28" t="s">
        <v>52</v>
      </c>
      <c r="M112" s="28" t="s">
        <v>52</v>
      </c>
      <c r="N112" s="28" t="s">
        <v>549</v>
      </c>
      <c r="O112" s="28" t="s">
        <v>44</v>
      </c>
      <c r="P112" s="28" t="s">
        <v>551</v>
      </c>
      <c r="Q112" s="28" t="s">
        <v>552</v>
      </c>
      <c r="R112" s="28" t="s">
        <v>44</v>
      </c>
      <c r="S112" s="28" t="s">
        <v>44</v>
      </c>
      <c r="T112" s="28" t="s">
        <v>44</v>
      </c>
      <c r="U112" s="28" t="s">
        <v>44</v>
      </c>
      <c r="V112" s="28" t="s">
        <v>1295</v>
      </c>
      <c r="W112" s="28" t="s">
        <v>1296</v>
      </c>
      <c r="X112" s="28"/>
      <c r="Y112" s="28"/>
      <c r="Z112" s="28"/>
      <c r="AA112" s="28"/>
    </row>
    <row r="113">
      <c r="A113" s="270" t="s">
        <v>1297</v>
      </c>
      <c r="B113" s="28" t="s">
        <v>36</v>
      </c>
      <c r="C113" s="28" t="s">
        <v>554</v>
      </c>
      <c r="D113" s="28" t="s">
        <v>44</v>
      </c>
      <c r="E113" s="28" t="s">
        <v>44</v>
      </c>
      <c r="F113" s="28" t="s">
        <v>205</v>
      </c>
      <c r="G113" s="28" t="s">
        <v>47</v>
      </c>
      <c r="H113" s="28" t="s">
        <v>95</v>
      </c>
      <c r="I113" s="28" t="s">
        <v>49</v>
      </c>
      <c r="J113" s="28" t="s">
        <v>396</v>
      </c>
      <c r="K113" s="28" t="s">
        <v>51</v>
      </c>
      <c r="L113" s="28" t="s">
        <v>52</v>
      </c>
      <c r="M113" s="28" t="s">
        <v>52</v>
      </c>
      <c r="N113" s="28" t="s">
        <v>557</v>
      </c>
      <c r="O113" s="28" t="s">
        <v>44</v>
      </c>
      <c r="P113" s="28" t="s">
        <v>397</v>
      </c>
      <c r="Q113" s="28" t="s">
        <v>559</v>
      </c>
      <c r="R113" s="28" t="s">
        <v>44</v>
      </c>
      <c r="S113" s="28" t="s">
        <v>44</v>
      </c>
      <c r="T113" s="28" t="s">
        <v>44</v>
      </c>
      <c r="U113" s="28" t="s">
        <v>44</v>
      </c>
      <c r="V113" s="28" t="s">
        <v>1300</v>
      </c>
      <c r="W113" s="28" t="s">
        <v>1301</v>
      </c>
      <c r="X113" s="28"/>
      <c r="Y113" s="28"/>
      <c r="Z113" s="28"/>
      <c r="AA113" s="28"/>
    </row>
    <row r="114">
      <c r="A114" s="270" t="s">
        <v>1302</v>
      </c>
      <c r="B114" s="28" t="s">
        <v>36</v>
      </c>
      <c r="C114" s="28" t="s">
        <v>562</v>
      </c>
      <c r="D114" s="28" t="s">
        <v>44</v>
      </c>
      <c r="E114" s="28" t="s">
        <v>44</v>
      </c>
      <c r="F114" s="28" t="s">
        <v>205</v>
      </c>
      <c r="G114" s="28" t="s">
        <v>47</v>
      </c>
      <c r="H114" s="28" t="s">
        <v>48</v>
      </c>
      <c r="I114" s="28" t="s">
        <v>49</v>
      </c>
      <c r="J114" s="28" t="s">
        <v>396</v>
      </c>
      <c r="K114" s="28" t="s">
        <v>51</v>
      </c>
      <c r="L114" s="28" t="s">
        <v>52</v>
      </c>
      <c r="M114" s="28" t="s">
        <v>52</v>
      </c>
      <c r="N114" s="28" t="s">
        <v>468</v>
      </c>
      <c r="O114" s="28" t="s">
        <v>44</v>
      </c>
      <c r="P114" s="28" t="s">
        <v>566</v>
      </c>
      <c r="Q114" s="28" t="s">
        <v>567</v>
      </c>
      <c r="R114" s="28" t="s">
        <v>44</v>
      </c>
      <c r="S114" s="28" t="s">
        <v>44</v>
      </c>
      <c r="T114" s="28" t="s">
        <v>44</v>
      </c>
      <c r="U114" s="28" t="s">
        <v>44</v>
      </c>
      <c r="V114" s="28" t="s">
        <v>1305</v>
      </c>
      <c r="W114" s="28" t="s">
        <v>1306</v>
      </c>
      <c r="X114" s="28"/>
      <c r="Y114" s="28"/>
      <c r="Z114" s="28"/>
      <c r="AA114" s="28"/>
    </row>
    <row r="115">
      <c r="A115" s="270" t="s">
        <v>1307</v>
      </c>
      <c r="B115" s="28" t="s">
        <v>36</v>
      </c>
      <c r="C115" s="28" t="s">
        <v>569</v>
      </c>
      <c r="D115" s="28" t="s">
        <v>44</v>
      </c>
      <c r="E115" s="28" t="s">
        <v>44</v>
      </c>
      <c r="F115" s="28" t="s">
        <v>205</v>
      </c>
      <c r="G115" s="28" t="s">
        <v>47</v>
      </c>
      <c r="H115" s="28" t="s">
        <v>48</v>
      </c>
      <c r="I115" s="28" t="s">
        <v>49</v>
      </c>
      <c r="J115" s="28" t="s">
        <v>570</v>
      </c>
      <c r="K115" s="28" t="s">
        <v>51</v>
      </c>
      <c r="L115" s="28" t="s">
        <v>52</v>
      </c>
      <c r="M115" s="28" t="s">
        <v>52</v>
      </c>
      <c r="N115" s="28" t="s">
        <v>264</v>
      </c>
      <c r="O115" s="28" t="s">
        <v>44</v>
      </c>
      <c r="P115" s="28" t="s">
        <v>571</v>
      </c>
      <c r="Q115" s="28" t="s">
        <v>572</v>
      </c>
      <c r="R115" s="28" t="s">
        <v>44</v>
      </c>
      <c r="S115" s="28" t="s">
        <v>44</v>
      </c>
      <c r="T115" s="28" t="s">
        <v>44</v>
      </c>
      <c r="U115" s="28" t="s">
        <v>44</v>
      </c>
      <c r="V115" s="28" t="s">
        <v>1309</v>
      </c>
      <c r="W115" s="28" t="s">
        <v>774</v>
      </c>
      <c r="X115" s="28"/>
      <c r="Y115" s="28"/>
      <c r="Z115" s="28"/>
      <c r="AA115" s="28"/>
    </row>
    <row r="116">
      <c r="A116" s="270" t="s">
        <v>1310</v>
      </c>
      <c r="B116" s="28" t="s">
        <v>36</v>
      </c>
      <c r="C116" s="28" t="s">
        <v>574</v>
      </c>
      <c r="D116" s="28" t="s">
        <v>44</v>
      </c>
      <c r="E116" s="28" t="s">
        <v>44</v>
      </c>
      <c r="F116" s="28" t="s">
        <v>205</v>
      </c>
      <c r="G116" s="28" t="s">
        <v>47</v>
      </c>
      <c r="H116" s="28" t="s">
        <v>48</v>
      </c>
      <c r="I116" s="28" t="s">
        <v>49</v>
      </c>
      <c r="J116" s="28" t="s">
        <v>570</v>
      </c>
      <c r="K116" s="28" t="s">
        <v>51</v>
      </c>
      <c r="L116" s="28" t="s">
        <v>52</v>
      </c>
      <c r="M116" s="28" t="s">
        <v>52</v>
      </c>
      <c r="N116" s="28" t="s">
        <v>575</v>
      </c>
      <c r="O116" s="28" t="s">
        <v>44</v>
      </c>
      <c r="P116" s="28" t="s">
        <v>576</v>
      </c>
      <c r="Q116" s="28" t="s">
        <v>577</v>
      </c>
      <c r="R116" s="28" t="s">
        <v>44</v>
      </c>
      <c r="S116" s="28" t="s">
        <v>44</v>
      </c>
      <c r="T116" s="28" t="s">
        <v>44</v>
      </c>
      <c r="U116" s="28" t="s">
        <v>44</v>
      </c>
      <c r="V116" s="28" t="s">
        <v>1313</v>
      </c>
      <c r="W116" s="28" t="s">
        <v>774</v>
      </c>
      <c r="X116" s="28"/>
      <c r="Y116" s="28"/>
      <c r="Z116" s="28"/>
      <c r="AA116" s="28"/>
    </row>
    <row r="117">
      <c r="A117" s="270" t="s">
        <v>1314</v>
      </c>
      <c r="B117" s="28" t="s">
        <v>36</v>
      </c>
      <c r="C117" s="28" t="s">
        <v>579</v>
      </c>
      <c r="D117" s="28" t="s">
        <v>44</v>
      </c>
      <c r="E117" s="28" t="s">
        <v>44</v>
      </c>
      <c r="F117" s="28" t="s">
        <v>205</v>
      </c>
      <c r="G117" s="28" t="s">
        <v>47</v>
      </c>
      <c r="H117" s="28" t="s">
        <v>95</v>
      </c>
      <c r="I117" s="28" t="s">
        <v>49</v>
      </c>
      <c r="J117" s="28" t="s">
        <v>570</v>
      </c>
      <c r="K117" s="28" t="s">
        <v>51</v>
      </c>
      <c r="L117" s="28" t="s">
        <v>52</v>
      </c>
      <c r="M117" s="28" t="s">
        <v>52</v>
      </c>
      <c r="N117" s="28" t="s">
        <v>581</v>
      </c>
      <c r="O117" s="28" t="s">
        <v>44</v>
      </c>
      <c r="P117" s="28" t="s">
        <v>582</v>
      </c>
      <c r="Q117" s="28" t="s">
        <v>583</v>
      </c>
      <c r="R117" s="28" t="s">
        <v>44</v>
      </c>
      <c r="S117" s="28" t="s">
        <v>44</v>
      </c>
      <c r="T117" s="28" t="s">
        <v>44</v>
      </c>
      <c r="U117" s="28" t="s">
        <v>44</v>
      </c>
      <c r="V117" s="28" t="s">
        <v>1316</v>
      </c>
      <c r="W117" s="28" t="s">
        <v>774</v>
      </c>
      <c r="X117" s="28"/>
      <c r="Y117" s="28"/>
      <c r="Z117" s="28"/>
      <c r="AA117" s="28"/>
    </row>
    <row r="118">
      <c r="A118" s="270" t="s">
        <v>1317</v>
      </c>
      <c r="B118" s="28" t="s">
        <v>36</v>
      </c>
      <c r="C118" s="28" t="s">
        <v>585</v>
      </c>
      <c r="D118" s="28" t="s">
        <v>44</v>
      </c>
      <c r="E118" s="28" t="s">
        <v>44</v>
      </c>
      <c r="F118" s="28" t="s">
        <v>205</v>
      </c>
      <c r="G118" s="28" t="s">
        <v>47</v>
      </c>
      <c r="H118" s="28" t="s">
        <v>48</v>
      </c>
      <c r="I118" s="28" t="s">
        <v>49</v>
      </c>
      <c r="J118" s="28" t="s">
        <v>570</v>
      </c>
      <c r="K118" s="28" t="s">
        <v>51</v>
      </c>
      <c r="L118" s="28" t="s">
        <v>52</v>
      </c>
      <c r="M118" s="28" t="s">
        <v>52</v>
      </c>
      <c r="N118" s="28" t="s">
        <v>587</v>
      </c>
      <c r="O118" s="28" t="s">
        <v>44</v>
      </c>
      <c r="P118" s="28" t="s">
        <v>588</v>
      </c>
      <c r="Q118" s="28" t="s">
        <v>589</v>
      </c>
      <c r="R118" s="28" t="s">
        <v>44</v>
      </c>
      <c r="S118" s="28" t="s">
        <v>44</v>
      </c>
      <c r="T118" s="28" t="s">
        <v>44</v>
      </c>
      <c r="U118" s="28" t="s">
        <v>44</v>
      </c>
      <c r="V118" s="28" t="s">
        <v>1320</v>
      </c>
      <c r="W118" s="28" t="s">
        <v>1321</v>
      </c>
      <c r="X118" s="28"/>
      <c r="Y118" s="28"/>
      <c r="Z118" s="28"/>
      <c r="AA118" s="28"/>
    </row>
    <row r="119">
      <c r="A119" s="270" t="s">
        <v>1322</v>
      </c>
      <c r="B119" s="28" t="s">
        <v>36</v>
      </c>
      <c r="C119" s="28" t="s">
        <v>591</v>
      </c>
      <c r="D119" s="28" t="s">
        <v>44</v>
      </c>
      <c r="E119" s="28" t="s">
        <v>44</v>
      </c>
      <c r="F119" s="28" t="s">
        <v>205</v>
      </c>
      <c r="G119" s="28" t="s">
        <v>47</v>
      </c>
      <c r="H119" s="28" t="s">
        <v>48</v>
      </c>
      <c r="I119" s="28" t="s">
        <v>49</v>
      </c>
      <c r="J119" s="28" t="s">
        <v>570</v>
      </c>
      <c r="K119" s="28" t="s">
        <v>51</v>
      </c>
      <c r="L119" s="28" t="s">
        <v>52</v>
      </c>
      <c r="M119" s="28" t="s">
        <v>52</v>
      </c>
      <c r="N119" s="28" t="s">
        <v>593</v>
      </c>
      <c r="O119" s="28" t="s">
        <v>44</v>
      </c>
      <c r="P119" s="28" t="s">
        <v>594</v>
      </c>
      <c r="Q119" s="28" t="s">
        <v>595</v>
      </c>
      <c r="R119" s="28" t="s">
        <v>44</v>
      </c>
      <c r="S119" s="28" t="s">
        <v>44</v>
      </c>
      <c r="T119" s="28" t="s">
        <v>44</v>
      </c>
      <c r="U119" s="28" t="s">
        <v>44</v>
      </c>
      <c r="V119" s="28" t="s">
        <v>1324</v>
      </c>
      <c r="W119" s="28" t="s">
        <v>774</v>
      </c>
      <c r="X119" s="28"/>
      <c r="Y119" s="28"/>
      <c r="Z119" s="28"/>
      <c r="AA119" s="28"/>
    </row>
    <row r="120">
      <c r="A120" s="270" t="s">
        <v>1325</v>
      </c>
      <c r="B120" s="28" t="s">
        <v>36</v>
      </c>
      <c r="C120" s="28" t="s">
        <v>598</v>
      </c>
      <c r="D120" s="28" t="s">
        <v>44</v>
      </c>
      <c r="E120" s="28" t="s">
        <v>44</v>
      </c>
      <c r="F120" s="28" t="s">
        <v>205</v>
      </c>
      <c r="G120" s="28" t="s">
        <v>47</v>
      </c>
      <c r="H120" s="28" t="s">
        <v>48</v>
      </c>
      <c r="I120" s="28" t="s">
        <v>49</v>
      </c>
      <c r="J120" s="28" t="s">
        <v>570</v>
      </c>
      <c r="K120" s="28" t="s">
        <v>51</v>
      </c>
      <c r="L120" s="28" t="s">
        <v>52</v>
      </c>
      <c r="M120" s="28" t="s">
        <v>52</v>
      </c>
      <c r="N120" s="28" t="s">
        <v>600</v>
      </c>
      <c r="O120" s="28" t="s">
        <v>44</v>
      </c>
      <c r="P120" s="28" t="s">
        <v>602</v>
      </c>
      <c r="Q120" s="28" t="s">
        <v>603</v>
      </c>
      <c r="R120" s="28" t="s">
        <v>44</v>
      </c>
      <c r="S120" s="28" t="s">
        <v>44</v>
      </c>
      <c r="T120" s="28" t="s">
        <v>44</v>
      </c>
      <c r="U120" s="28" t="s">
        <v>44</v>
      </c>
      <c r="V120" s="28" t="s">
        <v>1328</v>
      </c>
      <c r="W120" s="28" t="s">
        <v>774</v>
      </c>
      <c r="X120" s="28"/>
      <c r="Y120" s="28"/>
      <c r="Z120" s="28"/>
      <c r="AA120" s="28"/>
    </row>
    <row r="121">
      <c r="A121" s="270" t="s">
        <v>1329</v>
      </c>
      <c r="B121" s="28" t="s">
        <v>36</v>
      </c>
      <c r="C121" s="28" t="s">
        <v>604</v>
      </c>
      <c r="D121" s="28" t="s">
        <v>44</v>
      </c>
      <c r="E121" s="28" t="s">
        <v>44</v>
      </c>
      <c r="F121" s="28" t="s">
        <v>205</v>
      </c>
      <c r="G121" s="28" t="s">
        <v>47</v>
      </c>
      <c r="H121" s="28" t="s">
        <v>91</v>
      </c>
      <c r="I121" s="28" t="s">
        <v>49</v>
      </c>
      <c r="J121" s="28" t="s">
        <v>570</v>
      </c>
      <c r="K121" s="28" t="s">
        <v>51</v>
      </c>
      <c r="L121" s="28" t="s">
        <v>52</v>
      </c>
      <c r="M121" s="28" t="s">
        <v>52</v>
      </c>
      <c r="N121" s="28" t="s">
        <v>605</v>
      </c>
      <c r="O121" s="28" t="s">
        <v>44</v>
      </c>
      <c r="P121" s="28" t="s">
        <v>606</v>
      </c>
      <c r="Q121" s="28" t="s">
        <v>607</v>
      </c>
      <c r="R121" s="28" t="s">
        <v>44</v>
      </c>
      <c r="S121" s="28" t="s">
        <v>44</v>
      </c>
      <c r="T121" s="28" t="s">
        <v>44</v>
      </c>
      <c r="U121" s="28" t="s">
        <v>44</v>
      </c>
      <c r="V121" s="28" t="s">
        <v>1331</v>
      </c>
      <c r="W121" s="28" t="s">
        <v>774</v>
      </c>
      <c r="X121" s="28"/>
      <c r="Y121" s="28"/>
      <c r="Z121" s="28"/>
      <c r="AA121" s="28"/>
    </row>
    <row r="122">
      <c r="A122" s="270" t="s">
        <v>1333</v>
      </c>
      <c r="B122" s="28" t="s">
        <v>36</v>
      </c>
      <c r="C122" s="28" t="s">
        <v>608</v>
      </c>
      <c r="D122" s="28" t="s">
        <v>44</v>
      </c>
      <c r="E122" s="28" t="s">
        <v>44</v>
      </c>
      <c r="F122" s="28" t="s">
        <v>205</v>
      </c>
      <c r="G122" s="28" t="s">
        <v>47</v>
      </c>
      <c r="H122" s="28" t="s">
        <v>95</v>
      </c>
      <c r="I122" s="28" t="s">
        <v>49</v>
      </c>
      <c r="J122" s="28" t="s">
        <v>570</v>
      </c>
      <c r="K122" s="28" t="s">
        <v>51</v>
      </c>
      <c r="L122" s="28" t="s">
        <v>52</v>
      </c>
      <c r="M122" s="28" t="s">
        <v>52</v>
      </c>
      <c r="N122" s="28" t="s">
        <v>609</v>
      </c>
      <c r="O122" s="28" t="s">
        <v>44</v>
      </c>
      <c r="P122" s="28" t="s">
        <v>610</v>
      </c>
      <c r="Q122" s="28" t="s">
        <v>611</v>
      </c>
      <c r="R122" s="28" t="s">
        <v>44</v>
      </c>
      <c r="S122" s="28" t="s">
        <v>44</v>
      </c>
      <c r="T122" s="28" t="s">
        <v>44</v>
      </c>
      <c r="U122" s="28" t="s">
        <v>44</v>
      </c>
      <c r="V122" s="28" t="s">
        <v>1335</v>
      </c>
      <c r="W122" s="28" t="s">
        <v>774</v>
      </c>
      <c r="X122" s="28"/>
      <c r="Y122" s="28"/>
      <c r="Z122" s="28"/>
      <c r="AA122" s="28"/>
    </row>
    <row r="123">
      <c r="A123" s="270" t="s">
        <v>1337</v>
      </c>
      <c r="B123" s="28" t="s">
        <v>36</v>
      </c>
      <c r="C123" s="28" t="s">
        <v>612</v>
      </c>
      <c r="D123" s="28" t="s">
        <v>44</v>
      </c>
      <c r="E123" s="28" t="s">
        <v>44</v>
      </c>
      <c r="F123" s="28" t="s">
        <v>205</v>
      </c>
      <c r="G123" s="28" t="s">
        <v>47</v>
      </c>
      <c r="H123" s="28" t="s">
        <v>91</v>
      </c>
      <c r="I123" s="28" t="s">
        <v>49</v>
      </c>
      <c r="J123" s="28" t="s">
        <v>570</v>
      </c>
      <c r="K123" s="28" t="s">
        <v>51</v>
      </c>
      <c r="L123" s="28" t="s">
        <v>52</v>
      </c>
      <c r="M123" s="28" t="s">
        <v>52</v>
      </c>
      <c r="N123" s="28" t="s">
        <v>613</v>
      </c>
      <c r="O123" s="28" t="s">
        <v>44</v>
      </c>
      <c r="P123" s="28" t="s">
        <v>614</v>
      </c>
      <c r="Q123" s="28" t="s">
        <v>615</v>
      </c>
      <c r="R123" s="28" t="s">
        <v>44</v>
      </c>
      <c r="S123" s="28" t="s">
        <v>44</v>
      </c>
      <c r="T123" s="28" t="s">
        <v>44</v>
      </c>
      <c r="U123" s="28" t="s">
        <v>44</v>
      </c>
      <c r="V123" s="28" t="s">
        <v>1341</v>
      </c>
      <c r="W123" s="28" t="s">
        <v>774</v>
      </c>
      <c r="X123" s="28"/>
      <c r="Y123" s="28"/>
      <c r="Z123" s="28"/>
      <c r="AA123" s="28"/>
    </row>
    <row r="124">
      <c r="A124" s="270" t="s">
        <v>1342</v>
      </c>
      <c r="B124" s="28" t="s">
        <v>36</v>
      </c>
      <c r="C124" s="28" t="s">
        <v>616</v>
      </c>
      <c r="D124" s="28" t="s">
        <v>44</v>
      </c>
      <c r="E124" s="28" t="s">
        <v>44</v>
      </c>
      <c r="F124" s="28" t="s">
        <v>205</v>
      </c>
      <c r="G124" s="28" t="s">
        <v>47</v>
      </c>
      <c r="H124" s="28" t="s">
        <v>48</v>
      </c>
      <c r="I124" s="28" t="s">
        <v>49</v>
      </c>
      <c r="J124" s="28" t="s">
        <v>570</v>
      </c>
      <c r="K124" s="28" t="s">
        <v>51</v>
      </c>
      <c r="L124" s="28" t="s">
        <v>52</v>
      </c>
      <c r="M124" s="28" t="s">
        <v>52</v>
      </c>
      <c r="N124" s="28" t="s">
        <v>593</v>
      </c>
      <c r="O124" s="28" t="s">
        <v>44</v>
      </c>
      <c r="P124" s="28" t="s">
        <v>617</v>
      </c>
      <c r="Q124" s="28" t="s">
        <v>618</v>
      </c>
      <c r="R124" s="28" t="s">
        <v>44</v>
      </c>
      <c r="S124" s="28" t="s">
        <v>44</v>
      </c>
      <c r="T124" s="28" t="s">
        <v>44</v>
      </c>
      <c r="U124" s="28" t="s">
        <v>44</v>
      </c>
      <c r="V124" s="28" t="s">
        <v>1344</v>
      </c>
      <c r="W124" s="28" t="s">
        <v>774</v>
      </c>
      <c r="X124" s="28"/>
      <c r="Y124" s="28"/>
      <c r="Z124" s="28"/>
      <c r="AA124" s="28"/>
    </row>
    <row r="125">
      <c r="A125" s="270" t="s">
        <v>1345</v>
      </c>
      <c r="B125" s="28" t="s">
        <v>36</v>
      </c>
      <c r="C125" s="28" t="s">
        <v>619</v>
      </c>
      <c r="D125" s="28" t="s">
        <v>44</v>
      </c>
      <c r="E125" s="28" t="s">
        <v>44</v>
      </c>
      <c r="F125" s="28" t="s">
        <v>205</v>
      </c>
      <c r="G125" s="28" t="s">
        <v>111</v>
      </c>
      <c r="H125" s="28" t="s">
        <v>91</v>
      </c>
      <c r="I125" s="28" t="s">
        <v>49</v>
      </c>
      <c r="J125" s="28" t="s">
        <v>570</v>
      </c>
      <c r="K125" s="28" t="s">
        <v>51</v>
      </c>
      <c r="L125" s="28" t="s">
        <v>52</v>
      </c>
      <c r="M125" s="28" t="s">
        <v>52</v>
      </c>
      <c r="N125" s="28" t="s">
        <v>620</v>
      </c>
      <c r="O125" s="28" t="s">
        <v>44</v>
      </c>
      <c r="P125" s="28" t="s">
        <v>621</v>
      </c>
      <c r="Q125" s="28" t="s">
        <v>622</v>
      </c>
      <c r="R125" s="28" t="s">
        <v>44</v>
      </c>
      <c r="S125" s="28" t="s">
        <v>44</v>
      </c>
      <c r="T125" s="28" t="s">
        <v>44</v>
      </c>
      <c r="U125" s="28" t="s">
        <v>44</v>
      </c>
      <c r="V125" s="28" t="s">
        <v>1348</v>
      </c>
      <c r="W125" s="28" t="s">
        <v>774</v>
      </c>
      <c r="X125" s="28"/>
      <c r="Y125" s="28"/>
      <c r="Z125" s="28"/>
      <c r="AA125" s="28"/>
    </row>
    <row r="126">
      <c r="A126" s="270" t="s">
        <v>1349</v>
      </c>
      <c r="B126" s="28" t="s">
        <v>36</v>
      </c>
      <c r="C126" s="28" t="s">
        <v>623</v>
      </c>
      <c r="D126" s="28" t="s">
        <v>44</v>
      </c>
      <c r="E126" s="28" t="s">
        <v>44</v>
      </c>
      <c r="F126" s="28" t="s">
        <v>205</v>
      </c>
      <c r="G126" s="28" t="s">
        <v>197</v>
      </c>
      <c r="H126" s="28" t="s">
        <v>198</v>
      </c>
      <c r="I126" s="28" t="s">
        <v>49</v>
      </c>
      <c r="J126" s="28" t="s">
        <v>570</v>
      </c>
      <c r="K126" s="28" t="s">
        <v>51</v>
      </c>
      <c r="L126" s="28" t="s">
        <v>52</v>
      </c>
      <c r="M126" s="28" t="s">
        <v>52</v>
      </c>
      <c r="N126" s="28" t="s">
        <v>624</v>
      </c>
      <c r="O126" s="28" t="s">
        <v>44</v>
      </c>
      <c r="P126" s="28" t="s">
        <v>621</v>
      </c>
      <c r="Q126" s="28" t="s">
        <v>625</v>
      </c>
      <c r="R126" s="28" t="s">
        <v>44</v>
      </c>
      <c r="S126" s="28" t="s">
        <v>44</v>
      </c>
      <c r="T126" s="28" t="s">
        <v>44</v>
      </c>
      <c r="U126" s="28" t="s">
        <v>44</v>
      </c>
      <c r="V126" s="28" t="s">
        <v>1351</v>
      </c>
      <c r="W126" s="28" t="s">
        <v>774</v>
      </c>
      <c r="X126" s="28"/>
      <c r="Y126" s="28"/>
      <c r="Z126" s="28"/>
      <c r="AA126" s="28"/>
    </row>
    <row r="127">
      <c r="A127" s="270" t="s">
        <v>1353</v>
      </c>
      <c r="B127" s="28" t="s">
        <v>36</v>
      </c>
      <c r="C127" s="28" t="s">
        <v>626</v>
      </c>
      <c r="D127" s="28" t="s">
        <v>44</v>
      </c>
      <c r="E127" s="28" t="s">
        <v>44</v>
      </c>
      <c r="F127" s="28" t="s">
        <v>205</v>
      </c>
      <c r="G127" s="28" t="s">
        <v>47</v>
      </c>
      <c r="H127" s="28" t="s">
        <v>48</v>
      </c>
      <c r="I127" s="28" t="s">
        <v>49</v>
      </c>
      <c r="J127" s="28" t="s">
        <v>570</v>
      </c>
      <c r="K127" s="28" t="s">
        <v>51</v>
      </c>
      <c r="L127" s="28" t="s">
        <v>52</v>
      </c>
      <c r="M127" s="28" t="s">
        <v>52</v>
      </c>
      <c r="N127" s="28" t="s">
        <v>627</v>
      </c>
      <c r="O127" s="28" t="s">
        <v>44</v>
      </c>
      <c r="P127" s="28" t="s">
        <v>628</v>
      </c>
      <c r="Q127" s="28" t="s">
        <v>629</v>
      </c>
      <c r="R127" s="28" t="s">
        <v>44</v>
      </c>
      <c r="S127" s="28" t="s">
        <v>44</v>
      </c>
      <c r="T127" s="28" t="s">
        <v>44</v>
      </c>
      <c r="U127" s="28" t="s">
        <v>44</v>
      </c>
      <c r="V127" s="28" t="s">
        <v>1355</v>
      </c>
      <c r="W127" s="28" t="s">
        <v>1357</v>
      </c>
      <c r="X127" s="28"/>
      <c r="Y127" s="28"/>
      <c r="Z127" s="28"/>
      <c r="AA127" s="28"/>
    </row>
    <row r="128">
      <c r="A128" s="270" t="s">
        <v>1358</v>
      </c>
      <c r="B128" s="28" t="s">
        <v>36</v>
      </c>
      <c r="C128" s="28" t="s">
        <v>630</v>
      </c>
      <c r="D128" s="28" t="s">
        <v>44</v>
      </c>
      <c r="E128" s="28" t="s">
        <v>44</v>
      </c>
      <c r="F128" s="28" t="s">
        <v>205</v>
      </c>
      <c r="G128" s="28" t="s">
        <v>47</v>
      </c>
      <c r="H128" s="28" t="s">
        <v>48</v>
      </c>
      <c r="I128" s="28" t="s">
        <v>49</v>
      </c>
      <c r="J128" s="28" t="s">
        <v>570</v>
      </c>
      <c r="K128" s="28" t="s">
        <v>51</v>
      </c>
      <c r="L128" s="28" t="s">
        <v>52</v>
      </c>
      <c r="M128" s="28" t="s">
        <v>52</v>
      </c>
      <c r="N128" s="28" t="s">
        <v>593</v>
      </c>
      <c r="O128" s="28" t="s">
        <v>44</v>
      </c>
      <c r="P128" s="28" t="s">
        <v>631</v>
      </c>
      <c r="Q128" s="28" t="s">
        <v>632</v>
      </c>
      <c r="R128" s="28" t="s">
        <v>44</v>
      </c>
      <c r="S128" s="28" t="s">
        <v>44</v>
      </c>
      <c r="T128" s="28" t="s">
        <v>44</v>
      </c>
      <c r="U128" s="28" t="s">
        <v>44</v>
      </c>
      <c r="V128" s="28" t="s">
        <v>1361</v>
      </c>
      <c r="W128" s="28" t="s">
        <v>774</v>
      </c>
      <c r="X128" s="28"/>
      <c r="Y128" s="28"/>
      <c r="Z128" s="28"/>
      <c r="AA128" s="28"/>
    </row>
    <row r="129">
      <c r="A129" s="270" t="s">
        <v>1362</v>
      </c>
      <c r="B129" s="28" t="s">
        <v>36</v>
      </c>
      <c r="C129" s="28" t="s">
        <v>633</v>
      </c>
      <c r="D129" s="28" t="s">
        <v>44</v>
      </c>
      <c r="E129" s="28" t="s">
        <v>44</v>
      </c>
      <c r="F129" s="28" t="s">
        <v>205</v>
      </c>
      <c r="G129" s="28" t="s">
        <v>47</v>
      </c>
      <c r="H129" s="28" t="s">
        <v>48</v>
      </c>
      <c r="I129" s="28" t="s">
        <v>49</v>
      </c>
      <c r="J129" s="28" t="s">
        <v>570</v>
      </c>
      <c r="K129" s="28" t="s">
        <v>51</v>
      </c>
      <c r="L129" s="28" t="s">
        <v>52</v>
      </c>
      <c r="M129" s="28" t="s">
        <v>52</v>
      </c>
      <c r="N129" s="28" t="s">
        <v>593</v>
      </c>
      <c r="O129" s="28" t="s">
        <v>44</v>
      </c>
      <c r="P129" s="28" t="s">
        <v>634</v>
      </c>
      <c r="Q129" s="28" t="s">
        <v>635</v>
      </c>
      <c r="R129" s="28" t="s">
        <v>44</v>
      </c>
      <c r="S129" s="28" t="s">
        <v>44</v>
      </c>
      <c r="T129" s="28" t="s">
        <v>44</v>
      </c>
      <c r="U129" s="28" t="s">
        <v>44</v>
      </c>
      <c r="V129" s="28" t="s">
        <v>1364</v>
      </c>
      <c r="W129" s="28" t="s">
        <v>774</v>
      </c>
      <c r="X129" s="28"/>
      <c r="Y129" s="28"/>
      <c r="Z129" s="28"/>
      <c r="AA129" s="28"/>
    </row>
    <row r="130">
      <c r="A130" s="270" t="s">
        <v>1365</v>
      </c>
      <c r="B130" s="28" t="s">
        <v>36</v>
      </c>
      <c r="C130" s="28" t="s">
        <v>636</v>
      </c>
      <c r="D130" s="28" t="s">
        <v>44</v>
      </c>
      <c r="E130" s="28" t="s">
        <v>44</v>
      </c>
      <c r="F130" s="28" t="s">
        <v>205</v>
      </c>
      <c r="G130" s="28" t="s">
        <v>47</v>
      </c>
      <c r="H130" s="28" t="s">
        <v>48</v>
      </c>
      <c r="I130" s="28" t="s">
        <v>49</v>
      </c>
      <c r="J130" s="28" t="s">
        <v>570</v>
      </c>
      <c r="K130" s="28" t="s">
        <v>51</v>
      </c>
      <c r="L130" s="28" t="s">
        <v>52</v>
      </c>
      <c r="M130" s="28" t="s">
        <v>52</v>
      </c>
      <c r="N130" s="28" t="s">
        <v>637</v>
      </c>
      <c r="O130" s="28" t="s">
        <v>44</v>
      </c>
      <c r="P130" s="28" t="s">
        <v>638</v>
      </c>
      <c r="Q130" s="28" t="s">
        <v>639</v>
      </c>
      <c r="R130" s="28" t="s">
        <v>44</v>
      </c>
      <c r="S130" s="28" t="s">
        <v>44</v>
      </c>
      <c r="T130" s="28" t="s">
        <v>44</v>
      </c>
      <c r="U130" s="28" t="s">
        <v>44</v>
      </c>
      <c r="V130" s="28" t="s">
        <v>1369</v>
      </c>
      <c r="W130" s="28" t="s">
        <v>774</v>
      </c>
      <c r="X130" s="28"/>
      <c r="Y130" s="28"/>
      <c r="Z130" s="28"/>
      <c r="AA130" s="28"/>
    </row>
    <row r="131">
      <c r="A131" s="270" t="s">
        <v>1370</v>
      </c>
      <c r="B131" s="28" t="s">
        <v>36</v>
      </c>
      <c r="C131" s="28" t="s">
        <v>640</v>
      </c>
      <c r="D131" s="28" t="s">
        <v>44</v>
      </c>
      <c r="E131" s="28" t="s">
        <v>44</v>
      </c>
      <c r="F131" s="28" t="s">
        <v>205</v>
      </c>
      <c r="G131" s="28" t="s">
        <v>47</v>
      </c>
      <c r="H131" s="28" t="s">
        <v>48</v>
      </c>
      <c r="I131" s="28" t="s">
        <v>49</v>
      </c>
      <c r="J131" s="28" t="s">
        <v>570</v>
      </c>
      <c r="K131" s="28" t="s">
        <v>51</v>
      </c>
      <c r="L131" s="28" t="s">
        <v>52</v>
      </c>
      <c r="M131" s="28" t="s">
        <v>52</v>
      </c>
      <c r="N131" s="28" t="s">
        <v>637</v>
      </c>
      <c r="O131" s="28" t="s">
        <v>44</v>
      </c>
      <c r="P131" s="28" t="s">
        <v>641</v>
      </c>
      <c r="Q131" s="28" t="s">
        <v>642</v>
      </c>
      <c r="R131" s="28" t="s">
        <v>44</v>
      </c>
      <c r="S131" s="28" t="s">
        <v>44</v>
      </c>
      <c r="T131" s="28" t="s">
        <v>44</v>
      </c>
      <c r="U131" s="28" t="s">
        <v>44</v>
      </c>
      <c r="V131" s="28" t="s">
        <v>1372</v>
      </c>
      <c r="W131" s="28" t="s">
        <v>774</v>
      </c>
      <c r="X131" s="28"/>
      <c r="Y131" s="28"/>
      <c r="Z131" s="28"/>
      <c r="AA131" s="28"/>
    </row>
    <row r="132">
      <c r="A132" s="270" t="s">
        <v>1374</v>
      </c>
      <c r="B132" s="28" t="s">
        <v>36</v>
      </c>
      <c r="C132" s="28" t="s">
        <v>643</v>
      </c>
      <c r="D132" s="28" t="s">
        <v>44</v>
      </c>
      <c r="E132" s="28" t="s">
        <v>44</v>
      </c>
      <c r="F132" s="28" t="s">
        <v>205</v>
      </c>
      <c r="G132" s="28" t="s">
        <v>47</v>
      </c>
      <c r="H132" s="28" t="s">
        <v>48</v>
      </c>
      <c r="I132" s="28" t="s">
        <v>49</v>
      </c>
      <c r="J132" s="28" t="s">
        <v>570</v>
      </c>
      <c r="K132" s="28" t="s">
        <v>51</v>
      </c>
      <c r="L132" s="28" t="s">
        <v>52</v>
      </c>
      <c r="M132" s="28" t="s">
        <v>52</v>
      </c>
      <c r="N132" s="28" t="s">
        <v>593</v>
      </c>
      <c r="O132" s="28" t="s">
        <v>44</v>
      </c>
      <c r="P132" s="28" t="s">
        <v>644</v>
      </c>
      <c r="Q132" s="28" t="s">
        <v>645</v>
      </c>
      <c r="R132" s="28" t="s">
        <v>44</v>
      </c>
      <c r="S132" s="28" t="s">
        <v>44</v>
      </c>
      <c r="T132" s="28" t="s">
        <v>44</v>
      </c>
      <c r="U132" s="28" t="s">
        <v>44</v>
      </c>
      <c r="V132" s="28" t="s">
        <v>1376</v>
      </c>
      <c r="W132" s="28" t="s">
        <v>774</v>
      </c>
      <c r="X132" s="28"/>
      <c r="Y132" s="28"/>
      <c r="Z132" s="28"/>
      <c r="AA132" s="28"/>
    </row>
    <row r="133">
      <c r="A133" s="270" t="s">
        <v>1377</v>
      </c>
      <c r="B133" s="28" t="s">
        <v>36</v>
      </c>
      <c r="C133" s="28" t="s">
        <v>646</v>
      </c>
      <c r="D133" s="28" t="s">
        <v>44</v>
      </c>
      <c r="E133" s="28" t="s">
        <v>44</v>
      </c>
      <c r="F133" s="28" t="s">
        <v>205</v>
      </c>
      <c r="G133" s="28" t="s">
        <v>47</v>
      </c>
      <c r="H133" s="28" t="s">
        <v>95</v>
      </c>
      <c r="I133" s="28" t="s">
        <v>49</v>
      </c>
      <c r="J133" s="28" t="s">
        <v>570</v>
      </c>
      <c r="K133" s="28" t="s">
        <v>51</v>
      </c>
      <c r="L133" s="28" t="s">
        <v>52</v>
      </c>
      <c r="M133" s="28" t="s">
        <v>52</v>
      </c>
      <c r="N133" s="28" t="s">
        <v>647</v>
      </c>
      <c r="O133" s="28" t="s">
        <v>44</v>
      </c>
      <c r="P133" s="28" t="s">
        <v>648</v>
      </c>
      <c r="Q133" s="28" t="s">
        <v>649</v>
      </c>
      <c r="R133" s="28" t="s">
        <v>44</v>
      </c>
      <c r="S133" s="28" t="s">
        <v>44</v>
      </c>
      <c r="T133" s="28" t="s">
        <v>44</v>
      </c>
      <c r="U133" s="28" t="s">
        <v>44</v>
      </c>
      <c r="V133" s="28" t="s">
        <v>1383</v>
      </c>
      <c r="W133" s="28" t="s">
        <v>1384</v>
      </c>
      <c r="X133" s="28"/>
      <c r="Y133" s="28"/>
      <c r="Z133" s="28"/>
      <c r="AA133" s="28"/>
    </row>
    <row r="134">
      <c r="A134" s="270" t="s">
        <v>1385</v>
      </c>
      <c r="B134" s="28" t="s">
        <v>36</v>
      </c>
      <c r="C134" s="28" t="s">
        <v>650</v>
      </c>
      <c r="D134" s="28" t="s">
        <v>44</v>
      </c>
      <c r="E134" s="28" t="s">
        <v>44</v>
      </c>
      <c r="F134" s="28" t="s">
        <v>205</v>
      </c>
      <c r="G134" s="28" t="s">
        <v>47</v>
      </c>
      <c r="H134" s="28" t="s">
        <v>48</v>
      </c>
      <c r="I134" s="28" t="s">
        <v>49</v>
      </c>
      <c r="J134" s="28" t="s">
        <v>570</v>
      </c>
      <c r="K134" s="28" t="s">
        <v>51</v>
      </c>
      <c r="L134" s="28" t="s">
        <v>52</v>
      </c>
      <c r="M134" s="28" t="s">
        <v>52</v>
      </c>
      <c r="N134" s="28" t="s">
        <v>651</v>
      </c>
      <c r="O134" s="28" t="s">
        <v>44</v>
      </c>
      <c r="P134" s="28" t="s">
        <v>652</v>
      </c>
      <c r="Q134" s="28" t="s">
        <v>653</v>
      </c>
      <c r="R134" s="28" t="s">
        <v>44</v>
      </c>
      <c r="S134" s="28" t="s">
        <v>44</v>
      </c>
      <c r="T134" s="28" t="s">
        <v>44</v>
      </c>
      <c r="U134" s="28" t="s">
        <v>44</v>
      </c>
      <c r="V134" s="28" t="s">
        <v>1389</v>
      </c>
      <c r="W134" s="28" t="s">
        <v>774</v>
      </c>
      <c r="X134" s="28"/>
      <c r="Y134" s="28"/>
      <c r="Z134" s="28"/>
      <c r="AA134" s="28"/>
    </row>
    <row r="135">
      <c r="A135" s="270" t="s">
        <v>1390</v>
      </c>
      <c r="B135" s="28" t="s">
        <v>36</v>
      </c>
      <c r="C135" s="28" t="s">
        <v>654</v>
      </c>
      <c r="D135" s="28" t="s">
        <v>44</v>
      </c>
      <c r="E135" s="28" t="s">
        <v>44</v>
      </c>
      <c r="F135" s="28" t="s">
        <v>205</v>
      </c>
      <c r="G135" s="28" t="s">
        <v>47</v>
      </c>
      <c r="H135" s="28" t="s">
        <v>48</v>
      </c>
      <c r="I135" s="28" t="s">
        <v>49</v>
      </c>
      <c r="J135" s="28" t="s">
        <v>570</v>
      </c>
      <c r="K135" s="28" t="s">
        <v>51</v>
      </c>
      <c r="L135" s="28" t="s">
        <v>52</v>
      </c>
      <c r="M135" s="28" t="s">
        <v>52</v>
      </c>
      <c r="N135" s="28" t="s">
        <v>655</v>
      </c>
      <c r="O135" s="28" t="s">
        <v>44</v>
      </c>
      <c r="P135" s="28" t="s">
        <v>656</v>
      </c>
      <c r="Q135" s="28" t="s">
        <v>657</v>
      </c>
      <c r="R135" s="28" t="s">
        <v>44</v>
      </c>
      <c r="S135" s="28" t="s">
        <v>44</v>
      </c>
      <c r="T135" s="28" t="s">
        <v>44</v>
      </c>
      <c r="U135" s="28" t="s">
        <v>44</v>
      </c>
      <c r="V135" s="28" t="s">
        <v>1394</v>
      </c>
      <c r="W135" s="28" t="s">
        <v>774</v>
      </c>
      <c r="X135" s="28"/>
      <c r="Y135" s="28"/>
      <c r="Z135" s="28"/>
      <c r="AA135" s="28"/>
    </row>
    <row r="136">
      <c r="A136" s="270" t="s">
        <v>1395</v>
      </c>
      <c r="B136" s="28" t="s">
        <v>36</v>
      </c>
      <c r="C136" s="28" t="s">
        <v>658</v>
      </c>
      <c r="D136" s="28" t="s">
        <v>44</v>
      </c>
      <c r="E136" s="28" t="s">
        <v>44</v>
      </c>
      <c r="F136" s="28" t="s">
        <v>205</v>
      </c>
      <c r="G136" s="28" t="s">
        <v>47</v>
      </c>
      <c r="H136" s="28" t="s">
        <v>48</v>
      </c>
      <c r="I136" s="28" t="s">
        <v>49</v>
      </c>
      <c r="J136" s="28" t="s">
        <v>570</v>
      </c>
      <c r="K136" s="28" t="s">
        <v>51</v>
      </c>
      <c r="L136" s="28" t="s">
        <v>52</v>
      </c>
      <c r="M136" s="28" t="s">
        <v>52</v>
      </c>
      <c r="N136" s="28" t="s">
        <v>659</v>
      </c>
      <c r="O136" s="28" t="s">
        <v>44</v>
      </c>
      <c r="P136" s="28" t="s">
        <v>656</v>
      </c>
      <c r="Q136" s="28" t="s">
        <v>660</v>
      </c>
      <c r="R136" s="28" t="s">
        <v>44</v>
      </c>
      <c r="S136" s="28" t="s">
        <v>44</v>
      </c>
      <c r="T136" s="28" t="s">
        <v>44</v>
      </c>
      <c r="U136" s="28" t="s">
        <v>44</v>
      </c>
      <c r="V136" s="28" t="s">
        <v>1397</v>
      </c>
      <c r="W136" s="28" t="s">
        <v>774</v>
      </c>
      <c r="X136" s="28"/>
      <c r="Y136" s="28"/>
      <c r="Z136" s="28"/>
      <c r="AA136" s="28"/>
    </row>
    <row r="137">
      <c r="A137" s="270" t="s">
        <v>1398</v>
      </c>
      <c r="B137" s="28" t="s">
        <v>36</v>
      </c>
      <c r="C137" s="28" t="s">
        <v>661</v>
      </c>
      <c r="D137" s="28" t="s">
        <v>44</v>
      </c>
      <c r="E137" s="28" t="s">
        <v>44</v>
      </c>
      <c r="F137" s="28" t="s">
        <v>205</v>
      </c>
      <c r="G137" s="28" t="s">
        <v>47</v>
      </c>
      <c r="H137" s="28" t="s">
        <v>48</v>
      </c>
      <c r="I137" s="28" t="s">
        <v>49</v>
      </c>
      <c r="J137" s="28" t="s">
        <v>570</v>
      </c>
      <c r="K137" s="28" t="s">
        <v>51</v>
      </c>
      <c r="L137" s="28" t="s">
        <v>52</v>
      </c>
      <c r="M137" s="28" t="s">
        <v>52</v>
      </c>
      <c r="N137" s="28" t="s">
        <v>593</v>
      </c>
      <c r="O137" s="28" t="s">
        <v>44</v>
      </c>
      <c r="P137" s="28" t="s">
        <v>662</v>
      </c>
      <c r="Q137" s="28" t="s">
        <v>663</v>
      </c>
      <c r="R137" s="28" t="s">
        <v>44</v>
      </c>
      <c r="S137" s="28" t="s">
        <v>44</v>
      </c>
      <c r="T137" s="28" t="s">
        <v>44</v>
      </c>
      <c r="U137" s="28" t="s">
        <v>44</v>
      </c>
      <c r="V137" s="28" t="s">
        <v>1401</v>
      </c>
      <c r="W137" s="28" t="s">
        <v>774</v>
      </c>
      <c r="X137" s="28"/>
      <c r="Y137" s="28"/>
      <c r="Z137" s="28"/>
      <c r="AA137" s="28"/>
    </row>
    <row r="138">
      <c r="A138" s="270" t="s">
        <v>1402</v>
      </c>
      <c r="B138" s="28" t="s">
        <v>36</v>
      </c>
      <c r="C138" s="28" t="s">
        <v>664</v>
      </c>
      <c r="D138" s="28" t="s">
        <v>44</v>
      </c>
      <c r="E138" s="28" t="s">
        <v>44</v>
      </c>
      <c r="F138" s="28" t="s">
        <v>205</v>
      </c>
      <c r="G138" s="28" t="s">
        <v>47</v>
      </c>
      <c r="H138" s="28" t="s">
        <v>48</v>
      </c>
      <c r="I138" s="28" t="s">
        <v>49</v>
      </c>
      <c r="J138" s="28" t="s">
        <v>570</v>
      </c>
      <c r="K138" s="28" t="s">
        <v>51</v>
      </c>
      <c r="L138" s="28" t="s">
        <v>52</v>
      </c>
      <c r="M138" s="28" t="s">
        <v>52</v>
      </c>
      <c r="N138" s="28" t="s">
        <v>593</v>
      </c>
      <c r="O138" s="28" t="s">
        <v>44</v>
      </c>
      <c r="P138" s="28" t="s">
        <v>665</v>
      </c>
      <c r="Q138" s="28" t="s">
        <v>666</v>
      </c>
      <c r="R138" s="28" t="s">
        <v>44</v>
      </c>
      <c r="S138" s="28" t="s">
        <v>44</v>
      </c>
      <c r="T138" s="28" t="s">
        <v>44</v>
      </c>
      <c r="U138" s="28" t="s">
        <v>44</v>
      </c>
      <c r="V138" s="28" t="s">
        <v>1404</v>
      </c>
      <c r="W138" s="28" t="s">
        <v>774</v>
      </c>
      <c r="X138" s="28"/>
      <c r="Y138" s="28"/>
      <c r="Z138" s="28"/>
      <c r="AA138" s="28"/>
    </row>
    <row r="139">
      <c r="A139" s="270" t="s">
        <v>1405</v>
      </c>
      <c r="B139" s="28" t="s">
        <v>36</v>
      </c>
      <c r="C139" s="28" t="s">
        <v>667</v>
      </c>
      <c r="D139" s="28" t="s">
        <v>44</v>
      </c>
      <c r="E139" s="28" t="s">
        <v>44</v>
      </c>
      <c r="F139" s="28" t="s">
        <v>205</v>
      </c>
      <c r="G139" s="28" t="s">
        <v>47</v>
      </c>
      <c r="H139" s="28" t="s">
        <v>48</v>
      </c>
      <c r="I139" s="28" t="s">
        <v>49</v>
      </c>
      <c r="J139" s="28" t="s">
        <v>570</v>
      </c>
      <c r="K139" s="28" t="s">
        <v>51</v>
      </c>
      <c r="L139" s="28" t="s">
        <v>52</v>
      </c>
      <c r="M139" s="28" t="s">
        <v>52</v>
      </c>
      <c r="N139" s="28" t="s">
        <v>600</v>
      </c>
      <c r="O139" s="28" t="s">
        <v>44</v>
      </c>
      <c r="P139" s="28" t="s">
        <v>668</v>
      </c>
      <c r="Q139" s="28" t="s">
        <v>669</v>
      </c>
      <c r="R139" s="28" t="s">
        <v>44</v>
      </c>
      <c r="S139" s="28" t="s">
        <v>44</v>
      </c>
      <c r="T139" s="28" t="s">
        <v>44</v>
      </c>
      <c r="U139" s="28" t="s">
        <v>44</v>
      </c>
      <c r="V139" s="28" t="s">
        <v>1408</v>
      </c>
      <c r="W139" s="28" t="s">
        <v>774</v>
      </c>
      <c r="X139" s="28"/>
      <c r="Y139" s="28"/>
      <c r="Z139" s="28"/>
      <c r="AA139" s="28"/>
    </row>
    <row r="140">
      <c r="A140" s="270" t="s">
        <v>1409</v>
      </c>
      <c r="B140" s="28" t="s">
        <v>36</v>
      </c>
      <c r="C140" s="28" t="s">
        <v>670</v>
      </c>
      <c r="D140" s="28" t="s">
        <v>44</v>
      </c>
      <c r="E140" s="28" t="s">
        <v>44</v>
      </c>
      <c r="F140" s="28" t="s">
        <v>205</v>
      </c>
      <c r="G140" s="28" t="s">
        <v>47</v>
      </c>
      <c r="H140" s="28" t="s">
        <v>91</v>
      </c>
      <c r="I140" s="28" t="s">
        <v>49</v>
      </c>
      <c r="J140" s="28" t="s">
        <v>570</v>
      </c>
      <c r="K140" s="28" t="s">
        <v>51</v>
      </c>
      <c r="L140" s="28" t="s">
        <v>52</v>
      </c>
      <c r="M140" s="28" t="s">
        <v>52</v>
      </c>
      <c r="N140" s="28" t="s">
        <v>671</v>
      </c>
      <c r="O140" s="28" t="s">
        <v>44</v>
      </c>
      <c r="P140" s="28" t="s">
        <v>672</v>
      </c>
      <c r="Q140" s="28" t="s">
        <v>673</v>
      </c>
      <c r="R140" s="28" t="s">
        <v>44</v>
      </c>
      <c r="S140" s="28" t="s">
        <v>44</v>
      </c>
      <c r="T140" s="28" t="s">
        <v>44</v>
      </c>
      <c r="U140" s="28" t="s">
        <v>44</v>
      </c>
      <c r="V140" s="28" t="s">
        <v>1411</v>
      </c>
      <c r="W140" s="28" t="s">
        <v>774</v>
      </c>
      <c r="X140" s="28"/>
      <c r="Y140" s="28"/>
      <c r="Z140" s="28"/>
      <c r="AA140" s="28"/>
    </row>
    <row r="141">
      <c r="A141" s="270" t="s">
        <v>1413</v>
      </c>
      <c r="B141" s="28" t="s">
        <v>36</v>
      </c>
      <c r="C141" s="28" t="s">
        <v>674</v>
      </c>
      <c r="D141" s="28" t="s">
        <v>44</v>
      </c>
      <c r="E141" s="28" t="s">
        <v>44</v>
      </c>
      <c r="F141" s="28" t="s">
        <v>205</v>
      </c>
      <c r="G141" s="28" t="s">
        <v>47</v>
      </c>
      <c r="H141" s="28" t="s">
        <v>48</v>
      </c>
      <c r="I141" s="28" t="s">
        <v>49</v>
      </c>
      <c r="J141" s="28" t="s">
        <v>570</v>
      </c>
      <c r="K141" s="28" t="s">
        <v>51</v>
      </c>
      <c r="L141" s="28" t="s">
        <v>52</v>
      </c>
      <c r="M141" s="28" t="s">
        <v>52</v>
      </c>
      <c r="N141" s="28" t="s">
        <v>675</v>
      </c>
      <c r="O141" s="28" t="s">
        <v>44</v>
      </c>
      <c r="P141" s="28" t="s">
        <v>676</v>
      </c>
      <c r="Q141" s="28" t="s">
        <v>677</v>
      </c>
      <c r="R141" s="28" t="s">
        <v>44</v>
      </c>
      <c r="S141" s="28" t="s">
        <v>44</v>
      </c>
      <c r="T141" s="28" t="s">
        <v>44</v>
      </c>
      <c r="U141" s="28" t="s">
        <v>44</v>
      </c>
      <c r="V141" s="28" t="s">
        <v>1417</v>
      </c>
      <c r="W141" s="28" t="s">
        <v>774</v>
      </c>
      <c r="X141" s="28"/>
      <c r="Y141" s="28"/>
      <c r="Z141" s="28"/>
      <c r="AA141" s="28"/>
    </row>
    <row r="142">
      <c r="A142" s="270" t="s">
        <v>1418</v>
      </c>
      <c r="B142" s="28" t="s">
        <v>36</v>
      </c>
      <c r="C142" s="28" t="s">
        <v>678</v>
      </c>
      <c r="D142" s="28" t="s">
        <v>44</v>
      </c>
      <c r="E142" s="28" t="s">
        <v>44</v>
      </c>
      <c r="F142" s="28" t="s">
        <v>205</v>
      </c>
      <c r="G142" s="28" t="s">
        <v>47</v>
      </c>
      <c r="H142" s="28" t="s">
        <v>48</v>
      </c>
      <c r="I142" s="28" t="s">
        <v>49</v>
      </c>
      <c r="J142" s="28" t="s">
        <v>570</v>
      </c>
      <c r="K142" s="28" t="s">
        <v>51</v>
      </c>
      <c r="L142" s="28" t="s">
        <v>52</v>
      </c>
      <c r="M142" s="28" t="s">
        <v>52</v>
      </c>
      <c r="N142" s="28" t="s">
        <v>675</v>
      </c>
      <c r="O142" s="28" t="s">
        <v>44</v>
      </c>
      <c r="P142" s="28" t="s">
        <v>679</v>
      </c>
      <c r="Q142" s="28" t="s">
        <v>680</v>
      </c>
      <c r="R142" s="28" t="s">
        <v>44</v>
      </c>
      <c r="S142" s="28" t="s">
        <v>44</v>
      </c>
      <c r="T142" s="28" t="s">
        <v>44</v>
      </c>
      <c r="U142" s="28" t="s">
        <v>44</v>
      </c>
      <c r="V142" s="28" t="s">
        <v>1420</v>
      </c>
      <c r="W142" s="28" t="s">
        <v>774</v>
      </c>
      <c r="X142" s="28"/>
      <c r="Y142" s="28"/>
      <c r="Z142" s="28"/>
      <c r="AA142" s="28"/>
    </row>
    <row r="143">
      <c r="A143" s="270" t="s">
        <v>1421</v>
      </c>
      <c r="B143" s="28" t="s">
        <v>36</v>
      </c>
      <c r="C143" s="28" t="s">
        <v>681</v>
      </c>
      <c r="D143" s="28" t="s">
        <v>44</v>
      </c>
      <c r="E143" s="28" t="s">
        <v>44</v>
      </c>
      <c r="F143" s="28" t="s">
        <v>205</v>
      </c>
      <c r="G143" s="28" t="s">
        <v>47</v>
      </c>
      <c r="H143" s="28" t="s">
        <v>48</v>
      </c>
      <c r="I143" s="28" t="s">
        <v>49</v>
      </c>
      <c r="J143" s="28" t="s">
        <v>570</v>
      </c>
      <c r="K143" s="28" t="s">
        <v>51</v>
      </c>
      <c r="L143" s="28" t="s">
        <v>52</v>
      </c>
      <c r="M143" s="28" t="s">
        <v>52</v>
      </c>
      <c r="N143" s="28" t="s">
        <v>675</v>
      </c>
      <c r="O143" s="28" t="s">
        <v>44</v>
      </c>
      <c r="P143" s="28" t="s">
        <v>682</v>
      </c>
      <c r="Q143" s="28" t="s">
        <v>683</v>
      </c>
      <c r="R143" s="28" t="s">
        <v>44</v>
      </c>
      <c r="S143" s="28" t="s">
        <v>44</v>
      </c>
      <c r="T143" s="28" t="s">
        <v>44</v>
      </c>
      <c r="U143" s="28" t="s">
        <v>44</v>
      </c>
      <c r="V143" s="28" t="s">
        <v>1424</v>
      </c>
      <c r="W143" s="28" t="s">
        <v>774</v>
      </c>
      <c r="X143" s="28"/>
      <c r="Y143" s="28"/>
      <c r="Z143" s="28"/>
      <c r="AA143" s="28"/>
    </row>
    <row r="144">
      <c r="A144" s="270" t="s">
        <v>1425</v>
      </c>
      <c r="B144" s="28" t="s">
        <v>36</v>
      </c>
      <c r="C144" s="28" t="s">
        <v>684</v>
      </c>
      <c r="D144" s="28" t="s">
        <v>44</v>
      </c>
      <c r="E144" s="28" t="s">
        <v>44</v>
      </c>
      <c r="F144" s="28" t="s">
        <v>205</v>
      </c>
      <c r="G144" s="28" t="s">
        <v>47</v>
      </c>
      <c r="H144" s="28" t="s">
        <v>48</v>
      </c>
      <c r="I144" s="28" t="s">
        <v>49</v>
      </c>
      <c r="J144" s="28" t="s">
        <v>570</v>
      </c>
      <c r="K144" s="28" t="s">
        <v>51</v>
      </c>
      <c r="L144" s="28" t="s">
        <v>52</v>
      </c>
      <c r="M144" s="28" t="s">
        <v>52</v>
      </c>
      <c r="N144" s="28" t="s">
        <v>675</v>
      </c>
      <c r="O144" s="28" t="s">
        <v>44</v>
      </c>
      <c r="P144" s="28" t="s">
        <v>685</v>
      </c>
      <c r="Q144" s="28" t="s">
        <v>686</v>
      </c>
      <c r="R144" s="28" t="s">
        <v>44</v>
      </c>
      <c r="S144" s="28" t="s">
        <v>44</v>
      </c>
      <c r="T144" s="28" t="s">
        <v>44</v>
      </c>
      <c r="U144" s="28" t="s">
        <v>44</v>
      </c>
      <c r="V144" s="28" t="s">
        <v>1427</v>
      </c>
      <c r="W144" s="28" t="s">
        <v>774</v>
      </c>
      <c r="X144" s="28"/>
      <c r="Y144" s="28"/>
      <c r="Z144" s="28"/>
      <c r="AA144" s="28"/>
    </row>
    <row r="145">
      <c r="A145" s="270" t="s">
        <v>1428</v>
      </c>
      <c r="B145" s="28" t="s">
        <v>36</v>
      </c>
      <c r="C145" s="28" t="s">
        <v>687</v>
      </c>
      <c r="D145" s="28" t="s">
        <v>44</v>
      </c>
      <c r="E145" s="28" t="s">
        <v>44</v>
      </c>
      <c r="F145" s="28" t="s">
        <v>205</v>
      </c>
      <c r="G145" s="28" t="s">
        <v>47</v>
      </c>
      <c r="H145" s="28" t="s">
        <v>48</v>
      </c>
      <c r="I145" s="28" t="s">
        <v>49</v>
      </c>
      <c r="J145" s="28" t="s">
        <v>570</v>
      </c>
      <c r="K145" s="28" t="s">
        <v>51</v>
      </c>
      <c r="L145" s="28" t="s">
        <v>52</v>
      </c>
      <c r="M145" s="28" t="s">
        <v>52</v>
      </c>
      <c r="N145" s="28" t="s">
        <v>688</v>
      </c>
      <c r="O145" s="28" t="s">
        <v>44</v>
      </c>
      <c r="P145" s="28" t="s">
        <v>689</v>
      </c>
      <c r="Q145" s="28" t="s">
        <v>690</v>
      </c>
      <c r="R145" s="28" t="s">
        <v>44</v>
      </c>
      <c r="S145" s="28" t="s">
        <v>44</v>
      </c>
      <c r="T145" s="28" t="s">
        <v>44</v>
      </c>
      <c r="U145" s="28" t="s">
        <v>44</v>
      </c>
      <c r="V145" s="28" t="s">
        <v>1431</v>
      </c>
      <c r="W145" s="28" t="s">
        <v>774</v>
      </c>
      <c r="X145" s="28"/>
      <c r="Y145" s="28"/>
      <c r="Z145" s="28"/>
      <c r="AA145" s="28"/>
    </row>
    <row r="146">
      <c r="A146" s="270" t="s">
        <v>1432</v>
      </c>
      <c r="B146" s="28" t="s">
        <v>36</v>
      </c>
      <c r="C146" s="28" t="s">
        <v>691</v>
      </c>
      <c r="D146" s="28" t="s">
        <v>44</v>
      </c>
      <c r="E146" s="28" t="s">
        <v>44</v>
      </c>
      <c r="F146" s="28" t="s">
        <v>205</v>
      </c>
      <c r="G146" s="28" t="s">
        <v>47</v>
      </c>
      <c r="H146" s="28" t="s">
        <v>95</v>
      </c>
      <c r="I146" s="28" t="s">
        <v>49</v>
      </c>
      <c r="J146" s="28" t="s">
        <v>570</v>
      </c>
      <c r="K146" s="28" t="s">
        <v>51</v>
      </c>
      <c r="L146" s="28" t="s">
        <v>52</v>
      </c>
      <c r="M146" s="28" t="s">
        <v>52</v>
      </c>
      <c r="N146" s="28" t="s">
        <v>692</v>
      </c>
      <c r="O146" s="28" t="s">
        <v>44</v>
      </c>
      <c r="P146" s="28" t="s">
        <v>571</v>
      </c>
      <c r="Q146" s="28" t="s">
        <v>693</v>
      </c>
      <c r="R146" s="28" t="s">
        <v>44</v>
      </c>
      <c r="S146" s="28" t="s">
        <v>44</v>
      </c>
      <c r="T146" s="28" t="s">
        <v>44</v>
      </c>
      <c r="U146" s="28" t="s">
        <v>44</v>
      </c>
      <c r="V146" s="28" t="s">
        <v>1435</v>
      </c>
      <c r="W146" s="28" t="s">
        <v>1301</v>
      </c>
      <c r="X146" s="28"/>
      <c r="Y146" s="28"/>
      <c r="Z146" s="28"/>
      <c r="AA146" s="28"/>
    </row>
    <row r="147">
      <c r="A147" s="270" t="s">
        <v>1437</v>
      </c>
      <c r="B147" s="28" t="s">
        <v>36</v>
      </c>
      <c r="C147" s="28" t="s">
        <v>694</v>
      </c>
      <c r="D147" s="28" t="s">
        <v>44</v>
      </c>
      <c r="E147" s="28" t="s">
        <v>44</v>
      </c>
      <c r="F147" s="28" t="s">
        <v>205</v>
      </c>
      <c r="G147" s="28" t="s">
        <v>47</v>
      </c>
      <c r="H147" s="28" t="s">
        <v>95</v>
      </c>
      <c r="I147" s="28" t="s">
        <v>49</v>
      </c>
      <c r="J147" s="28" t="s">
        <v>570</v>
      </c>
      <c r="K147" s="28" t="s">
        <v>51</v>
      </c>
      <c r="L147" s="28" t="s">
        <v>52</v>
      </c>
      <c r="M147" s="28" t="s">
        <v>52</v>
      </c>
      <c r="N147" s="28" t="s">
        <v>695</v>
      </c>
      <c r="O147" s="28" t="s">
        <v>44</v>
      </c>
      <c r="P147" s="28" t="s">
        <v>696</v>
      </c>
      <c r="Q147" s="28" t="s">
        <v>697</v>
      </c>
      <c r="R147" s="28" t="s">
        <v>44</v>
      </c>
      <c r="S147" s="28" t="s">
        <v>44</v>
      </c>
      <c r="T147" s="28" t="s">
        <v>44</v>
      </c>
      <c r="U147" s="28" t="s">
        <v>44</v>
      </c>
      <c r="V147" s="28" t="s">
        <v>1439</v>
      </c>
      <c r="W147" s="28" t="s">
        <v>1440</v>
      </c>
      <c r="X147" s="28"/>
      <c r="Y147" s="28"/>
      <c r="Z147" s="28"/>
      <c r="AA147" s="28"/>
    </row>
    <row r="148">
      <c r="A148" s="270" t="s">
        <v>1441</v>
      </c>
      <c r="B148" s="28" t="s">
        <v>36</v>
      </c>
      <c r="C148" s="28" t="s">
        <v>698</v>
      </c>
      <c r="D148" s="28" t="s">
        <v>44</v>
      </c>
      <c r="E148" s="28" t="s">
        <v>44</v>
      </c>
      <c r="F148" s="28" t="s">
        <v>205</v>
      </c>
      <c r="G148" s="28" t="s">
        <v>47</v>
      </c>
      <c r="H148" s="28" t="s">
        <v>48</v>
      </c>
      <c r="I148" s="28" t="s">
        <v>49</v>
      </c>
      <c r="J148" s="28" t="s">
        <v>699</v>
      </c>
      <c r="K148" s="28" t="s">
        <v>51</v>
      </c>
      <c r="L148" s="28" t="s">
        <v>52</v>
      </c>
      <c r="M148" s="28" t="s">
        <v>52</v>
      </c>
      <c r="N148" s="28" t="s">
        <v>700</v>
      </c>
      <c r="O148" s="28" t="s">
        <v>44</v>
      </c>
      <c r="P148" s="28" t="s">
        <v>701</v>
      </c>
      <c r="Q148" s="28" t="s">
        <v>702</v>
      </c>
      <c r="R148" s="28" t="s">
        <v>44</v>
      </c>
      <c r="S148" s="28" t="s">
        <v>44</v>
      </c>
      <c r="T148" s="28" t="s">
        <v>44</v>
      </c>
      <c r="U148" s="28" t="s">
        <v>44</v>
      </c>
      <c r="V148" s="28" t="s">
        <v>1445</v>
      </c>
      <c r="W148" s="28" t="s">
        <v>774</v>
      </c>
      <c r="X148" s="28"/>
      <c r="Y148" s="28"/>
      <c r="Z148" s="28"/>
      <c r="AA148" s="28"/>
    </row>
    <row r="149">
      <c r="A149" s="270" t="s">
        <v>1446</v>
      </c>
      <c r="B149" s="28" t="s">
        <v>36</v>
      </c>
      <c r="C149" s="28" t="s">
        <v>703</v>
      </c>
      <c r="D149" s="28" t="s">
        <v>44</v>
      </c>
      <c r="E149" s="28" t="s">
        <v>44</v>
      </c>
      <c r="F149" s="28" t="s">
        <v>205</v>
      </c>
      <c r="G149" s="28" t="s">
        <v>47</v>
      </c>
      <c r="H149" s="28" t="s">
        <v>48</v>
      </c>
      <c r="I149" s="28" t="s">
        <v>49</v>
      </c>
      <c r="J149" s="28" t="s">
        <v>699</v>
      </c>
      <c r="K149" s="28" t="s">
        <v>51</v>
      </c>
      <c r="L149" s="28" t="s">
        <v>52</v>
      </c>
      <c r="M149" s="28" t="s">
        <v>52</v>
      </c>
      <c r="N149" s="28" t="s">
        <v>704</v>
      </c>
      <c r="O149" s="28" t="s">
        <v>44</v>
      </c>
      <c r="P149" s="28" t="s">
        <v>705</v>
      </c>
      <c r="Q149" s="28" t="s">
        <v>706</v>
      </c>
      <c r="R149" s="28" t="s">
        <v>44</v>
      </c>
      <c r="S149" s="28" t="s">
        <v>44</v>
      </c>
      <c r="T149" s="28" t="s">
        <v>44</v>
      </c>
      <c r="U149" s="28" t="s">
        <v>44</v>
      </c>
      <c r="V149" s="28" t="s">
        <v>1448</v>
      </c>
      <c r="W149" s="28" t="s">
        <v>774</v>
      </c>
      <c r="X149" s="28"/>
      <c r="Y149" s="28"/>
      <c r="Z149" s="28"/>
      <c r="AA149" s="28"/>
    </row>
    <row r="150">
      <c r="A150" s="270" t="s">
        <v>1449</v>
      </c>
      <c r="B150" s="28" t="s">
        <v>36</v>
      </c>
      <c r="C150" s="28" t="s">
        <v>707</v>
      </c>
      <c r="D150" s="28" t="s">
        <v>44</v>
      </c>
      <c r="E150" s="28" t="s">
        <v>44</v>
      </c>
      <c r="F150" s="28" t="s">
        <v>205</v>
      </c>
      <c r="G150" s="28" t="s">
        <v>111</v>
      </c>
      <c r="H150" s="28" t="s">
        <v>91</v>
      </c>
      <c r="I150" s="28" t="s">
        <v>49</v>
      </c>
      <c r="J150" s="28" t="s">
        <v>699</v>
      </c>
      <c r="K150" s="28" t="s">
        <v>51</v>
      </c>
      <c r="L150" s="28" t="s">
        <v>52</v>
      </c>
      <c r="M150" s="28" t="s">
        <v>52</v>
      </c>
      <c r="N150" s="28" t="s">
        <v>704</v>
      </c>
      <c r="O150" s="28" t="s">
        <v>44</v>
      </c>
      <c r="P150" s="28" t="s">
        <v>708</v>
      </c>
      <c r="Q150" s="28" t="s">
        <v>709</v>
      </c>
      <c r="R150" s="28" t="s">
        <v>44</v>
      </c>
      <c r="S150" s="28" t="s">
        <v>44</v>
      </c>
      <c r="T150" s="28" t="s">
        <v>44</v>
      </c>
      <c r="U150" s="28" t="s">
        <v>44</v>
      </c>
      <c r="V150" s="28" t="s">
        <v>1452</v>
      </c>
      <c r="W150" s="28" t="s">
        <v>774</v>
      </c>
      <c r="X150" s="28"/>
      <c r="Y150" s="28"/>
      <c r="Z150" s="28"/>
      <c r="AA150" s="28"/>
    </row>
    <row r="151">
      <c r="A151" s="270" t="s">
        <v>1454</v>
      </c>
      <c r="B151" s="28" t="s">
        <v>36</v>
      </c>
      <c r="C151" s="28" t="s">
        <v>710</v>
      </c>
      <c r="D151" s="28" t="s">
        <v>44</v>
      </c>
      <c r="E151" s="28" t="s">
        <v>44</v>
      </c>
      <c r="F151" s="28" t="s">
        <v>205</v>
      </c>
      <c r="G151" s="28" t="s">
        <v>47</v>
      </c>
      <c r="H151" s="28" t="s">
        <v>48</v>
      </c>
      <c r="I151" s="28" t="s">
        <v>49</v>
      </c>
      <c r="J151" s="28" t="s">
        <v>699</v>
      </c>
      <c r="K151" s="28" t="s">
        <v>51</v>
      </c>
      <c r="L151" s="28" t="s">
        <v>52</v>
      </c>
      <c r="M151" s="28" t="s">
        <v>52</v>
      </c>
      <c r="N151" s="28" t="s">
        <v>711</v>
      </c>
      <c r="O151" s="28" t="s">
        <v>44</v>
      </c>
      <c r="P151" s="28" t="s">
        <v>712</v>
      </c>
      <c r="Q151" s="28" t="s">
        <v>713</v>
      </c>
      <c r="R151" s="28" t="s">
        <v>44</v>
      </c>
      <c r="S151" s="28" t="s">
        <v>44</v>
      </c>
      <c r="T151" s="28" t="s">
        <v>44</v>
      </c>
      <c r="U151" s="28" t="s">
        <v>44</v>
      </c>
      <c r="V151" s="28" t="s">
        <v>1457</v>
      </c>
      <c r="W151" s="28" t="s">
        <v>774</v>
      </c>
      <c r="X151" s="28"/>
      <c r="Y151" s="28"/>
      <c r="Z151" s="28"/>
      <c r="AA151" s="28"/>
    </row>
    <row r="152">
      <c r="A152" s="270" t="s">
        <v>1458</v>
      </c>
      <c r="B152" s="28" t="s">
        <v>36</v>
      </c>
      <c r="C152" s="28" t="s">
        <v>714</v>
      </c>
      <c r="D152" s="28" t="s">
        <v>44</v>
      </c>
      <c r="E152" s="28" t="s">
        <v>44</v>
      </c>
      <c r="F152" s="28" t="s">
        <v>205</v>
      </c>
      <c r="G152" s="28" t="s">
        <v>47</v>
      </c>
      <c r="H152" s="28" t="s">
        <v>48</v>
      </c>
      <c r="I152" s="28" t="s">
        <v>49</v>
      </c>
      <c r="J152" s="28" t="s">
        <v>699</v>
      </c>
      <c r="K152" s="28" t="s">
        <v>51</v>
      </c>
      <c r="L152" s="28" t="s">
        <v>52</v>
      </c>
      <c r="M152" s="28" t="s">
        <v>52</v>
      </c>
      <c r="N152" s="28" t="s">
        <v>704</v>
      </c>
      <c r="O152" s="28" t="s">
        <v>44</v>
      </c>
      <c r="P152" s="28" t="s">
        <v>715</v>
      </c>
      <c r="Q152" s="28" t="s">
        <v>716</v>
      </c>
      <c r="R152" s="28" t="s">
        <v>44</v>
      </c>
      <c r="S152" s="28" t="s">
        <v>44</v>
      </c>
      <c r="T152" s="28" t="s">
        <v>44</v>
      </c>
      <c r="U152" s="28" t="s">
        <v>44</v>
      </c>
      <c r="V152" s="28" t="s">
        <v>1460</v>
      </c>
      <c r="W152" s="28" t="s">
        <v>774</v>
      </c>
      <c r="X152" s="28"/>
      <c r="Y152" s="28"/>
      <c r="Z152" s="28"/>
      <c r="AA152" s="28"/>
    </row>
    <row r="153">
      <c r="A153" s="270" t="s">
        <v>1461</v>
      </c>
      <c r="B153" s="28" t="s">
        <v>36</v>
      </c>
      <c r="C153" s="28" t="s">
        <v>717</v>
      </c>
      <c r="D153" s="28" t="s">
        <v>44</v>
      </c>
      <c r="E153" s="28" t="s">
        <v>44</v>
      </c>
      <c r="F153" s="28" t="s">
        <v>205</v>
      </c>
      <c r="G153" s="28" t="s">
        <v>47</v>
      </c>
      <c r="H153" s="28" t="s">
        <v>48</v>
      </c>
      <c r="I153" s="28" t="s">
        <v>49</v>
      </c>
      <c r="J153" s="28" t="s">
        <v>699</v>
      </c>
      <c r="K153" s="28" t="s">
        <v>51</v>
      </c>
      <c r="L153" s="28" t="s">
        <v>52</v>
      </c>
      <c r="M153" s="28" t="s">
        <v>52</v>
      </c>
      <c r="N153" s="28" t="s">
        <v>704</v>
      </c>
      <c r="O153" s="28" t="s">
        <v>44</v>
      </c>
      <c r="P153" s="28" t="s">
        <v>718</v>
      </c>
      <c r="Q153" s="28" t="s">
        <v>719</v>
      </c>
      <c r="R153" s="28" t="s">
        <v>44</v>
      </c>
      <c r="S153" s="28" t="s">
        <v>44</v>
      </c>
      <c r="T153" s="28" t="s">
        <v>44</v>
      </c>
      <c r="U153" s="28" t="s">
        <v>44</v>
      </c>
      <c r="V153" s="28" t="s">
        <v>1464</v>
      </c>
      <c r="W153" s="28" t="s">
        <v>1465</v>
      </c>
      <c r="X153" s="28"/>
      <c r="Y153" s="28"/>
      <c r="Z153" s="28"/>
      <c r="AA153" s="28"/>
    </row>
    <row r="154">
      <c r="A154" s="270" t="s">
        <v>1466</v>
      </c>
      <c r="B154" s="28" t="s">
        <v>36</v>
      </c>
      <c r="C154" s="28" t="s">
        <v>720</v>
      </c>
      <c r="D154" s="28" t="s">
        <v>44</v>
      </c>
      <c r="E154" s="28" t="s">
        <v>44</v>
      </c>
      <c r="F154" s="28" t="s">
        <v>205</v>
      </c>
      <c r="G154" s="28" t="s">
        <v>47</v>
      </c>
      <c r="H154" s="28" t="s">
        <v>48</v>
      </c>
      <c r="I154" s="28" t="s">
        <v>49</v>
      </c>
      <c r="J154" s="28" t="s">
        <v>699</v>
      </c>
      <c r="K154" s="28" t="s">
        <v>51</v>
      </c>
      <c r="L154" s="28" t="s">
        <v>52</v>
      </c>
      <c r="M154" s="28" t="s">
        <v>52</v>
      </c>
      <c r="N154" s="28" t="s">
        <v>704</v>
      </c>
      <c r="O154" s="28" t="s">
        <v>44</v>
      </c>
      <c r="P154" s="28" t="s">
        <v>721</v>
      </c>
      <c r="Q154" s="28" t="s">
        <v>722</v>
      </c>
      <c r="R154" s="28" t="s">
        <v>44</v>
      </c>
      <c r="S154" s="28" t="s">
        <v>44</v>
      </c>
      <c r="T154" s="28" t="s">
        <v>44</v>
      </c>
      <c r="U154" s="28" t="s">
        <v>44</v>
      </c>
      <c r="V154" s="28" t="s">
        <v>1469</v>
      </c>
      <c r="W154" s="28" t="s">
        <v>774</v>
      </c>
      <c r="X154" s="28"/>
      <c r="Y154" s="28"/>
      <c r="Z154" s="28"/>
      <c r="AA154" s="28"/>
    </row>
    <row r="155">
      <c r="A155" s="270" t="s">
        <v>1470</v>
      </c>
      <c r="B155" s="28" t="s">
        <v>36</v>
      </c>
      <c r="C155" s="28" t="s">
        <v>723</v>
      </c>
      <c r="D155" s="28" t="s">
        <v>44</v>
      </c>
      <c r="E155" s="28" t="s">
        <v>44</v>
      </c>
      <c r="F155" s="28" t="s">
        <v>205</v>
      </c>
      <c r="G155" s="28" t="s">
        <v>47</v>
      </c>
      <c r="H155" s="28" t="s">
        <v>48</v>
      </c>
      <c r="I155" s="28" t="s">
        <v>49</v>
      </c>
      <c r="J155" s="28" t="s">
        <v>699</v>
      </c>
      <c r="K155" s="28" t="s">
        <v>51</v>
      </c>
      <c r="L155" s="28" t="s">
        <v>52</v>
      </c>
      <c r="M155" s="28" t="s">
        <v>52</v>
      </c>
      <c r="N155" s="28" t="s">
        <v>704</v>
      </c>
      <c r="O155" s="28" t="s">
        <v>44</v>
      </c>
      <c r="P155" s="28" t="s">
        <v>724</v>
      </c>
      <c r="Q155" s="28" t="s">
        <v>725</v>
      </c>
      <c r="R155" s="28" t="s">
        <v>44</v>
      </c>
      <c r="S155" s="28" t="s">
        <v>44</v>
      </c>
      <c r="T155" s="28" t="s">
        <v>44</v>
      </c>
      <c r="U155" s="28" t="s">
        <v>44</v>
      </c>
      <c r="V155" s="28" t="s">
        <v>1474</v>
      </c>
      <c r="W155" s="28" t="s">
        <v>1475</v>
      </c>
      <c r="X155" s="28"/>
      <c r="Y155" s="28"/>
      <c r="Z155" s="28"/>
      <c r="AA155" s="28"/>
    </row>
    <row r="156">
      <c r="A156" s="270" t="s">
        <v>1476</v>
      </c>
      <c r="B156" s="28" t="s">
        <v>36</v>
      </c>
      <c r="C156" s="28" t="s">
        <v>726</v>
      </c>
      <c r="D156" s="28" t="s">
        <v>44</v>
      </c>
      <c r="E156" s="28" t="s">
        <v>44</v>
      </c>
      <c r="F156" s="28" t="s">
        <v>205</v>
      </c>
      <c r="G156" s="28" t="s">
        <v>47</v>
      </c>
      <c r="H156" s="28" t="s">
        <v>48</v>
      </c>
      <c r="I156" s="28" t="s">
        <v>49</v>
      </c>
      <c r="J156" s="28" t="s">
        <v>699</v>
      </c>
      <c r="K156" s="28" t="s">
        <v>51</v>
      </c>
      <c r="L156" s="28" t="s">
        <v>52</v>
      </c>
      <c r="M156" s="28" t="s">
        <v>52</v>
      </c>
      <c r="N156" s="28" t="s">
        <v>727</v>
      </c>
      <c r="O156" s="28" t="s">
        <v>44</v>
      </c>
      <c r="P156" s="28" t="s">
        <v>728</v>
      </c>
      <c r="Q156" s="28" t="s">
        <v>729</v>
      </c>
      <c r="R156" s="28" t="s">
        <v>44</v>
      </c>
      <c r="S156" s="28" t="s">
        <v>44</v>
      </c>
      <c r="T156" s="28" t="s">
        <v>44</v>
      </c>
      <c r="U156" s="28" t="s">
        <v>44</v>
      </c>
      <c r="V156" s="28" t="s">
        <v>1478</v>
      </c>
      <c r="W156" s="28" t="s">
        <v>774</v>
      </c>
      <c r="X156" s="28"/>
      <c r="Y156" s="28"/>
      <c r="Z156" s="28"/>
      <c r="AA156" s="28"/>
    </row>
    <row r="157">
      <c r="A157" s="270" t="s">
        <v>1479</v>
      </c>
      <c r="B157" s="28" t="s">
        <v>36</v>
      </c>
      <c r="C157" s="28" t="s">
        <v>730</v>
      </c>
      <c r="D157" s="28" t="s">
        <v>44</v>
      </c>
      <c r="E157" s="28" t="s">
        <v>44</v>
      </c>
      <c r="F157" s="28" t="s">
        <v>205</v>
      </c>
      <c r="G157" s="28" t="s">
        <v>47</v>
      </c>
      <c r="H157" s="28" t="s">
        <v>48</v>
      </c>
      <c r="I157" s="28" t="s">
        <v>49</v>
      </c>
      <c r="J157" s="28" t="s">
        <v>699</v>
      </c>
      <c r="K157" s="28" t="s">
        <v>51</v>
      </c>
      <c r="L157" s="28" t="s">
        <v>52</v>
      </c>
      <c r="M157" s="28" t="s">
        <v>52</v>
      </c>
      <c r="N157" s="28" t="s">
        <v>731</v>
      </c>
      <c r="O157" s="28" t="s">
        <v>44</v>
      </c>
      <c r="P157" s="28" t="s">
        <v>732</v>
      </c>
      <c r="Q157" s="28" t="s">
        <v>733</v>
      </c>
      <c r="R157" s="28" t="s">
        <v>44</v>
      </c>
      <c r="S157" s="28" t="s">
        <v>44</v>
      </c>
      <c r="T157" s="28" t="s">
        <v>44</v>
      </c>
      <c r="U157" s="28" t="s">
        <v>44</v>
      </c>
      <c r="V157" s="28" t="s">
        <v>1482</v>
      </c>
      <c r="W157" s="28" t="s">
        <v>1483</v>
      </c>
      <c r="X157" s="28"/>
      <c r="Y157" s="28"/>
      <c r="Z157" s="28"/>
      <c r="AA157" s="28"/>
    </row>
    <row r="158">
      <c r="A158" s="270" t="s">
        <v>1484</v>
      </c>
      <c r="B158" s="28" t="s">
        <v>36</v>
      </c>
      <c r="C158" s="28" t="s">
        <v>734</v>
      </c>
      <c r="D158" s="28" t="s">
        <v>44</v>
      </c>
      <c r="E158" s="28" t="s">
        <v>44</v>
      </c>
      <c r="F158" s="28" t="s">
        <v>205</v>
      </c>
      <c r="G158" s="28" t="s">
        <v>47</v>
      </c>
      <c r="H158" s="28" t="s">
        <v>48</v>
      </c>
      <c r="I158" s="28" t="s">
        <v>49</v>
      </c>
      <c r="J158" s="28" t="s">
        <v>699</v>
      </c>
      <c r="K158" s="28" t="s">
        <v>51</v>
      </c>
      <c r="L158" s="28" t="s">
        <v>52</v>
      </c>
      <c r="M158" s="28" t="s">
        <v>52</v>
      </c>
      <c r="N158" s="28" t="s">
        <v>704</v>
      </c>
      <c r="O158" s="28" t="s">
        <v>44</v>
      </c>
      <c r="P158" s="28" t="s">
        <v>735</v>
      </c>
      <c r="Q158" s="28" t="s">
        <v>736</v>
      </c>
      <c r="R158" s="28" t="s">
        <v>44</v>
      </c>
      <c r="S158" s="28" t="s">
        <v>44</v>
      </c>
      <c r="T158" s="28" t="s">
        <v>44</v>
      </c>
      <c r="U158" s="28" t="s">
        <v>44</v>
      </c>
      <c r="V158" s="28" t="s">
        <v>1486</v>
      </c>
      <c r="W158" s="28" t="s">
        <v>1487</v>
      </c>
      <c r="X158" s="28"/>
      <c r="Y158" s="28"/>
      <c r="Z158" s="28"/>
      <c r="AA158" s="28"/>
    </row>
    <row r="159">
      <c r="A159" s="270" t="s">
        <v>1488</v>
      </c>
      <c r="B159" s="28" t="s">
        <v>36</v>
      </c>
      <c r="C159" s="28" t="s">
        <v>737</v>
      </c>
      <c r="D159" s="28" t="s">
        <v>44</v>
      </c>
      <c r="E159" s="28" t="s">
        <v>44</v>
      </c>
      <c r="F159" s="28" t="s">
        <v>205</v>
      </c>
      <c r="G159" s="28" t="s">
        <v>47</v>
      </c>
      <c r="H159" s="28" t="s">
        <v>48</v>
      </c>
      <c r="I159" s="28" t="s">
        <v>49</v>
      </c>
      <c r="J159" s="28" t="s">
        <v>699</v>
      </c>
      <c r="K159" s="28" t="s">
        <v>51</v>
      </c>
      <c r="L159" s="28" t="s">
        <v>52</v>
      </c>
      <c r="M159" s="28" t="s">
        <v>52</v>
      </c>
      <c r="N159" s="28" t="s">
        <v>704</v>
      </c>
      <c r="O159" s="28" t="s">
        <v>44</v>
      </c>
      <c r="P159" s="28" t="s">
        <v>738</v>
      </c>
      <c r="Q159" s="28" t="s">
        <v>739</v>
      </c>
      <c r="R159" s="28" t="s">
        <v>44</v>
      </c>
      <c r="S159" s="28" t="s">
        <v>44</v>
      </c>
      <c r="T159" s="28" t="s">
        <v>44</v>
      </c>
      <c r="U159" s="28" t="s">
        <v>44</v>
      </c>
      <c r="V159" s="28" t="s">
        <v>1491</v>
      </c>
      <c r="W159" s="28" t="s">
        <v>1492</v>
      </c>
      <c r="X159" s="28"/>
      <c r="Y159" s="28"/>
      <c r="Z159" s="28"/>
      <c r="AA159" s="28"/>
    </row>
    <row r="160">
      <c r="A160" s="270" t="s">
        <v>1493</v>
      </c>
      <c r="B160" s="28" t="s">
        <v>36</v>
      </c>
      <c r="C160" s="28" t="s">
        <v>740</v>
      </c>
      <c r="D160" s="28" t="s">
        <v>44</v>
      </c>
      <c r="E160" s="28" t="s">
        <v>44</v>
      </c>
      <c r="F160" s="28" t="s">
        <v>205</v>
      </c>
      <c r="G160" s="28" t="s">
        <v>47</v>
      </c>
      <c r="H160" s="28" t="s">
        <v>48</v>
      </c>
      <c r="I160" s="28" t="s">
        <v>49</v>
      </c>
      <c r="J160" s="28" t="s">
        <v>741</v>
      </c>
      <c r="K160" s="28" t="s">
        <v>51</v>
      </c>
      <c r="L160" s="28" t="s">
        <v>52</v>
      </c>
      <c r="M160" s="28" t="s">
        <v>52</v>
      </c>
      <c r="N160" s="28" t="s">
        <v>264</v>
      </c>
      <c r="O160" s="28" t="s">
        <v>44</v>
      </c>
      <c r="P160" s="28" t="s">
        <v>742</v>
      </c>
      <c r="Q160" s="28" t="s">
        <v>743</v>
      </c>
      <c r="R160" s="28" t="s">
        <v>44</v>
      </c>
      <c r="S160" s="28" t="s">
        <v>44</v>
      </c>
      <c r="T160" s="28" t="s">
        <v>44</v>
      </c>
      <c r="U160" s="28" t="s">
        <v>44</v>
      </c>
      <c r="V160" s="28" t="s">
        <v>1495</v>
      </c>
      <c r="W160" s="28" t="s">
        <v>774</v>
      </c>
      <c r="X160" s="28"/>
      <c r="Y160" s="28"/>
      <c r="Z160" s="28"/>
      <c r="AA160" s="28"/>
    </row>
    <row r="161">
      <c r="A161" s="270" t="s">
        <v>1496</v>
      </c>
      <c r="B161" s="28" t="s">
        <v>36</v>
      </c>
      <c r="C161" s="28" t="s">
        <v>744</v>
      </c>
      <c r="D161" s="28" t="s">
        <v>44</v>
      </c>
      <c r="E161" s="28" t="s">
        <v>44</v>
      </c>
      <c r="F161" s="28" t="s">
        <v>205</v>
      </c>
      <c r="G161" s="28" t="s">
        <v>47</v>
      </c>
      <c r="H161" s="28" t="s">
        <v>48</v>
      </c>
      <c r="I161" s="28" t="s">
        <v>49</v>
      </c>
      <c r="J161" s="28" t="s">
        <v>741</v>
      </c>
      <c r="K161" s="28" t="s">
        <v>51</v>
      </c>
      <c r="L161" s="28" t="s">
        <v>52</v>
      </c>
      <c r="M161" s="28" t="s">
        <v>52</v>
      </c>
      <c r="N161" s="28" t="s">
        <v>745</v>
      </c>
      <c r="O161" s="28" t="s">
        <v>44</v>
      </c>
      <c r="P161" s="28" t="s">
        <v>747</v>
      </c>
      <c r="Q161" s="28" t="s">
        <v>409</v>
      </c>
      <c r="R161" s="28" t="s">
        <v>44</v>
      </c>
      <c r="S161" s="28" t="s">
        <v>44</v>
      </c>
      <c r="T161" s="28" t="s">
        <v>44</v>
      </c>
      <c r="U161" s="28" t="s">
        <v>44</v>
      </c>
      <c r="V161" s="28" t="s">
        <v>1499</v>
      </c>
      <c r="W161" s="28" t="s">
        <v>1500</v>
      </c>
      <c r="X161" s="28"/>
      <c r="Y161" s="28"/>
      <c r="Z161" s="28"/>
      <c r="AA161" s="28"/>
    </row>
    <row r="162">
      <c r="A162" s="270" t="s">
        <v>1501</v>
      </c>
      <c r="B162" s="28" t="s">
        <v>36</v>
      </c>
      <c r="C162" s="28" t="s">
        <v>748</v>
      </c>
      <c r="D162" s="28" t="s">
        <v>44</v>
      </c>
      <c r="E162" s="28" t="s">
        <v>44</v>
      </c>
      <c r="F162" s="28" t="s">
        <v>205</v>
      </c>
      <c r="G162" s="28" t="s">
        <v>47</v>
      </c>
      <c r="H162" s="28" t="s">
        <v>48</v>
      </c>
      <c r="I162" s="28" t="s">
        <v>49</v>
      </c>
      <c r="J162" s="28" t="s">
        <v>741</v>
      </c>
      <c r="K162" s="28" t="s">
        <v>51</v>
      </c>
      <c r="L162" s="28" t="s">
        <v>52</v>
      </c>
      <c r="M162" s="28" t="s">
        <v>52</v>
      </c>
      <c r="N162" s="28" t="s">
        <v>751</v>
      </c>
      <c r="O162" s="28" t="s">
        <v>44</v>
      </c>
      <c r="P162" s="28" t="s">
        <v>752</v>
      </c>
      <c r="Q162" s="28" t="s">
        <v>753</v>
      </c>
      <c r="R162" s="28" t="s">
        <v>44</v>
      </c>
      <c r="S162" s="28" t="s">
        <v>44</v>
      </c>
      <c r="T162" s="28" t="s">
        <v>44</v>
      </c>
      <c r="U162" s="28" t="s">
        <v>44</v>
      </c>
      <c r="V162" s="28" t="s">
        <v>1503</v>
      </c>
      <c r="W162" s="28" t="s">
        <v>774</v>
      </c>
      <c r="X162" s="28"/>
      <c r="Y162" s="28"/>
      <c r="Z162" s="28"/>
      <c r="AA162" s="28"/>
    </row>
    <row r="163">
      <c r="A163" s="270" t="s">
        <v>1504</v>
      </c>
      <c r="B163" s="28" t="s">
        <v>36</v>
      </c>
      <c r="C163" s="28" t="s">
        <v>754</v>
      </c>
      <c r="D163" s="28" t="s">
        <v>44</v>
      </c>
      <c r="E163" s="28" t="s">
        <v>44</v>
      </c>
      <c r="F163" s="28" t="s">
        <v>205</v>
      </c>
      <c r="G163" s="28" t="s">
        <v>47</v>
      </c>
      <c r="H163" s="28" t="s">
        <v>95</v>
      </c>
      <c r="I163" s="28" t="s">
        <v>49</v>
      </c>
      <c r="J163" s="28" t="s">
        <v>741</v>
      </c>
      <c r="K163" s="28" t="s">
        <v>51</v>
      </c>
      <c r="L163" s="28" t="s">
        <v>52</v>
      </c>
      <c r="M163" s="28" t="s">
        <v>52</v>
      </c>
      <c r="N163" s="28" t="s">
        <v>756</v>
      </c>
      <c r="O163" s="28" t="s">
        <v>44</v>
      </c>
      <c r="P163" s="28" t="s">
        <v>763</v>
      </c>
      <c r="Q163" s="28" t="s">
        <v>764</v>
      </c>
      <c r="R163" s="28" t="s">
        <v>44</v>
      </c>
      <c r="S163" s="28" t="s">
        <v>44</v>
      </c>
      <c r="T163" s="28" t="s">
        <v>44</v>
      </c>
      <c r="U163" s="28" t="s">
        <v>44</v>
      </c>
      <c r="V163" s="28" t="s">
        <v>1505</v>
      </c>
      <c r="W163" s="28" t="s">
        <v>774</v>
      </c>
      <c r="X163" s="28"/>
      <c r="Y163" s="28"/>
      <c r="Z163" s="28"/>
      <c r="AA163" s="28"/>
    </row>
    <row r="164">
      <c r="A164" s="270" t="s">
        <v>1506</v>
      </c>
      <c r="B164" s="28" t="s">
        <v>36</v>
      </c>
      <c r="C164" s="28" t="s">
        <v>768</v>
      </c>
      <c r="D164" s="28" t="s">
        <v>44</v>
      </c>
      <c r="E164" s="28" t="s">
        <v>44</v>
      </c>
      <c r="F164" s="28" t="s">
        <v>205</v>
      </c>
      <c r="G164" s="28" t="s">
        <v>47</v>
      </c>
      <c r="H164" s="28" t="s">
        <v>48</v>
      </c>
      <c r="I164" s="28" t="s">
        <v>49</v>
      </c>
      <c r="J164" s="28" t="s">
        <v>741</v>
      </c>
      <c r="K164" s="28" t="s">
        <v>51</v>
      </c>
      <c r="L164" s="28" t="s">
        <v>52</v>
      </c>
      <c r="M164" s="28" t="s">
        <v>52</v>
      </c>
      <c r="N164" s="28" t="s">
        <v>769</v>
      </c>
      <c r="O164" s="28" t="s">
        <v>44</v>
      </c>
      <c r="P164" s="28" t="s">
        <v>770</v>
      </c>
      <c r="Q164" s="28" t="s">
        <v>771</v>
      </c>
      <c r="R164" s="28" t="s">
        <v>44</v>
      </c>
      <c r="S164" s="28" t="s">
        <v>44</v>
      </c>
      <c r="T164" s="28" t="s">
        <v>44</v>
      </c>
      <c r="U164" s="28" t="s">
        <v>44</v>
      </c>
      <c r="V164" s="28" t="s">
        <v>1507</v>
      </c>
      <c r="W164" s="28" t="s">
        <v>1508</v>
      </c>
      <c r="X164" s="28"/>
      <c r="Y164" s="28"/>
      <c r="Z164" s="28"/>
      <c r="AA164" s="28"/>
    </row>
    <row r="165">
      <c r="A165" s="270" t="s">
        <v>1509</v>
      </c>
      <c r="B165" s="28" t="s">
        <v>36</v>
      </c>
      <c r="C165" s="28" t="s">
        <v>776</v>
      </c>
      <c r="D165" s="28" t="s">
        <v>44</v>
      </c>
      <c r="E165" s="28" t="s">
        <v>44</v>
      </c>
      <c r="F165" s="28" t="s">
        <v>205</v>
      </c>
      <c r="G165" s="28" t="s">
        <v>47</v>
      </c>
      <c r="H165" s="28" t="s">
        <v>48</v>
      </c>
      <c r="I165" s="28" t="s">
        <v>49</v>
      </c>
      <c r="J165" s="28" t="s">
        <v>741</v>
      </c>
      <c r="K165" s="28" t="s">
        <v>51</v>
      </c>
      <c r="L165" s="28" t="s">
        <v>52</v>
      </c>
      <c r="M165" s="28" t="s">
        <v>52</v>
      </c>
      <c r="N165" s="28" t="s">
        <v>769</v>
      </c>
      <c r="O165" s="28" t="s">
        <v>44</v>
      </c>
      <c r="P165" s="28" t="s">
        <v>780</v>
      </c>
      <c r="Q165" s="28" t="s">
        <v>781</v>
      </c>
      <c r="R165" s="28" t="s">
        <v>44</v>
      </c>
      <c r="S165" s="28" t="s">
        <v>44</v>
      </c>
      <c r="T165" s="28" t="s">
        <v>44</v>
      </c>
      <c r="U165" s="28" t="s">
        <v>44</v>
      </c>
      <c r="V165" s="28" t="s">
        <v>1512</v>
      </c>
      <c r="W165" s="28" t="s">
        <v>1513</v>
      </c>
      <c r="X165" s="28"/>
      <c r="Y165" s="28"/>
      <c r="Z165" s="28"/>
      <c r="AA165" s="28"/>
    </row>
    <row r="166">
      <c r="A166" s="270" t="s">
        <v>1515</v>
      </c>
      <c r="B166" s="28" t="s">
        <v>36</v>
      </c>
      <c r="C166" s="28" t="s">
        <v>782</v>
      </c>
      <c r="D166" s="28" t="s">
        <v>44</v>
      </c>
      <c r="E166" s="28" t="s">
        <v>44</v>
      </c>
      <c r="F166" s="28" t="s">
        <v>205</v>
      </c>
      <c r="G166" s="28" t="s">
        <v>47</v>
      </c>
      <c r="H166" s="28" t="s">
        <v>48</v>
      </c>
      <c r="I166" s="28" t="s">
        <v>49</v>
      </c>
      <c r="J166" s="28" t="s">
        <v>741</v>
      </c>
      <c r="K166" s="28" t="s">
        <v>51</v>
      </c>
      <c r="L166" s="28" t="s">
        <v>52</v>
      </c>
      <c r="M166" s="28" t="s">
        <v>52</v>
      </c>
      <c r="N166" s="28" t="s">
        <v>769</v>
      </c>
      <c r="O166" s="28" t="s">
        <v>44</v>
      </c>
      <c r="P166" s="28" t="s">
        <v>786</v>
      </c>
      <c r="Q166" s="28" t="s">
        <v>787</v>
      </c>
      <c r="R166" s="28" t="s">
        <v>44</v>
      </c>
      <c r="S166" s="28" t="s">
        <v>44</v>
      </c>
      <c r="T166" s="28" t="s">
        <v>44</v>
      </c>
      <c r="U166" s="28" t="s">
        <v>44</v>
      </c>
      <c r="V166" s="28" t="s">
        <v>1519</v>
      </c>
      <c r="W166" s="28" t="s">
        <v>1520</v>
      </c>
      <c r="X166" s="28"/>
      <c r="Y166" s="28"/>
      <c r="Z166" s="28"/>
      <c r="AA166" s="28"/>
    </row>
    <row r="167">
      <c r="A167" s="270" t="s">
        <v>1521</v>
      </c>
      <c r="B167" s="28" t="s">
        <v>36</v>
      </c>
      <c r="C167" s="28" t="s">
        <v>793</v>
      </c>
      <c r="D167" s="28" t="s">
        <v>44</v>
      </c>
      <c r="E167" s="28" t="s">
        <v>44</v>
      </c>
      <c r="F167" s="28" t="s">
        <v>205</v>
      </c>
      <c r="G167" s="28" t="s">
        <v>111</v>
      </c>
      <c r="H167" s="28" t="s">
        <v>91</v>
      </c>
      <c r="I167" s="28" t="s">
        <v>49</v>
      </c>
      <c r="J167" s="28" t="s">
        <v>741</v>
      </c>
      <c r="K167" s="28" t="s">
        <v>51</v>
      </c>
      <c r="L167" s="28" t="s">
        <v>52</v>
      </c>
      <c r="M167" s="28" t="s">
        <v>52</v>
      </c>
      <c r="N167" s="28" t="s">
        <v>769</v>
      </c>
      <c r="O167" s="28" t="s">
        <v>44</v>
      </c>
      <c r="P167" s="28" t="s">
        <v>797</v>
      </c>
      <c r="Q167" s="28" t="s">
        <v>798</v>
      </c>
      <c r="R167" s="28" t="s">
        <v>44</v>
      </c>
      <c r="S167" s="28" t="s">
        <v>44</v>
      </c>
      <c r="T167" s="28" t="s">
        <v>44</v>
      </c>
      <c r="U167" s="28" t="s">
        <v>44</v>
      </c>
      <c r="V167" s="28" t="s">
        <v>1523</v>
      </c>
      <c r="W167" s="28" t="s">
        <v>1524</v>
      </c>
      <c r="X167" s="28"/>
      <c r="Y167" s="28"/>
      <c r="Z167" s="28"/>
      <c r="AA167" s="28"/>
    </row>
    <row r="168">
      <c r="A168" s="270" t="s">
        <v>1526</v>
      </c>
      <c r="B168" s="28" t="s">
        <v>36</v>
      </c>
      <c r="C168" s="28" t="s">
        <v>804</v>
      </c>
      <c r="D168" s="28" t="s">
        <v>44</v>
      </c>
      <c r="E168" s="28" t="s">
        <v>44</v>
      </c>
      <c r="F168" s="28" t="s">
        <v>205</v>
      </c>
      <c r="G168" s="28" t="s">
        <v>47</v>
      </c>
      <c r="H168" s="28" t="s">
        <v>48</v>
      </c>
      <c r="I168" s="28" t="s">
        <v>49</v>
      </c>
      <c r="J168" s="28" t="s">
        <v>741</v>
      </c>
      <c r="K168" s="28" t="s">
        <v>51</v>
      </c>
      <c r="L168" s="28" t="s">
        <v>52</v>
      </c>
      <c r="M168" s="28" t="s">
        <v>52</v>
      </c>
      <c r="N168" s="28" t="s">
        <v>769</v>
      </c>
      <c r="O168" s="28" t="s">
        <v>44</v>
      </c>
      <c r="P168" s="28" t="s">
        <v>810</v>
      </c>
      <c r="Q168" s="28" t="s">
        <v>811</v>
      </c>
      <c r="R168" s="28" t="s">
        <v>44</v>
      </c>
      <c r="S168" s="28" t="s">
        <v>44</v>
      </c>
      <c r="T168" s="28" t="s">
        <v>44</v>
      </c>
      <c r="U168" s="28" t="s">
        <v>44</v>
      </c>
      <c r="V168" s="28" t="s">
        <v>1528</v>
      </c>
      <c r="W168" s="28" t="s">
        <v>774</v>
      </c>
      <c r="X168" s="28"/>
      <c r="Y168" s="28"/>
      <c r="Z168" s="28"/>
      <c r="AA168" s="28"/>
    </row>
    <row r="169">
      <c r="A169" s="270" t="s">
        <v>1529</v>
      </c>
      <c r="B169" s="28" t="s">
        <v>36</v>
      </c>
      <c r="C169" s="28" t="s">
        <v>814</v>
      </c>
      <c r="D169" s="28" t="s">
        <v>44</v>
      </c>
      <c r="E169" s="28" t="s">
        <v>44</v>
      </c>
      <c r="F169" s="28" t="s">
        <v>205</v>
      </c>
      <c r="G169" s="28" t="s">
        <v>47</v>
      </c>
      <c r="H169" s="28" t="s">
        <v>48</v>
      </c>
      <c r="I169" s="28" t="s">
        <v>49</v>
      </c>
      <c r="J169" s="28" t="s">
        <v>741</v>
      </c>
      <c r="K169" s="28" t="s">
        <v>51</v>
      </c>
      <c r="L169" s="28" t="s">
        <v>52</v>
      </c>
      <c r="M169" s="28" t="s">
        <v>52</v>
      </c>
      <c r="N169" s="28" t="s">
        <v>769</v>
      </c>
      <c r="O169" s="28" t="s">
        <v>44</v>
      </c>
      <c r="P169" s="28" t="s">
        <v>816</v>
      </c>
      <c r="Q169" s="28" t="s">
        <v>818</v>
      </c>
      <c r="R169" s="28" t="s">
        <v>44</v>
      </c>
      <c r="S169" s="28" t="s">
        <v>44</v>
      </c>
      <c r="T169" s="28" t="s">
        <v>44</v>
      </c>
      <c r="U169" s="28" t="s">
        <v>44</v>
      </c>
      <c r="V169" s="28" t="s">
        <v>1531</v>
      </c>
      <c r="W169" s="28" t="s">
        <v>1532</v>
      </c>
      <c r="X169" s="28"/>
      <c r="Y169" s="28"/>
      <c r="Z169" s="28"/>
      <c r="AA169" s="28"/>
    </row>
    <row r="170">
      <c r="A170" s="270" t="s">
        <v>1534</v>
      </c>
      <c r="B170" s="28" t="s">
        <v>36</v>
      </c>
      <c r="C170" s="28" t="s">
        <v>825</v>
      </c>
      <c r="D170" s="28" t="s">
        <v>44</v>
      </c>
      <c r="E170" s="28" t="s">
        <v>44</v>
      </c>
      <c r="F170" s="28" t="s">
        <v>205</v>
      </c>
      <c r="G170" s="28" t="s">
        <v>47</v>
      </c>
      <c r="H170" s="28" t="s">
        <v>48</v>
      </c>
      <c r="I170" s="28" t="s">
        <v>49</v>
      </c>
      <c r="J170" s="28" t="s">
        <v>741</v>
      </c>
      <c r="K170" s="28" t="s">
        <v>51</v>
      </c>
      <c r="L170" s="28" t="s">
        <v>52</v>
      </c>
      <c r="M170" s="28" t="s">
        <v>52</v>
      </c>
      <c r="N170" s="28" t="s">
        <v>769</v>
      </c>
      <c r="O170" s="28" t="s">
        <v>44</v>
      </c>
      <c r="P170" s="28" t="s">
        <v>829</v>
      </c>
      <c r="Q170" s="28" t="s">
        <v>830</v>
      </c>
      <c r="R170" s="28" t="s">
        <v>44</v>
      </c>
      <c r="S170" s="28" t="s">
        <v>44</v>
      </c>
      <c r="T170" s="28" t="s">
        <v>44</v>
      </c>
      <c r="U170" s="28" t="s">
        <v>44</v>
      </c>
      <c r="V170" s="28" t="s">
        <v>1536</v>
      </c>
      <c r="W170" s="28" t="s">
        <v>1537</v>
      </c>
      <c r="X170" s="28"/>
      <c r="Y170" s="28"/>
      <c r="Z170" s="28"/>
      <c r="AA170" s="28"/>
    </row>
    <row r="171">
      <c r="A171" s="270" t="s">
        <v>1538</v>
      </c>
      <c r="B171" s="28" t="s">
        <v>36</v>
      </c>
      <c r="C171" s="28" t="s">
        <v>833</v>
      </c>
      <c r="D171" s="28" t="s">
        <v>44</v>
      </c>
      <c r="E171" s="28" t="s">
        <v>44</v>
      </c>
      <c r="F171" s="28" t="s">
        <v>205</v>
      </c>
      <c r="G171" s="28" t="s">
        <v>47</v>
      </c>
      <c r="H171" s="28" t="s">
        <v>48</v>
      </c>
      <c r="I171" s="28" t="s">
        <v>49</v>
      </c>
      <c r="J171" s="28" t="s">
        <v>741</v>
      </c>
      <c r="K171" s="28" t="s">
        <v>51</v>
      </c>
      <c r="L171" s="28" t="s">
        <v>52</v>
      </c>
      <c r="M171" s="28" t="s">
        <v>52</v>
      </c>
      <c r="N171" s="28" t="s">
        <v>769</v>
      </c>
      <c r="O171" s="28" t="s">
        <v>44</v>
      </c>
      <c r="P171" s="28" t="s">
        <v>836</v>
      </c>
      <c r="Q171" s="28" t="s">
        <v>837</v>
      </c>
      <c r="R171" s="28" t="s">
        <v>44</v>
      </c>
      <c r="S171" s="28" t="s">
        <v>44</v>
      </c>
      <c r="T171" s="28" t="s">
        <v>44</v>
      </c>
      <c r="U171" s="28" t="s">
        <v>44</v>
      </c>
      <c r="V171" s="28" t="s">
        <v>1540</v>
      </c>
      <c r="W171" s="28" t="s">
        <v>1541</v>
      </c>
      <c r="X171" s="28"/>
      <c r="Y171" s="28"/>
      <c r="Z171" s="28"/>
      <c r="AA171" s="28"/>
    </row>
    <row r="172">
      <c r="A172" s="270" t="s">
        <v>1542</v>
      </c>
      <c r="B172" s="28" t="s">
        <v>36</v>
      </c>
      <c r="C172" s="28" t="s">
        <v>841</v>
      </c>
      <c r="D172" s="28" t="s">
        <v>44</v>
      </c>
      <c r="E172" s="28" t="s">
        <v>44</v>
      </c>
      <c r="F172" s="28" t="s">
        <v>205</v>
      </c>
      <c r="G172" s="28" t="s">
        <v>47</v>
      </c>
      <c r="H172" s="28" t="s">
        <v>48</v>
      </c>
      <c r="I172" s="28" t="s">
        <v>49</v>
      </c>
      <c r="J172" s="28" t="s">
        <v>741</v>
      </c>
      <c r="K172" s="28" t="s">
        <v>51</v>
      </c>
      <c r="L172" s="28" t="s">
        <v>52</v>
      </c>
      <c r="M172" s="28" t="s">
        <v>52</v>
      </c>
      <c r="N172" s="28" t="s">
        <v>769</v>
      </c>
      <c r="O172" s="28" t="s">
        <v>44</v>
      </c>
      <c r="P172" s="28" t="s">
        <v>843</v>
      </c>
      <c r="Q172" s="28" t="s">
        <v>846</v>
      </c>
      <c r="R172" s="28" t="s">
        <v>44</v>
      </c>
      <c r="S172" s="28" t="s">
        <v>44</v>
      </c>
      <c r="T172" s="28" t="s">
        <v>44</v>
      </c>
      <c r="U172" s="28" t="s">
        <v>44</v>
      </c>
      <c r="V172" s="28" t="s">
        <v>1543</v>
      </c>
      <c r="W172" s="28" t="s">
        <v>1544</v>
      </c>
      <c r="X172" s="28"/>
      <c r="Y172" s="28"/>
      <c r="Z172" s="28"/>
      <c r="AA172" s="28"/>
    </row>
    <row r="173">
      <c r="A173" s="270" t="s">
        <v>1546</v>
      </c>
      <c r="B173" s="28" t="s">
        <v>36</v>
      </c>
      <c r="C173" s="28" t="s">
        <v>852</v>
      </c>
      <c r="D173" s="28" t="s">
        <v>44</v>
      </c>
      <c r="E173" s="28" t="s">
        <v>44</v>
      </c>
      <c r="F173" s="28" t="s">
        <v>205</v>
      </c>
      <c r="G173" s="28" t="s">
        <v>47</v>
      </c>
      <c r="H173" s="28" t="s">
        <v>48</v>
      </c>
      <c r="I173" s="28" t="s">
        <v>49</v>
      </c>
      <c r="J173" s="28" t="s">
        <v>741</v>
      </c>
      <c r="K173" s="28" t="s">
        <v>51</v>
      </c>
      <c r="L173" s="28" t="s">
        <v>52</v>
      </c>
      <c r="M173" s="28" t="s">
        <v>52</v>
      </c>
      <c r="N173" s="28" t="s">
        <v>858</v>
      </c>
      <c r="O173" s="28" t="s">
        <v>44</v>
      </c>
      <c r="P173" s="28" t="s">
        <v>860</v>
      </c>
      <c r="Q173" s="28" t="s">
        <v>862</v>
      </c>
      <c r="R173" s="28" t="s">
        <v>44</v>
      </c>
      <c r="S173" s="28" t="s">
        <v>44</v>
      </c>
      <c r="T173" s="28" t="s">
        <v>44</v>
      </c>
      <c r="U173" s="28" t="s">
        <v>44</v>
      </c>
      <c r="V173" s="28" t="s">
        <v>1548</v>
      </c>
      <c r="W173" s="28" t="s">
        <v>774</v>
      </c>
      <c r="X173" s="28"/>
      <c r="Y173" s="28"/>
      <c r="Z173" s="28"/>
      <c r="AA173" s="28"/>
    </row>
    <row r="174">
      <c r="A174" s="270" t="s">
        <v>1549</v>
      </c>
      <c r="B174" s="28" t="s">
        <v>36</v>
      </c>
      <c r="C174" s="28" t="s">
        <v>867</v>
      </c>
      <c r="D174" s="28" t="s">
        <v>44</v>
      </c>
      <c r="E174" s="28" t="s">
        <v>44</v>
      </c>
      <c r="F174" s="28" t="s">
        <v>205</v>
      </c>
      <c r="G174" s="28" t="s">
        <v>47</v>
      </c>
      <c r="H174" s="28" t="s">
        <v>48</v>
      </c>
      <c r="I174" s="28" t="s">
        <v>49</v>
      </c>
      <c r="J174" s="28" t="s">
        <v>741</v>
      </c>
      <c r="K174" s="28" t="s">
        <v>51</v>
      </c>
      <c r="L174" s="28" t="s">
        <v>52</v>
      </c>
      <c r="M174" s="28" t="s">
        <v>52</v>
      </c>
      <c r="N174" s="28" t="s">
        <v>872</v>
      </c>
      <c r="O174" s="28" t="s">
        <v>44</v>
      </c>
      <c r="P174" s="28" t="s">
        <v>874</v>
      </c>
      <c r="Q174" s="28" t="s">
        <v>876</v>
      </c>
      <c r="R174" s="28" t="s">
        <v>44</v>
      </c>
      <c r="S174" s="28" t="s">
        <v>44</v>
      </c>
      <c r="T174" s="28" t="s">
        <v>44</v>
      </c>
      <c r="U174" s="28" t="s">
        <v>44</v>
      </c>
      <c r="V174" s="28" t="s">
        <v>1551</v>
      </c>
      <c r="W174" s="28" t="s">
        <v>1552</v>
      </c>
      <c r="X174" s="28"/>
      <c r="Y174" s="28"/>
      <c r="Z174" s="28"/>
      <c r="AA174" s="28"/>
    </row>
    <row r="175">
      <c r="A175" s="270" t="s">
        <v>1553</v>
      </c>
      <c r="B175" s="28" t="s">
        <v>36</v>
      </c>
      <c r="C175" s="28" t="s">
        <v>884</v>
      </c>
      <c r="D175" s="28" t="s">
        <v>44</v>
      </c>
      <c r="E175" s="28" t="s">
        <v>44</v>
      </c>
      <c r="F175" s="28" t="s">
        <v>205</v>
      </c>
      <c r="G175" s="28" t="s">
        <v>47</v>
      </c>
      <c r="H175" s="28" t="s">
        <v>91</v>
      </c>
      <c r="I175" s="28" t="s">
        <v>49</v>
      </c>
      <c r="J175" s="28" t="s">
        <v>741</v>
      </c>
      <c r="K175" s="28" t="s">
        <v>51</v>
      </c>
      <c r="L175" s="28" t="s">
        <v>52</v>
      </c>
      <c r="M175" s="28" t="s">
        <v>52</v>
      </c>
      <c r="N175" s="28" t="s">
        <v>889</v>
      </c>
      <c r="O175" s="28" t="s">
        <v>44</v>
      </c>
      <c r="P175" s="28" t="s">
        <v>891</v>
      </c>
      <c r="Q175" s="28" t="s">
        <v>893</v>
      </c>
      <c r="R175" s="28" t="s">
        <v>44</v>
      </c>
      <c r="S175" s="28" t="s">
        <v>44</v>
      </c>
      <c r="T175" s="28" t="s">
        <v>44</v>
      </c>
      <c r="U175" s="28" t="s">
        <v>44</v>
      </c>
      <c r="V175" s="28" t="s">
        <v>1555</v>
      </c>
      <c r="W175" s="28" t="s">
        <v>1556</v>
      </c>
      <c r="X175" s="28"/>
      <c r="Y175" s="28"/>
      <c r="Z175" s="28"/>
      <c r="AA175" s="28"/>
    </row>
    <row r="176">
      <c r="A176" s="270" t="s">
        <v>1558</v>
      </c>
      <c r="B176" s="28" t="s">
        <v>36</v>
      </c>
      <c r="C176" s="28" t="s">
        <v>899</v>
      </c>
      <c r="D176" s="28" t="s">
        <v>44</v>
      </c>
      <c r="E176" s="28" t="s">
        <v>44</v>
      </c>
      <c r="F176" s="28" t="s">
        <v>205</v>
      </c>
      <c r="G176" s="28" t="s">
        <v>85</v>
      </c>
      <c r="H176" s="28" t="s">
        <v>86</v>
      </c>
      <c r="I176" s="28" t="s">
        <v>49</v>
      </c>
      <c r="J176" s="28" t="s">
        <v>741</v>
      </c>
      <c r="K176" s="28" t="s">
        <v>51</v>
      </c>
      <c r="L176" s="28" t="s">
        <v>52</v>
      </c>
      <c r="M176" s="28" t="s">
        <v>52</v>
      </c>
      <c r="N176" s="28" t="s">
        <v>889</v>
      </c>
      <c r="O176" s="28" t="s">
        <v>44</v>
      </c>
      <c r="P176" s="28" t="s">
        <v>905</v>
      </c>
      <c r="Q176" s="28" t="s">
        <v>907</v>
      </c>
      <c r="R176" s="28" t="s">
        <v>44</v>
      </c>
      <c r="S176" s="28" t="s">
        <v>44</v>
      </c>
      <c r="T176" s="28" t="s">
        <v>44</v>
      </c>
      <c r="U176" s="28" t="s">
        <v>44</v>
      </c>
      <c r="V176" s="28" t="s">
        <v>1559</v>
      </c>
      <c r="W176" s="28" t="s">
        <v>1560</v>
      </c>
      <c r="X176" s="28"/>
      <c r="Y176" s="28"/>
      <c r="Z176" s="28"/>
      <c r="AA176" s="28"/>
    </row>
    <row r="177">
      <c r="A177" s="270" t="s">
        <v>1561</v>
      </c>
      <c r="B177" s="28" t="s">
        <v>36</v>
      </c>
      <c r="C177" s="28" t="s">
        <v>915</v>
      </c>
      <c r="D177" s="28" t="s">
        <v>44</v>
      </c>
      <c r="E177" s="28" t="s">
        <v>44</v>
      </c>
      <c r="F177" s="28" t="s">
        <v>205</v>
      </c>
      <c r="G177" s="28" t="s">
        <v>47</v>
      </c>
      <c r="H177" s="28" t="s">
        <v>95</v>
      </c>
      <c r="I177" s="28" t="s">
        <v>49</v>
      </c>
      <c r="J177" s="28" t="s">
        <v>741</v>
      </c>
      <c r="K177" s="28" t="s">
        <v>51</v>
      </c>
      <c r="L177" s="28" t="s">
        <v>52</v>
      </c>
      <c r="M177" s="28" t="s">
        <v>52</v>
      </c>
      <c r="N177" s="28" t="s">
        <v>917</v>
      </c>
      <c r="O177" s="28" t="s">
        <v>44</v>
      </c>
      <c r="P177" s="28" t="s">
        <v>742</v>
      </c>
      <c r="Q177" s="28" t="s">
        <v>919</v>
      </c>
      <c r="R177" s="28" t="s">
        <v>44</v>
      </c>
      <c r="S177" s="28" t="s">
        <v>44</v>
      </c>
      <c r="T177" s="28" t="s">
        <v>44</v>
      </c>
      <c r="U177" s="28" t="s">
        <v>44</v>
      </c>
      <c r="V177" s="28" t="s">
        <v>1563</v>
      </c>
      <c r="W177" s="28" t="s">
        <v>1301</v>
      </c>
      <c r="X177" s="28"/>
      <c r="Y177" s="28"/>
      <c r="Z177" s="28"/>
      <c r="AA177" s="28"/>
    </row>
    <row r="178">
      <c r="A178" s="270" t="s">
        <v>1564</v>
      </c>
      <c r="B178" s="28" t="s">
        <v>36</v>
      </c>
      <c r="C178" s="28" t="s">
        <v>921</v>
      </c>
      <c r="D178" s="28" t="s">
        <v>44</v>
      </c>
      <c r="E178" s="28" t="s">
        <v>44</v>
      </c>
      <c r="F178" s="28" t="s">
        <v>923</v>
      </c>
      <c r="G178" s="28" t="s">
        <v>47</v>
      </c>
      <c r="H178" s="28" t="s">
        <v>48</v>
      </c>
      <c r="I178" s="28" t="s">
        <v>485</v>
      </c>
      <c r="J178" s="28" t="s">
        <v>926</v>
      </c>
      <c r="K178" s="28" t="s">
        <v>927</v>
      </c>
      <c r="L178" s="28" t="s">
        <v>52</v>
      </c>
      <c r="M178" s="28" t="s">
        <v>52</v>
      </c>
      <c r="N178" s="28" t="s">
        <v>931</v>
      </c>
      <c r="O178" s="28" t="s">
        <v>44</v>
      </c>
      <c r="P178" s="28" t="s">
        <v>934</v>
      </c>
      <c r="Q178" s="28" t="s">
        <v>937</v>
      </c>
      <c r="R178" s="28" t="s">
        <v>44</v>
      </c>
      <c r="S178" s="28" t="s">
        <v>44</v>
      </c>
      <c r="T178" s="28" t="s">
        <v>44</v>
      </c>
      <c r="U178" s="28" t="s">
        <v>44</v>
      </c>
      <c r="V178" s="28" t="s">
        <v>1567</v>
      </c>
      <c r="W178" s="28" t="s">
        <v>774</v>
      </c>
      <c r="X178" s="28"/>
      <c r="Y178" s="28"/>
      <c r="Z178" s="28"/>
      <c r="AA178" s="28"/>
    </row>
    <row r="179">
      <c r="A179" s="270" t="s">
        <v>1568</v>
      </c>
      <c r="B179" s="28" t="s">
        <v>36</v>
      </c>
      <c r="C179" s="28" t="s">
        <v>943</v>
      </c>
      <c r="D179" s="28" t="s">
        <v>44</v>
      </c>
      <c r="E179" s="28" t="s">
        <v>44</v>
      </c>
      <c r="F179" s="28" t="s">
        <v>923</v>
      </c>
      <c r="G179" s="28" t="s">
        <v>47</v>
      </c>
      <c r="H179" s="28" t="s">
        <v>48</v>
      </c>
      <c r="I179" s="28" t="s">
        <v>485</v>
      </c>
      <c r="J179" s="28" t="s">
        <v>926</v>
      </c>
      <c r="K179" s="28" t="s">
        <v>927</v>
      </c>
      <c r="L179" s="28" t="s">
        <v>52</v>
      </c>
      <c r="M179" s="28" t="s">
        <v>52</v>
      </c>
      <c r="N179" s="28" t="s">
        <v>931</v>
      </c>
      <c r="O179" s="28" t="s">
        <v>44</v>
      </c>
      <c r="P179" s="28" t="s">
        <v>945</v>
      </c>
      <c r="Q179" s="28" t="s">
        <v>946</v>
      </c>
      <c r="R179" s="28" t="s">
        <v>44</v>
      </c>
      <c r="S179" s="28" t="s">
        <v>44</v>
      </c>
      <c r="T179" s="28" t="s">
        <v>44</v>
      </c>
      <c r="U179" s="28" t="s">
        <v>44</v>
      </c>
      <c r="V179" s="28" t="s">
        <v>1570</v>
      </c>
      <c r="W179" s="28" t="s">
        <v>1571</v>
      </c>
      <c r="X179" s="28"/>
      <c r="Y179" s="28"/>
      <c r="Z179" s="28"/>
      <c r="AA179" s="28"/>
    </row>
    <row r="180">
      <c r="A180" s="270" t="s">
        <v>1572</v>
      </c>
      <c r="B180" s="28" t="s">
        <v>36</v>
      </c>
      <c r="C180" s="28" t="s">
        <v>950</v>
      </c>
      <c r="D180" s="28" t="s">
        <v>44</v>
      </c>
      <c r="E180" s="28" t="s">
        <v>44</v>
      </c>
      <c r="F180" s="28" t="s">
        <v>923</v>
      </c>
      <c r="G180" s="28" t="s">
        <v>47</v>
      </c>
      <c r="H180" s="28" t="s">
        <v>48</v>
      </c>
      <c r="I180" s="28" t="s">
        <v>485</v>
      </c>
      <c r="J180" s="28" t="s">
        <v>926</v>
      </c>
      <c r="K180" s="28" t="s">
        <v>927</v>
      </c>
      <c r="L180" s="28" t="s">
        <v>52</v>
      </c>
      <c r="M180" s="28" t="s">
        <v>52</v>
      </c>
      <c r="N180" s="28" t="s">
        <v>931</v>
      </c>
      <c r="O180" s="28" t="s">
        <v>44</v>
      </c>
      <c r="P180" s="28" t="s">
        <v>955</v>
      </c>
      <c r="Q180" s="28" t="s">
        <v>956</v>
      </c>
      <c r="R180" s="28" t="s">
        <v>44</v>
      </c>
      <c r="S180" s="28" t="s">
        <v>44</v>
      </c>
      <c r="T180" s="28" t="s">
        <v>44</v>
      </c>
      <c r="U180" s="28" t="s">
        <v>44</v>
      </c>
      <c r="V180" s="28" t="s">
        <v>1576</v>
      </c>
      <c r="W180" s="28" t="s">
        <v>1577</v>
      </c>
      <c r="X180" s="28"/>
      <c r="Y180" s="28"/>
      <c r="Z180" s="28"/>
      <c r="AA180" s="28"/>
    </row>
    <row r="181">
      <c r="A181" s="270" t="s">
        <v>1578</v>
      </c>
      <c r="B181" s="28" t="s">
        <v>36</v>
      </c>
      <c r="C181" s="28" t="s">
        <v>994</v>
      </c>
      <c r="D181" s="28" t="s">
        <v>44</v>
      </c>
      <c r="E181" s="28" t="s">
        <v>44</v>
      </c>
      <c r="F181" s="28" t="s">
        <v>923</v>
      </c>
      <c r="G181" s="28" t="s">
        <v>47</v>
      </c>
      <c r="H181" s="28" t="s">
        <v>48</v>
      </c>
      <c r="I181" s="28" t="s">
        <v>485</v>
      </c>
      <c r="J181" s="28" t="s">
        <v>926</v>
      </c>
      <c r="K181" s="28" t="s">
        <v>927</v>
      </c>
      <c r="L181" s="28" t="s">
        <v>52</v>
      </c>
      <c r="M181" s="28" t="s">
        <v>52</v>
      </c>
      <c r="N181" s="28" t="s">
        <v>931</v>
      </c>
      <c r="O181" s="28" t="s">
        <v>44</v>
      </c>
      <c r="P181" s="28" t="s">
        <v>996</v>
      </c>
      <c r="Q181" s="28" t="s">
        <v>997</v>
      </c>
      <c r="R181" s="28" t="s">
        <v>44</v>
      </c>
      <c r="S181" s="28" t="s">
        <v>44</v>
      </c>
      <c r="T181" s="28" t="s">
        <v>44</v>
      </c>
      <c r="U181" s="28" t="s">
        <v>44</v>
      </c>
      <c r="V181" s="28" t="s">
        <v>1579</v>
      </c>
      <c r="W181" s="28" t="s">
        <v>774</v>
      </c>
      <c r="X181" s="28"/>
      <c r="Y181" s="28"/>
      <c r="Z181" s="28"/>
      <c r="AA181" s="28"/>
    </row>
    <row r="182">
      <c r="A182" s="270" t="s">
        <v>1581</v>
      </c>
      <c r="B182" s="28" t="s">
        <v>36</v>
      </c>
      <c r="C182" s="28" t="s">
        <v>1001</v>
      </c>
      <c r="D182" s="28" t="s">
        <v>44</v>
      </c>
      <c r="E182" s="28" t="s">
        <v>44</v>
      </c>
      <c r="F182" s="28" t="s">
        <v>923</v>
      </c>
      <c r="G182" s="28" t="s">
        <v>47</v>
      </c>
      <c r="H182" s="28" t="s">
        <v>48</v>
      </c>
      <c r="I182" s="28" t="s">
        <v>485</v>
      </c>
      <c r="J182" s="28" t="s">
        <v>926</v>
      </c>
      <c r="K182" s="28" t="s">
        <v>927</v>
      </c>
      <c r="L182" s="28" t="s">
        <v>52</v>
      </c>
      <c r="M182" s="28" t="s">
        <v>52</v>
      </c>
      <c r="N182" s="28" t="s">
        <v>931</v>
      </c>
      <c r="O182" s="28" t="s">
        <v>44</v>
      </c>
      <c r="P182" s="310" t="s">
        <v>1002</v>
      </c>
      <c r="Q182" s="310" t="s">
        <v>1585</v>
      </c>
      <c r="R182" s="28" t="s">
        <v>44</v>
      </c>
      <c r="S182" s="28" t="s">
        <v>44</v>
      </c>
      <c r="T182" s="28" t="s">
        <v>44</v>
      </c>
      <c r="U182" s="28" t="s">
        <v>44</v>
      </c>
      <c r="V182" s="28" t="s">
        <v>1586</v>
      </c>
      <c r="W182" s="28" t="s">
        <v>774</v>
      </c>
      <c r="X182" s="28"/>
      <c r="Y182" s="28"/>
      <c r="Z182" s="28"/>
      <c r="AA182" s="28"/>
    </row>
    <row r="183">
      <c r="A183" s="270" t="s">
        <v>1587</v>
      </c>
      <c r="B183" s="28" t="s">
        <v>36</v>
      </c>
      <c r="C183" s="28" t="s">
        <v>1007</v>
      </c>
      <c r="D183" s="28" t="s">
        <v>44</v>
      </c>
      <c r="E183" s="28" t="s">
        <v>44</v>
      </c>
      <c r="F183" s="28" t="s">
        <v>923</v>
      </c>
      <c r="G183" s="28" t="s">
        <v>47</v>
      </c>
      <c r="H183" s="28" t="s">
        <v>48</v>
      </c>
      <c r="I183" s="28" t="s">
        <v>485</v>
      </c>
      <c r="J183" s="28" t="s">
        <v>926</v>
      </c>
      <c r="K183" s="28" t="s">
        <v>927</v>
      </c>
      <c r="L183" s="28" t="s">
        <v>52</v>
      </c>
      <c r="M183" s="28" t="s">
        <v>52</v>
      </c>
      <c r="N183" s="28" t="s">
        <v>931</v>
      </c>
      <c r="O183" s="28" t="s">
        <v>44</v>
      </c>
      <c r="P183" s="310" t="s">
        <v>1009</v>
      </c>
      <c r="Q183" s="310" t="s">
        <v>1010</v>
      </c>
      <c r="R183" s="28" t="s">
        <v>44</v>
      </c>
      <c r="S183" s="28" t="s">
        <v>44</v>
      </c>
      <c r="T183" s="28" t="s">
        <v>44</v>
      </c>
      <c r="U183" s="28" t="s">
        <v>44</v>
      </c>
      <c r="V183" s="28" t="s">
        <v>1589</v>
      </c>
      <c r="W183" s="28" t="s">
        <v>1590</v>
      </c>
      <c r="X183" s="28"/>
      <c r="Y183" s="28"/>
      <c r="Z183" s="28"/>
      <c r="AA183" s="28"/>
    </row>
    <row r="184">
      <c r="A184" s="270" t="s">
        <v>1591</v>
      </c>
      <c r="B184" s="28" t="s">
        <v>36</v>
      </c>
      <c r="C184" s="28" t="s">
        <v>1011</v>
      </c>
      <c r="D184" s="28" t="s">
        <v>44</v>
      </c>
      <c r="E184" s="28" t="s">
        <v>44</v>
      </c>
      <c r="F184" s="28" t="s">
        <v>923</v>
      </c>
      <c r="G184" s="28" t="s">
        <v>197</v>
      </c>
      <c r="H184" s="28" t="s">
        <v>112</v>
      </c>
      <c r="I184" s="28" t="s">
        <v>485</v>
      </c>
      <c r="J184" s="28" t="s">
        <v>926</v>
      </c>
      <c r="K184" s="28" t="s">
        <v>927</v>
      </c>
      <c r="L184" s="28" t="s">
        <v>52</v>
      </c>
      <c r="M184" s="28" t="s">
        <v>52</v>
      </c>
      <c r="N184" s="28" t="s">
        <v>1012</v>
      </c>
      <c r="O184" s="28" t="s">
        <v>44</v>
      </c>
      <c r="P184" s="28" t="s">
        <v>1013</v>
      </c>
      <c r="Q184" s="28" t="s">
        <v>1015</v>
      </c>
      <c r="R184" s="28" t="s">
        <v>44</v>
      </c>
      <c r="S184" s="28" t="s">
        <v>44</v>
      </c>
      <c r="T184" s="28" t="s">
        <v>44</v>
      </c>
      <c r="U184" s="28" t="s">
        <v>44</v>
      </c>
      <c r="V184" s="28" t="s">
        <v>1594</v>
      </c>
      <c r="W184" s="28" t="s">
        <v>1595</v>
      </c>
      <c r="X184" s="28"/>
      <c r="Y184" s="28"/>
      <c r="Z184" s="28"/>
      <c r="AA184" s="28"/>
    </row>
    <row r="185">
      <c r="A185" s="270" t="s">
        <v>1596</v>
      </c>
      <c r="B185" s="28" t="s">
        <v>36</v>
      </c>
      <c r="C185" s="28" t="s">
        <v>1020</v>
      </c>
      <c r="D185" s="28" t="s">
        <v>44</v>
      </c>
      <c r="E185" s="28" t="s">
        <v>44</v>
      </c>
      <c r="F185" s="28" t="s">
        <v>923</v>
      </c>
      <c r="G185" s="28" t="s">
        <v>47</v>
      </c>
      <c r="H185" s="28" t="s">
        <v>95</v>
      </c>
      <c r="I185" s="28" t="s">
        <v>485</v>
      </c>
      <c r="J185" s="28" t="s">
        <v>926</v>
      </c>
      <c r="K185" s="28" t="s">
        <v>927</v>
      </c>
      <c r="L185" s="28" t="s">
        <v>52</v>
      </c>
      <c r="M185" s="28" t="s">
        <v>52</v>
      </c>
      <c r="N185" s="28" t="s">
        <v>931</v>
      </c>
      <c r="O185" s="28" t="s">
        <v>44</v>
      </c>
      <c r="P185" s="310" t="s">
        <v>1024</v>
      </c>
      <c r="Q185" s="310" t="s">
        <v>1598</v>
      </c>
      <c r="R185" s="28" t="s">
        <v>44</v>
      </c>
      <c r="S185" s="28" t="s">
        <v>44</v>
      </c>
      <c r="T185" s="28" t="s">
        <v>44</v>
      </c>
      <c r="U185" s="28" t="s">
        <v>44</v>
      </c>
      <c r="V185" s="28" t="s">
        <v>1599</v>
      </c>
      <c r="W185" s="28" t="s">
        <v>1600</v>
      </c>
      <c r="X185" s="28"/>
      <c r="Y185" s="28"/>
      <c r="Z185" s="28"/>
      <c r="AA185" s="28"/>
    </row>
    <row r="186">
      <c r="A186" s="270" t="s">
        <v>1603</v>
      </c>
      <c r="B186" s="28" t="s">
        <v>36</v>
      </c>
      <c r="C186" s="28" t="s">
        <v>1030</v>
      </c>
      <c r="D186" s="28" t="s">
        <v>44</v>
      </c>
      <c r="E186" s="28" t="s">
        <v>44</v>
      </c>
      <c r="F186" s="28" t="s">
        <v>923</v>
      </c>
      <c r="G186" s="28" t="s">
        <v>47</v>
      </c>
      <c r="H186" s="28" t="s">
        <v>48</v>
      </c>
      <c r="I186" s="28" t="s">
        <v>485</v>
      </c>
      <c r="J186" s="28" t="s">
        <v>926</v>
      </c>
      <c r="K186" s="28" t="s">
        <v>927</v>
      </c>
      <c r="L186" s="28" t="s">
        <v>52</v>
      </c>
      <c r="M186" s="28" t="s">
        <v>52</v>
      </c>
      <c r="N186" s="28" t="s">
        <v>931</v>
      </c>
      <c r="O186" s="28" t="s">
        <v>44</v>
      </c>
      <c r="P186" s="28" t="s">
        <v>1034</v>
      </c>
      <c r="Q186" s="28" t="s">
        <v>1035</v>
      </c>
      <c r="R186" s="28" t="s">
        <v>44</v>
      </c>
      <c r="S186" s="28" t="s">
        <v>44</v>
      </c>
      <c r="T186" s="28" t="s">
        <v>44</v>
      </c>
      <c r="U186" s="28" t="s">
        <v>44</v>
      </c>
      <c r="V186" s="28" t="s">
        <v>1605</v>
      </c>
      <c r="W186" s="28" t="s">
        <v>774</v>
      </c>
      <c r="X186" s="28"/>
      <c r="Y186" s="28"/>
      <c r="Z186" s="28"/>
      <c r="AA186" s="28"/>
    </row>
    <row r="187">
      <c r="A187" s="270" t="s">
        <v>1607</v>
      </c>
      <c r="B187" s="28" t="s">
        <v>36</v>
      </c>
      <c r="C187" s="28" t="s">
        <v>1038</v>
      </c>
      <c r="D187" s="28" t="s">
        <v>44</v>
      </c>
      <c r="E187" s="28" t="s">
        <v>44</v>
      </c>
      <c r="F187" s="28" t="s">
        <v>923</v>
      </c>
      <c r="G187" s="28" t="s">
        <v>47</v>
      </c>
      <c r="H187" s="28" t="s">
        <v>48</v>
      </c>
      <c r="I187" s="28" t="s">
        <v>485</v>
      </c>
      <c r="J187" s="28" t="s">
        <v>926</v>
      </c>
      <c r="K187" s="28" t="s">
        <v>927</v>
      </c>
      <c r="L187" s="28" t="s">
        <v>52</v>
      </c>
      <c r="M187" s="28" t="s">
        <v>52</v>
      </c>
      <c r="N187" s="28" t="s">
        <v>931</v>
      </c>
      <c r="O187" s="28" t="s">
        <v>44</v>
      </c>
      <c r="P187" s="28" t="s">
        <v>1040</v>
      </c>
      <c r="Q187" s="28" t="s">
        <v>1041</v>
      </c>
      <c r="R187" s="28" t="s">
        <v>44</v>
      </c>
      <c r="S187" s="28" t="s">
        <v>44</v>
      </c>
      <c r="T187" s="28" t="s">
        <v>44</v>
      </c>
      <c r="U187" s="28" t="s">
        <v>44</v>
      </c>
      <c r="V187" s="28" t="s">
        <v>1611</v>
      </c>
      <c r="W187" s="28" t="s">
        <v>774</v>
      </c>
      <c r="X187" s="28"/>
      <c r="Y187" s="28"/>
      <c r="Z187" s="28"/>
      <c r="AA187" s="28"/>
    </row>
    <row r="188">
      <c r="A188" s="270" t="s">
        <v>1613</v>
      </c>
      <c r="B188" s="28" t="s">
        <v>36</v>
      </c>
      <c r="C188" s="28" t="s">
        <v>1045</v>
      </c>
      <c r="D188" s="28" t="s">
        <v>44</v>
      </c>
      <c r="E188" s="28" t="s">
        <v>44</v>
      </c>
      <c r="F188" s="28" t="s">
        <v>923</v>
      </c>
      <c r="G188" s="28" t="s">
        <v>85</v>
      </c>
      <c r="H188" s="28" t="s">
        <v>86</v>
      </c>
      <c r="I188" s="28" t="s">
        <v>485</v>
      </c>
      <c r="J188" s="28" t="s">
        <v>926</v>
      </c>
      <c r="K188" s="28" t="s">
        <v>927</v>
      </c>
      <c r="L188" s="28" t="s">
        <v>52</v>
      </c>
      <c r="M188" s="28" t="s">
        <v>52</v>
      </c>
      <c r="N188" s="28" t="s">
        <v>1049</v>
      </c>
      <c r="O188" s="28" t="s">
        <v>44</v>
      </c>
      <c r="P188" s="28" t="s">
        <v>1050</v>
      </c>
      <c r="Q188" s="310" t="s">
        <v>1051</v>
      </c>
      <c r="R188" s="28" t="s">
        <v>44</v>
      </c>
      <c r="S188" s="28" t="s">
        <v>44</v>
      </c>
      <c r="T188" s="28" t="s">
        <v>44</v>
      </c>
      <c r="U188" s="28" t="s">
        <v>44</v>
      </c>
      <c r="V188" s="28" t="s">
        <v>1620</v>
      </c>
      <c r="W188" s="28" t="s">
        <v>774</v>
      </c>
      <c r="X188" s="28"/>
      <c r="Y188" s="28"/>
      <c r="Z188" s="28"/>
      <c r="AA188" s="28"/>
    </row>
    <row r="189">
      <c r="A189" s="270" t="s">
        <v>1621</v>
      </c>
      <c r="B189" s="28" t="s">
        <v>36</v>
      </c>
      <c r="C189" s="28" t="s">
        <v>1056</v>
      </c>
      <c r="D189" s="28" t="s">
        <v>44</v>
      </c>
      <c r="E189" s="28" t="s">
        <v>44</v>
      </c>
      <c r="F189" s="28" t="s">
        <v>923</v>
      </c>
      <c r="G189" s="28" t="s">
        <v>85</v>
      </c>
      <c r="H189" s="28" t="s">
        <v>86</v>
      </c>
      <c r="I189" s="28" t="s">
        <v>485</v>
      </c>
      <c r="J189" s="28" t="s">
        <v>926</v>
      </c>
      <c r="K189" s="28" t="s">
        <v>927</v>
      </c>
      <c r="L189" s="28" t="s">
        <v>52</v>
      </c>
      <c r="M189" s="28" t="s">
        <v>52</v>
      </c>
      <c r="N189" s="28" t="s">
        <v>1060</v>
      </c>
      <c r="O189" s="28" t="s">
        <v>44</v>
      </c>
      <c r="P189" s="28" t="s">
        <v>1063</v>
      </c>
      <c r="Q189" s="310" t="s">
        <v>1051</v>
      </c>
      <c r="R189" s="28" t="s">
        <v>44</v>
      </c>
      <c r="S189" s="28" t="s">
        <v>44</v>
      </c>
      <c r="T189" s="28" t="s">
        <v>44</v>
      </c>
      <c r="U189" s="28" t="s">
        <v>44</v>
      </c>
      <c r="V189" s="28" t="s">
        <v>1622</v>
      </c>
      <c r="W189" s="28" t="s">
        <v>774</v>
      </c>
      <c r="X189" s="28"/>
      <c r="Y189" s="28"/>
      <c r="Z189" s="28"/>
      <c r="AA189" s="28"/>
    </row>
    <row r="190">
      <c r="A190" s="270" t="s">
        <v>1623</v>
      </c>
      <c r="B190" s="28" t="s">
        <v>36</v>
      </c>
      <c r="C190" s="28" t="s">
        <v>1088</v>
      </c>
      <c r="D190" s="28" t="s">
        <v>44</v>
      </c>
      <c r="E190" s="28" t="s">
        <v>44</v>
      </c>
      <c r="F190" s="28" t="s">
        <v>923</v>
      </c>
      <c r="G190" s="28" t="s">
        <v>47</v>
      </c>
      <c r="H190" s="28" t="s">
        <v>48</v>
      </c>
      <c r="I190" s="28" t="s">
        <v>485</v>
      </c>
      <c r="J190" s="28" t="s">
        <v>926</v>
      </c>
      <c r="K190" s="28" t="s">
        <v>927</v>
      </c>
      <c r="L190" s="28" t="s">
        <v>52</v>
      </c>
      <c r="M190" s="28" t="s">
        <v>52</v>
      </c>
      <c r="N190" s="28" t="s">
        <v>931</v>
      </c>
      <c r="O190" s="28" t="s">
        <v>44</v>
      </c>
      <c r="P190" s="28" t="s">
        <v>1624</v>
      </c>
      <c r="Q190" s="28" t="s">
        <v>1625</v>
      </c>
      <c r="R190" s="28" t="s">
        <v>44</v>
      </c>
      <c r="S190" s="28" t="s">
        <v>44</v>
      </c>
      <c r="T190" s="28" t="s">
        <v>44</v>
      </c>
      <c r="U190" s="28" t="s">
        <v>44</v>
      </c>
      <c r="V190" s="28" t="s">
        <v>1626</v>
      </c>
      <c r="W190" s="28" t="s">
        <v>1627</v>
      </c>
      <c r="X190" s="28"/>
      <c r="Y190" s="28"/>
      <c r="Z190" s="28"/>
      <c r="AA190" s="28"/>
    </row>
    <row r="191">
      <c r="A191" s="270" t="s">
        <v>1628</v>
      </c>
      <c r="B191" s="28" t="s">
        <v>36</v>
      </c>
      <c r="C191" s="28" t="s">
        <v>1104</v>
      </c>
      <c r="D191" s="28" t="s">
        <v>44</v>
      </c>
      <c r="E191" s="28" t="s">
        <v>44</v>
      </c>
      <c r="F191" s="28" t="s">
        <v>923</v>
      </c>
      <c r="G191" s="28" t="s">
        <v>47</v>
      </c>
      <c r="H191" s="28" t="s">
        <v>48</v>
      </c>
      <c r="I191" s="28" t="s">
        <v>485</v>
      </c>
      <c r="J191" s="28" t="s">
        <v>926</v>
      </c>
      <c r="K191" s="28" t="s">
        <v>927</v>
      </c>
      <c r="L191" s="28" t="s">
        <v>52</v>
      </c>
      <c r="M191" s="28" t="s">
        <v>52</v>
      </c>
      <c r="N191" s="28" t="s">
        <v>931</v>
      </c>
      <c r="O191" s="28" t="s">
        <v>44</v>
      </c>
      <c r="P191" s="28" t="s">
        <v>1106</v>
      </c>
      <c r="Q191" s="28" t="s">
        <v>1107</v>
      </c>
      <c r="R191" s="28" t="s">
        <v>44</v>
      </c>
      <c r="S191" s="28" t="s">
        <v>44</v>
      </c>
      <c r="T191" s="28" t="s">
        <v>44</v>
      </c>
      <c r="U191" s="28" t="s">
        <v>44</v>
      </c>
      <c r="V191" s="28" t="s">
        <v>1629</v>
      </c>
      <c r="W191" s="28" t="s">
        <v>1630</v>
      </c>
      <c r="X191" s="28"/>
      <c r="Y191" s="28"/>
      <c r="Z191" s="28"/>
      <c r="AA191" s="28"/>
    </row>
    <row r="192">
      <c r="A192" s="270" t="s">
        <v>1631</v>
      </c>
      <c r="B192" s="28" t="s">
        <v>36</v>
      </c>
      <c r="C192" s="28" t="s">
        <v>1110</v>
      </c>
      <c r="D192" s="28" t="s">
        <v>44</v>
      </c>
      <c r="E192" s="28" t="s">
        <v>44</v>
      </c>
      <c r="F192" s="28" t="s">
        <v>923</v>
      </c>
      <c r="G192" s="28" t="s">
        <v>47</v>
      </c>
      <c r="H192" s="28" t="s">
        <v>48</v>
      </c>
      <c r="I192" s="28" t="s">
        <v>485</v>
      </c>
      <c r="J192" s="28" t="s">
        <v>926</v>
      </c>
      <c r="K192" s="28" t="s">
        <v>927</v>
      </c>
      <c r="L192" s="28" t="s">
        <v>52</v>
      </c>
      <c r="M192" s="28" t="s">
        <v>52</v>
      </c>
      <c r="N192" s="28" t="s">
        <v>931</v>
      </c>
      <c r="O192" s="28" t="s">
        <v>44</v>
      </c>
      <c r="P192" s="28" t="s">
        <v>1113</v>
      </c>
      <c r="Q192" s="1" t="s">
        <v>1633</v>
      </c>
      <c r="R192" s="28" t="s">
        <v>44</v>
      </c>
      <c r="S192" s="28" t="s">
        <v>44</v>
      </c>
      <c r="T192" s="28" t="s">
        <v>44</v>
      </c>
      <c r="U192" s="28" t="s">
        <v>44</v>
      </c>
      <c r="V192" s="28" t="s">
        <v>1634</v>
      </c>
      <c r="W192" s="28" t="s">
        <v>774</v>
      </c>
      <c r="X192" s="28"/>
      <c r="Y192" s="28"/>
      <c r="Z192" s="28"/>
      <c r="AA192" s="28"/>
    </row>
    <row r="193">
      <c r="A193" s="270" t="s">
        <v>1636</v>
      </c>
      <c r="B193" s="28" t="s">
        <v>36</v>
      </c>
      <c r="C193" s="28" t="s">
        <v>1118</v>
      </c>
      <c r="D193" s="28" t="s">
        <v>44</v>
      </c>
      <c r="E193" s="28" t="s">
        <v>44</v>
      </c>
      <c r="F193" s="28" t="s">
        <v>923</v>
      </c>
      <c r="G193" s="28" t="s">
        <v>47</v>
      </c>
      <c r="H193" s="28" t="s">
        <v>48</v>
      </c>
      <c r="I193" s="28" t="s">
        <v>485</v>
      </c>
      <c r="J193" s="28" t="s">
        <v>926</v>
      </c>
      <c r="K193" s="28" t="s">
        <v>927</v>
      </c>
      <c r="L193" s="28" t="s">
        <v>52</v>
      </c>
      <c r="M193" s="28" t="s">
        <v>52</v>
      </c>
      <c r="N193" s="28" t="s">
        <v>931</v>
      </c>
      <c r="O193" s="28" t="s">
        <v>44</v>
      </c>
      <c r="P193" s="28" t="s">
        <v>1121</v>
      </c>
      <c r="Q193" s="271" t="s">
        <v>1122</v>
      </c>
      <c r="R193" s="28" t="s">
        <v>44</v>
      </c>
      <c r="S193" s="28" t="s">
        <v>44</v>
      </c>
      <c r="T193" s="28" t="s">
        <v>44</v>
      </c>
      <c r="U193" s="28" t="s">
        <v>44</v>
      </c>
      <c r="V193" s="28" t="s">
        <v>1639</v>
      </c>
      <c r="W193" s="28" t="s">
        <v>774</v>
      </c>
      <c r="X193" s="28"/>
      <c r="Y193" s="28"/>
      <c r="Z193" s="28"/>
      <c r="AA193" s="28"/>
    </row>
    <row r="194">
      <c r="A194" s="270" t="s">
        <v>1641</v>
      </c>
      <c r="B194" s="28" t="s">
        <v>36</v>
      </c>
      <c r="C194" s="28" t="s">
        <v>1126</v>
      </c>
      <c r="D194" s="28" t="s">
        <v>44</v>
      </c>
      <c r="E194" s="28" t="s">
        <v>44</v>
      </c>
      <c r="F194" s="28" t="s">
        <v>923</v>
      </c>
      <c r="G194" s="28" t="s">
        <v>47</v>
      </c>
      <c r="H194" s="28" t="s">
        <v>48</v>
      </c>
      <c r="I194" s="28" t="s">
        <v>485</v>
      </c>
      <c r="J194" s="28" t="s">
        <v>926</v>
      </c>
      <c r="K194" s="28" t="s">
        <v>927</v>
      </c>
      <c r="L194" s="28" t="s">
        <v>52</v>
      </c>
      <c r="M194" s="28" t="s">
        <v>52</v>
      </c>
      <c r="N194" s="28" t="s">
        <v>931</v>
      </c>
      <c r="O194" s="28" t="s">
        <v>44</v>
      </c>
      <c r="P194" s="28" t="s">
        <v>1128</v>
      </c>
      <c r="Q194" s="28" t="s">
        <v>1130</v>
      </c>
      <c r="R194" s="28" t="s">
        <v>44</v>
      </c>
      <c r="S194" s="28" t="s">
        <v>44</v>
      </c>
      <c r="T194" s="28" t="s">
        <v>44</v>
      </c>
      <c r="U194" s="28" t="s">
        <v>44</v>
      </c>
      <c r="V194" s="28" t="s">
        <v>1643</v>
      </c>
      <c r="W194" s="28" t="s">
        <v>774</v>
      </c>
      <c r="X194" s="28"/>
      <c r="Y194" s="28"/>
      <c r="Z194" s="28"/>
      <c r="AA194" s="28"/>
    </row>
    <row r="195">
      <c r="A195" s="270" t="s">
        <v>1644</v>
      </c>
      <c r="B195" s="28" t="s">
        <v>36</v>
      </c>
      <c r="C195" s="28" t="s">
        <v>1133</v>
      </c>
      <c r="D195" s="28" t="s">
        <v>44</v>
      </c>
      <c r="E195" s="28" t="s">
        <v>44</v>
      </c>
      <c r="F195" s="28" t="s">
        <v>923</v>
      </c>
      <c r="G195" s="28" t="s">
        <v>47</v>
      </c>
      <c r="H195" s="28" t="s">
        <v>95</v>
      </c>
      <c r="I195" s="28" t="s">
        <v>485</v>
      </c>
      <c r="J195" s="28" t="s">
        <v>926</v>
      </c>
      <c r="K195" s="28" t="s">
        <v>927</v>
      </c>
      <c r="L195" s="28" t="s">
        <v>52</v>
      </c>
      <c r="M195" s="28" t="s">
        <v>52</v>
      </c>
      <c r="N195" s="28" t="s">
        <v>1137</v>
      </c>
      <c r="O195" s="28" t="s">
        <v>44</v>
      </c>
      <c r="P195" s="28" t="s">
        <v>1138</v>
      </c>
      <c r="Q195" s="310" t="s">
        <v>1646</v>
      </c>
      <c r="R195" s="28" t="s">
        <v>44</v>
      </c>
      <c r="S195" s="28" t="s">
        <v>44</v>
      </c>
      <c r="T195" s="28" t="s">
        <v>44</v>
      </c>
      <c r="U195" s="28" t="s">
        <v>44</v>
      </c>
      <c r="V195" s="28" t="s">
        <v>1649</v>
      </c>
      <c r="W195" s="28" t="s">
        <v>1650</v>
      </c>
      <c r="X195" s="28"/>
      <c r="Y195" s="28"/>
      <c r="Z195" s="28"/>
      <c r="AA195" s="28"/>
    </row>
    <row r="196">
      <c r="A196" s="270" t="s">
        <v>1651</v>
      </c>
      <c r="B196" s="28" t="s">
        <v>36</v>
      </c>
      <c r="C196" s="28" t="s">
        <v>1143</v>
      </c>
      <c r="D196" s="28" t="s">
        <v>44</v>
      </c>
      <c r="E196" s="28" t="s">
        <v>44</v>
      </c>
      <c r="F196" s="28" t="s">
        <v>923</v>
      </c>
      <c r="G196" s="28" t="s">
        <v>47</v>
      </c>
      <c r="H196" s="28" t="s">
        <v>48</v>
      </c>
      <c r="I196" s="28" t="s">
        <v>485</v>
      </c>
      <c r="J196" s="28" t="s">
        <v>926</v>
      </c>
      <c r="K196" s="28" t="s">
        <v>927</v>
      </c>
      <c r="L196" s="28" t="s">
        <v>52</v>
      </c>
      <c r="M196" s="28" t="s">
        <v>52</v>
      </c>
      <c r="N196" s="28" t="s">
        <v>931</v>
      </c>
      <c r="O196" s="28" t="s">
        <v>44</v>
      </c>
      <c r="P196" s="28" t="s">
        <v>1145</v>
      </c>
      <c r="Q196" s="271" t="s">
        <v>1147</v>
      </c>
      <c r="R196" s="28" t="s">
        <v>44</v>
      </c>
      <c r="S196" s="28" t="s">
        <v>44</v>
      </c>
      <c r="T196" s="28" t="s">
        <v>44</v>
      </c>
      <c r="U196" s="28" t="s">
        <v>44</v>
      </c>
      <c r="V196" s="28" t="s">
        <v>1653</v>
      </c>
      <c r="W196" s="28" t="s">
        <v>774</v>
      </c>
      <c r="X196" s="28"/>
      <c r="Y196" s="28"/>
      <c r="Z196" s="28"/>
      <c r="AA196" s="28"/>
    </row>
    <row r="197">
      <c r="A197" s="270" t="s">
        <v>1656</v>
      </c>
      <c r="B197" s="28" t="s">
        <v>36</v>
      </c>
      <c r="C197" s="28" t="s">
        <v>1151</v>
      </c>
      <c r="D197" s="28" t="s">
        <v>44</v>
      </c>
      <c r="E197" s="28" t="s">
        <v>44</v>
      </c>
      <c r="F197" s="28" t="s">
        <v>923</v>
      </c>
      <c r="G197" s="28" t="s">
        <v>47</v>
      </c>
      <c r="H197" s="28" t="s">
        <v>48</v>
      </c>
      <c r="I197" s="28" t="s">
        <v>485</v>
      </c>
      <c r="J197" s="28" t="s">
        <v>926</v>
      </c>
      <c r="K197" s="28" t="s">
        <v>927</v>
      </c>
      <c r="L197" s="28" t="s">
        <v>52</v>
      </c>
      <c r="M197" s="28" t="s">
        <v>52</v>
      </c>
      <c r="N197" s="28" t="s">
        <v>1137</v>
      </c>
      <c r="O197" s="28" t="s">
        <v>44</v>
      </c>
      <c r="P197" s="28" t="s">
        <v>1153</v>
      </c>
      <c r="Q197" s="28" t="s">
        <v>1155</v>
      </c>
      <c r="R197" s="28" t="s">
        <v>44</v>
      </c>
      <c r="S197" s="28" t="s">
        <v>44</v>
      </c>
      <c r="T197" s="28" t="s">
        <v>44</v>
      </c>
      <c r="U197" s="28" t="s">
        <v>44</v>
      </c>
      <c r="V197" s="28" t="s">
        <v>1658</v>
      </c>
      <c r="W197" s="28" t="s">
        <v>774</v>
      </c>
      <c r="X197" s="28"/>
      <c r="Y197" s="28"/>
      <c r="Z197" s="28"/>
      <c r="AA197" s="28"/>
    </row>
    <row r="198">
      <c r="A198" s="270" t="s">
        <v>1659</v>
      </c>
      <c r="B198" s="28" t="s">
        <v>36</v>
      </c>
      <c r="C198" s="28" t="s">
        <v>1160</v>
      </c>
      <c r="D198" s="28" t="s">
        <v>44</v>
      </c>
      <c r="E198" s="28" t="s">
        <v>44</v>
      </c>
      <c r="F198" s="28" t="s">
        <v>923</v>
      </c>
      <c r="G198" s="28" t="s">
        <v>111</v>
      </c>
      <c r="H198" s="28" t="s">
        <v>91</v>
      </c>
      <c r="I198" s="28" t="s">
        <v>485</v>
      </c>
      <c r="J198" s="28" t="s">
        <v>926</v>
      </c>
      <c r="K198" s="28" t="s">
        <v>927</v>
      </c>
      <c r="L198" s="28" t="s">
        <v>52</v>
      </c>
      <c r="M198" s="28" t="s">
        <v>52</v>
      </c>
      <c r="N198" s="28" t="s">
        <v>1137</v>
      </c>
      <c r="O198" s="28" t="s">
        <v>44</v>
      </c>
      <c r="P198" s="28" t="s">
        <v>1163</v>
      </c>
      <c r="Q198" s="28" t="s">
        <v>1164</v>
      </c>
      <c r="R198" s="28" t="s">
        <v>44</v>
      </c>
      <c r="S198" s="28" t="s">
        <v>44</v>
      </c>
      <c r="T198" s="28" t="s">
        <v>44</v>
      </c>
      <c r="U198" s="28" t="s">
        <v>44</v>
      </c>
      <c r="V198" s="28" t="s">
        <v>1663</v>
      </c>
      <c r="W198" s="28" t="s">
        <v>774</v>
      </c>
      <c r="X198" s="28"/>
      <c r="Y198" s="28"/>
      <c r="Z198" s="28"/>
      <c r="AA198" s="28"/>
    </row>
    <row r="199">
      <c r="A199" s="270" t="s">
        <v>1665</v>
      </c>
      <c r="B199" s="28" t="s">
        <v>36</v>
      </c>
      <c r="C199" s="28" t="s">
        <v>1666</v>
      </c>
      <c r="D199" s="28" t="s">
        <v>44</v>
      </c>
      <c r="E199" s="28" t="s">
        <v>44</v>
      </c>
      <c r="F199" s="28" t="s">
        <v>923</v>
      </c>
      <c r="G199" s="28" t="s">
        <v>47</v>
      </c>
      <c r="H199" s="28" t="s">
        <v>95</v>
      </c>
      <c r="I199" s="28" t="s">
        <v>485</v>
      </c>
      <c r="J199" s="28" t="s">
        <v>926</v>
      </c>
      <c r="K199" s="28" t="s">
        <v>927</v>
      </c>
      <c r="L199" s="28" t="s">
        <v>52</v>
      </c>
      <c r="M199" s="28" t="s">
        <v>52</v>
      </c>
      <c r="N199" s="28" t="s">
        <v>1669</v>
      </c>
      <c r="O199" s="28" t="s">
        <v>44</v>
      </c>
      <c r="P199" s="28" t="s">
        <v>1670</v>
      </c>
      <c r="Q199" s="28" t="s">
        <v>1671</v>
      </c>
      <c r="R199" s="28" t="s">
        <v>44</v>
      </c>
      <c r="S199" s="28" t="s">
        <v>44</v>
      </c>
      <c r="T199" s="28" t="s">
        <v>44</v>
      </c>
      <c r="U199" s="28" t="s">
        <v>44</v>
      </c>
      <c r="V199" s="28" t="s">
        <v>1672</v>
      </c>
      <c r="W199" s="28" t="s">
        <v>1673</v>
      </c>
      <c r="X199" s="28"/>
      <c r="Y199" s="28"/>
      <c r="Z199" s="28"/>
      <c r="AA199" s="28"/>
    </row>
    <row r="200">
      <c r="A200" s="270" t="s">
        <v>1674</v>
      </c>
      <c r="B200" s="28" t="s">
        <v>36</v>
      </c>
      <c r="C200" s="28" t="s">
        <v>1167</v>
      </c>
      <c r="D200" s="28" t="s">
        <v>44</v>
      </c>
      <c r="E200" s="28" t="s">
        <v>44</v>
      </c>
      <c r="F200" s="28" t="s">
        <v>923</v>
      </c>
      <c r="G200" s="28" t="s">
        <v>47</v>
      </c>
      <c r="H200" s="28" t="s">
        <v>48</v>
      </c>
      <c r="I200" s="28" t="s">
        <v>485</v>
      </c>
      <c r="J200" s="28" t="s">
        <v>926</v>
      </c>
      <c r="K200" s="28" t="s">
        <v>927</v>
      </c>
      <c r="L200" s="28" t="s">
        <v>52</v>
      </c>
      <c r="M200" s="28" t="s">
        <v>52</v>
      </c>
      <c r="N200" s="28" t="s">
        <v>931</v>
      </c>
      <c r="O200" s="28" t="s">
        <v>44</v>
      </c>
      <c r="P200" s="28" t="s">
        <v>1170</v>
      </c>
      <c r="Q200" s="271" t="s">
        <v>1171</v>
      </c>
      <c r="R200" s="28" t="s">
        <v>44</v>
      </c>
      <c r="S200" s="28" t="s">
        <v>44</v>
      </c>
      <c r="T200" s="28" t="s">
        <v>44</v>
      </c>
      <c r="U200" s="28" t="s">
        <v>44</v>
      </c>
      <c r="V200" s="28" t="s">
        <v>1677</v>
      </c>
      <c r="W200" s="28" t="s">
        <v>774</v>
      </c>
      <c r="X200" s="28"/>
      <c r="Y200" s="28"/>
      <c r="Z200" s="28"/>
      <c r="AA200" s="28"/>
    </row>
    <row r="201">
      <c r="A201" s="270" t="s">
        <v>1679</v>
      </c>
      <c r="B201" s="28" t="s">
        <v>36</v>
      </c>
      <c r="C201" s="28" t="s">
        <v>1174</v>
      </c>
      <c r="D201" s="28" t="s">
        <v>44</v>
      </c>
      <c r="E201" s="28" t="s">
        <v>44</v>
      </c>
      <c r="F201" s="28" t="s">
        <v>923</v>
      </c>
      <c r="G201" s="28" t="s">
        <v>47</v>
      </c>
      <c r="H201" s="28" t="s">
        <v>95</v>
      </c>
      <c r="I201" s="28" t="s">
        <v>485</v>
      </c>
      <c r="J201" s="28" t="s">
        <v>926</v>
      </c>
      <c r="K201" s="28" t="s">
        <v>927</v>
      </c>
      <c r="L201" s="28" t="s">
        <v>52</v>
      </c>
      <c r="M201" s="28" t="s">
        <v>52</v>
      </c>
      <c r="N201" s="28" t="s">
        <v>1137</v>
      </c>
      <c r="O201" s="28" t="s">
        <v>44</v>
      </c>
      <c r="P201" s="28" t="s">
        <v>1178</v>
      </c>
      <c r="Q201" s="28" t="s">
        <v>1680</v>
      </c>
      <c r="R201" s="28" t="s">
        <v>44</v>
      </c>
      <c r="S201" s="28" t="s">
        <v>44</v>
      </c>
      <c r="T201" s="28" t="s">
        <v>44</v>
      </c>
      <c r="U201" s="28" t="s">
        <v>44</v>
      </c>
      <c r="V201" s="28" t="s">
        <v>1681</v>
      </c>
      <c r="W201" s="28" t="s">
        <v>1683</v>
      </c>
      <c r="X201" s="28"/>
      <c r="Y201" s="28"/>
      <c r="Z201" s="28"/>
      <c r="AA201" s="28"/>
    </row>
    <row r="202">
      <c r="A202" s="270" t="s">
        <v>1684</v>
      </c>
      <c r="B202" s="28" t="s">
        <v>36</v>
      </c>
      <c r="C202" s="28" t="s">
        <v>1183</v>
      </c>
      <c r="D202" s="28" t="s">
        <v>44</v>
      </c>
      <c r="E202" s="28" t="s">
        <v>44</v>
      </c>
      <c r="F202" s="28" t="s">
        <v>923</v>
      </c>
      <c r="G202" s="28" t="s">
        <v>47</v>
      </c>
      <c r="H202" s="28" t="s">
        <v>48</v>
      </c>
      <c r="I202" s="28" t="s">
        <v>485</v>
      </c>
      <c r="J202" s="28" t="s">
        <v>926</v>
      </c>
      <c r="K202" s="28" t="s">
        <v>927</v>
      </c>
      <c r="L202" s="28" t="s">
        <v>52</v>
      </c>
      <c r="M202" s="28" t="s">
        <v>52</v>
      </c>
      <c r="N202" s="28" t="s">
        <v>931</v>
      </c>
      <c r="O202" s="28" t="s">
        <v>44</v>
      </c>
      <c r="P202" s="28" t="s">
        <v>1187</v>
      </c>
      <c r="Q202" s="28" t="s">
        <v>1188</v>
      </c>
      <c r="R202" s="28" t="s">
        <v>44</v>
      </c>
      <c r="S202" s="28" t="s">
        <v>44</v>
      </c>
      <c r="T202" s="28" t="s">
        <v>44</v>
      </c>
      <c r="U202" s="28" t="s">
        <v>44</v>
      </c>
      <c r="V202" s="28" t="s">
        <v>1687</v>
      </c>
      <c r="W202" s="28" t="s">
        <v>774</v>
      </c>
      <c r="X202" s="28"/>
      <c r="Y202" s="28"/>
      <c r="Z202" s="28"/>
      <c r="AA202" s="28"/>
    </row>
    <row r="203">
      <c r="A203" s="270" t="s">
        <v>1688</v>
      </c>
      <c r="B203" s="28" t="s">
        <v>36</v>
      </c>
      <c r="C203" s="28" t="s">
        <v>1191</v>
      </c>
      <c r="D203" s="28" t="s">
        <v>44</v>
      </c>
      <c r="E203" s="28" t="s">
        <v>44</v>
      </c>
      <c r="F203" s="28" t="s">
        <v>923</v>
      </c>
      <c r="G203" s="28" t="s">
        <v>47</v>
      </c>
      <c r="H203" s="28" t="s">
        <v>48</v>
      </c>
      <c r="I203" s="28" t="s">
        <v>485</v>
      </c>
      <c r="J203" s="28" t="s">
        <v>926</v>
      </c>
      <c r="K203" s="28" t="s">
        <v>927</v>
      </c>
      <c r="L203" s="28" t="s">
        <v>52</v>
      </c>
      <c r="M203" s="28" t="s">
        <v>52</v>
      </c>
      <c r="N203" s="28" t="s">
        <v>1193</v>
      </c>
      <c r="O203" s="28" t="s">
        <v>44</v>
      </c>
      <c r="P203" s="28" t="s">
        <v>1194</v>
      </c>
      <c r="Q203" s="28" t="s">
        <v>1196</v>
      </c>
      <c r="R203" s="28" t="s">
        <v>44</v>
      </c>
      <c r="S203" s="28" t="s">
        <v>44</v>
      </c>
      <c r="T203" s="28" t="s">
        <v>44</v>
      </c>
      <c r="U203" s="28" t="s">
        <v>44</v>
      </c>
      <c r="V203" s="28" t="s">
        <v>1689</v>
      </c>
      <c r="W203" s="28" t="s">
        <v>774</v>
      </c>
      <c r="X203" s="28"/>
      <c r="Y203" s="28"/>
      <c r="Z203" s="28"/>
      <c r="AA203" s="28"/>
    </row>
    <row r="204">
      <c r="A204" s="270" t="s">
        <v>1690</v>
      </c>
      <c r="B204" s="28" t="s">
        <v>36</v>
      </c>
      <c r="C204" s="28" t="s">
        <v>1199</v>
      </c>
      <c r="D204" s="28" t="s">
        <v>44</v>
      </c>
      <c r="E204" s="28" t="s">
        <v>44</v>
      </c>
      <c r="F204" s="28" t="s">
        <v>923</v>
      </c>
      <c r="G204" s="28" t="s">
        <v>47</v>
      </c>
      <c r="H204" s="28" t="s">
        <v>48</v>
      </c>
      <c r="I204" s="28" t="s">
        <v>485</v>
      </c>
      <c r="J204" s="28" t="s">
        <v>926</v>
      </c>
      <c r="K204" s="28" t="s">
        <v>927</v>
      </c>
      <c r="L204" s="28" t="s">
        <v>52</v>
      </c>
      <c r="M204" s="28" t="s">
        <v>52</v>
      </c>
      <c r="N204" s="28" t="s">
        <v>1201</v>
      </c>
      <c r="O204" s="28" t="s">
        <v>44</v>
      </c>
      <c r="P204" s="28" t="s">
        <v>1194</v>
      </c>
      <c r="Q204" s="28" t="s">
        <v>1203</v>
      </c>
      <c r="R204" s="28" t="s">
        <v>44</v>
      </c>
      <c r="S204" s="28" t="s">
        <v>44</v>
      </c>
      <c r="T204" s="28" t="s">
        <v>44</v>
      </c>
      <c r="U204" s="28" t="s">
        <v>44</v>
      </c>
      <c r="V204" s="28" t="s">
        <v>1689</v>
      </c>
      <c r="W204" s="28" t="s">
        <v>774</v>
      </c>
      <c r="X204" s="28"/>
      <c r="Y204" s="28"/>
      <c r="Z204" s="28"/>
      <c r="AA204" s="28"/>
    </row>
    <row r="205">
      <c r="A205" s="270" t="s">
        <v>1695</v>
      </c>
      <c r="B205" s="28" t="s">
        <v>36</v>
      </c>
      <c r="C205" s="28" t="s">
        <v>1206</v>
      </c>
      <c r="D205" s="28" t="s">
        <v>44</v>
      </c>
      <c r="E205" s="28" t="s">
        <v>44</v>
      </c>
      <c r="F205" s="28" t="s">
        <v>923</v>
      </c>
      <c r="G205" s="28" t="s">
        <v>47</v>
      </c>
      <c r="H205" s="28" t="s">
        <v>95</v>
      </c>
      <c r="I205" s="28" t="s">
        <v>485</v>
      </c>
      <c r="J205" s="28" t="s">
        <v>926</v>
      </c>
      <c r="K205" s="28" t="s">
        <v>927</v>
      </c>
      <c r="L205" s="28" t="s">
        <v>52</v>
      </c>
      <c r="M205" s="28" t="s">
        <v>52</v>
      </c>
      <c r="N205" s="28" t="s">
        <v>1208</v>
      </c>
      <c r="O205" s="28" t="s">
        <v>44</v>
      </c>
      <c r="P205" s="28" t="s">
        <v>1194</v>
      </c>
      <c r="Q205" s="28" t="s">
        <v>1210</v>
      </c>
      <c r="R205" s="28" t="s">
        <v>44</v>
      </c>
      <c r="S205" s="28" t="s">
        <v>44</v>
      </c>
      <c r="T205" s="28" t="s">
        <v>44</v>
      </c>
      <c r="U205" s="28" t="s">
        <v>44</v>
      </c>
      <c r="V205" s="28" t="s">
        <v>1698</v>
      </c>
      <c r="W205" s="28" t="s">
        <v>774</v>
      </c>
      <c r="X205" s="28"/>
      <c r="Y205" s="28"/>
      <c r="Z205" s="28"/>
      <c r="AA205" s="28"/>
    </row>
    <row r="206">
      <c r="A206" s="270" t="s">
        <v>1701</v>
      </c>
      <c r="B206" s="28" t="s">
        <v>36</v>
      </c>
      <c r="C206" s="28" t="s">
        <v>1212</v>
      </c>
      <c r="D206" s="28" t="s">
        <v>44</v>
      </c>
      <c r="E206" s="28" t="s">
        <v>44</v>
      </c>
      <c r="F206" s="28" t="s">
        <v>923</v>
      </c>
      <c r="G206" s="28" t="s">
        <v>47</v>
      </c>
      <c r="H206" s="28" t="s">
        <v>48</v>
      </c>
      <c r="I206" s="28" t="s">
        <v>485</v>
      </c>
      <c r="J206" s="28" t="s">
        <v>926</v>
      </c>
      <c r="K206" s="28" t="s">
        <v>927</v>
      </c>
      <c r="L206" s="28" t="s">
        <v>52</v>
      </c>
      <c r="M206" s="28" t="s">
        <v>52</v>
      </c>
      <c r="N206" s="28" t="s">
        <v>931</v>
      </c>
      <c r="O206" s="28" t="s">
        <v>44</v>
      </c>
      <c r="P206" s="28" t="s">
        <v>1216</v>
      </c>
      <c r="Q206" s="28" t="s">
        <v>1217</v>
      </c>
      <c r="R206" s="28" t="s">
        <v>44</v>
      </c>
      <c r="S206" s="28" t="s">
        <v>44</v>
      </c>
      <c r="T206" s="28" t="s">
        <v>44</v>
      </c>
      <c r="U206" s="28" t="s">
        <v>44</v>
      </c>
      <c r="V206" s="28" t="s">
        <v>1703</v>
      </c>
      <c r="W206" s="28" t="s">
        <v>774</v>
      </c>
      <c r="X206" s="28"/>
      <c r="Y206" s="28"/>
      <c r="Z206" s="28"/>
      <c r="AA206" s="28"/>
    </row>
    <row r="207">
      <c r="A207" s="270" t="s">
        <v>1704</v>
      </c>
      <c r="B207" s="28" t="s">
        <v>36</v>
      </c>
      <c r="C207" s="28" t="s">
        <v>1220</v>
      </c>
      <c r="D207" s="28" t="s">
        <v>44</v>
      </c>
      <c r="E207" s="28" t="s">
        <v>44</v>
      </c>
      <c r="F207" s="28" t="s">
        <v>923</v>
      </c>
      <c r="G207" s="28" t="s">
        <v>47</v>
      </c>
      <c r="H207" s="28" t="s">
        <v>48</v>
      </c>
      <c r="I207" s="28" t="s">
        <v>485</v>
      </c>
      <c r="J207" s="28" t="s">
        <v>926</v>
      </c>
      <c r="K207" s="28" t="s">
        <v>927</v>
      </c>
      <c r="L207" s="28" t="s">
        <v>52</v>
      </c>
      <c r="M207" s="28" t="s">
        <v>52</v>
      </c>
      <c r="N207" s="28" t="s">
        <v>1224</v>
      </c>
      <c r="O207" s="28" t="s">
        <v>44</v>
      </c>
      <c r="P207" s="28" t="s">
        <v>1225</v>
      </c>
      <c r="Q207" s="28" t="s">
        <v>1226</v>
      </c>
      <c r="R207" s="28" t="s">
        <v>44</v>
      </c>
      <c r="S207" s="28" t="s">
        <v>44</v>
      </c>
      <c r="T207" s="28" t="s">
        <v>44</v>
      </c>
      <c r="U207" s="28" t="s">
        <v>44</v>
      </c>
      <c r="V207" s="28" t="s">
        <v>1707</v>
      </c>
      <c r="W207" s="28" t="s">
        <v>774</v>
      </c>
      <c r="X207" s="28"/>
      <c r="Y207" s="28"/>
      <c r="Z207" s="28"/>
      <c r="AA207" s="28"/>
    </row>
    <row r="208">
      <c r="A208" s="270" t="s">
        <v>1708</v>
      </c>
      <c r="B208" s="28" t="s">
        <v>36</v>
      </c>
      <c r="C208" s="28" t="s">
        <v>1229</v>
      </c>
      <c r="D208" s="28" t="s">
        <v>44</v>
      </c>
      <c r="E208" s="28" t="s">
        <v>44</v>
      </c>
      <c r="F208" s="28" t="s">
        <v>923</v>
      </c>
      <c r="G208" s="28" t="s">
        <v>47</v>
      </c>
      <c r="H208" s="28" t="s">
        <v>48</v>
      </c>
      <c r="I208" s="28" t="s">
        <v>485</v>
      </c>
      <c r="J208" s="28" t="s">
        <v>926</v>
      </c>
      <c r="K208" s="28" t="s">
        <v>927</v>
      </c>
      <c r="L208" s="28" t="s">
        <v>52</v>
      </c>
      <c r="M208" s="28" t="s">
        <v>52</v>
      </c>
      <c r="N208" s="28" t="s">
        <v>1232</v>
      </c>
      <c r="O208" s="28" t="s">
        <v>44</v>
      </c>
      <c r="P208" s="28" t="s">
        <v>1225</v>
      </c>
      <c r="Q208" s="28" t="s">
        <v>1233</v>
      </c>
      <c r="R208" s="28" t="s">
        <v>44</v>
      </c>
      <c r="S208" s="28" t="s">
        <v>44</v>
      </c>
      <c r="T208" s="28" t="s">
        <v>44</v>
      </c>
      <c r="U208" s="28" t="s">
        <v>44</v>
      </c>
      <c r="V208" s="28" t="s">
        <v>1707</v>
      </c>
      <c r="W208" s="28" t="s">
        <v>774</v>
      </c>
      <c r="X208" s="28"/>
      <c r="Y208" s="28"/>
      <c r="Z208" s="28"/>
      <c r="AA208" s="28"/>
    </row>
    <row r="209">
      <c r="A209" s="270" t="s">
        <v>1710</v>
      </c>
      <c r="B209" s="28" t="s">
        <v>36</v>
      </c>
      <c r="C209" s="28" t="s">
        <v>1236</v>
      </c>
      <c r="D209" s="28" t="s">
        <v>44</v>
      </c>
      <c r="E209" s="28" t="s">
        <v>44</v>
      </c>
      <c r="F209" s="28" t="s">
        <v>923</v>
      </c>
      <c r="G209" s="28" t="s">
        <v>47</v>
      </c>
      <c r="H209" s="28" t="s">
        <v>95</v>
      </c>
      <c r="I209" s="28" t="s">
        <v>485</v>
      </c>
      <c r="J209" s="28" t="s">
        <v>926</v>
      </c>
      <c r="K209" s="28" t="s">
        <v>927</v>
      </c>
      <c r="L209" s="28" t="s">
        <v>52</v>
      </c>
      <c r="M209" s="28" t="s">
        <v>52</v>
      </c>
      <c r="N209" s="28" t="s">
        <v>1208</v>
      </c>
      <c r="O209" s="28" t="s">
        <v>44</v>
      </c>
      <c r="P209" s="28" t="s">
        <v>1225</v>
      </c>
      <c r="Q209" s="28" t="s">
        <v>1210</v>
      </c>
      <c r="R209" s="28" t="s">
        <v>44</v>
      </c>
      <c r="S209" s="28" t="s">
        <v>44</v>
      </c>
      <c r="T209" s="28" t="s">
        <v>44</v>
      </c>
      <c r="U209" s="28" t="s">
        <v>44</v>
      </c>
      <c r="V209" s="28" t="s">
        <v>1714</v>
      </c>
      <c r="W209" s="28" t="s">
        <v>774</v>
      </c>
      <c r="X209" s="28"/>
      <c r="Y209" s="28"/>
      <c r="Z209" s="28"/>
      <c r="AA209" s="28"/>
    </row>
    <row r="210">
      <c r="A210" s="270" t="s">
        <v>1715</v>
      </c>
      <c r="B210" s="28" t="s">
        <v>36</v>
      </c>
      <c r="C210" s="28" t="s">
        <v>1241</v>
      </c>
      <c r="D210" s="28" t="s">
        <v>44</v>
      </c>
      <c r="E210" s="28" t="s">
        <v>44</v>
      </c>
      <c r="F210" s="28" t="s">
        <v>923</v>
      </c>
      <c r="G210" s="28" t="s">
        <v>47</v>
      </c>
      <c r="H210" s="28" t="s">
        <v>95</v>
      </c>
      <c r="I210" s="28" t="s">
        <v>485</v>
      </c>
      <c r="J210" s="28" t="s">
        <v>926</v>
      </c>
      <c r="K210" s="28" t="s">
        <v>927</v>
      </c>
      <c r="L210" s="28" t="s">
        <v>52</v>
      </c>
      <c r="M210" s="28" t="s">
        <v>52</v>
      </c>
      <c r="N210" s="28" t="s">
        <v>1193</v>
      </c>
      <c r="O210" s="28" t="s">
        <v>44</v>
      </c>
      <c r="P210" s="28" t="s">
        <v>1225</v>
      </c>
      <c r="Q210" s="28" t="s">
        <v>1210</v>
      </c>
      <c r="R210" s="28" t="s">
        <v>44</v>
      </c>
      <c r="S210" s="28" t="s">
        <v>44</v>
      </c>
      <c r="T210" s="28" t="s">
        <v>44</v>
      </c>
      <c r="U210" s="28" t="s">
        <v>44</v>
      </c>
      <c r="V210" s="28" t="s">
        <v>1717</v>
      </c>
      <c r="W210" s="28" t="s">
        <v>774</v>
      </c>
      <c r="X210" s="28"/>
      <c r="Y210" s="28"/>
      <c r="Z210" s="28"/>
      <c r="AA210" s="28"/>
    </row>
    <row r="211">
      <c r="A211" s="270" t="s">
        <v>1719</v>
      </c>
      <c r="B211" s="28" t="s">
        <v>36</v>
      </c>
      <c r="C211" s="28" t="s">
        <v>1246</v>
      </c>
      <c r="D211" s="28" t="s">
        <v>44</v>
      </c>
      <c r="E211" s="28" t="s">
        <v>44</v>
      </c>
      <c r="F211" s="28" t="s">
        <v>923</v>
      </c>
      <c r="G211" s="28" t="s">
        <v>47</v>
      </c>
      <c r="H211" s="28" t="s">
        <v>48</v>
      </c>
      <c r="I211" s="28" t="s">
        <v>485</v>
      </c>
      <c r="J211" s="28" t="s">
        <v>926</v>
      </c>
      <c r="K211" s="28" t="s">
        <v>927</v>
      </c>
      <c r="L211" s="28" t="s">
        <v>52</v>
      </c>
      <c r="M211" s="28" t="s">
        <v>52</v>
      </c>
      <c r="N211" s="28" t="s">
        <v>931</v>
      </c>
      <c r="O211" s="28" t="s">
        <v>44</v>
      </c>
      <c r="P211" s="28" t="s">
        <v>1249</v>
      </c>
      <c r="Q211" s="271" t="s">
        <v>1250</v>
      </c>
      <c r="R211" s="28" t="s">
        <v>44</v>
      </c>
      <c r="S211" s="28" t="s">
        <v>44</v>
      </c>
      <c r="T211" s="28" t="s">
        <v>44</v>
      </c>
      <c r="U211" s="28" t="s">
        <v>44</v>
      </c>
      <c r="V211" s="28" t="s">
        <v>1723</v>
      </c>
      <c r="W211" s="28" t="s">
        <v>774</v>
      </c>
      <c r="X211" s="28"/>
      <c r="Y211" s="28"/>
      <c r="Z211" s="28"/>
      <c r="AA211" s="28"/>
    </row>
    <row r="212">
      <c r="A212" s="270" t="s">
        <v>1724</v>
      </c>
      <c r="B212" s="28" t="s">
        <v>36</v>
      </c>
      <c r="C212" s="28" t="s">
        <v>1252</v>
      </c>
      <c r="D212" s="28" t="s">
        <v>44</v>
      </c>
      <c r="E212" s="28" t="s">
        <v>44</v>
      </c>
      <c r="F212" s="28" t="s">
        <v>923</v>
      </c>
      <c r="G212" s="28" t="s">
        <v>47</v>
      </c>
      <c r="H212" s="28" t="s">
        <v>48</v>
      </c>
      <c r="I212" s="28" t="s">
        <v>485</v>
      </c>
      <c r="J212" s="28" t="s">
        <v>926</v>
      </c>
      <c r="K212" s="28" t="s">
        <v>927</v>
      </c>
      <c r="L212" s="28" t="s">
        <v>52</v>
      </c>
      <c r="M212" s="28" t="s">
        <v>52</v>
      </c>
      <c r="N212" s="28" t="s">
        <v>1254</v>
      </c>
      <c r="O212" s="28" t="s">
        <v>44</v>
      </c>
      <c r="P212" s="28" t="s">
        <v>1255</v>
      </c>
      <c r="Q212" s="28" t="s">
        <v>1256</v>
      </c>
      <c r="R212" s="28" t="s">
        <v>44</v>
      </c>
      <c r="S212" s="28" t="s">
        <v>44</v>
      </c>
      <c r="T212" s="28" t="s">
        <v>44</v>
      </c>
      <c r="U212" s="28" t="s">
        <v>44</v>
      </c>
      <c r="V212" s="28" t="s">
        <v>1727</v>
      </c>
      <c r="W212" s="28" t="s">
        <v>774</v>
      </c>
      <c r="X212" s="28"/>
      <c r="Y212" s="28"/>
      <c r="Z212" s="28"/>
      <c r="AA212" s="28"/>
    </row>
    <row r="213">
      <c r="A213" s="270" t="s">
        <v>1729</v>
      </c>
      <c r="B213" s="28" t="s">
        <v>36</v>
      </c>
      <c r="C213" s="28" t="s">
        <v>1261</v>
      </c>
      <c r="D213" s="28" t="s">
        <v>44</v>
      </c>
      <c r="E213" s="28" t="s">
        <v>44</v>
      </c>
      <c r="F213" s="28" t="s">
        <v>923</v>
      </c>
      <c r="G213" s="28" t="s">
        <v>47</v>
      </c>
      <c r="H213" s="28" t="s">
        <v>48</v>
      </c>
      <c r="I213" s="28" t="s">
        <v>485</v>
      </c>
      <c r="J213" s="28" t="s">
        <v>926</v>
      </c>
      <c r="K213" s="28" t="s">
        <v>927</v>
      </c>
      <c r="L213" s="28" t="s">
        <v>52</v>
      </c>
      <c r="M213" s="28" t="s">
        <v>52</v>
      </c>
      <c r="N213" s="28" t="s">
        <v>1262</v>
      </c>
      <c r="O213" s="28" t="s">
        <v>44</v>
      </c>
      <c r="P213" s="28" t="s">
        <v>1255</v>
      </c>
      <c r="Q213" s="28" t="s">
        <v>1265</v>
      </c>
      <c r="R213" s="28" t="s">
        <v>44</v>
      </c>
      <c r="S213" s="28" t="s">
        <v>44</v>
      </c>
      <c r="T213" s="28" t="s">
        <v>44</v>
      </c>
      <c r="U213" s="28" t="s">
        <v>44</v>
      </c>
      <c r="V213" s="28" t="s">
        <v>1732</v>
      </c>
      <c r="W213" s="28" t="s">
        <v>774</v>
      </c>
      <c r="X213" s="28"/>
      <c r="Y213" s="28"/>
      <c r="Z213" s="28"/>
      <c r="AA213" s="28"/>
    </row>
    <row r="214">
      <c r="A214" s="270" t="s">
        <v>1733</v>
      </c>
      <c r="B214" s="28" t="s">
        <v>36</v>
      </c>
      <c r="C214" s="28" t="s">
        <v>1267</v>
      </c>
      <c r="D214" s="28" t="s">
        <v>44</v>
      </c>
      <c r="E214" s="28" t="s">
        <v>44</v>
      </c>
      <c r="F214" s="28" t="s">
        <v>923</v>
      </c>
      <c r="G214" s="28" t="s">
        <v>47</v>
      </c>
      <c r="H214" s="28" t="s">
        <v>48</v>
      </c>
      <c r="I214" s="28" t="s">
        <v>485</v>
      </c>
      <c r="J214" s="28" t="s">
        <v>926</v>
      </c>
      <c r="K214" s="28" t="s">
        <v>927</v>
      </c>
      <c r="L214" s="28" t="s">
        <v>52</v>
      </c>
      <c r="M214" s="28" t="s">
        <v>52</v>
      </c>
      <c r="N214" s="28" t="s">
        <v>1269</v>
      </c>
      <c r="O214" s="28" t="s">
        <v>44</v>
      </c>
      <c r="P214" s="28" t="s">
        <v>1255</v>
      </c>
      <c r="Q214" s="28" t="s">
        <v>1272</v>
      </c>
      <c r="R214" s="28" t="s">
        <v>44</v>
      </c>
      <c r="S214" s="28" t="s">
        <v>44</v>
      </c>
      <c r="T214" s="28" t="s">
        <v>44</v>
      </c>
      <c r="U214" s="28" t="s">
        <v>44</v>
      </c>
      <c r="V214" s="28" t="s">
        <v>1736</v>
      </c>
      <c r="W214" s="28" t="s">
        <v>774</v>
      </c>
      <c r="X214" s="28"/>
      <c r="Y214" s="28"/>
      <c r="Z214" s="28"/>
      <c r="AA214" s="28"/>
    </row>
    <row r="215">
      <c r="A215" s="270" t="s">
        <v>1737</v>
      </c>
      <c r="B215" s="28" t="s">
        <v>36</v>
      </c>
      <c r="C215" s="28" t="s">
        <v>1277</v>
      </c>
      <c r="D215" s="28" t="s">
        <v>44</v>
      </c>
      <c r="E215" s="28" t="s">
        <v>44</v>
      </c>
      <c r="F215" s="28" t="s">
        <v>923</v>
      </c>
      <c r="G215" s="28" t="s">
        <v>47</v>
      </c>
      <c r="H215" s="28" t="s">
        <v>48</v>
      </c>
      <c r="I215" s="28" t="s">
        <v>485</v>
      </c>
      <c r="J215" s="28" t="s">
        <v>926</v>
      </c>
      <c r="K215" s="28" t="s">
        <v>927</v>
      </c>
      <c r="L215" s="28" t="s">
        <v>52</v>
      </c>
      <c r="M215" s="28" t="s">
        <v>52</v>
      </c>
      <c r="N215" s="28" t="s">
        <v>1279</v>
      </c>
      <c r="O215" s="28" t="s">
        <v>44</v>
      </c>
      <c r="P215" s="28" t="s">
        <v>1255</v>
      </c>
      <c r="Q215" s="28" t="s">
        <v>1281</v>
      </c>
      <c r="R215" s="28" t="s">
        <v>44</v>
      </c>
      <c r="S215" s="28" t="s">
        <v>44</v>
      </c>
      <c r="T215" s="28" t="s">
        <v>44</v>
      </c>
      <c r="U215" s="28" t="s">
        <v>44</v>
      </c>
      <c r="V215" s="28" t="s">
        <v>1738</v>
      </c>
      <c r="W215" s="28" t="s">
        <v>774</v>
      </c>
      <c r="X215" s="28"/>
      <c r="Y215" s="28"/>
      <c r="Z215" s="28"/>
      <c r="AA215" s="28"/>
    </row>
    <row r="216">
      <c r="A216" s="270" t="s">
        <v>1739</v>
      </c>
      <c r="B216" s="28" t="s">
        <v>36</v>
      </c>
      <c r="C216" s="28" t="s">
        <v>1299</v>
      </c>
      <c r="D216" s="28" t="s">
        <v>44</v>
      </c>
      <c r="E216" s="28" t="s">
        <v>44</v>
      </c>
      <c r="F216" s="28" t="s">
        <v>923</v>
      </c>
      <c r="G216" s="28" t="s">
        <v>47</v>
      </c>
      <c r="H216" s="28" t="s">
        <v>48</v>
      </c>
      <c r="I216" s="28" t="s">
        <v>485</v>
      </c>
      <c r="J216" s="28" t="s">
        <v>926</v>
      </c>
      <c r="K216" s="28" t="s">
        <v>927</v>
      </c>
      <c r="L216" s="28" t="s">
        <v>52</v>
      </c>
      <c r="M216" s="28" t="s">
        <v>52</v>
      </c>
      <c r="N216" s="28" t="s">
        <v>1303</v>
      </c>
      <c r="O216" s="28" t="s">
        <v>44</v>
      </c>
      <c r="P216" s="28" t="s">
        <v>1255</v>
      </c>
      <c r="Q216" s="28" t="s">
        <v>1304</v>
      </c>
      <c r="R216" s="28" t="s">
        <v>44</v>
      </c>
      <c r="S216" s="28" t="s">
        <v>44</v>
      </c>
      <c r="T216" s="28" t="s">
        <v>44</v>
      </c>
      <c r="U216" s="28" t="s">
        <v>44</v>
      </c>
      <c r="V216" s="28" t="s">
        <v>1740</v>
      </c>
      <c r="W216" s="28" t="s">
        <v>774</v>
      </c>
      <c r="X216" s="28"/>
      <c r="Y216" s="28"/>
      <c r="Z216" s="28"/>
      <c r="AA216" s="28"/>
    </row>
    <row r="217">
      <c r="A217" s="270" t="s">
        <v>1741</v>
      </c>
      <c r="B217" s="28" t="s">
        <v>36</v>
      </c>
      <c r="C217" s="28" t="s">
        <v>1308</v>
      </c>
      <c r="D217" s="28" t="s">
        <v>44</v>
      </c>
      <c r="E217" s="28" t="s">
        <v>44</v>
      </c>
      <c r="F217" s="28" t="s">
        <v>923</v>
      </c>
      <c r="G217" s="28" t="s">
        <v>47</v>
      </c>
      <c r="H217" s="28" t="s">
        <v>95</v>
      </c>
      <c r="I217" s="28" t="s">
        <v>485</v>
      </c>
      <c r="J217" s="28" t="s">
        <v>926</v>
      </c>
      <c r="K217" s="28" t="s">
        <v>927</v>
      </c>
      <c r="L217" s="28" t="s">
        <v>52</v>
      </c>
      <c r="M217" s="28" t="s">
        <v>52</v>
      </c>
      <c r="N217" s="28" t="s">
        <v>1311</v>
      </c>
      <c r="O217" s="28" t="s">
        <v>44</v>
      </c>
      <c r="P217" s="28" t="s">
        <v>1255</v>
      </c>
      <c r="Q217" s="28" t="s">
        <v>1743</v>
      </c>
      <c r="R217" s="28" t="s">
        <v>44</v>
      </c>
      <c r="S217" s="28" t="s">
        <v>44</v>
      </c>
      <c r="T217" s="28" t="s">
        <v>44</v>
      </c>
      <c r="U217" s="28" t="s">
        <v>44</v>
      </c>
      <c r="V217" s="28" t="s">
        <v>1744</v>
      </c>
      <c r="W217" s="28" t="s">
        <v>1745</v>
      </c>
      <c r="X217" s="28"/>
      <c r="Y217" s="28"/>
      <c r="Z217" s="28"/>
      <c r="AA217" s="28"/>
    </row>
    <row r="218">
      <c r="A218" s="270" t="s">
        <v>1746</v>
      </c>
      <c r="B218" s="28" t="s">
        <v>36</v>
      </c>
      <c r="C218" s="28" t="s">
        <v>1315</v>
      </c>
      <c r="D218" s="28" t="s">
        <v>44</v>
      </c>
      <c r="E218" s="28" t="s">
        <v>44</v>
      </c>
      <c r="F218" s="28" t="s">
        <v>923</v>
      </c>
      <c r="G218" s="28" t="s">
        <v>47</v>
      </c>
      <c r="H218" s="28" t="s">
        <v>48</v>
      </c>
      <c r="I218" s="28" t="s">
        <v>485</v>
      </c>
      <c r="J218" s="28" t="s">
        <v>926</v>
      </c>
      <c r="K218" s="28" t="s">
        <v>927</v>
      </c>
      <c r="L218" s="28" t="s">
        <v>52</v>
      </c>
      <c r="M218" s="28" t="s">
        <v>52</v>
      </c>
      <c r="N218" s="28" t="s">
        <v>931</v>
      </c>
      <c r="O218" s="28" t="s">
        <v>44</v>
      </c>
      <c r="P218" s="28" t="s">
        <v>1318</v>
      </c>
      <c r="Q218" s="271" t="s">
        <v>1319</v>
      </c>
      <c r="R218" s="28" t="s">
        <v>44</v>
      </c>
      <c r="S218" s="28" t="s">
        <v>44</v>
      </c>
      <c r="T218" s="28" t="s">
        <v>44</v>
      </c>
      <c r="U218" s="28" t="s">
        <v>44</v>
      </c>
      <c r="V218" s="28" t="s">
        <v>1750</v>
      </c>
      <c r="W218" s="28" t="s">
        <v>774</v>
      </c>
      <c r="X218" s="28"/>
      <c r="Y218" s="28"/>
      <c r="Z218" s="28"/>
      <c r="AA218" s="28"/>
    </row>
    <row r="219">
      <c r="A219" s="270" t="s">
        <v>1751</v>
      </c>
      <c r="B219" s="28" t="s">
        <v>36</v>
      </c>
      <c r="C219" s="28" t="s">
        <v>1323</v>
      </c>
      <c r="D219" s="28" t="s">
        <v>44</v>
      </c>
      <c r="E219" s="28" t="s">
        <v>44</v>
      </c>
      <c r="F219" s="28" t="s">
        <v>923</v>
      </c>
      <c r="G219" s="28" t="s">
        <v>47</v>
      </c>
      <c r="H219" s="28" t="s">
        <v>48</v>
      </c>
      <c r="I219" s="28" t="s">
        <v>485</v>
      </c>
      <c r="J219" s="28" t="s">
        <v>926</v>
      </c>
      <c r="K219" s="28" t="s">
        <v>927</v>
      </c>
      <c r="L219" s="28" t="s">
        <v>52</v>
      </c>
      <c r="M219" s="28" t="s">
        <v>52</v>
      </c>
      <c r="N219" s="28" t="s">
        <v>1137</v>
      </c>
      <c r="O219" s="28" t="s">
        <v>44</v>
      </c>
      <c r="P219" s="28" t="s">
        <v>1326</v>
      </c>
      <c r="Q219" s="28" t="s">
        <v>1327</v>
      </c>
      <c r="R219" s="28" t="s">
        <v>44</v>
      </c>
      <c r="S219" s="28" t="s">
        <v>44</v>
      </c>
      <c r="T219" s="28" t="s">
        <v>44</v>
      </c>
      <c r="U219" s="28" t="s">
        <v>44</v>
      </c>
      <c r="V219" s="28" t="s">
        <v>1753</v>
      </c>
      <c r="W219" s="28" t="s">
        <v>774</v>
      </c>
      <c r="X219" s="28"/>
      <c r="Y219" s="28"/>
      <c r="Z219" s="28"/>
      <c r="AA219" s="28"/>
    </row>
    <row r="220">
      <c r="A220" s="270" t="s">
        <v>1755</v>
      </c>
      <c r="B220" s="28" t="s">
        <v>36</v>
      </c>
      <c r="C220" s="28" t="s">
        <v>1330</v>
      </c>
      <c r="D220" s="28" t="s">
        <v>44</v>
      </c>
      <c r="E220" s="28" t="s">
        <v>44</v>
      </c>
      <c r="F220" s="28" t="s">
        <v>923</v>
      </c>
      <c r="G220" s="28" t="s">
        <v>47</v>
      </c>
      <c r="H220" s="28" t="s">
        <v>48</v>
      </c>
      <c r="I220" s="28" t="s">
        <v>485</v>
      </c>
      <c r="J220" s="28" t="s">
        <v>926</v>
      </c>
      <c r="K220" s="28" t="s">
        <v>927</v>
      </c>
      <c r="L220" s="28" t="s">
        <v>52</v>
      </c>
      <c r="M220" s="28" t="s">
        <v>52</v>
      </c>
      <c r="N220" s="28" t="s">
        <v>931</v>
      </c>
      <c r="O220" s="28" t="s">
        <v>44</v>
      </c>
      <c r="P220" s="28" t="s">
        <v>1332</v>
      </c>
      <c r="Q220" s="310" t="s">
        <v>1334</v>
      </c>
      <c r="R220" s="28" t="s">
        <v>44</v>
      </c>
      <c r="S220" s="28" t="s">
        <v>44</v>
      </c>
      <c r="T220" s="28" t="s">
        <v>44</v>
      </c>
      <c r="U220" s="28" t="s">
        <v>44</v>
      </c>
      <c r="V220" s="28" t="s">
        <v>1757</v>
      </c>
      <c r="W220" s="28" t="s">
        <v>774</v>
      </c>
      <c r="X220" s="28"/>
      <c r="Y220" s="28"/>
      <c r="Z220" s="28"/>
      <c r="AA220" s="28"/>
    </row>
    <row r="221">
      <c r="A221" s="270" t="s">
        <v>1759</v>
      </c>
      <c r="B221" s="28" t="s">
        <v>36</v>
      </c>
      <c r="C221" s="28" t="s">
        <v>1336</v>
      </c>
      <c r="D221" s="28" t="s">
        <v>44</v>
      </c>
      <c r="E221" s="28" t="s">
        <v>44</v>
      </c>
      <c r="F221" s="28" t="s">
        <v>923</v>
      </c>
      <c r="G221" s="28" t="s">
        <v>47</v>
      </c>
      <c r="H221" s="28" t="s">
        <v>48</v>
      </c>
      <c r="I221" s="28" t="s">
        <v>485</v>
      </c>
      <c r="J221" s="28" t="s">
        <v>926</v>
      </c>
      <c r="K221" s="28" t="s">
        <v>927</v>
      </c>
      <c r="L221" s="28" t="s">
        <v>52</v>
      </c>
      <c r="M221" s="28" t="s">
        <v>52</v>
      </c>
      <c r="N221" s="28" t="s">
        <v>1338</v>
      </c>
      <c r="O221" s="28" t="s">
        <v>44</v>
      </c>
      <c r="P221" s="28" t="s">
        <v>1339</v>
      </c>
      <c r="Q221" s="28" t="s">
        <v>1340</v>
      </c>
      <c r="R221" s="28" t="s">
        <v>44</v>
      </c>
      <c r="S221" s="28" t="s">
        <v>44</v>
      </c>
      <c r="T221" s="28" t="s">
        <v>44</v>
      </c>
      <c r="U221" s="28" t="s">
        <v>44</v>
      </c>
      <c r="V221" s="28" t="s">
        <v>1761</v>
      </c>
      <c r="W221" s="28" t="s">
        <v>774</v>
      </c>
      <c r="X221" s="28"/>
      <c r="Y221" s="28"/>
      <c r="Z221" s="28"/>
      <c r="AA221" s="28"/>
    </row>
    <row r="222">
      <c r="A222" s="270" t="s">
        <v>1763</v>
      </c>
      <c r="B222" s="28" t="s">
        <v>36</v>
      </c>
      <c r="C222" s="28" t="s">
        <v>1343</v>
      </c>
      <c r="D222" s="28" t="s">
        <v>44</v>
      </c>
      <c r="E222" s="28" t="s">
        <v>44</v>
      </c>
      <c r="F222" s="28" t="s">
        <v>923</v>
      </c>
      <c r="G222" s="28" t="s">
        <v>47</v>
      </c>
      <c r="H222" s="28" t="s">
        <v>48</v>
      </c>
      <c r="I222" s="28" t="s">
        <v>485</v>
      </c>
      <c r="J222" s="28" t="s">
        <v>926</v>
      </c>
      <c r="K222" s="28" t="s">
        <v>927</v>
      </c>
      <c r="L222" s="28" t="s">
        <v>52</v>
      </c>
      <c r="M222" s="28" t="s">
        <v>52</v>
      </c>
      <c r="N222" s="28" t="s">
        <v>1346</v>
      </c>
      <c r="O222" s="28" t="s">
        <v>44</v>
      </c>
      <c r="P222" s="28" t="s">
        <v>1339</v>
      </c>
      <c r="Q222" s="28" t="s">
        <v>1347</v>
      </c>
      <c r="R222" s="28" t="s">
        <v>44</v>
      </c>
      <c r="S222" s="28" t="s">
        <v>44</v>
      </c>
      <c r="T222" s="28" t="s">
        <v>44</v>
      </c>
      <c r="U222" s="28" t="s">
        <v>44</v>
      </c>
      <c r="V222" s="28" t="s">
        <v>1764</v>
      </c>
      <c r="W222" s="28" t="s">
        <v>774</v>
      </c>
      <c r="X222" s="28"/>
      <c r="Y222" s="28"/>
      <c r="Z222" s="28"/>
      <c r="AA222" s="28"/>
    </row>
    <row r="223">
      <c r="A223" s="270" t="s">
        <v>1766</v>
      </c>
      <c r="B223" s="28" t="s">
        <v>36</v>
      </c>
      <c r="C223" s="28" t="s">
        <v>1350</v>
      </c>
      <c r="D223" s="28" t="s">
        <v>44</v>
      </c>
      <c r="E223" s="28" t="s">
        <v>44</v>
      </c>
      <c r="F223" s="28" t="s">
        <v>923</v>
      </c>
      <c r="G223" s="28" t="s">
        <v>47</v>
      </c>
      <c r="H223" s="28" t="s">
        <v>95</v>
      </c>
      <c r="I223" s="28" t="s">
        <v>485</v>
      </c>
      <c r="J223" s="28" t="s">
        <v>926</v>
      </c>
      <c r="K223" s="28" t="s">
        <v>927</v>
      </c>
      <c r="L223" s="28" t="s">
        <v>52</v>
      </c>
      <c r="M223" s="28" t="s">
        <v>52</v>
      </c>
      <c r="N223" s="28" t="s">
        <v>1137</v>
      </c>
      <c r="O223" s="28" t="s">
        <v>44</v>
      </c>
      <c r="P223" s="28" t="s">
        <v>1352</v>
      </c>
      <c r="Q223" s="310" t="s">
        <v>1769</v>
      </c>
      <c r="R223" s="28" t="s">
        <v>44</v>
      </c>
      <c r="S223" s="28" t="s">
        <v>44</v>
      </c>
      <c r="T223" s="28" t="s">
        <v>44</v>
      </c>
      <c r="U223" s="28" t="s">
        <v>44</v>
      </c>
      <c r="V223" s="28" t="s">
        <v>1770</v>
      </c>
      <c r="W223" s="28" t="s">
        <v>1771</v>
      </c>
      <c r="X223" s="28"/>
      <c r="Y223" s="28"/>
      <c r="Z223" s="28"/>
      <c r="AA223" s="28"/>
    </row>
    <row r="224">
      <c r="A224" s="270" t="s">
        <v>1772</v>
      </c>
      <c r="B224" s="28" t="s">
        <v>36</v>
      </c>
      <c r="C224" s="28" t="s">
        <v>1356</v>
      </c>
      <c r="D224" s="28" t="s">
        <v>44</v>
      </c>
      <c r="E224" s="28" t="s">
        <v>44</v>
      </c>
      <c r="F224" s="28" t="s">
        <v>923</v>
      </c>
      <c r="G224" s="28" t="s">
        <v>47</v>
      </c>
      <c r="H224" s="28" t="s">
        <v>48</v>
      </c>
      <c r="I224" s="28" t="s">
        <v>485</v>
      </c>
      <c r="J224" s="28" t="s">
        <v>926</v>
      </c>
      <c r="K224" s="28" t="s">
        <v>927</v>
      </c>
      <c r="L224" s="28" t="s">
        <v>52</v>
      </c>
      <c r="M224" s="28" t="s">
        <v>52</v>
      </c>
      <c r="N224" s="28" t="s">
        <v>931</v>
      </c>
      <c r="O224" s="28" t="s">
        <v>44</v>
      </c>
      <c r="P224" s="28" t="s">
        <v>1359</v>
      </c>
      <c r="Q224" s="271" t="s">
        <v>1360</v>
      </c>
      <c r="R224" s="28" t="s">
        <v>44</v>
      </c>
      <c r="S224" s="28" t="s">
        <v>44</v>
      </c>
      <c r="T224" s="28" t="s">
        <v>44</v>
      </c>
      <c r="U224" s="28" t="s">
        <v>44</v>
      </c>
      <c r="V224" s="28" t="s">
        <v>1774</v>
      </c>
      <c r="W224" s="28" t="s">
        <v>774</v>
      </c>
      <c r="X224" s="28"/>
      <c r="Y224" s="28"/>
      <c r="Z224" s="28"/>
      <c r="AA224" s="28"/>
    </row>
    <row r="225">
      <c r="A225" s="270" t="s">
        <v>1775</v>
      </c>
      <c r="B225" s="28" t="s">
        <v>36</v>
      </c>
      <c r="C225" s="28" t="s">
        <v>1363</v>
      </c>
      <c r="D225" s="28" t="s">
        <v>44</v>
      </c>
      <c r="E225" s="28" t="s">
        <v>44</v>
      </c>
      <c r="F225" s="28" t="s">
        <v>923</v>
      </c>
      <c r="G225" s="28" t="s">
        <v>47</v>
      </c>
      <c r="H225" s="28" t="s">
        <v>48</v>
      </c>
      <c r="I225" s="28" t="s">
        <v>485</v>
      </c>
      <c r="J225" s="28" t="s">
        <v>926</v>
      </c>
      <c r="K225" s="28" t="s">
        <v>927</v>
      </c>
      <c r="L225" s="28" t="s">
        <v>52</v>
      </c>
      <c r="M225" s="28" t="s">
        <v>52</v>
      </c>
      <c r="N225" s="28" t="s">
        <v>1366</v>
      </c>
      <c r="O225" s="28" t="s">
        <v>44</v>
      </c>
      <c r="P225" s="28" t="s">
        <v>1367</v>
      </c>
      <c r="Q225" s="28" t="s">
        <v>1778</v>
      </c>
      <c r="R225" s="28" t="s">
        <v>44</v>
      </c>
      <c r="S225" s="28" t="s">
        <v>44</v>
      </c>
      <c r="T225" s="28" t="s">
        <v>44</v>
      </c>
      <c r="U225" s="28" t="s">
        <v>44</v>
      </c>
      <c r="V225" s="28" t="s">
        <v>1779</v>
      </c>
      <c r="W225" s="28" t="s">
        <v>1780</v>
      </c>
      <c r="X225" s="28"/>
      <c r="Y225" s="28"/>
      <c r="Z225" s="28"/>
      <c r="AA225" s="28"/>
    </row>
    <row r="226">
      <c r="A226" s="270" t="s">
        <v>1781</v>
      </c>
      <c r="B226" s="28" t="s">
        <v>36</v>
      </c>
      <c r="C226" s="28" t="s">
        <v>1371</v>
      </c>
      <c r="D226" s="28" t="s">
        <v>44</v>
      </c>
      <c r="E226" s="28" t="s">
        <v>44</v>
      </c>
      <c r="F226" s="28" t="s">
        <v>923</v>
      </c>
      <c r="G226" s="28" t="s">
        <v>47</v>
      </c>
      <c r="H226" s="28" t="s">
        <v>95</v>
      </c>
      <c r="I226" s="28" t="s">
        <v>485</v>
      </c>
      <c r="J226" s="28" t="s">
        <v>926</v>
      </c>
      <c r="K226" s="28" t="s">
        <v>927</v>
      </c>
      <c r="L226" s="28" t="s">
        <v>52</v>
      </c>
      <c r="M226" s="28" t="s">
        <v>52</v>
      </c>
      <c r="N226" s="28" t="s">
        <v>1373</v>
      </c>
      <c r="O226" s="28" t="s">
        <v>44</v>
      </c>
      <c r="P226" s="28" t="s">
        <v>1367</v>
      </c>
      <c r="Q226" s="28" t="s">
        <v>1210</v>
      </c>
      <c r="R226" s="28" t="s">
        <v>44</v>
      </c>
      <c r="S226" s="28" t="s">
        <v>44</v>
      </c>
      <c r="T226" s="28" t="s">
        <v>44</v>
      </c>
      <c r="U226" s="28" t="s">
        <v>44</v>
      </c>
      <c r="V226" s="28" t="s">
        <v>1783</v>
      </c>
      <c r="W226" s="28" t="s">
        <v>774</v>
      </c>
      <c r="X226" s="28"/>
      <c r="Y226" s="28"/>
      <c r="Z226" s="28"/>
      <c r="AA226" s="28"/>
    </row>
    <row r="227">
      <c r="A227" s="270" t="s">
        <v>1785</v>
      </c>
      <c r="B227" s="28" t="s">
        <v>36</v>
      </c>
      <c r="C227" s="28" t="s">
        <v>1375</v>
      </c>
      <c r="D227" s="28" t="s">
        <v>44</v>
      </c>
      <c r="E227" s="28" t="s">
        <v>44</v>
      </c>
      <c r="F227" s="28" t="s">
        <v>923</v>
      </c>
      <c r="G227" s="28" t="s">
        <v>47</v>
      </c>
      <c r="H227" s="28" t="s">
        <v>48</v>
      </c>
      <c r="I227" s="28" t="s">
        <v>485</v>
      </c>
      <c r="J227" s="28" t="s">
        <v>926</v>
      </c>
      <c r="K227" s="28" t="s">
        <v>927</v>
      </c>
      <c r="L227" s="28" t="s">
        <v>52</v>
      </c>
      <c r="M227" s="28" t="s">
        <v>52</v>
      </c>
      <c r="N227" s="28" t="s">
        <v>931</v>
      </c>
      <c r="O227" s="28" t="s">
        <v>44</v>
      </c>
      <c r="P227" s="28" t="s">
        <v>1378</v>
      </c>
      <c r="Q227" s="310" t="s">
        <v>1379</v>
      </c>
      <c r="R227" s="28" t="s">
        <v>44</v>
      </c>
      <c r="S227" s="28" t="s">
        <v>44</v>
      </c>
      <c r="T227" s="28" t="s">
        <v>44</v>
      </c>
      <c r="U227" s="28" t="s">
        <v>44</v>
      </c>
      <c r="V227" s="28" t="s">
        <v>1787</v>
      </c>
      <c r="W227" s="28" t="s">
        <v>774</v>
      </c>
      <c r="X227" s="28"/>
      <c r="Y227" s="28"/>
      <c r="Z227" s="28"/>
      <c r="AA227" s="28"/>
    </row>
    <row r="228">
      <c r="A228" s="270" t="s">
        <v>1788</v>
      </c>
      <c r="B228" s="28" t="s">
        <v>36</v>
      </c>
      <c r="C228" s="28" t="s">
        <v>1380</v>
      </c>
      <c r="D228" s="28" t="s">
        <v>44</v>
      </c>
      <c r="E228" s="28" t="s">
        <v>44</v>
      </c>
      <c r="F228" s="28" t="s">
        <v>923</v>
      </c>
      <c r="G228" s="28" t="s">
        <v>47</v>
      </c>
      <c r="H228" s="28" t="s">
        <v>48</v>
      </c>
      <c r="I228" s="28" t="s">
        <v>485</v>
      </c>
      <c r="J228" s="28" t="s">
        <v>926</v>
      </c>
      <c r="K228" s="28" t="s">
        <v>927</v>
      </c>
      <c r="L228" s="28" t="s">
        <v>52</v>
      </c>
      <c r="M228" s="28" t="s">
        <v>52</v>
      </c>
      <c r="N228" s="28" t="s">
        <v>1137</v>
      </c>
      <c r="O228" s="28" t="s">
        <v>44</v>
      </c>
      <c r="P228" s="28" t="s">
        <v>1381</v>
      </c>
      <c r="Q228" s="28" t="s">
        <v>1790</v>
      </c>
      <c r="R228" s="28" t="s">
        <v>44</v>
      </c>
      <c r="S228" s="28" t="s">
        <v>44</v>
      </c>
      <c r="T228" s="28" t="s">
        <v>44</v>
      </c>
      <c r="U228" s="28" t="s">
        <v>44</v>
      </c>
      <c r="V228" s="28" t="s">
        <v>1791</v>
      </c>
      <c r="W228" s="28" t="s">
        <v>1780</v>
      </c>
      <c r="X228" s="28"/>
      <c r="Y228" s="28"/>
      <c r="Z228" s="28"/>
      <c r="AA228" s="28"/>
    </row>
    <row r="229">
      <c r="A229" s="270" t="s">
        <v>1794</v>
      </c>
      <c r="B229" s="28" t="s">
        <v>36</v>
      </c>
      <c r="C229" s="28" t="s">
        <v>1386</v>
      </c>
      <c r="D229" s="28" t="s">
        <v>44</v>
      </c>
      <c r="E229" s="28" t="s">
        <v>44</v>
      </c>
      <c r="F229" s="28" t="s">
        <v>923</v>
      </c>
      <c r="G229" s="28" t="s">
        <v>47</v>
      </c>
      <c r="H229" s="28" t="s">
        <v>48</v>
      </c>
      <c r="I229" s="28" t="s">
        <v>485</v>
      </c>
      <c r="J229" s="28" t="s">
        <v>926</v>
      </c>
      <c r="K229" s="28" t="s">
        <v>927</v>
      </c>
      <c r="L229" s="28" t="s">
        <v>52</v>
      </c>
      <c r="M229" s="28" t="s">
        <v>52</v>
      </c>
      <c r="N229" s="28" t="s">
        <v>931</v>
      </c>
      <c r="O229" s="28" t="s">
        <v>44</v>
      </c>
      <c r="P229" s="28" t="s">
        <v>1387</v>
      </c>
      <c r="Q229" s="28" t="s">
        <v>1388</v>
      </c>
      <c r="R229" s="28" t="s">
        <v>44</v>
      </c>
      <c r="S229" s="28" t="s">
        <v>44</v>
      </c>
      <c r="T229" s="28" t="s">
        <v>44</v>
      </c>
      <c r="U229" s="28" t="s">
        <v>44</v>
      </c>
      <c r="V229" s="28" t="s">
        <v>1796</v>
      </c>
      <c r="W229" s="28" t="s">
        <v>1797</v>
      </c>
      <c r="X229" s="28"/>
      <c r="Y229" s="28"/>
      <c r="Z229" s="28"/>
      <c r="AA229" s="28"/>
    </row>
    <row r="230">
      <c r="A230" s="270" t="s">
        <v>1798</v>
      </c>
      <c r="B230" s="28" t="s">
        <v>36</v>
      </c>
      <c r="C230" s="28" t="s">
        <v>1391</v>
      </c>
      <c r="D230" s="28" t="s">
        <v>44</v>
      </c>
      <c r="E230" s="28" t="s">
        <v>44</v>
      </c>
      <c r="F230" s="28" t="s">
        <v>923</v>
      </c>
      <c r="G230" s="28" t="s">
        <v>47</v>
      </c>
      <c r="H230" s="28" t="s">
        <v>48</v>
      </c>
      <c r="I230" s="28" t="s">
        <v>485</v>
      </c>
      <c r="J230" s="28" t="s">
        <v>926</v>
      </c>
      <c r="K230" s="28" t="s">
        <v>927</v>
      </c>
      <c r="L230" s="28" t="s">
        <v>52</v>
      </c>
      <c r="M230" s="28" t="s">
        <v>52</v>
      </c>
      <c r="N230" s="28" t="s">
        <v>1137</v>
      </c>
      <c r="O230" s="28" t="s">
        <v>44</v>
      </c>
      <c r="P230" s="28" t="s">
        <v>1392</v>
      </c>
      <c r="Q230" s="1" t="s">
        <v>1393</v>
      </c>
      <c r="R230" s="28" t="s">
        <v>44</v>
      </c>
      <c r="S230" s="28" t="s">
        <v>44</v>
      </c>
      <c r="T230" s="28" t="s">
        <v>44</v>
      </c>
      <c r="U230" s="28" t="s">
        <v>44</v>
      </c>
      <c r="V230" s="28" t="s">
        <v>1800</v>
      </c>
      <c r="W230" s="28" t="s">
        <v>1802</v>
      </c>
      <c r="X230" s="28"/>
      <c r="Y230" s="28"/>
      <c r="Z230" s="28"/>
      <c r="AA230" s="28"/>
    </row>
    <row r="231">
      <c r="A231" s="270" t="s">
        <v>1804</v>
      </c>
      <c r="B231" s="28" t="s">
        <v>36</v>
      </c>
      <c r="C231" s="28" t="s">
        <v>1396</v>
      </c>
      <c r="D231" s="28" t="s">
        <v>44</v>
      </c>
      <c r="E231" s="28" t="s">
        <v>44</v>
      </c>
      <c r="F231" s="28" t="s">
        <v>923</v>
      </c>
      <c r="G231" s="28" t="s">
        <v>111</v>
      </c>
      <c r="H231" s="28" t="s">
        <v>91</v>
      </c>
      <c r="I231" s="28" t="s">
        <v>485</v>
      </c>
      <c r="J231" s="28" t="s">
        <v>926</v>
      </c>
      <c r="K231" s="28" t="s">
        <v>927</v>
      </c>
      <c r="L231" s="28" t="s">
        <v>52</v>
      </c>
      <c r="M231" s="28" t="s">
        <v>52</v>
      </c>
      <c r="N231" s="28" t="s">
        <v>1137</v>
      </c>
      <c r="O231" s="28" t="s">
        <v>44</v>
      </c>
      <c r="P231" s="28" t="s">
        <v>1399</v>
      </c>
      <c r="Q231" s="28" t="s">
        <v>1400</v>
      </c>
      <c r="R231" s="28" t="s">
        <v>44</v>
      </c>
      <c r="S231" s="28" t="s">
        <v>44</v>
      </c>
      <c r="T231" s="28" t="s">
        <v>44</v>
      </c>
      <c r="U231" s="28" t="s">
        <v>44</v>
      </c>
      <c r="V231" s="28" t="s">
        <v>1805</v>
      </c>
      <c r="W231" s="28" t="s">
        <v>1807</v>
      </c>
      <c r="X231" s="28"/>
      <c r="Y231" s="28"/>
      <c r="Z231" s="28"/>
      <c r="AA231" s="28"/>
    </row>
    <row r="232">
      <c r="A232" s="270" t="s">
        <v>1808</v>
      </c>
      <c r="B232" s="28" t="s">
        <v>36</v>
      </c>
      <c r="C232" s="28" t="s">
        <v>1403</v>
      </c>
      <c r="D232" s="28" t="s">
        <v>44</v>
      </c>
      <c r="E232" s="28" t="s">
        <v>44</v>
      </c>
      <c r="F232" s="28" t="s">
        <v>923</v>
      </c>
      <c r="G232" s="28" t="s">
        <v>111</v>
      </c>
      <c r="H232" s="28" t="s">
        <v>91</v>
      </c>
      <c r="I232" s="28" t="s">
        <v>485</v>
      </c>
      <c r="J232" s="28" t="s">
        <v>926</v>
      </c>
      <c r="K232" s="28" t="s">
        <v>927</v>
      </c>
      <c r="L232" s="28" t="s">
        <v>52</v>
      </c>
      <c r="M232" s="28" t="s">
        <v>52</v>
      </c>
      <c r="N232" s="28" t="s">
        <v>1137</v>
      </c>
      <c r="O232" s="28" t="s">
        <v>44</v>
      </c>
      <c r="P232" s="28" t="s">
        <v>1406</v>
      </c>
      <c r="Q232" s="28" t="s">
        <v>1407</v>
      </c>
      <c r="R232" s="28" t="s">
        <v>44</v>
      </c>
      <c r="S232" s="28" t="s">
        <v>44</v>
      </c>
      <c r="T232" s="28" t="s">
        <v>44</v>
      </c>
      <c r="U232" s="28" t="s">
        <v>44</v>
      </c>
      <c r="V232" s="28" t="s">
        <v>1811</v>
      </c>
      <c r="W232" s="28" t="s">
        <v>1812</v>
      </c>
      <c r="X232" s="28"/>
      <c r="Y232" s="28"/>
      <c r="Z232" s="28"/>
      <c r="AA232" s="28"/>
    </row>
    <row r="233">
      <c r="A233" s="270" t="s">
        <v>1813</v>
      </c>
      <c r="B233" s="28" t="s">
        <v>36</v>
      </c>
      <c r="C233" s="28" t="s">
        <v>1410</v>
      </c>
      <c r="D233" s="28" t="s">
        <v>44</v>
      </c>
      <c r="E233" s="28" t="s">
        <v>44</v>
      </c>
      <c r="F233" s="28" t="s">
        <v>923</v>
      </c>
      <c r="G233" s="28" t="s">
        <v>47</v>
      </c>
      <c r="H233" s="28" t="s">
        <v>95</v>
      </c>
      <c r="I233" s="28" t="s">
        <v>485</v>
      </c>
      <c r="J233" s="28" t="s">
        <v>1412</v>
      </c>
      <c r="K233" s="28" t="s">
        <v>51</v>
      </c>
      <c r="L233" s="28" t="s">
        <v>52</v>
      </c>
      <c r="M233" s="28" t="s">
        <v>52</v>
      </c>
      <c r="N233" s="28" t="s">
        <v>1414</v>
      </c>
      <c r="O233" s="28" t="s">
        <v>44</v>
      </c>
      <c r="P233" s="28" t="s">
        <v>1415</v>
      </c>
      <c r="Q233" s="28" t="s">
        <v>1815</v>
      </c>
      <c r="R233" s="28" t="s">
        <v>44</v>
      </c>
      <c r="S233" s="28" t="s">
        <v>44</v>
      </c>
      <c r="T233" s="28" t="s">
        <v>44</v>
      </c>
      <c r="U233" s="28" t="s">
        <v>44</v>
      </c>
      <c r="V233" s="28" t="s">
        <v>1816</v>
      </c>
      <c r="W233" s="28" t="s">
        <v>1817</v>
      </c>
      <c r="X233" s="28"/>
      <c r="Y233" s="28"/>
      <c r="Z233" s="28"/>
      <c r="AA233" s="28"/>
    </row>
    <row r="234">
      <c r="A234" s="270" t="s">
        <v>1818</v>
      </c>
      <c r="B234" s="28" t="s">
        <v>36</v>
      </c>
      <c r="C234" s="28" t="s">
        <v>1419</v>
      </c>
      <c r="D234" s="28" t="s">
        <v>44</v>
      </c>
      <c r="E234" s="28" t="s">
        <v>44</v>
      </c>
      <c r="F234" s="28" t="s">
        <v>923</v>
      </c>
      <c r="G234" s="28" t="s">
        <v>47</v>
      </c>
      <c r="H234" s="28" t="s">
        <v>48</v>
      </c>
      <c r="I234" s="28" t="s">
        <v>485</v>
      </c>
      <c r="J234" s="28" t="s">
        <v>926</v>
      </c>
      <c r="K234" s="28" t="s">
        <v>927</v>
      </c>
      <c r="L234" s="28" t="s">
        <v>52</v>
      </c>
      <c r="M234" s="28" t="s">
        <v>52</v>
      </c>
      <c r="N234" s="28" t="s">
        <v>931</v>
      </c>
      <c r="O234" s="28" t="s">
        <v>44</v>
      </c>
      <c r="P234" s="28" t="s">
        <v>1422</v>
      </c>
      <c r="Q234" s="28" t="s">
        <v>1423</v>
      </c>
      <c r="R234" s="28" t="s">
        <v>44</v>
      </c>
      <c r="S234" s="28" t="s">
        <v>44</v>
      </c>
      <c r="T234" s="28" t="s">
        <v>44</v>
      </c>
      <c r="U234" s="28" t="s">
        <v>44</v>
      </c>
      <c r="V234" s="28" t="s">
        <v>1821</v>
      </c>
      <c r="W234" s="28" t="s">
        <v>774</v>
      </c>
      <c r="X234" s="28"/>
      <c r="Y234" s="28"/>
      <c r="Z234" s="28"/>
      <c r="AA234" s="28"/>
    </row>
    <row r="235">
      <c r="A235" s="270" t="s">
        <v>1822</v>
      </c>
      <c r="B235" s="28" t="s">
        <v>36</v>
      </c>
      <c r="C235" s="28" t="s">
        <v>1426</v>
      </c>
      <c r="D235" s="28" t="s">
        <v>44</v>
      </c>
      <c r="E235" s="28" t="s">
        <v>44</v>
      </c>
      <c r="F235" s="28" t="s">
        <v>923</v>
      </c>
      <c r="G235" s="28" t="s">
        <v>47</v>
      </c>
      <c r="H235" s="28" t="s">
        <v>48</v>
      </c>
      <c r="I235" s="28" t="s">
        <v>485</v>
      </c>
      <c r="J235" s="28" t="s">
        <v>926</v>
      </c>
      <c r="K235" s="28" t="s">
        <v>927</v>
      </c>
      <c r="L235" s="28" t="s">
        <v>52</v>
      </c>
      <c r="M235" s="28" t="s">
        <v>52</v>
      </c>
      <c r="N235" s="28" t="s">
        <v>1137</v>
      </c>
      <c r="O235" s="28" t="s">
        <v>44</v>
      </c>
      <c r="P235" s="28" t="s">
        <v>1429</v>
      </c>
      <c r="Q235" s="28" t="s">
        <v>1430</v>
      </c>
      <c r="R235" s="28" t="s">
        <v>44</v>
      </c>
      <c r="S235" s="28" t="s">
        <v>44</v>
      </c>
      <c r="T235" s="28" t="s">
        <v>44</v>
      </c>
      <c r="U235" s="28" t="s">
        <v>44</v>
      </c>
      <c r="V235" s="28" t="s">
        <v>1824</v>
      </c>
      <c r="W235" s="28" t="s">
        <v>774</v>
      </c>
      <c r="X235" s="28"/>
      <c r="Y235" s="28"/>
      <c r="Z235" s="28"/>
      <c r="AA235" s="28"/>
    </row>
    <row r="236">
      <c r="A236" s="270" t="s">
        <v>1826</v>
      </c>
      <c r="B236" s="28" t="s">
        <v>36</v>
      </c>
      <c r="C236" s="28" t="s">
        <v>1433</v>
      </c>
      <c r="D236" s="28" t="s">
        <v>44</v>
      </c>
      <c r="E236" s="28" t="s">
        <v>44</v>
      </c>
      <c r="F236" s="28" t="s">
        <v>923</v>
      </c>
      <c r="G236" s="28" t="s">
        <v>47</v>
      </c>
      <c r="H236" s="28" t="s">
        <v>95</v>
      </c>
      <c r="I236" s="28" t="s">
        <v>485</v>
      </c>
      <c r="J236" s="28" t="s">
        <v>926</v>
      </c>
      <c r="K236" s="28" t="s">
        <v>927</v>
      </c>
      <c r="L236" s="28" t="s">
        <v>52</v>
      </c>
      <c r="M236" s="28" t="s">
        <v>52</v>
      </c>
      <c r="N236" s="28" t="s">
        <v>1137</v>
      </c>
      <c r="O236" s="28" t="s">
        <v>44</v>
      </c>
      <c r="P236" s="28" t="s">
        <v>1434</v>
      </c>
      <c r="Q236" s="28" t="s">
        <v>1828</v>
      </c>
      <c r="R236" s="28" t="s">
        <v>44</v>
      </c>
      <c r="S236" s="28" t="s">
        <v>44</v>
      </c>
      <c r="T236" s="28" t="s">
        <v>44</v>
      </c>
      <c r="U236" s="28" t="s">
        <v>44</v>
      </c>
      <c r="V236" s="28" t="s">
        <v>1829</v>
      </c>
      <c r="W236" s="28" t="s">
        <v>1830</v>
      </c>
      <c r="X236" s="28"/>
      <c r="Y236" s="28"/>
      <c r="Z236" s="28"/>
      <c r="AA236" s="28"/>
    </row>
    <row r="237">
      <c r="A237" s="270" t="s">
        <v>1832</v>
      </c>
      <c r="B237" s="28" t="s">
        <v>36</v>
      </c>
      <c r="C237" s="28" t="s">
        <v>1438</v>
      </c>
      <c r="D237" s="28" t="s">
        <v>44</v>
      </c>
      <c r="E237" s="28" t="s">
        <v>44</v>
      </c>
      <c r="F237" s="28" t="s">
        <v>923</v>
      </c>
      <c r="G237" s="28" t="s">
        <v>47</v>
      </c>
      <c r="H237" s="28" t="s">
        <v>48</v>
      </c>
      <c r="I237" s="28" t="s">
        <v>485</v>
      </c>
      <c r="J237" s="28" t="s">
        <v>926</v>
      </c>
      <c r="K237" s="28" t="s">
        <v>927</v>
      </c>
      <c r="L237" s="28" t="s">
        <v>52</v>
      </c>
      <c r="M237" s="28" t="s">
        <v>52</v>
      </c>
      <c r="N237" s="28" t="s">
        <v>931</v>
      </c>
      <c r="O237" s="28" t="s">
        <v>44</v>
      </c>
      <c r="P237" s="28" t="s">
        <v>1443</v>
      </c>
      <c r="Q237" s="1" t="s">
        <v>1833</v>
      </c>
      <c r="R237" s="28" t="s">
        <v>44</v>
      </c>
      <c r="S237" s="28" t="s">
        <v>44</v>
      </c>
      <c r="T237" s="28" t="s">
        <v>44</v>
      </c>
      <c r="U237" s="28" t="s">
        <v>44</v>
      </c>
      <c r="V237" s="28" t="s">
        <v>1835</v>
      </c>
      <c r="W237" s="28" t="s">
        <v>1837</v>
      </c>
      <c r="X237" s="28"/>
      <c r="Y237" s="28"/>
      <c r="Z237" s="28"/>
      <c r="AA237" s="28"/>
    </row>
    <row r="238">
      <c r="A238" s="270" t="s">
        <v>1838</v>
      </c>
      <c r="B238" s="28" t="s">
        <v>36</v>
      </c>
      <c r="C238" s="28" t="s">
        <v>1447</v>
      </c>
      <c r="D238" s="28" t="s">
        <v>44</v>
      </c>
      <c r="E238" s="28" t="s">
        <v>44</v>
      </c>
      <c r="F238" s="28" t="s">
        <v>923</v>
      </c>
      <c r="G238" s="28" t="s">
        <v>47</v>
      </c>
      <c r="H238" s="28" t="s">
        <v>95</v>
      </c>
      <c r="I238" s="28" t="s">
        <v>485</v>
      </c>
      <c r="J238" s="28" t="s">
        <v>926</v>
      </c>
      <c r="K238" s="28" t="s">
        <v>927</v>
      </c>
      <c r="L238" s="28" t="s">
        <v>52</v>
      </c>
      <c r="M238" s="28" t="s">
        <v>52</v>
      </c>
      <c r="N238" s="28" t="s">
        <v>931</v>
      </c>
      <c r="O238" s="28" t="s">
        <v>44</v>
      </c>
      <c r="P238" s="28" t="s">
        <v>1450</v>
      </c>
      <c r="Q238" s="28" t="s">
        <v>1839</v>
      </c>
      <c r="R238" s="28" t="s">
        <v>44</v>
      </c>
      <c r="S238" s="28" t="s">
        <v>44</v>
      </c>
      <c r="T238" s="28" t="s">
        <v>44</v>
      </c>
      <c r="U238" s="28" t="s">
        <v>44</v>
      </c>
      <c r="V238" s="28" t="s">
        <v>1841</v>
      </c>
      <c r="W238" s="28" t="s">
        <v>1842</v>
      </c>
      <c r="X238" s="28"/>
      <c r="Y238" s="28"/>
      <c r="Z238" s="28"/>
      <c r="AA238" s="28"/>
    </row>
    <row r="239">
      <c r="A239" s="270" t="s">
        <v>1843</v>
      </c>
      <c r="B239" s="28" t="s">
        <v>36</v>
      </c>
      <c r="C239" s="28" t="s">
        <v>1453</v>
      </c>
      <c r="D239" s="28" t="s">
        <v>44</v>
      </c>
      <c r="E239" s="28" t="s">
        <v>44</v>
      </c>
      <c r="F239" s="28" t="s">
        <v>923</v>
      </c>
      <c r="G239" s="28" t="s">
        <v>47</v>
      </c>
      <c r="H239" s="28" t="s">
        <v>48</v>
      </c>
      <c r="I239" s="28" t="s">
        <v>485</v>
      </c>
      <c r="J239" s="28" t="s">
        <v>926</v>
      </c>
      <c r="K239" s="28" t="s">
        <v>927</v>
      </c>
      <c r="L239" s="28" t="s">
        <v>52</v>
      </c>
      <c r="M239" s="28" t="s">
        <v>52</v>
      </c>
      <c r="N239" s="28" t="s">
        <v>931</v>
      </c>
      <c r="O239" s="28" t="s">
        <v>44</v>
      </c>
      <c r="P239" s="28" t="s">
        <v>1455</v>
      </c>
      <c r="Q239" s="28" t="s">
        <v>1456</v>
      </c>
      <c r="R239" s="28" t="s">
        <v>44</v>
      </c>
      <c r="S239" s="28" t="s">
        <v>44</v>
      </c>
      <c r="T239" s="28" t="s">
        <v>44</v>
      </c>
      <c r="U239" s="28" t="s">
        <v>44</v>
      </c>
      <c r="V239" s="28" t="s">
        <v>1846</v>
      </c>
      <c r="W239" s="28" t="s">
        <v>774</v>
      </c>
      <c r="X239" s="28"/>
      <c r="Y239" s="28"/>
      <c r="Z239" s="28"/>
      <c r="AA239" s="28"/>
    </row>
    <row r="240">
      <c r="A240" s="270" t="s">
        <v>1847</v>
      </c>
      <c r="B240" s="28" t="s">
        <v>36</v>
      </c>
      <c r="C240" s="28" t="s">
        <v>1459</v>
      </c>
      <c r="D240" s="28" t="s">
        <v>44</v>
      </c>
      <c r="E240" s="28" t="s">
        <v>44</v>
      </c>
      <c r="F240" s="28" t="s">
        <v>923</v>
      </c>
      <c r="G240" s="28" t="s">
        <v>47</v>
      </c>
      <c r="H240" s="28" t="s">
        <v>95</v>
      </c>
      <c r="I240" s="28" t="s">
        <v>485</v>
      </c>
      <c r="J240" s="28" t="s">
        <v>926</v>
      </c>
      <c r="K240" s="28" t="s">
        <v>927</v>
      </c>
      <c r="L240" s="28" t="s">
        <v>52</v>
      </c>
      <c r="M240" s="28" t="s">
        <v>52</v>
      </c>
      <c r="N240" s="28" t="s">
        <v>1137</v>
      </c>
      <c r="O240" s="28" t="s">
        <v>44</v>
      </c>
      <c r="P240" s="28" t="s">
        <v>1462</v>
      </c>
      <c r="Q240" s="28" t="s">
        <v>1848</v>
      </c>
      <c r="R240" s="28" t="s">
        <v>44</v>
      </c>
      <c r="S240" s="28" t="s">
        <v>44</v>
      </c>
      <c r="T240" s="28" t="s">
        <v>44</v>
      </c>
      <c r="U240" s="28" t="s">
        <v>44</v>
      </c>
      <c r="V240" s="28" t="s">
        <v>1850</v>
      </c>
      <c r="W240" s="28" t="s">
        <v>1851</v>
      </c>
      <c r="X240" s="28"/>
      <c r="Y240" s="28"/>
      <c r="Z240" s="28"/>
      <c r="AA240" s="28"/>
    </row>
    <row r="241">
      <c r="A241" s="270" t="s">
        <v>1852</v>
      </c>
      <c r="B241" s="28" t="s">
        <v>36</v>
      </c>
      <c r="C241" s="28" t="s">
        <v>1468</v>
      </c>
      <c r="D241" s="28" t="s">
        <v>44</v>
      </c>
      <c r="E241" s="28" t="s">
        <v>44</v>
      </c>
      <c r="F241" s="28" t="s">
        <v>923</v>
      </c>
      <c r="G241" s="28" t="s">
        <v>197</v>
      </c>
      <c r="H241" s="28" t="s">
        <v>198</v>
      </c>
      <c r="I241" s="28" t="s">
        <v>485</v>
      </c>
      <c r="J241" s="28" t="s">
        <v>926</v>
      </c>
      <c r="K241" s="28" t="s">
        <v>927</v>
      </c>
      <c r="L241" s="28" t="s">
        <v>52</v>
      </c>
      <c r="M241" s="28" t="s">
        <v>52</v>
      </c>
      <c r="N241" s="28" t="s">
        <v>1471</v>
      </c>
      <c r="O241" s="28" t="s">
        <v>44</v>
      </c>
      <c r="P241" s="28" t="s">
        <v>1472</v>
      </c>
      <c r="Q241" s="28" t="s">
        <v>1854</v>
      </c>
      <c r="R241" s="28" t="s">
        <v>44</v>
      </c>
      <c r="S241" s="28" t="s">
        <v>44</v>
      </c>
      <c r="T241" s="28" t="s">
        <v>44</v>
      </c>
      <c r="U241" s="28" t="s">
        <v>44</v>
      </c>
      <c r="V241" s="28" t="s">
        <v>1856</v>
      </c>
      <c r="W241" s="28" t="s">
        <v>1857</v>
      </c>
      <c r="X241" s="28"/>
      <c r="Y241" s="28"/>
      <c r="Z241" s="28"/>
      <c r="AA241" s="28"/>
    </row>
    <row r="242">
      <c r="A242" s="270" t="s">
        <v>1858</v>
      </c>
      <c r="B242" s="28" t="s">
        <v>36</v>
      </c>
      <c r="C242" s="28" t="s">
        <v>1477</v>
      </c>
      <c r="D242" s="28" t="s">
        <v>44</v>
      </c>
      <c r="E242" s="28" t="s">
        <v>44</v>
      </c>
      <c r="F242" s="28" t="s">
        <v>923</v>
      </c>
      <c r="G242" s="28" t="s">
        <v>47</v>
      </c>
      <c r="H242" s="28" t="s">
        <v>48</v>
      </c>
      <c r="I242" s="28" t="s">
        <v>485</v>
      </c>
      <c r="J242" s="28" t="s">
        <v>926</v>
      </c>
      <c r="K242" s="28" t="s">
        <v>927</v>
      </c>
      <c r="L242" s="28" t="s">
        <v>52</v>
      </c>
      <c r="M242" s="28" t="s">
        <v>52</v>
      </c>
      <c r="N242" s="28" t="s">
        <v>931</v>
      </c>
      <c r="O242" s="28" t="s">
        <v>44</v>
      </c>
      <c r="P242" s="28" t="s">
        <v>1480</v>
      </c>
      <c r="Q242" s="28" t="s">
        <v>1481</v>
      </c>
      <c r="R242" s="28" t="s">
        <v>44</v>
      </c>
      <c r="S242" s="28" t="s">
        <v>44</v>
      </c>
      <c r="T242" s="28" t="s">
        <v>44</v>
      </c>
      <c r="U242" s="28" t="s">
        <v>44</v>
      </c>
      <c r="V242" s="28" t="s">
        <v>1860</v>
      </c>
      <c r="W242" s="28" t="s">
        <v>774</v>
      </c>
      <c r="X242" s="28"/>
      <c r="Y242" s="28"/>
      <c r="Z242" s="28"/>
      <c r="AA242" s="28"/>
    </row>
    <row r="243">
      <c r="A243" s="270" t="s">
        <v>1861</v>
      </c>
      <c r="B243" s="28" t="s">
        <v>36</v>
      </c>
      <c r="C243" s="28" t="s">
        <v>1485</v>
      </c>
      <c r="D243" s="28" t="s">
        <v>44</v>
      </c>
      <c r="E243" s="28" t="s">
        <v>44</v>
      </c>
      <c r="F243" s="28" t="s">
        <v>923</v>
      </c>
      <c r="G243" s="28" t="s">
        <v>47</v>
      </c>
      <c r="H243" s="28" t="s">
        <v>95</v>
      </c>
      <c r="I243" s="28" t="s">
        <v>485</v>
      </c>
      <c r="J243" s="28" t="s">
        <v>926</v>
      </c>
      <c r="K243" s="28" t="s">
        <v>927</v>
      </c>
      <c r="L243" s="28" t="s">
        <v>52</v>
      </c>
      <c r="M243" s="28" t="s">
        <v>52</v>
      </c>
      <c r="N243" s="28" t="s">
        <v>931</v>
      </c>
      <c r="O243" s="28" t="s">
        <v>44</v>
      </c>
      <c r="P243" s="28" t="s">
        <v>1489</v>
      </c>
      <c r="Q243" s="28" t="s">
        <v>1862</v>
      </c>
      <c r="R243" s="28" t="s">
        <v>44</v>
      </c>
      <c r="S243" s="28" t="s">
        <v>44</v>
      </c>
      <c r="T243" s="28" t="s">
        <v>44</v>
      </c>
      <c r="U243" s="28" t="s">
        <v>44</v>
      </c>
      <c r="V243" s="28" t="s">
        <v>1863</v>
      </c>
      <c r="W243" s="28" t="s">
        <v>1864</v>
      </c>
      <c r="X243" s="28"/>
      <c r="Y243" s="28"/>
      <c r="Z243" s="28"/>
      <c r="AA243" s="28"/>
    </row>
    <row r="244">
      <c r="A244" s="270" t="s">
        <v>1865</v>
      </c>
      <c r="B244" s="28" t="s">
        <v>36</v>
      </c>
      <c r="C244" s="28" t="s">
        <v>1494</v>
      </c>
      <c r="D244" s="28" t="s">
        <v>44</v>
      </c>
      <c r="E244" s="28" t="s">
        <v>44</v>
      </c>
      <c r="F244" s="28" t="s">
        <v>923</v>
      </c>
      <c r="G244" s="28" t="s">
        <v>47</v>
      </c>
      <c r="H244" s="28" t="s">
        <v>48</v>
      </c>
      <c r="I244" s="28" t="s">
        <v>485</v>
      </c>
      <c r="J244" s="28" t="s">
        <v>926</v>
      </c>
      <c r="K244" s="28" t="s">
        <v>927</v>
      </c>
      <c r="L244" s="28" t="s">
        <v>52</v>
      </c>
      <c r="M244" s="28" t="s">
        <v>52</v>
      </c>
      <c r="N244" s="28" t="s">
        <v>931</v>
      </c>
      <c r="O244" s="28" t="s">
        <v>44</v>
      </c>
      <c r="P244" s="28" t="s">
        <v>1497</v>
      </c>
      <c r="Q244" s="28" t="s">
        <v>1498</v>
      </c>
      <c r="R244" s="28" t="s">
        <v>44</v>
      </c>
      <c r="S244" s="28" t="s">
        <v>44</v>
      </c>
      <c r="T244" s="28" t="s">
        <v>44</v>
      </c>
      <c r="U244" s="28" t="s">
        <v>44</v>
      </c>
      <c r="V244" s="28" t="s">
        <v>1866</v>
      </c>
      <c r="W244" s="28" t="s">
        <v>774</v>
      </c>
      <c r="X244" s="28"/>
      <c r="Y244" s="28"/>
      <c r="Z244" s="28"/>
      <c r="AA244" s="28"/>
    </row>
    <row r="245">
      <c r="A245" s="270" t="s">
        <v>1867</v>
      </c>
      <c r="B245" s="28" t="s">
        <v>36</v>
      </c>
      <c r="C245" s="28" t="s">
        <v>1502</v>
      </c>
      <c r="D245" s="28" t="s">
        <v>44</v>
      </c>
      <c r="E245" s="28" t="s">
        <v>44</v>
      </c>
      <c r="F245" s="28" t="s">
        <v>923</v>
      </c>
      <c r="G245" s="28" t="s">
        <v>47</v>
      </c>
      <c r="H245" s="28" t="s">
        <v>95</v>
      </c>
      <c r="I245" s="28" t="s">
        <v>485</v>
      </c>
      <c r="J245" s="28" t="s">
        <v>926</v>
      </c>
      <c r="K245" s="28" t="s">
        <v>927</v>
      </c>
      <c r="L245" s="28" t="s">
        <v>52</v>
      </c>
      <c r="M245" s="28" t="s">
        <v>52</v>
      </c>
      <c r="N245" s="28" t="s">
        <v>1137</v>
      </c>
      <c r="O245" s="28" t="s">
        <v>44</v>
      </c>
      <c r="P245" s="28" t="s">
        <v>1510</v>
      </c>
      <c r="Q245" s="28" t="s">
        <v>1868</v>
      </c>
      <c r="R245" s="28" t="s">
        <v>44</v>
      </c>
      <c r="S245" s="28" t="s">
        <v>44</v>
      </c>
      <c r="T245" s="28" t="s">
        <v>44</v>
      </c>
      <c r="U245" s="28" t="s">
        <v>44</v>
      </c>
      <c r="V245" s="28" t="s">
        <v>1870</v>
      </c>
      <c r="W245" s="28" t="s">
        <v>1871</v>
      </c>
      <c r="X245" s="28"/>
      <c r="Y245" s="28"/>
      <c r="Z245" s="28"/>
      <c r="AA245" s="28"/>
    </row>
    <row r="246">
      <c r="A246" s="270" t="s">
        <v>1872</v>
      </c>
      <c r="B246" s="28" t="s">
        <v>36</v>
      </c>
      <c r="C246" s="28" t="s">
        <v>1514</v>
      </c>
      <c r="D246" s="28" t="s">
        <v>44</v>
      </c>
      <c r="E246" s="28" t="s">
        <v>44</v>
      </c>
      <c r="F246" s="28" t="s">
        <v>923</v>
      </c>
      <c r="G246" s="28" t="s">
        <v>197</v>
      </c>
      <c r="H246" s="28" t="s">
        <v>198</v>
      </c>
      <c r="I246" s="28" t="s">
        <v>485</v>
      </c>
      <c r="J246" s="28" t="s">
        <v>926</v>
      </c>
      <c r="K246" s="28" t="s">
        <v>927</v>
      </c>
      <c r="L246" s="28" t="s">
        <v>52</v>
      </c>
      <c r="M246" s="28" t="s">
        <v>52</v>
      </c>
      <c r="N246" s="28" t="s">
        <v>1516</v>
      </c>
      <c r="O246" s="28" t="s">
        <v>44</v>
      </c>
      <c r="P246" s="28" t="s">
        <v>1517</v>
      </c>
      <c r="Q246" s="28" t="s">
        <v>1873</v>
      </c>
      <c r="R246" s="28" t="s">
        <v>44</v>
      </c>
      <c r="S246" s="28" t="s">
        <v>44</v>
      </c>
      <c r="T246" s="28" t="s">
        <v>44</v>
      </c>
      <c r="U246" s="28" t="s">
        <v>44</v>
      </c>
      <c r="V246" s="28" t="s">
        <v>1874</v>
      </c>
      <c r="W246" s="28" t="s">
        <v>1875</v>
      </c>
      <c r="X246" s="28"/>
      <c r="Y246" s="28"/>
      <c r="Z246" s="28"/>
      <c r="AA246" s="28"/>
    </row>
    <row r="247">
      <c r="A247" s="270" t="s">
        <v>1877</v>
      </c>
      <c r="B247" s="28" t="s">
        <v>36</v>
      </c>
      <c r="C247" s="28" t="s">
        <v>1522</v>
      </c>
      <c r="D247" s="28" t="s">
        <v>44</v>
      </c>
      <c r="E247" s="28" t="s">
        <v>44</v>
      </c>
      <c r="F247" s="28" t="s">
        <v>923</v>
      </c>
      <c r="G247" s="28" t="s">
        <v>47</v>
      </c>
      <c r="H247" s="28" t="s">
        <v>48</v>
      </c>
      <c r="I247" s="28" t="s">
        <v>485</v>
      </c>
      <c r="J247" s="28" t="s">
        <v>926</v>
      </c>
      <c r="K247" s="28" t="s">
        <v>927</v>
      </c>
      <c r="L247" s="28" t="s">
        <v>52</v>
      </c>
      <c r="M247" s="28" t="s">
        <v>52</v>
      </c>
      <c r="N247" s="28" t="s">
        <v>931</v>
      </c>
      <c r="O247" s="28" t="s">
        <v>44</v>
      </c>
      <c r="P247" s="28" t="s">
        <v>1525</v>
      </c>
      <c r="Q247" s="271" t="s">
        <v>1527</v>
      </c>
      <c r="R247" s="28" t="s">
        <v>44</v>
      </c>
      <c r="S247" s="28" t="s">
        <v>44</v>
      </c>
      <c r="T247" s="28" t="s">
        <v>44</v>
      </c>
      <c r="U247" s="28" t="s">
        <v>44</v>
      </c>
      <c r="V247" s="28" t="s">
        <v>1879</v>
      </c>
      <c r="W247" s="28" t="s">
        <v>774</v>
      </c>
      <c r="X247" s="28"/>
      <c r="Y247" s="28"/>
      <c r="Z247" s="28"/>
      <c r="AA247" s="28"/>
    </row>
    <row r="248">
      <c r="A248" s="270" t="s">
        <v>1881</v>
      </c>
      <c r="B248" s="28" t="s">
        <v>36</v>
      </c>
      <c r="C248" s="28" t="s">
        <v>1530</v>
      </c>
      <c r="D248" s="28" t="s">
        <v>44</v>
      </c>
      <c r="E248" s="28" t="s">
        <v>44</v>
      </c>
      <c r="F248" s="28" t="s">
        <v>923</v>
      </c>
      <c r="G248" s="28" t="s">
        <v>47</v>
      </c>
      <c r="H248" s="28" t="s">
        <v>95</v>
      </c>
      <c r="I248" s="28" t="s">
        <v>485</v>
      </c>
      <c r="J248" s="28" t="s">
        <v>926</v>
      </c>
      <c r="K248" s="28" t="s">
        <v>927</v>
      </c>
      <c r="L248" s="28" t="s">
        <v>52</v>
      </c>
      <c r="M248" s="28" t="s">
        <v>52</v>
      </c>
      <c r="N248" s="28" t="s">
        <v>931</v>
      </c>
      <c r="O248" s="28" t="s">
        <v>44</v>
      </c>
      <c r="P248" s="28" t="s">
        <v>1533</v>
      </c>
      <c r="Q248" s="28" t="s">
        <v>1882</v>
      </c>
      <c r="R248" s="28" t="s">
        <v>44</v>
      </c>
      <c r="S248" s="28" t="s">
        <v>44</v>
      </c>
      <c r="T248" s="28" t="s">
        <v>44</v>
      </c>
      <c r="U248" s="28" t="s">
        <v>44</v>
      </c>
      <c r="V248" s="28" t="s">
        <v>1883</v>
      </c>
      <c r="W248" s="28" t="s">
        <v>1600</v>
      </c>
      <c r="X248" s="28"/>
      <c r="Y248" s="28"/>
      <c r="Z248" s="28"/>
      <c r="AA248" s="28"/>
    </row>
    <row r="249">
      <c r="A249" s="270" t="s">
        <v>1885</v>
      </c>
      <c r="B249" s="28" t="s">
        <v>36</v>
      </c>
      <c r="C249" s="28" t="s">
        <v>1539</v>
      </c>
      <c r="D249" s="28" t="s">
        <v>44</v>
      </c>
      <c r="E249" s="28" t="s">
        <v>44</v>
      </c>
      <c r="F249" s="28" t="s">
        <v>923</v>
      </c>
      <c r="G249" s="28" t="s">
        <v>111</v>
      </c>
      <c r="H249" s="28" t="s">
        <v>91</v>
      </c>
      <c r="I249" s="28" t="s">
        <v>485</v>
      </c>
      <c r="J249" s="28" t="s">
        <v>926</v>
      </c>
      <c r="K249" s="28" t="s">
        <v>927</v>
      </c>
      <c r="L249" s="28" t="s">
        <v>52</v>
      </c>
      <c r="M249" s="28" t="s">
        <v>52</v>
      </c>
      <c r="N249" s="28" t="s">
        <v>931</v>
      </c>
      <c r="O249" s="28" t="s">
        <v>44</v>
      </c>
      <c r="P249" s="28" t="s">
        <v>1545</v>
      </c>
      <c r="Q249" s="28" t="s">
        <v>1547</v>
      </c>
      <c r="R249" s="28" t="s">
        <v>44</v>
      </c>
      <c r="S249" s="28" t="s">
        <v>44</v>
      </c>
      <c r="T249" s="28" t="s">
        <v>44</v>
      </c>
      <c r="U249" s="28" t="s">
        <v>44</v>
      </c>
      <c r="V249" s="28" t="s">
        <v>1889</v>
      </c>
      <c r="W249" s="28" t="s">
        <v>774</v>
      </c>
      <c r="X249" s="28"/>
      <c r="Y249" s="28"/>
      <c r="Z249" s="28"/>
      <c r="AA249" s="28"/>
    </row>
    <row r="250">
      <c r="A250" s="270" t="s">
        <v>1890</v>
      </c>
      <c r="B250" s="28" t="s">
        <v>36</v>
      </c>
      <c r="C250" s="28" t="s">
        <v>1550</v>
      </c>
      <c r="D250" s="28" t="s">
        <v>44</v>
      </c>
      <c r="E250" s="28" t="s">
        <v>44</v>
      </c>
      <c r="F250" s="28" t="s">
        <v>923</v>
      </c>
      <c r="G250" s="28" t="s">
        <v>47</v>
      </c>
      <c r="H250" s="28" t="s">
        <v>48</v>
      </c>
      <c r="I250" s="28" t="s">
        <v>485</v>
      </c>
      <c r="J250" s="28" t="s">
        <v>926</v>
      </c>
      <c r="K250" s="28" t="s">
        <v>927</v>
      </c>
      <c r="L250" s="28" t="s">
        <v>52</v>
      </c>
      <c r="M250" s="28" t="s">
        <v>52</v>
      </c>
      <c r="N250" s="28" t="s">
        <v>1137</v>
      </c>
      <c r="O250" s="28" t="s">
        <v>44</v>
      </c>
      <c r="P250" s="28" t="s">
        <v>1554</v>
      </c>
      <c r="Q250" s="28" t="s">
        <v>1891</v>
      </c>
      <c r="R250" s="28" t="s">
        <v>44</v>
      </c>
      <c r="S250" s="28" t="s">
        <v>44</v>
      </c>
      <c r="T250" s="28" t="s">
        <v>44</v>
      </c>
      <c r="U250" s="28" t="s">
        <v>44</v>
      </c>
      <c r="V250" s="28" t="s">
        <v>1893</v>
      </c>
      <c r="W250" s="28" t="s">
        <v>774</v>
      </c>
      <c r="X250" s="28"/>
      <c r="Y250" s="28"/>
      <c r="Z250" s="28"/>
      <c r="AA250" s="28"/>
    </row>
    <row r="251">
      <c r="A251" s="270" t="s">
        <v>1894</v>
      </c>
      <c r="B251" s="28" t="s">
        <v>36</v>
      </c>
      <c r="C251" s="28" t="s">
        <v>1562</v>
      </c>
      <c r="D251" s="28" t="s">
        <v>44</v>
      </c>
      <c r="E251" s="28" t="s">
        <v>44</v>
      </c>
      <c r="F251" s="28" t="s">
        <v>923</v>
      </c>
      <c r="G251" s="28" t="s">
        <v>47</v>
      </c>
      <c r="H251" s="28" t="s">
        <v>48</v>
      </c>
      <c r="I251" s="28" t="s">
        <v>485</v>
      </c>
      <c r="J251" s="28" t="s">
        <v>926</v>
      </c>
      <c r="K251" s="28" t="s">
        <v>927</v>
      </c>
      <c r="L251" s="28" t="s">
        <v>52</v>
      </c>
      <c r="M251" s="28" t="s">
        <v>52</v>
      </c>
      <c r="N251" s="28" t="s">
        <v>1137</v>
      </c>
      <c r="O251" s="28" t="s">
        <v>44</v>
      </c>
      <c r="P251" s="28" t="s">
        <v>1565</v>
      </c>
      <c r="Q251" s="28" t="s">
        <v>1897</v>
      </c>
      <c r="R251" s="28" t="s">
        <v>44</v>
      </c>
      <c r="S251" s="28" t="s">
        <v>44</v>
      </c>
      <c r="T251" s="28" t="s">
        <v>44</v>
      </c>
      <c r="U251" s="28" t="s">
        <v>44</v>
      </c>
      <c r="V251" s="28" t="s">
        <v>1898</v>
      </c>
      <c r="W251" s="28" t="s">
        <v>774</v>
      </c>
      <c r="X251" s="28"/>
      <c r="Y251" s="28"/>
      <c r="Z251" s="28"/>
      <c r="AA251" s="28"/>
    </row>
    <row r="252">
      <c r="A252" s="270" t="s">
        <v>1899</v>
      </c>
      <c r="B252" s="28" t="s">
        <v>36</v>
      </c>
      <c r="C252" s="28" t="s">
        <v>1569</v>
      </c>
      <c r="D252" s="28" t="s">
        <v>44</v>
      </c>
      <c r="E252" s="28" t="s">
        <v>44</v>
      </c>
      <c r="F252" s="28" t="s">
        <v>923</v>
      </c>
      <c r="G252" s="28" t="s">
        <v>47</v>
      </c>
      <c r="H252" s="28" t="s">
        <v>95</v>
      </c>
      <c r="I252" s="28" t="s">
        <v>485</v>
      </c>
      <c r="J252" s="28" t="s">
        <v>926</v>
      </c>
      <c r="K252" s="28" t="s">
        <v>927</v>
      </c>
      <c r="L252" s="28" t="s">
        <v>52</v>
      </c>
      <c r="M252" s="28" t="s">
        <v>52</v>
      </c>
      <c r="N252" s="28" t="s">
        <v>1573</v>
      </c>
      <c r="O252" s="28" t="s">
        <v>44</v>
      </c>
      <c r="P252" s="28" t="s">
        <v>1574</v>
      </c>
      <c r="Q252" s="28" t="s">
        <v>1901</v>
      </c>
      <c r="R252" s="28" t="s">
        <v>44</v>
      </c>
      <c r="S252" s="28" t="s">
        <v>44</v>
      </c>
      <c r="T252" s="28" t="s">
        <v>44</v>
      </c>
      <c r="U252" s="28" t="s">
        <v>44</v>
      </c>
      <c r="V252" s="28" t="s">
        <v>1902</v>
      </c>
      <c r="W252" s="28" t="s">
        <v>1903</v>
      </c>
      <c r="X252" s="28"/>
      <c r="Y252" s="28"/>
      <c r="Z252" s="28"/>
      <c r="AA252" s="28"/>
    </row>
    <row r="253">
      <c r="A253" s="270" t="s">
        <v>1904</v>
      </c>
      <c r="B253" s="28" t="s">
        <v>36</v>
      </c>
      <c r="C253" s="28" t="s">
        <v>1580</v>
      </c>
      <c r="D253" s="28" t="s">
        <v>44</v>
      </c>
      <c r="E253" s="28" t="s">
        <v>44</v>
      </c>
      <c r="F253" s="28" t="s">
        <v>923</v>
      </c>
      <c r="G253" s="28" t="s">
        <v>85</v>
      </c>
      <c r="H253" s="28" t="s">
        <v>86</v>
      </c>
      <c r="I253" s="28" t="s">
        <v>485</v>
      </c>
      <c r="J253" s="28" t="s">
        <v>926</v>
      </c>
      <c r="K253" s="28" t="s">
        <v>927</v>
      </c>
      <c r="L253" s="28" t="s">
        <v>52</v>
      </c>
      <c r="M253" s="28" t="s">
        <v>52</v>
      </c>
      <c r="N253" s="28" t="s">
        <v>1582</v>
      </c>
      <c r="O253" s="28" t="s">
        <v>44</v>
      </c>
      <c r="P253" s="28" t="s">
        <v>1583</v>
      </c>
      <c r="Q253" s="28" t="s">
        <v>1907</v>
      </c>
      <c r="R253" s="28" t="s">
        <v>44</v>
      </c>
      <c r="S253" s="28" t="s">
        <v>44</v>
      </c>
      <c r="T253" s="28" t="s">
        <v>44</v>
      </c>
      <c r="U253" s="28" t="s">
        <v>44</v>
      </c>
      <c r="V253" s="28" t="s">
        <v>1908</v>
      </c>
      <c r="W253" s="28" t="s">
        <v>1909</v>
      </c>
      <c r="X253" s="28"/>
      <c r="Y253" s="28"/>
      <c r="Z253" s="28"/>
      <c r="AA253" s="28"/>
    </row>
    <row r="254">
      <c r="A254" s="270" t="s">
        <v>1910</v>
      </c>
      <c r="B254" s="28" t="s">
        <v>36</v>
      </c>
      <c r="C254" s="28" t="s">
        <v>1588</v>
      </c>
      <c r="D254" s="28" t="s">
        <v>44</v>
      </c>
      <c r="E254" s="28" t="s">
        <v>44</v>
      </c>
      <c r="F254" s="28" t="s">
        <v>923</v>
      </c>
      <c r="G254" s="28" t="s">
        <v>47</v>
      </c>
      <c r="H254" s="28" t="s">
        <v>48</v>
      </c>
      <c r="I254" s="28" t="s">
        <v>485</v>
      </c>
      <c r="J254" s="28" t="s">
        <v>926</v>
      </c>
      <c r="K254" s="28" t="s">
        <v>927</v>
      </c>
      <c r="L254" s="28" t="s">
        <v>52</v>
      </c>
      <c r="M254" s="28" t="s">
        <v>52</v>
      </c>
      <c r="N254" s="28" t="s">
        <v>1137</v>
      </c>
      <c r="O254" s="28" t="s">
        <v>44</v>
      </c>
      <c r="P254" s="28" t="s">
        <v>1592</v>
      </c>
      <c r="Q254" s="28" t="s">
        <v>1912</v>
      </c>
      <c r="R254" s="28" t="s">
        <v>44</v>
      </c>
      <c r="S254" s="28" t="s">
        <v>44</v>
      </c>
      <c r="T254" s="28" t="s">
        <v>44</v>
      </c>
      <c r="U254" s="28" t="s">
        <v>44</v>
      </c>
      <c r="V254" s="28" t="s">
        <v>1913</v>
      </c>
      <c r="W254" s="28" t="s">
        <v>774</v>
      </c>
      <c r="X254" s="28"/>
      <c r="Y254" s="28"/>
      <c r="Z254" s="28"/>
      <c r="AA254" s="28"/>
    </row>
    <row r="255">
      <c r="A255" s="270" t="s">
        <v>1914</v>
      </c>
      <c r="B255" s="28" t="s">
        <v>36</v>
      </c>
      <c r="C255" s="28" t="s">
        <v>1597</v>
      </c>
      <c r="D255" s="28" t="s">
        <v>44</v>
      </c>
      <c r="E255" s="28" t="s">
        <v>44</v>
      </c>
      <c r="F255" s="28" t="s">
        <v>923</v>
      </c>
      <c r="G255" s="28" t="s">
        <v>47</v>
      </c>
      <c r="H255" s="28" t="s">
        <v>95</v>
      </c>
      <c r="I255" s="28" t="s">
        <v>485</v>
      </c>
      <c r="J255" s="28" t="s">
        <v>926</v>
      </c>
      <c r="K255" s="28" t="s">
        <v>927</v>
      </c>
      <c r="L255" s="28" t="s">
        <v>52</v>
      </c>
      <c r="M255" s="28" t="s">
        <v>52</v>
      </c>
      <c r="N255" s="28" t="s">
        <v>1137</v>
      </c>
      <c r="O255" s="28" t="s">
        <v>44</v>
      </c>
      <c r="P255" s="28" t="s">
        <v>1601</v>
      </c>
      <c r="Q255" s="28" t="s">
        <v>1917</v>
      </c>
      <c r="R255" s="28" t="s">
        <v>44</v>
      </c>
      <c r="S255" s="28" t="s">
        <v>44</v>
      </c>
      <c r="T255" s="28" t="s">
        <v>44</v>
      </c>
      <c r="U255" s="28" t="s">
        <v>44</v>
      </c>
      <c r="V255" s="28" t="s">
        <v>1918</v>
      </c>
      <c r="W255" s="28" t="s">
        <v>1919</v>
      </c>
      <c r="X255" s="28"/>
      <c r="Y255" s="28"/>
      <c r="Z255" s="28"/>
      <c r="AA255" s="28"/>
    </row>
    <row r="256">
      <c r="A256" s="270" t="s">
        <v>1920</v>
      </c>
      <c r="B256" s="28" t="s">
        <v>36</v>
      </c>
      <c r="C256" s="28" t="s">
        <v>1604</v>
      </c>
      <c r="D256" s="28" t="s">
        <v>44</v>
      </c>
      <c r="E256" s="28" t="s">
        <v>44</v>
      </c>
      <c r="F256" s="28" t="s">
        <v>923</v>
      </c>
      <c r="G256" s="28" t="s">
        <v>47</v>
      </c>
      <c r="H256" s="28" t="s">
        <v>95</v>
      </c>
      <c r="I256" s="28" t="s">
        <v>485</v>
      </c>
      <c r="J256" s="28" t="s">
        <v>926</v>
      </c>
      <c r="K256" s="28" t="s">
        <v>927</v>
      </c>
      <c r="L256" s="28" t="s">
        <v>52</v>
      </c>
      <c r="M256" s="28" t="s">
        <v>52</v>
      </c>
      <c r="N256" s="28" t="s">
        <v>1606</v>
      </c>
      <c r="O256" s="28" t="s">
        <v>44</v>
      </c>
      <c r="P256" s="28" t="s">
        <v>1608</v>
      </c>
      <c r="Q256" s="28" t="s">
        <v>1922</v>
      </c>
      <c r="R256" s="28" t="s">
        <v>44</v>
      </c>
      <c r="S256" s="28" t="s">
        <v>44</v>
      </c>
      <c r="T256" s="28" t="s">
        <v>44</v>
      </c>
      <c r="U256" s="28" t="s">
        <v>44</v>
      </c>
      <c r="V256" s="28" t="s">
        <v>1923</v>
      </c>
      <c r="W256" s="28" t="s">
        <v>1924</v>
      </c>
      <c r="X256" s="28"/>
      <c r="Y256" s="28"/>
      <c r="Z256" s="28"/>
      <c r="AA256" s="28"/>
    </row>
    <row r="257">
      <c r="A257" s="270" t="s">
        <v>1925</v>
      </c>
      <c r="B257" s="28" t="s">
        <v>36</v>
      </c>
      <c r="C257" s="28" t="s">
        <v>1610</v>
      </c>
      <c r="D257" s="28" t="s">
        <v>44</v>
      </c>
      <c r="E257" s="28" t="s">
        <v>44</v>
      </c>
      <c r="F257" s="28" t="s">
        <v>1612</v>
      </c>
      <c r="G257" s="28" t="s">
        <v>47</v>
      </c>
      <c r="H257" s="28" t="s">
        <v>48</v>
      </c>
      <c r="I257" s="28" t="s">
        <v>485</v>
      </c>
      <c r="J257" s="28" t="s">
        <v>1614</v>
      </c>
      <c r="K257" s="28" t="s">
        <v>1615</v>
      </c>
      <c r="L257" s="28" t="s">
        <v>52</v>
      </c>
      <c r="M257" s="28" t="s">
        <v>52</v>
      </c>
      <c r="N257" s="28" t="s">
        <v>1616</v>
      </c>
      <c r="O257" s="28" t="s">
        <v>44</v>
      </c>
      <c r="P257" s="28" t="s">
        <v>934</v>
      </c>
      <c r="Q257" s="28" t="s">
        <v>1617</v>
      </c>
      <c r="R257" s="28" t="s">
        <v>44</v>
      </c>
      <c r="S257" s="28" t="s">
        <v>44</v>
      </c>
      <c r="T257" s="28" t="s">
        <v>44</v>
      </c>
      <c r="U257" s="28" t="s">
        <v>44</v>
      </c>
      <c r="V257" s="28" t="s">
        <v>1929</v>
      </c>
      <c r="W257" s="28" t="s">
        <v>774</v>
      </c>
      <c r="X257" s="28"/>
      <c r="Y257" s="28"/>
      <c r="Z257" s="28"/>
      <c r="AA257" s="28"/>
    </row>
    <row r="258">
      <c r="A258" s="270" t="s">
        <v>1930</v>
      </c>
      <c r="B258" s="28" t="s">
        <v>36</v>
      </c>
      <c r="C258" s="28" t="s">
        <v>1635</v>
      </c>
      <c r="D258" s="28" t="s">
        <v>44</v>
      </c>
      <c r="E258" s="28" t="s">
        <v>44</v>
      </c>
      <c r="F258" s="28" t="s">
        <v>1612</v>
      </c>
      <c r="G258" s="28" t="s">
        <v>47</v>
      </c>
      <c r="H258" s="28" t="s">
        <v>48</v>
      </c>
      <c r="I258" s="28" t="s">
        <v>485</v>
      </c>
      <c r="J258" s="28" t="s">
        <v>1614</v>
      </c>
      <c r="K258" s="28" t="s">
        <v>1615</v>
      </c>
      <c r="L258" s="28" t="s">
        <v>52</v>
      </c>
      <c r="M258" s="28" t="s">
        <v>52</v>
      </c>
      <c r="N258" s="28" t="s">
        <v>1616</v>
      </c>
      <c r="O258" s="28" t="s">
        <v>44</v>
      </c>
      <c r="P258" s="28" t="s">
        <v>1637</v>
      </c>
      <c r="Q258" s="28" t="s">
        <v>1638</v>
      </c>
      <c r="R258" s="28" t="s">
        <v>44</v>
      </c>
      <c r="S258" s="28" t="s">
        <v>44</v>
      </c>
      <c r="T258" s="28" t="s">
        <v>44</v>
      </c>
      <c r="U258" s="28" t="s">
        <v>44</v>
      </c>
      <c r="V258" s="28" t="s">
        <v>1932</v>
      </c>
      <c r="W258" s="28" t="s">
        <v>774</v>
      </c>
      <c r="X258" s="28"/>
      <c r="Y258" s="28"/>
      <c r="Z258" s="28"/>
      <c r="AA258" s="28"/>
    </row>
    <row r="259">
      <c r="A259" s="270" t="s">
        <v>1933</v>
      </c>
      <c r="B259" s="28" t="s">
        <v>36</v>
      </c>
      <c r="C259" s="28" t="s">
        <v>1640</v>
      </c>
      <c r="D259" s="28" t="s">
        <v>44</v>
      </c>
      <c r="E259" s="28" t="s">
        <v>44</v>
      </c>
      <c r="F259" s="28" t="s">
        <v>1612</v>
      </c>
      <c r="G259" s="28" t="s">
        <v>47</v>
      </c>
      <c r="H259" s="28" t="s">
        <v>48</v>
      </c>
      <c r="I259" s="28" t="s">
        <v>485</v>
      </c>
      <c r="J259" s="28" t="s">
        <v>1614</v>
      </c>
      <c r="K259" s="28" t="s">
        <v>1615</v>
      </c>
      <c r="L259" s="28" t="s">
        <v>52</v>
      </c>
      <c r="M259" s="28" t="s">
        <v>52</v>
      </c>
      <c r="N259" s="28" t="s">
        <v>1616</v>
      </c>
      <c r="O259" s="28" t="s">
        <v>44</v>
      </c>
      <c r="P259" s="310" t="s">
        <v>996</v>
      </c>
      <c r="Q259" s="310" t="s">
        <v>997</v>
      </c>
      <c r="R259" s="28" t="s">
        <v>44</v>
      </c>
      <c r="S259" s="28" t="s">
        <v>44</v>
      </c>
      <c r="T259" s="28" t="s">
        <v>44</v>
      </c>
      <c r="U259" s="28" t="s">
        <v>44</v>
      </c>
      <c r="V259" s="28" t="s">
        <v>1936</v>
      </c>
      <c r="W259" s="28" t="s">
        <v>774</v>
      </c>
      <c r="X259" s="28"/>
      <c r="Y259" s="28"/>
      <c r="Z259" s="28"/>
      <c r="AA259" s="28"/>
    </row>
    <row r="260">
      <c r="A260" s="270" t="s">
        <v>1938</v>
      </c>
      <c r="B260" s="28" t="s">
        <v>36</v>
      </c>
      <c r="C260" s="28" t="s">
        <v>1642</v>
      </c>
      <c r="D260" s="28" t="s">
        <v>44</v>
      </c>
      <c r="E260" s="28" t="s">
        <v>44</v>
      </c>
      <c r="F260" s="28" t="s">
        <v>1612</v>
      </c>
      <c r="G260" s="28" t="s">
        <v>47</v>
      </c>
      <c r="H260" s="28" t="s">
        <v>48</v>
      </c>
      <c r="I260" s="28" t="s">
        <v>485</v>
      </c>
      <c r="J260" s="28" t="s">
        <v>1614</v>
      </c>
      <c r="K260" s="28" t="s">
        <v>1615</v>
      </c>
      <c r="L260" s="28" t="s">
        <v>52</v>
      </c>
      <c r="M260" s="28" t="s">
        <v>52</v>
      </c>
      <c r="N260" s="28" t="s">
        <v>1616</v>
      </c>
      <c r="O260" s="28" t="s">
        <v>44</v>
      </c>
      <c r="P260" s="310" t="s">
        <v>1002</v>
      </c>
      <c r="Q260" s="310" t="s">
        <v>1585</v>
      </c>
      <c r="R260" s="28" t="s">
        <v>44</v>
      </c>
      <c r="S260" s="28" t="s">
        <v>44</v>
      </c>
      <c r="T260" s="28" t="s">
        <v>44</v>
      </c>
      <c r="U260" s="28" t="s">
        <v>44</v>
      </c>
      <c r="V260" s="28" t="s">
        <v>1939</v>
      </c>
      <c r="W260" s="28" t="s">
        <v>774</v>
      </c>
      <c r="X260" s="28"/>
      <c r="Y260" s="28"/>
      <c r="Z260" s="28"/>
      <c r="AA260" s="28"/>
    </row>
    <row r="261">
      <c r="A261" s="270" t="s">
        <v>1941</v>
      </c>
      <c r="B261" s="28" t="s">
        <v>36</v>
      </c>
      <c r="C261" s="28" t="s">
        <v>1645</v>
      </c>
      <c r="D261" s="28" t="s">
        <v>44</v>
      </c>
      <c r="E261" s="28" t="s">
        <v>44</v>
      </c>
      <c r="F261" s="28" t="s">
        <v>1612</v>
      </c>
      <c r="G261" s="28" t="s">
        <v>47</v>
      </c>
      <c r="H261" s="28" t="s">
        <v>48</v>
      </c>
      <c r="I261" s="28" t="s">
        <v>485</v>
      </c>
      <c r="J261" s="28" t="s">
        <v>1614</v>
      </c>
      <c r="K261" s="28" t="s">
        <v>1615</v>
      </c>
      <c r="L261" s="28" t="s">
        <v>52</v>
      </c>
      <c r="M261" s="28" t="s">
        <v>52</v>
      </c>
      <c r="N261" s="28" t="s">
        <v>1616</v>
      </c>
      <c r="O261" s="28" t="s">
        <v>44</v>
      </c>
      <c r="P261" s="310" t="s">
        <v>1647</v>
      </c>
      <c r="Q261" s="310" t="s">
        <v>1942</v>
      </c>
      <c r="R261" s="28" t="s">
        <v>44</v>
      </c>
      <c r="S261" s="28" t="s">
        <v>44</v>
      </c>
      <c r="T261" s="28" t="s">
        <v>44</v>
      </c>
      <c r="U261" s="28" t="s">
        <v>44</v>
      </c>
      <c r="V261" s="28" t="s">
        <v>1944</v>
      </c>
      <c r="W261" s="28" t="s">
        <v>1945</v>
      </c>
      <c r="X261" s="28"/>
      <c r="Y261" s="28"/>
      <c r="Z261" s="28"/>
      <c r="AA261" s="28"/>
    </row>
    <row r="262">
      <c r="A262" s="270" t="s">
        <v>1948</v>
      </c>
      <c r="B262" s="28" t="s">
        <v>36</v>
      </c>
      <c r="C262" s="28" t="s">
        <v>1652</v>
      </c>
      <c r="D262" s="28" t="s">
        <v>44</v>
      </c>
      <c r="E262" s="28" t="s">
        <v>44</v>
      </c>
      <c r="F262" s="28" t="s">
        <v>1612</v>
      </c>
      <c r="G262" s="28" t="s">
        <v>47</v>
      </c>
      <c r="H262" s="28" t="s">
        <v>48</v>
      </c>
      <c r="I262" s="28" t="s">
        <v>485</v>
      </c>
      <c r="J262" s="28" t="s">
        <v>1614</v>
      </c>
      <c r="K262" s="28" t="s">
        <v>1615</v>
      </c>
      <c r="L262" s="28" t="s">
        <v>52</v>
      </c>
      <c r="M262" s="28" t="s">
        <v>52</v>
      </c>
      <c r="N262" s="28" t="s">
        <v>1616</v>
      </c>
      <c r="O262" s="28" t="s">
        <v>44</v>
      </c>
      <c r="P262" s="28" t="s">
        <v>1654</v>
      </c>
      <c r="Q262" s="1" t="s">
        <v>1655</v>
      </c>
      <c r="R262" s="28" t="s">
        <v>44</v>
      </c>
      <c r="S262" s="28" t="s">
        <v>44</v>
      </c>
      <c r="T262" s="28" t="s">
        <v>44</v>
      </c>
      <c r="U262" s="28" t="s">
        <v>44</v>
      </c>
      <c r="V262" s="28" t="s">
        <v>1950</v>
      </c>
      <c r="W262" s="28" t="s">
        <v>1951</v>
      </c>
      <c r="X262" s="28"/>
      <c r="Y262" s="28"/>
      <c r="Z262" s="28"/>
      <c r="AA262" s="28"/>
    </row>
    <row r="263">
      <c r="A263" s="270" t="s">
        <v>1952</v>
      </c>
      <c r="B263" s="28" t="s">
        <v>36</v>
      </c>
      <c r="C263" s="28" t="s">
        <v>1657</v>
      </c>
      <c r="D263" s="28" t="s">
        <v>44</v>
      </c>
      <c r="E263" s="28" t="s">
        <v>44</v>
      </c>
      <c r="F263" s="28" t="s">
        <v>1612</v>
      </c>
      <c r="G263" s="28" t="s">
        <v>197</v>
      </c>
      <c r="H263" s="28" t="s">
        <v>112</v>
      </c>
      <c r="I263" s="28" t="s">
        <v>485</v>
      </c>
      <c r="J263" s="28" t="s">
        <v>1614</v>
      </c>
      <c r="K263" s="28" t="s">
        <v>1615</v>
      </c>
      <c r="L263" s="28" t="s">
        <v>52</v>
      </c>
      <c r="M263" s="28" t="s">
        <v>52</v>
      </c>
      <c r="N263" s="28" t="s">
        <v>1660</v>
      </c>
      <c r="O263" s="28" t="s">
        <v>44</v>
      </c>
      <c r="P263" s="28" t="s">
        <v>1661</v>
      </c>
      <c r="Q263" s="28" t="s">
        <v>1662</v>
      </c>
      <c r="R263" s="28" t="s">
        <v>44</v>
      </c>
      <c r="S263" s="28" t="s">
        <v>44</v>
      </c>
      <c r="T263" s="28" t="s">
        <v>44</v>
      </c>
      <c r="U263" s="28" t="s">
        <v>44</v>
      </c>
      <c r="V263" s="28" t="s">
        <v>1955</v>
      </c>
      <c r="W263" s="28" t="s">
        <v>774</v>
      </c>
      <c r="X263" s="28"/>
      <c r="Y263" s="28"/>
      <c r="Z263" s="28"/>
      <c r="AA263" s="28"/>
    </row>
    <row r="264">
      <c r="A264" s="270" t="s">
        <v>1956</v>
      </c>
      <c r="B264" s="28" t="s">
        <v>36</v>
      </c>
      <c r="C264" s="28" t="s">
        <v>1664</v>
      </c>
      <c r="D264" s="28" t="s">
        <v>44</v>
      </c>
      <c r="E264" s="28" t="s">
        <v>44</v>
      </c>
      <c r="F264" s="28" t="s">
        <v>1612</v>
      </c>
      <c r="G264" s="28" t="s">
        <v>111</v>
      </c>
      <c r="H264" s="28" t="s">
        <v>91</v>
      </c>
      <c r="I264" s="28" t="s">
        <v>485</v>
      </c>
      <c r="J264" s="28" t="s">
        <v>1614</v>
      </c>
      <c r="K264" s="28" t="s">
        <v>1615</v>
      </c>
      <c r="L264" s="28" t="s">
        <v>52</v>
      </c>
      <c r="M264" s="28" t="s">
        <v>52</v>
      </c>
      <c r="N264" s="28" t="s">
        <v>1667</v>
      </c>
      <c r="O264" s="28" t="s">
        <v>44</v>
      </c>
      <c r="P264" s="28" t="s">
        <v>1668</v>
      </c>
      <c r="Q264" s="28" t="s">
        <v>1547</v>
      </c>
      <c r="R264" s="28" t="s">
        <v>44</v>
      </c>
      <c r="S264" s="28" t="s">
        <v>44</v>
      </c>
      <c r="T264" s="28" t="s">
        <v>44</v>
      </c>
      <c r="U264" s="28" t="s">
        <v>44</v>
      </c>
      <c r="V264" s="28" t="s">
        <v>1958</v>
      </c>
      <c r="W264" s="28" t="s">
        <v>774</v>
      </c>
      <c r="X264" s="28"/>
      <c r="Y264" s="28"/>
      <c r="Z264" s="28"/>
      <c r="AA264" s="28"/>
    </row>
    <row r="265">
      <c r="A265" s="270" t="s">
        <v>1959</v>
      </c>
      <c r="B265" s="28" t="s">
        <v>36</v>
      </c>
      <c r="C265" s="28" t="s">
        <v>1675</v>
      </c>
      <c r="D265" s="28" t="s">
        <v>44</v>
      </c>
      <c r="E265" s="28" t="s">
        <v>44</v>
      </c>
      <c r="F265" s="28" t="s">
        <v>1612</v>
      </c>
      <c r="G265" s="28" t="s">
        <v>111</v>
      </c>
      <c r="H265" s="28" t="s">
        <v>91</v>
      </c>
      <c r="I265" s="28" t="s">
        <v>485</v>
      </c>
      <c r="J265" s="28" t="s">
        <v>1614</v>
      </c>
      <c r="K265" s="28" t="s">
        <v>1615</v>
      </c>
      <c r="L265" s="28" t="s">
        <v>52</v>
      </c>
      <c r="M265" s="28" t="s">
        <v>52</v>
      </c>
      <c r="N265" s="28" t="s">
        <v>1676</v>
      </c>
      <c r="O265" s="28" t="s">
        <v>44</v>
      </c>
      <c r="P265" s="28" t="s">
        <v>1678</v>
      </c>
      <c r="Q265" s="28" t="s">
        <v>1547</v>
      </c>
      <c r="R265" s="28" t="s">
        <v>44</v>
      </c>
      <c r="S265" s="28" t="s">
        <v>44</v>
      </c>
      <c r="T265" s="28" t="s">
        <v>44</v>
      </c>
      <c r="U265" s="28" t="s">
        <v>44</v>
      </c>
      <c r="V265" s="28" t="s">
        <v>1963</v>
      </c>
      <c r="W265" s="28" t="s">
        <v>774</v>
      </c>
      <c r="X265" s="28"/>
      <c r="Y265" s="28"/>
      <c r="Z265" s="28"/>
      <c r="AA265" s="28"/>
    </row>
    <row r="266">
      <c r="A266" s="270" t="s">
        <v>1964</v>
      </c>
      <c r="B266" s="28" t="s">
        <v>36</v>
      </c>
      <c r="C266" s="28" t="s">
        <v>1682</v>
      </c>
      <c r="D266" s="28" t="s">
        <v>44</v>
      </c>
      <c r="E266" s="28" t="s">
        <v>44</v>
      </c>
      <c r="F266" s="28" t="s">
        <v>1612</v>
      </c>
      <c r="G266" s="28" t="s">
        <v>47</v>
      </c>
      <c r="H266" s="28" t="s">
        <v>48</v>
      </c>
      <c r="I266" s="28" t="s">
        <v>485</v>
      </c>
      <c r="J266" s="28" t="s">
        <v>1614</v>
      </c>
      <c r="K266" s="28" t="s">
        <v>1615</v>
      </c>
      <c r="L266" s="28" t="s">
        <v>52</v>
      </c>
      <c r="M266" s="28" t="s">
        <v>52</v>
      </c>
      <c r="N266" s="28" t="s">
        <v>1616</v>
      </c>
      <c r="O266" s="28" t="s">
        <v>44</v>
      </c>
      <c r="P266" s="28" t="s">
        <v>1685</v>
      </c>
      <c r="Q266" s="28" t="s">
        <v>1686</v>
      </c>
      <c r="R266" s="28" t="s">
        <v>44</v>
      </c>
      <c r="S266" s="28" t="s">
        <v>44</v>
      </c>
      <c r="T266" s="28" t="s">
        <v>44</v>
      </c>
      <c r="U266" s="28" t="s">
        <v>44</v>
      </c>
      <c r="V266" s="28" t="s">
        <v>1966</v>
      </c>
      <c r="W266" s="28" t="s">
        <v>774</v>
      </c>
      <c r="X266" s="28"/>
      <c r="Y266" s="28"/>
      <c r="Z266" s="28"/>
      <c r="AA266" s="28"/>
    </row>
    <row r="267">
      <c r="A267" s="270" t="s">
        <v>1967</v>
      </c>
      <c r="B267" s="28" t="s">
        <v>36</v>
      </c>
      <c r="C267" s="28" t="s">
        <v>1691</v>
      </c>
      <c r="D267" s="28" t="s">
        <v>44</v>
      </c>
      <c r="E267" s="28" t="s">
        <v>44</v>
      </c>
      <c r="F267" s="28" t="s">
        <v>1612</v>
      </c>
      <c r="G267" s="28" t="s">
        <v>47</v>
      </c>
      <c r="H267" s="28" t="s">
        <v>95</v>
      </c>
      <c r="I267" s="28" t="s">
        <v>485</v>
      </c>
      <c r="J267" s="28" t="s">
        <v>1614</v>
      </c>
      <c r="K267" s="28" t="s">
        <v>1615</v>
      </c>
      <c r="L267" s="28" t="s">
        <v>52</v>
      </c>
      <c r="M267" s="28" t="s">
        <v>52</v>
      </c>
      <c r="N267" s="28" t="s">
        <v>1692</v>
      </c>
      <c r="O267" s="28" t="s">
        <v>44</v>
      </c>
      <c r="P267" s="28" t="s">
        <v>1693</v>
      </c>
      <c r="Q267" s="28" t="s">
        <v>1971</v>
      </c>
      <c r="R267" s="28" t="s">
        <v>44</v>
      </c>
      <c r="S267" s="28" t="s">
        <v>44</v>
      </c>
      <c r="T267" s="28" t="s">
        <v>44</v>
      </c>
      <c r="U267" s="28" t="s">
        <v>44</v>
      </c>
      <c r="V267" s="28" t="s">
        <v>1972</v>
      </c>
      <c r="W267" s="28" t="s">
        <v>1973</v>
      </c>
      <c r="X267" s="28"/>
      <c r="Y267" s="28"/>
      <c r="Z267" s="28"/>
      <c r="AA267" s="28"/>
    </row>
    <row r="268">
      <c r="A268" s="270" t="s">
        <v>1974</v>
      </c>
      <c r="B268" s="28" t="s">
        <v>36</v>
      </c>
      <c r="C268" s="28" t="s">
        <v>1696</v>
      </c>
      <c r="D268" s="28" t="s">
        <v>44</v>
      </c>
      <c r="E268" s="28" t="s">
        <v>44</v>
      </c>
      <c r="F268" s="28" t="s">
        <v>1612</v>
      </c>
      <c r="G268" s="28" t="s">
        <v>47</v>
      </c>
      <c r="H268" s="28" t="s">
        <v>48</v>
      </c>
      <c r="I268" s="28" t="s">
        <v>485</v>
      </c>
      <c r="J268" s="28" t="s">
        <v>1614</v>
      </c>
      <c r="K268" s="28" t="s">
        <v>1615</v>
      </c>
      <c r="L268" s="28" t="s">
        <v>52</v>
      </c>
      <c r="M268" s="28" t="s">
        <v>52</v>
      </c>
      <c r="N268" s="28" t="s">
        <v>1697</v>
      </c>
      <c r="O268" s="28" t="s">
        <v>44</v>
      </c>
      <c r="P268" s="28" t="s">
        <v>1699</v>
      </c>
      <c r="Q268" s="28" t="s">
        <v>1700</v>
      </c>
      <c r="R268" s="28" t="s">
        <v>44</v>
      </c>
      <c r="S268" s="28" t="s">
        <v>44</v>
      </c>
      <c r="T268" s="28" t="s">
        <v>44</v>
      </c>
      <c r="U268" s="28" t="s">
        <v>44</v>
      </c>
      <c r="V268" s="28" t="s">
        <v>1979</v>
      </c>
      <c r="W268" s="28" t="s">
        <v>774</v>
      </c>
      <c r="X268" s="28"/>
      <c r="Y268" s="28"/>
      <c r="Z268" s="28"/>
      <c r="AA268" s="28"/>
    </row>
    <row r="269">
      <c r="A269" s="270" t="s">
        <v>1980</v>
      </c>
      <c r="B269" s="28" t="s">
        <v>36</v>
      </c>
      <c r="C269" s="28" t="s">
        <v>1702</v>
      </c>
      <c r="D269" s="28" t="s">
        <v>44</v>
      </c>
      <c r="E269" s="28" t="s">
        <v>44</v>
      </c>
      <c r="F269" s="28" t="s">
        <v>1612</v>
      </c>
      <c r="G269" s="28" t="s">
        <v>47</v>
      </c>
      <c r="H269" s="28" t="s">
        <v>95</v>
      </c>
      <c r="I269" s="28" t="s">
        <v>485</v>
      </c>
      <c r="J269" s="28" t="s">
        <v>1614</v>
      </c>
      <c r="K269" s="28" t="s">
        <v>1615</v>
      </c>
      <c r="L269" s="28" t="s">
        <v>52</v>
      </c>
      <c r="M269" s="28" t="s">
        <v>52</v>
      </c>
      <c r="N269" s="28" t="s">
        <v>1697</v>
      </c>
      <c r="O269" s="28" t="s">
        <v>44</v>
      </c>
      <c r="P269" s="28" t="s">
        <v>1705</v>
      </c>
      <c r="Q269" s="28" t="s">
        <v>1706</v>
      </c>
      <c r="R269" s="28" t="s">
        <v>44</v>
      </c>
      <c r="S269" s="28" t="s">
        <v>44</v>
      </c>
      <c r="T269" s="28" t="s">
        <v>44</v>
      </c>
      <c r="U269" s="28" t="s">
        <v>44</v>
      </c>
      <c r="V269" s="28" t="s">
        <v>1982</v>
      </c>
      <c r="W269" s="28" t="s">
        <v>774</v>
      </c>
      <c r="X269" s="28"/>
      <c r="Y269" s="28"/>
      <c r="Z269" s="28"/>
      <c r="AA269" s="28"/>
    </row>
    <row r="270">
      <c r="A270" s="270" t="s">
        <v>1984</v>
      </c>
      <c r="B270" s="28" t="s">
        <v>36</v>
      </c>
      <c r="C270" s="28" t="s">
        <v>1709</v>
      </c>
      <c r="D270" s="28" t="s">
        <v>44</v>
      </c>
      <c r="E270" s="28" t="s">
        <v>44</v>
      </c>
      <c r="F270" s="28" t="s">
        <v>1612</v>
      </c>
      <c r="G270" s="28" t="s">
        <v>47</v>
      </c>
      <c r="H270" s="28" t="s">
        <v>95</v>
      </c>
      <c r="I270" s="28" t="s">
        <v>485</v>
      </c>
      <c r="J270" s="28" t="s">
        <v>1614</v>
      </c>
      <c r="K270" s="28" t="s">
        <v>1615</v>
      </c>
      <c r="L270" s="28" t="s">
        <v>52</v>
      </c>
      <c r="M270" s="28" t="s">
        <v>52</v>
      </c>
      <c r="N270" s="28" t="s">
        <v>1711</v>
      </c>
      <c r="O270" s="28" t="s">
        <v>44</v>
      </c>
      <c r="P270" s="28" t="s">
        <v>1712</v>
      </c>
      <c r="Q270" s="1" t="s">
        <v>1987</v>
      </c>
      <c r="R270" s="28" t="s">
        <v>44</v>
      </c>
      <c r="S270" s="28" t="s">
        <v>44</v>
      </c>
      <c r="T270" s="28" t="s">
        <v>44</v>
      </c>
      <c r="U270" s="28" t="s">
        <v>44</v>
      </c>
      <c r="V270" s="28" t="s">
        <v>1988</v>
      </c>
      <c r="W270" s="28" t="s">
        <v>774</v>
      </c>
      <c r="X270" s="28"/>
      <c r="Y270" s="28"/>
      <c r="Z270" s="28"/>
      <c r="AA270" s="28"/>
    </row>
    <row r="271">
      <c r="A271" s="270" t="s">
        <v>1989</v>
      </c>
      <c r="B271" s="28" t="s">
        <v>36</v>
      </c>
      <c r="C271" s="28" t="s">
        <v>1991</v>
      </c>
      <c r="D271" s="28" t="s">
        <v>44</v>
      </c>
      <c r="E271" s="28" t="s">
        <v>44</v>
      </c>
      <c r="F271" s="28" t="s">
        <v>1612</v>
      </c>
      <c r="G271" s="28" t="s">
        <v>47</v>
      </c>
      <c r="H271" s="28" t="s">
        <v>95</v>
      </c>
      <c r="I271" s="28" t="s">
        <v>485</v>
      </c>
      <c r="J271" s="28" t="s">
        <v>1614</v>
      </c>
      <c r="K271" s="28" t="s">
        <v>1615</v>
      </c>
      <c r="L271" s="28" t="s">
        <v>52</v>
      </c>
      <c r="M271" s="28" t="s">
        <v>52</v>
      </c>
      <c r="N271" s="28" t="s">
        <v>1747</v>
      </c>
      <c r="O271" s="28" t="s">
        <v>44</v>
      </c>
      <c r="P271" s="28" t="s">
        <v>1994</v>
      </c>
      <c r="Q271" s="28" t="s">
        <v>1995</v>
      </c>
      <c r="R271" s="28" t="s">
        <v>44</v>
      </c>
      <c r="S271" s="28" t="s">
        <v>44</v>
      </c>
      <c r="T271" s="28" t="s">
        <v>44</v>
      </c>
      <c r="U271" s="28" t="s">
        <v>44</v>
      </c>
      <c r="V271" s="28" t="s">
        <v>1996</v>
      </c>
      <c r="W271" s="28" t="s">
        <v>774</v>
      </c>
      <c r="X271" s="28"/>
      <c r="Y271" s="28"/>
      <c r="Z271" s="28"/>
      <c r="AA271" s="28"/>
    </row>
    <row r="272">
      <c r="A272" s="270" t="s">
        <v>1998</v>
      </c>
      <c r="B272" s="28" t="s">
        <v>36</v>
      </c>
      <c r="C272" s="28" t="s">
        <v>1716</v>
      </c>
      <c r="D272" s="28" t="s">
        <v>44</v>
      </c>
      <c r="E272" s="28" t="s">
        <v>44</v>
      </c>
      <c r="F272" s="28" t="s">
        <v>1612</v>
      </c>
      <c r="G272" s="28" t="s">
        <v>47</v>
      </c>
      <c r="H272" s="28" t="s">
        <v>95</v>
      </c>
      <c r="I272" s="28" t="s">
        <v>485</v>
      </c>
      <c r="J272" s="28" t="s">
        <v>1614</v>
      </c>
      <c r="K272" s="28" t="s">
        <v>1615</v>
      </c>
      <c r="L272" s="28" t="s">
        <v>52</v>
      </c>
      <c r="M272" s="28" t="s">
        <v>52</v>
      </c>
      <c r="N272" s="28" t="s">
        <v>1718</v>
      </c>
      <c r="O272" s="28" t="s">
        <v>44</v>
      </c>
      <c r="P272" s="28" t="s">
        <v>1720</v>
      </c>
      <c r="Q272" s="28" t="s">
        <v>1721</v>
      </c>
      <c r="R272" s="28" t="s">
        <v>44</v>
      </c>
      <c r="S272" s="28" t="s">
        <v>44</v>
      </c>
      <c r="T272" s="28" t="s">
        <v>44</v>
      </c>
      <c r="U272" s="28" t="s">
        <v>44</v>
      </c>
      <c r="V272" s="28" t="s">
        <v>2002</v>
      </c>
      <c r="W272" s="28" t="s">
        <v>774</v>
      </c>
      <c r="X272" s="28"/>
      <c r="Y272" s="28"/>
      <c r="Z272" s="28"/>
      <c r="AA272" s="28"/>
    </row>
    <row r="273">
      <c r="A273" s="270" t="s">
        <v>2003</v>
      </c>
      <c r="B273" s="28" t="s">
        <v>36</v>
      </c>
      <c r="C273" s="28" t="s">
        <v>1722</v>
      </c>
      <c r="D273" s="28" t="s">
        <v>44</v>
      </c>
      <c r="E273" s="28" t="s">
        <v>44</v>
      </c>
      <c r="F273" s="28" t="s">
        <v>1612</v>
      </c>
      <c r="G273" s="28" t="s">
        <v>47</v>
      </c>
      <c r="H273" s="28" t="s">
        <v>95</v>
      </c>
      <c r="I273" s="28" t="s">
        <v>485</v>
      </c>
      <c r="J273" s="28" t="s">
        <v>1614</v>
      </c>
      <c r="K273" s="28" t="s">
        <v>1615</v>
      </c>
      <c r="L273" s="28" t="s">
        <v>52</v>
      </c>
      <c r="M273" s="28" t="s">
        <v>52</v>
      </c>
      <c r="N273" s="28" t="s">
        <v>1718</v>
      </c>
      <c r="O273" s="28" t="s">
        <v>44</v>
      </c>
      <c r="P273" s="28" t="s">
        <v>1725</v>
      </c>
      <c r="Q273" s="28" t="s">
        <v>1726</v>
      </c>
      <c r="R273" s="28" t="s">
        <v>44</v>
      </c>
      <c r="S273" s="28" t="s">
        <v>44</v>
      </c>
      <c r="T273" s="28" t="s">
        <v>44</v>
      </c>
      <c r="U273" s="28" t="s">
        <v>44</v>
      </c>
      <c r="V273" s="28" t="s">
        <v>2005</v>
      </c>
      <c r="W273" s="28" t="s">
        <v>774</v>
      </c>
      <c r="X273" s="28"/>
      <c r="Y273" s="28"/>
      <c r="Z273" s="28"/>
      <c r="AA273" s="28"/>
    </row>
    <row r="274">
      <c r="A274" s="270" t="s">
        <v>2007</v>
      </c>
      <c r="B274" s="28" t="s">
        <v>36</v>
      </c>
      <c r="C274" s="28" t="s">
        <v>1728</v>
      </c>
      <c r="D274" s="28" t="s">
        <v>44</v>
      </c>
      <c r="E274" s="28" t="s">
        <v>44</v>
      </c>
      <c r="F274" s="28" t="s">
        <v>1612</v>
      </c>
      <c r="G274" s="28" t="s">
        <v>47</v>
      </c>
      <c r="H274" s="28" t="s">
        <v>95</v>
      </c>
      <c r="I274" s="28" t="s">
        <v>485</v>
      </c>
      <c r="J274" s="28" t="s">
        <v>1614</v>
      </c>
      <c r="K274" s="28" t="s">
        <v>1615</v>
      </c>
      <c r="L274" s="28" t="s">
        <v>52</v>
      </c>
      <c r="M274" s="28" t="s">
        <v>52</v>
      </c>
      <c r="N274" s="28" t="s">
        <v>1718</v>
      </c>
      <c r="O274" s="28" t="s">
        <v>44</v>
      </c>
      <c r="P274" s="28" t="s">
        <v>1734</v>
      </c>
      <c r="Q274" s="28" t="s">
        <v>1735</v>
      </c>
      <c r="R274" s="28" t="s">
        <v>44</v>
      </c>
      <c r="S274" s="28" t="s">
        <v>44</v>
      </c>
      <c r="T274" s="28" t="s">
        <v>44</v>
      </c>
      <c r="U274" s="28" t="s">
        <v>44</v>
      </c>
      <c r="V274" s="28" t="s">
        <v>2011</v>
      </c>
      <c r="W274" s="28" t="s">
        <v>774</v>
      </c>
      <c r="X274" s="28"/>
      <c r="Y274" s="28"/>
      <c r="Z274" s="28"/>
      <c r="AA274" s="28"/>
    </row>
    <row r="275">
      <c r="A275" s="270" t="s">
        <v>2012</v>
      </c>
      <c r="B275" s="28" t="s">
        <v>36</v>
      </c>
      <c r="C275" s="28" t="s">
        <v>1742</v>
      </c>
      <c r="D275" s="28" t="s">
        <v>44</v>
      </c>
      <c r="E275" s="28" t="s">
        <v>44</v>
      </c>
      <c r="F275" s="28" t="s">
        <v>1612</v>
      </c>
      <c r="G275" s="28" t="s">
        <v>47</v>
      </c>
      <c r="H275" s="28" t="s">
        <v>48</v>
      </c>
      <c r="I275" s="28" t="s">
        <v>485</v>
      </c>
      <c r="J275" s="28" t="s">
        <v>1614</v>
      </c>
      <c r="K275" s="28" t="s">
        <v>1615</v>
      </c>
      <c r="L275" s="28" t="s">
        <v>52</v>
      </c>
      <c r="M275" s="28" t="s">
        <v>52</v>
      </c>
      <c r="N275" s="28" t="s">
        <v>1747</v>
      </c>
      <c r="O275" s="28" t="s">
        <v>44</v>
      </c>
      <c r="P275" s="28" t="s">
        <v>1748</v>
      </c>
      <c r="Q275" s="28" t="s">
        <v>1749</v>
      </c>
      <c r="R275" s="28" t="s">
        <v>44</v>
      </c>
      <c r="S275" s="28" t="s">
        <v>44</v>
      </c>
      <c r="T275" s="28" t="s">
        <v>44</v>
      </c>
      <c r="U275" s="28" t="s">
        <v>44</v>
      </c>
      <c r="V275" s="28" t="s">
        <v>2017</v>
      </c>
      <c r="W275" s="28" t="s">
        <v>774</v>
      </c>
      <c r="X275" s="28"/>
      <c r="Y275" s="28"/>
      <c r="Z275" s="28"/>
      <c r="AA275" s="28"/>
    </row>
    <row r="276">
      <c r="A276" s="270" t="s">
        <v>2018</v>
      </c>
      <c r="B276" s="28" t="s">
        <v>36</v>
      </c>
      <c r="C276" s="28" t="s">
        <v>1752</v>
      </c>
      <c r="D276" s="28" t="s">
        <v>44</v>
      </c>
      <c r="E276" s="28" t="s">
        <v>44</v>
      </c>
      <c r="F276" s="28" t="s">
        <v>1612</v>
      </c>
      <c r="G276" s="28" t="s">
        <v>47</v>
      </c>
      <c r="H276" s="28" t="s">
        <v>48</v>
      </c>
      <c r="I276" s="28" t="s">
        <v>485</v>
      </c>
      <c r="J276" s="28" t="s">
        <v>1614</v>
      </c>
      <c r="K276" s="28" t="s">
        <v>1615</v>
      </c>
      <c r="L276" s="28" t="s">
        <v>52</v>
      </c>
      <c r="M276" s="28" t="s">
        <v>52</v>
      </c>
      <c r="N276" s="28" t="s">
        <v>1747</v>
      </c>
      <c r="O276" s="28" t="s">
        <v>44</v>
      </c>
      <c r="P276" s="28" t="s">
        <v>1754</v>
      </c>
      <c r="Q276" s="28" t="s">
        <v>2022</v>
      </c>
      <c r="R276" s="28" t="s">
        <v>44</v>
      </c>
      <c r="S276" s="28" t="s">
        <v>44</v>
      </c>
      <c r="T276" s="28" t="s">
        <v>44</v>
      </c>
      <c r="U276" s="28" t="s">
        <v>44</v>
      </c>
      <c r="V276" s="28" t="s">
        <v>2024</v>
      </c>
      <c r="W276" s="28" t="s">
        <v>774</v>
      </c>
      <c r="X276" s="28"/>
      <c r="Y276" s="28"/>
      <c r="Z276" s="28"/>
      <c r="AA276" s="28"/>
    </row>
    <row r="277">
      <c r="A277" s="270" t="s">
        <v>2025</v>
      </c>
      <c r="B277" s="28" t="s">
        <v>36</v>
      </c>
      <c r="C277" s="28" t="s">
        <v>1758</v>
      </c>
      <c r="D277" s="28" t="s">
        <v>44</v>
      </c>
      <c r="E277" s="28" t="s">
        <v>44</v>
      </c>
      <c r="F277" s="28" t="s">
        <v>1612</v>
      </c>
      <c r="G277" s="28" t="s">
        <v>111</v>
      </c>
      <c r="H277" s="28" t="s">
        <v>91</v>
      </c>
      <c r="I277" s="28" t="s">
        <v>485</v>
      </c>
      <c r="J277" s="28" t="s">
        <v>1614</v>
      </c>
      <c r="K277" s="28" t="s">
        <v>1615</v>
      </c>
      <c r="L277" s="28" t="s">
        <v>52</v>
      </c>
      <c r="M277" s="28" t="s">
        <v>52</v>
      </c>
      <c r="N277" s="28" t="s">
        <v>1747</v>
      </c>
      <c r="O277" s="28" t="s">
        <v>44</v>
      </c>
      <c r="P277" s="28" t="s">
        <v>1760</v>
      </c>
      <c r="Q277" s="28" t="s">
        <v>1762</v>
      </c>
      <c r="R277" s="28" t="s">
        <v>44</v>
      </c>
      <c r="S277" s="28" t="s">
        <v>44</v>
      </c>
      <c r="T277" s="28" t="s">
        <v>44</v>
      </c>
      <c r="U277" s="28" t="s">
        <v>44</v>
      </c>
      <c r="V277" s="28" t="s">
        <v>2030</v>
      </c>
      <c r="W277" s="28" t="s">
        <v>774</v>
      </c>
      <c r="X277" s="28"/>
      <c r="Y277" s="28"/>
      <c r="Z277" s="28"/>
      <c r="AA277" s="28"/>
    </row>
    <row r="278">
      <c r="A278" s="270" t="s">
        <v>2031</v>
      </c>
      <c r="B278" s="28" t="s">
        <v>36</v>
      </c>
      <c r="C278" s="28" t="s">
        <v>1765</v>
      </c>
      <c r="D278" s="28" t="s">
        <v>44</v>
      </c>
      <c r="E278" s="28" t="s">
        <v>44</v>
      </c>
      <c r="F278" s="28" t="s">
        <v>1612</v>
      </c>
      <c r="G278" s="28" t="s">
        <v>85</v>
      </c>
      <c r="H278" s="28" t="s">
        <v>86</v>
      </c>
      <c r="I278" s="28" t="s">
        <v>485</v>
      </c>
      <c r="J278" s="28" t="s">
        <v>1614</v>
      </c>
      <c r="K278" s="28" t="s">
        <v>1615</v>
      </c>
      <c r="L278" s="28" t="s">
        <v>52</v>
      </c>
      <c r="M278" s="28" t="s">
        <v>52</v>
      </c>
      <c r="N278" s="28" t="s">
        <v>1747</v>
      </c>
      <c r="O278" s="28" t="s">
        <v>44</v>
      </c>
      <c r="P278" s="28" t="s">
        <v>1767</v>
      </c>
      <c r="Q278" s="28" t="s">
        <v>2035</v>
      </c>
      <c r="R278" s="28" t="s">
        <v>44</v>
      </c>
      <c r="S278" s="28" t="s">
        <v>44</v>
      </c>
      <c r="T278" s="28" t="s">
        <v>44</v>
      </c>
      <c r="U278" s="28" t="s">
        <v>44</v>
      </c>
      <c r="V278" s="28" t="s">
        <v>2037</v>
      </c>
      <c r="W278" s="28" t="s">
        <v>2039</v>
      </c>
      <c r="X278" s="28"/>
      <c r="Y278" s="28"/>
      <c r="Z278" s="28"/>
      <c r="AA278" s="28"/>
    </row>
    <row r="279">
      <c r="A279" s="270" t="s">
        <v>2042</v>
      </c>
      <c r="B279" s="28" t="s">
        <v>36</v>
      </c>
      <c r="C279" s="28" t="s">
        <v>1773</v>
      </c>
      <c r="D279" s="28" t="s">
        <v>44</v>
      </c>
      <c r="E279" s="28" t="s">
        <v>44</v>
      </c>
      <c r="F279" s="28" t="s">
        <v>1612</v>
      </c>
      <c r="G279" s="28" t="s">
        <v>47</v>
      </c>
      <c r="H279" s="28" t="s">
        <v>48</v>
      </c>
      <c r="I279" s="28" t="s">
        <v>485</v>
      </c>
      <c r="J279" s="28" t="s">
        <v>1614</v>
      </c>
      <c r="K279" s="28" t="s">
        <v>1615</v>
      </c>
      <c r="L279" s="28" t="s">
        <v>52</v>
      </c>
      <c r="M279" s="28" t="s">
        <v>52</v>
      </c>
      <c r="N279" s="28" t="s">
        <v>1616</v>
      </c>
      <c r="O279" s="28" t="s">
        <v>44</v>
      </c>
      <c r="P279" s="28" t="s">
        <v>1776</v>
      </c>
      <c r="Q279" s="28" t="s">
        <v>1777</v>
      </c>
      <c r="R279" s="28" t="s">
        <v>44</v>
      </c>
      <c r="S279" s="28" t="s">
        <v>44</v>
      </c>
      <c r="T279" s="28" t="s">
        <v>44</v>
      </c>
      <c r="U279" s="28" t="s">
        <v>44</v>
      </c>
      <c r="V279" s="28" t="s">
        <v>2044</v>
      </c>
      <c r="W279" s="28" t="s">
        <v>774</v>
      </c>
      <c r="X279" s="28"/>
      <c r="Y279" s="28"/>
      <c r="Z279" s="28"/>
      <c r="AA279" s="28"/>
    </row>
    <row r="280">
      <c r="A280" s="270" t="s">
        <v>2047</v>
      </c>
      <c r="B280" s="28" t="s">
        <v>36</v>
      </c>
      <c r="C280" s="28" t="s">
        <v>1782</v>
      </c>
      <c r="D280" s="28" t="s">
        <v>44</v>
      </c>
      <c r="E280" s="28" t="s">
        <v>44</v>
      </c>
      <c r="F280" s="28" t="s">
        <v>1612</v>
      </c>
      <c r="G280" s="28" t="s">
        <v>47</v>
      </c>
      <c r="H280" s="28" t="s">
        <v>48</v>
      </c>
      <c r="I280" s="28" t="s">
        <v>485</v>
      </c>
      <c r="J280" s="28" t="s">
        <v>1614</v>
      </c>
      <c r="K280" s="28" t="s">
        <v>1615</v>
      </c>
      <c r="L280" s="28" t="s">
        <v>52</v>
      </c>
      <c r="M280" s="28" t="s">
        <v>52</v>
      </c>
      <c r="N280" s="28" t="s">
        <v>1616</v>
      </c>
      <c r="O280" s="28" t="s">
        <v>44</v>
      </c>
      <c r="P280" s="28" t="s">
        <v>1784</v>
      </c>
      <c r="Q280" s="28" t="s">
        <v>1786</v>
      </c>
      <c r="R280" s="28" t="s">
        <v>44</v>
      </c>
      <c r="S280" s="28" t="s">
        <v>44</v>
      </c>
      <c r="T280" s="28" t="s">
        <v>44</v>
      </c>
      <c r="U280" s="28" t="s">
        <v>44</v>
      </c>
      <c r="V280" s="28" t="s">
        <v>2049</v>
      </c>
      <c r="W280" s="28" t="s">
        <v>2050</v>
      </c>
      <c r="X280" s="28"/>
      <c r="Y280" s="28"/>
      <c r="Z280" s="28"/>
      <c r="AA280" s="28"/>
    </row>
    <row r="281">
      <c r="A281" s="270" t="s">
        <v>2052</v>
      </c>
      <c r="B281" s="28" t="s">
        <v>36</v>
      </c>
      <c r="C281" s="28" t="s">
        <v>1789</v>
      </c>
      <c r="D281" s="28" t="s">
        <v>44</v>
      </c>
      <c r="E281" s="28" t="s">
        <v>44</v>
      </c>
      <c r="F281" s="28" t="s">
        <v>1612</v>
      </c>
      <c r="G281" s="28" t="s">
        <v>47</v>
      </c>
      <c r="H281" s="28" t="s">
        <v>95</v>
      </c>
      <c r="I281" s="28" t="s">
        <v>485</v>
      </c>
      <c r="J281" s="28" t="s">
        <v>1614</v>
      </c>
      <c r="K281" s="28" t="s">
        <v>1615</v>
      </c>
      <c r="L281" s="28" t="s">
        <v>52</v>
      </c>
      <c r="M281" s="28" t="s">
        <v>52</v>
      </c>
      <c r="N281" s="28" t="s">
        <v>1792</v>
      </c>
      <c r="O281" s="28" t="s">
        <v>44</v>
      </c>
      <c r="P281" s="28" t="s">
        <v>1793</v>
      </c>
      <c r="Q281" s="28" t="s">
        <v>2055</v>
      </c>
      <c r="R281" s="28" t="s">
        <v>44</v>
      </c>
      <c r="S281" s="28" t="s">
        <v>44</v>
      </c>
      <c r="T281" s="28" t="s">
        <v>44</v>
      </c>
      <c r="U281" s="28" t="s">
        <v>44</v>
      </c>
      <c r="V281" s="28" t="s">
        <v>2056</v>
      </c>
      <c r="W281" s="28" t="s">
        <v>2057</v>
      </c>
      <c r="X281" s="28"/>
      <c r="Y281" s="28"/>
      <c r="Z281" s="28"/>
      <c r="AA281" s="28"/>
    </row>
    <row r="282">
      <c r="A282" s="270" t="s">
        <v>2059</v>
      </c>
      <c r="B282" s="28" t="s">
        <v>36</v>
      </c>
      <c r="C282" s="28" t="s">
        <v>1799</v>
      </c>
      <c r="D282" s="28" t="s">
        <v>44</v>
      </c>
      <c r="E282" s="28" t="s">
        <v>44</v>
      </c>
      <c r="F282" s="28" t="s">
        <v>1612</v>
      </c>
      <c r="G282" s="28" t="s">
        <v>197</v>
      </c>
      <c r="H282" s="28" t="s">
        <v>198</v>
      </c>
      <c r="I282" s="28" t="s">
        <v>485</v>
      </c>
      <c r="J282" s="28" t="s">
        <v>1614</v>
      </c>
      <c r="K282" s="28" t="s">
        <v>1615</v>
      </c>
      <c r="L282" s="28" t="s">
        <v>52</v>
      </c>
      <c r="M282" s="28" t="s">
        <v>52</v>
      </c>
      <c r="N282" s="28" t="s">
        <v>1616</v>
      </c>
      <c r="O282" s="28" t="s">
        <v>44</v>
      </c>
      <c r="P282" s="28" t="s">
        <v>1801</v>
      </c>
      <c r="Q282" s="28" t="s">
        <v>2062</v>
      </c>
      <c r="R282" s="28" t="s">
        <v>44</v>
      </c>
      <c r="S282" s="28" t="s">
        <v>44</v>
      </c>
      <c r="T282" s="28" t="s">
        <v>44</v>
      </c>
      <c r="U282" s="28" t="s">
        <v>44</v>
      </c>
      <c r="V282" s="28" t="s">
        <v>2063</v>
      </c>
      <c r="W282" s="28" t="s">
        <v>2064</v>
      </c>
      <c r="X282" s="28"/>
      <c r="Y282" s="28"/>
      <c r="Z282" s="28"/>
      <c r="AA282" s="28"/>
    </row>
    <row r="283">
      <c r="A283" s="270" t="s">
        <v>2066</v>
      </c>
      <c r="B283" s="28" t="s">
        <v>36</v>
      </c>
      <c r="C283" s="28" t="s">
        <v>1806</v>
      </c>
      <c r="D283" s="28" t="s">
        <v>44</v>
      </c>
      <c r="E283" s="28" t="s">
        <v>44</v>
      </c>
      <c r="F283" s="28" t="s">
        <v>1612</v>
      </c>
      <c r="G283" s="28" t="s">
        <v>197</v>
      </c>
      <c r="H283" s="28" t="s">
        <v>112</v>
      </c>
      <c r="I283" s="28" t="s">
        <v>485</v>
      </c>
      <c r="J283" s="28" t="s">
        <v>1614</v>
      </c>
      <c r="K283" s="28" t="s">
        <v>1615</v>
      </c>
      <c r="L283" s="28" t="s">
        <v>52</v>
      </c>
      <c r="M283" s="28" t="s">
        <v>52</v>
      </c>
      <c r="N283" s="28" t="s">
        <v>1616</v>
      </c>
      <c r="O283" s="28" t="s">
        <v>44</v>
      </c>
      <c r="P283" s="28" t="s">
        <v>1809</v>
      </c>
      <c r="Q283" s="28" t="s">
        <v>2069</v>
      </c>
      <c r="R283" s="28" t="s">
        <v>44</v>
      </c>
      <c r="S283" s="28" t="s">
        <v>44</v>
      </c>
      <c r="T283" s="28" t="s">
        <v>44</v>
      </c>
      <c r="U283" s="28" t="s">
        <v>44</v>
      </c>
      <c r="V283" s="28" t="s">
        <v>2070</v>
      </c>
      <c r="W283" s="28" t="s">
        <v>774</v>
      </c>
      <c r="X283" s="28"/>
      <c r="Y283" s="28"/>
      <c r="Z283" s="28"/>
      <c r="AA283" s="28"/>
    </row>
    <row r="284">
      <c r="A284" s="270" t="s">
        <v>2071</v>
      </c>
      <c r="B284" s="28" t="s">
        <v>36</v>
      </c>
      <c r="C284" s="28" t="s">
        <v>1814</v>
      </c>
      <c r="D284" s="28" t="s">
        <v>44</v>
      </c>
      <c r="E284" s="28" t="s">
        <v>44</v>
      </c>
      <c r="F284" s="28" t="s">
        <v>1612</v>
      </c>
      <c r="G284" s="28" t="s">
        <v>197</v>
      </c>
      <c r="H284" s="28" t="s">
        <v>198</v>
      </c>
      <c r="I284" s="28" t="s">
        <v>485</v>
      </c>
      <c r="J284" s="28" t="s">
        <v>1614</v>
      </c>
      <c r="K284" s="28" t="s">
        <v>1615</v>
      </c>
      <c r="L284" s="28" t="s">
        <v>52</v>
      </c>
      <c r="M284" s="28" t="s">
        <v>52</v>
      </c>
      <c r="N284" s="28" t="s">
        <v>1616</v>
      </c>
      <c r="O284" s="28" t="s">
        <v>44</v>
      </c>
      <c r="P284" s="28" t="s">
        <v>1819</v>
      </c>
      <c r="Q284" s="28" t="s">
        <v>2075</v>
      </c>
      <c r="R284" s="28" t="s">
        <v>44</v>
      </c>
      <c r="S284" s="28" t="s">
        <v>44</v>
      </c>
      <c r="T284" s="28" t="s">
        <v>44</v>
      </c>
      <c r="U284" s="28" t="s">
        <v>44</v>
      </c>
      <c r="V284" s="28" t="s">
        <v>2076</v>
      </c>
      <c r="W284" s="28" t="s">
        <v>2077</v>
      </c>
      <c r="X284" s="28"/>
      <c r="Y284" s="28"/>
      <c r="Z284" s="28"/>
      <c r="AA284" s="28"/>
    </row>
    <row r="285">
      <c r="A285" s="270" t="s">
        <v>2078</v>
      </c>
      <c r="B285" s="28" t="s">
        <v>36</v>
      </c>
      <c r="C285" s="28" t="s">
        <v>1823</v>
      </c>
      <c r="D285" s="28" t="s">
        <v>44</v>
      </c>
      <c r="E285" s="28" t="s">
        <v>44</v>
      </c>
      <c r="F285" s="28" t="s">
        <v>1612</v>
      </c>
      <c r="G285" s="28" t="s">
        <v>47</v>
      </c>
      <c r="H285" s="28" t="s">
        <v>95</v>
      </c>
      <c r="I285" s="28" t="s">
        <v>485</v>
      </c>
      <c r="J285" s="28" t="s">
        <v>1614</v>
      </c>
      <c r="K285" s="28" t="s">
        <v>1615</v>
      </c>
      <c r="L285" s="28" t="s">
        <v>52</v>
      </c>
      <c r="M285" s="28" t="s">
        <v>52</v>
      </c>
      <c r="N285" s="28" t="s">
        <v>1616</v>
      </c>
      <c r="O285" s="28" t="s">
        <v>44</v>
      </c>
      <c r="P285" s="28" t="s">
        <v>1825</v>
      </c>
      <c r="Q285" s="28" t="s">
        <v>2081</v>
      </c>
      <c r="R285" s="28" t="s">
        <v>44</v>
      </c>
      <c r="S285" s="28" t="s">
        <v>44</v>
      </c>
      <c r="T285" s="28" t="s">
        <v>44</v>
      </c>
      <c r="U285" s="28" t="s">
        <v>44</v>
      </c>
      <c r="V285" s="28" t="s">
        <v>2082</v>
      </c>
      <c r="W285" s="28" t="s">
        <v>774</v>
      </c>
      <c r="X285" s="28"/>
      <c r="Y285" s="28"/>
      <c r="Z285" s="28"/>
      <c r="AA285" s="28"/>
    </row>
    <row r="286">
      <c r="A286" s="270" t="s">
        <v>2086</v>
      </c>
      <c r="B286" s="28" t="s">
        <v>36</v>
      </c>
      <c r="C286" s="28" t="s">
        <v>1831</v>
      </c>
      <c r="D286" s="28" t="s">
        <v>44</v>
      </c>
      <c r="E286" s="28" t="s">
        <v>44</v>
      </c>
      <c r="F286" s="28" t="s">
        <v>1612</v>
      </c>
      <c r="G286" s="28" t="s">
        <v>47</v>
      </c>
      <c r="H286" s="28" t="s">
        <v>95</v>
      </c>
      <c r="I286" s="28" t="s">
        <v>485</v>
      </c>
      <c r="J286" s="28" t="s">
        <v>1614</v>
      </c>
      <c r="K286" s="28" t="s">
        <v>1615</v>
      </c>
      <c r="L286" s="28" t="s">
        <v>52</v>
      </c>
      <c r="M286" s="28" t="s">
        <v>52</v>
      </c>
      <c r="N286" s="28" t="s">
        <v>1616</v>
      </c>
      <c r="O286" s="28" t="s">
        <v>44</v>
      </c>
      <c r="P286" s="28" t="s">
        <v>1834</v>
      </c>
      <c r="Q286" s="28" t="s">
        <v>2088</v>
      </c>
      <c r="R286" s="28" t="s">
        <v>44</v>
      </c>
      <c r="S286" s="28" t="s">
        <v>44</v>
      </c>
      <c r="T286" s="28" t="s">
        <v>44</v>
      </c>
      <c r="U286" s="28" t="s">
        <v>44</v>
      </c>
      <c r="V286" s="28" t="s">
        <v>2090</v>
      </c>
      <c r="W286" s="28" t="s">
        <v>2091</v>
      </c>
      <c r="X286" s="28"/>
      <c r="Y286" s="28"/>
      <c r="Z286" s="28"/>
      <c r="AA286" s="28"/>
    </row>
    <row r="287">
      <c r="A287" s="270" t="s">
        <v>2094</v>
      </c>
      <c r="B287" s="28" t="s">
        <v>36</v>
      </c>
      <c r="C287" s="28" t="s">
        <v>1840</v>
      </c>
      <c r="D287" s="28" t="s">
        <v>44</v>
      </c>
      <c r="E287" s="28" t="s">
        <v>44</v>
      </c>
      <c r="F287" s="28" t="s">
        <v>1612</v>
      </c>
      <c r="G287" s="28" t="s">
        <v>47</v>
      </c>
      <c r="H287" s="28" t="s">
        <v>48</v>
      </c>
      <c r="I287" s="28" t="s">
        <v>485</v>
      </c>
      <c r="J287" s="28" t="s">
        <v>1614</v>
      </c>
      <c r="K287" s="28" t="s">
        <v>1615</v>
      </c>
      <c r="L287" s="28" t="s">
        <v>52</v>
      </c>
      <c r="M287" s="28" t="s">
        <v>52</v>
      </c>
      <c r="N287" s="28" t="s">
        <v>1616</v>
      </c>
      <c r="O287" s="28" t="s">
        <v>44</v>
      </c>
      <c r="P287" s="28" t="s">
        <v>1844</v>
      </c>
      <c r="Q287" s="28" t="s">
        <v>1845</v>
      </c>
      <c r="R287" s="28" t="s">
        <v>44</v>
      </c>
      <c r="S287" s="28" t="s">
        <v>44</v>
      </c>
      <c r="T287" s="28" t="s">
        <v>44</v>
      </c>
      <c r="U287" s="28" t="s">
        <v>44</v>
      </c>
      <c r="V287" s="28" t="s">
        <v>2096</v>
      </c>
      <c r="W287" s="28" t="s">
        <v>774</v>
      </c>
      <c r="X287" s="28"/>
      <c r="Y287" s="28"/>
      <c r="Z287" s="28"/>
      <c r="AA287" s="28"/>
    </row>
    <row r="288">
      <c r="A288" s="270" t="s">
        <v>2098</v>
      </c>
      <c r="B288" s="28" t="s">
        <v>36</v>
      </c>
      <c r="C288" s="28" t="s">
        <v>1849</v>
      </c>
      <c r="D288" s="28" t="s">
        <v>44</v>
      </c>
      <c r="E288" s="28" t="s">
        <v>44</v>
      </c>
      <c r="F288" s="28" t="s">
        <v>1612</v>
      </c>
      <c r="G288" s="28" t="s">
        <v>47</v>
      </c>
      <c r="H288" s="28" t="s">
        <v>48</v>
      </c>
      <c r="I288" s="28" t="s">
        <v>485</v>
      </c>
      <c r="J288" s="28" t="s">
        <v>1614</v>
      </c>
      <c r="K288" s="28" t="s">
        <v>1615</v>
      </c>
      <c r="L288" s="28" t="s">
        <v>52</v>
      </c>
      <c r="M288" s="28" t="s">
        <v>52</v>
      </c>
      <c r="N288" s="28" t="s">
        <v>1616</v>
      </c>
      <c r="O288" s="28" t="s">
        <v>44</v>
      </c>
      <c r="P288" s="28" t="s">
        <v>1853</v>
      </c>
      <c r="Q288" s="28" t="s">
        <v>2102</v>
      </c>
      <c r="R288" s="28" t="s">
        <v>44</v>
      </c>
      <c r="S288" s="28" t="s">
        <v>44</v>
      </c>
      <c r="T288" s="28" t="s">
        <v>44</v>
      </c>
      <c r="U288" s="28" t="s">
        <v>44</v>
      </c>
      <c r="V288" s="28" t="s">
        <v>2103</v>
      </c>
      <c r="W288" s="28" t="s">
        <v>774</v>
      </c>
      <c r="X288" s="28"/>
      <c r="Y288" s="28"/>
      <c r="Z288" s="28"/>
      <c r="AA288" s="28"/>
    </row>
    <row r="289">
      <c r="A289" s="270" t="s">
        <v>2104</v>
      </c>
      <c r="B289" s="28" t="s">
        <v>36</v>
      </c>
      <c r="C289" s="28" t="s">
        <v>1876</v>
      </c>
      <c r="D289" s="28" t="s">
        <v>44</v>
      </c>
      <c r="E289" s="28" t="s">
        <v>44</v>
      </c>
      <c r="F289" s="28" t="s">
        <v>1612</v>
      </c>
      <c r="G289" s="28" t="s">
        <v>47</v>
      </c>
      <c r="H289" s="28" t="s">
        <v>48</v>
      </c>
      <c r="I289" s="28" t="s">
        <v>485</v>
      </c>
      <c r="J289" s="28" t="s">
        <v>1614</v>
      </c>
      <c r="K289" s="28" t="s">
        <v>1615</v>
      </c>
      <c r="L289" s="28" t="s">
        <v>52</v>
      </c>
      <c r="M289" s="28" t="s">
        <v>52</v>
      </c>
      <c r="N289" s="28" t="s">
        <v>1616</v>
      </c>
      <c r="O289" s="28" t="s">
        <v>44</v>
      </c>
      <c r="P289" s="28" t="s">
        <v>1878</v>
      </c>
      <c r="Q289" s="28" t="s">
        <v>1880</v>
      </c>
      <c r="R289" s="28" t="s">
        <v>44</v>
      </c>
      <c r="S289" s="28" t="s">
        <v>44</v>
      </c>
      <c r="T289" s="28" t="s">
        <v>44</v>
      </c>
      <c r="U289" s="28" t="s">
        <v>44</v>
      </c>
      <c r="V289" s="28" t="s">
        <v>2108</v>
      </c>
      <c r="W289" s="28" t="s">
        <v>774</v>
      </c>
      <c r="X289" s="28"/>
      <c r="Y289" s="28"/>
      <c r="Z289" s="28"/>
      <c r="AA289" s="28"/>
    </row>
    <row r="290">
      <c r="A290" s="270" t="s">
        <v>2109</v>
      </c>
      <c r="B290" s="28" t="s">
        <v>36</v>
      </c>
      <c r="C290" s="28" t="s">
        <v>1884</v>
      </c>
      <c r="D290" s="28" t="s">
        <v>44</v>
      </c>
      <c r="E290" s="28" t="s">
        <v>44</v>
      </c>
      <c r="F290" s="28" t="s">
        <v>1612</v>
      </c>
      <c r="G290" s="28" t="s">
        <v>197</v>
      </c>
      <c r="H290" s="28" t="s">
        <v>112</v>
      </c>
      <c r="I290" s="28" t="s">
        <v>485</v>
      </c>
      <c r="J290" s="28" t="s">
        <v>1614</v>
      </c>
      <c r="K290" s="28" t="s">
        <v>1615</v>
      </c>
      <c r="L290" s="28" t="s">
        <v>52</v>
      </c>
      <c r="M290" s="28" t="s">
        <v>52</v>
      </c>
      <c r="N290" s="28" t="s">
        <v>1886</v>
      </c>
      <c r="O290" s="28" t="s">
        <v>44</v>
      </c>
      <c r="P290" s="28" t="s">
        <v>1887</v>
      </c>
      <c r="Q290" s="28" t="s">
        <v>1888</v>
      </c>
      <c r="R290" s="28" t="s">
        <v>44</v>
      </c>
      <c r="S290" s="28" t="s">
        <v>44</v>
      </c>
      <c r="T290" s="28" t="s">
        <v>44</v>
      </c>
      <c r="U290" s="28" t="s">
        <v>44</v>
      </c>
      <c r="V290" s="28" t="s">
        <v>2114</v>
      </c>
      <c r="W290" s="28" t="s">
        <v>774</v>
      </c>
      <c r="X290" s="28"/>
      <c r="Y290" s="28"/>
      <c r="Z290" s="28"/>
      <c r="AA290" s="28"/>
    </row>
    <row r="291">
      <c r="A291" s="270" t="s">
        <v>2115</v>
      </c>
      <c r="B291" s="28" t="s">
        <v>36</v>
      </c>
      <c r="C291" s="28" t="s">
        <v>1892</v>
      </c>
      <c r="D291" s="28" t="s">
        <v>44</v>
      </c>
      <c r="E291" s="28" t="s">
        <v>44</v>
      </c>
      <c r="F291" s="28" t="s">
        <v>1612</v>
      </c>
      <c r="G291" s="28" t="s">
        <v>47</v>
      </c>
      <c r="H291" s="28" t="s">
        <v>95</v>
      </c>
      <c r="I291" s="28" t="s">
        <v>485</v>
      </c>
      <c r="J291" s="28" t="s">
        <v>1614</v>
      </c>
      <c r="K291" s="28" t="s">
        <v>1615</v>
      </c>
      <c r="L291" s="28" t="s">
        <v>52</v>
      </c>
      <c r="M291" s="28" t="s">
        <v>52</v>
      </c>
      <c r="N291" s="28" t="s">
        <v>1895</v>
      </c>
      <c r="O291" s="28" t="s">
        <v>44</v>
      </c>
      <c r="P291" s="28" t="s">
        <v>1887</v>
      </c>
      <c r="Q291" s="28" t="s">
        <v>1896</v>
      </c>
      <c r="R291" s="28" t="s">
        <v>44</v>
      </c>
      <c r="S291" s="28" t="s">
        <v>44</v>
      </c>
      <c r="T291" s="28" t="s">
        <v>44</v>
      </c>
      <c r="U291" s="28" t="s">
        <v>44</v>
      </c>
      <c r="V291" s="28" t="s">
        <v>2118</v>
      </c>
      <c r="W291" s="28" t="s">
        <v>774</v>
      </c>
      <c r="X291" s="28"/>
      <c r="Y291" s="28"/>
      <c r="Z291" s="28"/>
      <c r="AA291" s="28"/>
    </row>
    <row r="292">
      <c r="A292" s="270" t="s">
        <v>2121</v>
      </c>
      <c r="B292" s="28" t="s">
        <v>36</v>
      </c>
      <c r="C292" s="28" t="s">
        <v>2122</v>
      </c>
      <c r="D292" s="28" t="s">
        <v>44</v>
      </c>
      <c r="E292" s="28" t="s">
        <v>44</v>
      </c>
      <c r="F292" s="28" t="s">
        <v>1612</v>
      </c>
      <c r="G292" s="28" t="s">
        <v>47</v>
      </c>
      <c r="H292" s="28" t="s">
        <v>95</v>
      </c>
      <c r="I292" s="28" t="s">
        <v>485</v>
      </c>
      <c r="J292" s="28" t="s">
        <v>1614</v>
      </c>
      <c r="K292" s="28" t="s">
        <v>1615</v>
      </c>
      <c r="L292" s="28" t="s">
        <v>52</v>
      </c>
      <c r="M292" s="28" t="s">
        <v>52</v>
      </c>
      <c r="N292" s="28" t="s">
        <v>2124</v>
      </c>
      <c r="O292" s="28" t="s">
        <v>44</v>
      </c>
      <c r="P292" s="28" t="s">
        <v>2125</v>
      </c>
      <c r="Q292" s="28" t="s">
        <v>2126</v>
      </c>
      <c r="R292" s="28" t="s">
        <v>44</v>
      </c>
      <c r="S292" s="28" t="s">
        <v>44</v>
      </c>
      <c r="T292" s="28" t="s">
        <v>44</v>
      </c>
      <c r="U292" s="28" t="s">
        <v>44</v>
      </c>
      <c r="V292" s="28" t="s">
        <v>2127</v>
      </c>
      <c r="W292" s="28" t="s">
        <v>774</v>
      </c>
      <c r="X292" s="28"/>
      <c r="Y292" s="28"/>
      <c r="Z292" s="28"/>
      <c r="AA292" s="28"/>
    </row>
    <row r="293">
      <c r="A293" s="270" t="s">
        <v>2128</v>
      </c>
      <c r="B293" s="28" t="s">
        <v>36</v>
      </c>
      <c r="C293" s="28" t="s">
        <v>1900</v>
      </c>
      <c r="D293" s="28" t="s">
        <v>44</v>
      </c>
      <c r="E293" s="28" t="s">
        <v>44</v>
      </c>
      <c r="F293" s="28" t="s">
        <v>1612</v>
      </c>
      <c r="G293" s="28" t="s">
        <v>47</v>
      </c>
      <c r="H293" s="28" t="s">
        <v>48</v>
      </c>
      <c r="I293" s="28" t="s">
        <v>485</v>
      </c>
      <c r="J293" s="28" t="s">
        <v>1614</v>
      </c>
      <c r="K293" s="28" t="s">
        <v>1615</v>
      </c>
      <c r="L293" s="28" t="s">
        <v>52</v>
      </c>
      <c r="M293" s="28" t="s">
        <v>52</v>
      </c>
      <c r="N293" s="28" t="s">
        <v>1616</v>
      </c>
      <c r="O293" s="28" t="s">
        <v>44</v>
      </c>
      <c r="P293" s="28" t="s">
        <v>1905</v>
      </c>
      <c r="Q293" s="28" t="s">
        <v>1906</v>
      </c>
      <c r="R293" s="28" t="s">
        <v>44</v>
      </c>
      <c r="S293" s="28" t="s">
        <v>44</v>
      </c>
      <c r="T293" s="28" t="s">
        <v>44</v>
      </c>
      <c r="U293" s="28" t="s">
        <v>44</v>
      </c>
      <c r="V293" s="28" t="s">
        <v>2129</v>
      </c>
      <c r="W293" s="28" t="s">
        <v>774</v>
      </c>
      <c r="X293" s="28"/>
      <c r="Y293" s="28"/>
      <c r="Z293" s="28"/>
      <c r="AA293" s="28"/>
    </row>
    <row r="294">
      <c r="A294" s="270" t="s">
        <v>2130</v>
      </c>
      <c r="B294" s="28" t="s">
        <v>36</v>
      </c>
      <c r="C294" s="28" t="s">
        <v>1911</v>
      </c>
      <c r="D294" s="28" t="s">
        <v>44</v>
      </c>
      <c r="E294" s="28" t="s">
        <v>44</v>
      </c>
      <c r="F294" s="28" t="s">
        <v>1612</v>
      </c>
      <c r="G294" s="28" t="s">
        <v>47</v>
      </c>
      <c r="H294" s="28" t="s">
        <v>48</v>
      </c>
      <c r="I294" s="28" t="s">
        <v>485</v>
      </c>
      <c r="J294" s="28" t="s">
        <v>1614</v>
      </c>
      <c r="K294" s="28" t="s">
        <v>1615</v>
      </c>
      <c r="L294" s="28" t="s">
        <v>52</v>
      </c>
      <c r="M294" s="28" t="s">
        <v>52</v>
      </c>
      <c r="N294" s="28" t="s">
        <v>1616</v>
      </c>
      <c r="O294" s="28" t="s">
        <v>44</v>
      </c>
      <c r="P294" s="28" t="s">
        <v>1915</v>
      </c>
      <c r="Q294" s="28" t="s">
        <v>1916</v>
      </c>
      <c r="R294" s="28" t="s">
        <v>44</v>
      </c>
      <c r="S294" s="28" t="s">
        <v>44</v>
      </c>
      <c r="T294" s="28" t="s">
        <v>44</v>
      </c>
      <c r="U294" s="28" t="s">
        <v>44</v>
      </c>
      <c r="V294" s="28" t="s">
        <v>2132</v>
      </c>
      <c r="W294" s="28" t="s">
        <v>774</v>
      </c>
      <c r="X294" s="28"/>
      <c r="Y294" s="28"/>
      <c r="Z294" s="28"/>
      <c r="AA294" s="28"/>
    </row>
    <row r="295">
      <c r="A295" s="270" t="s">
        <v>2133</v>
      </c>
      <c r="B295" s="28" t="s">
        <v>36</v>
      </c>
      <c r="C295" s="28" t="s">
        <v>1921</v>
      </c>
      <c r="D295" s="28" t="s">
        <v>44</v>
      </c>
      <c r="E295" s="28" t="s">
        <v>44</v>
      </c>
      <c r="F295" s="28" t="s">
        <v>1612</v>
      </c>
      <c r="G295" s="28" t="s">
        <v>47</v>
      </c>
      <c r="H295" s="28" t="s">
        <v>95</v>
      </c>
      <c r="I295" s="28" t="s">
        <v>485</v>
      </c>
      <c r="J295" s="28" t="s">
        <v>1614</v>
      </c>
      <c r="K295" s="28" t="s">
        <v>1615</v>
      </c>
      <c r="L295" s="28" t="s">
        <v>52</v>
      </c>
      <c r="M295" s="28" t="s">
        <v>52</v>
      </c>
      <c r="N295" s="28" t="s">
        <v>1926</v>
      </c>
      <c r="O295" s="28" t="s">
        <v>44</v>
      </c>
      <c r="P295" s="28" t="s">
        <v>1927</v>
      </c>
      <c r="Q295" s="28" t="s">
        <v>1928</v>
      </c>
      <c r="R295" s="28" t="s">
        <v>44</v>
      </c>
      <c r="S295" s="28" t="s">
        <v>44</v>
      </c>
      <c r="T295" s="28" t="s">
        <v>44</v>
      </c>
      <c r="U295" s="28" t="s">
        <v>44</v>
      </c>
      <c r="V295" s="28" t="s">
        <v>2136</v>
      </c>
      <c r="W295" s="28" t="s">
        <v>774</v>
      </c>
      <c r="X295" s="28"/>
      <c r="Y295" s="28"/>
      <c r="Z295" s="28"/>
      <c r="AA295" s="28"/>
    </row>
    <row r="296">
      <c r="A296" s="270" t="s">
        <v>2139</v>
      </c>
      <c r="B296" s="28" t="s">
        <v>36</v>
      </c>
      <c r="C296" s="28" t="s">
        <v>1931</v>
      </c>
      <c r="D296" s="28" t="s">
        <v>44</v>
      </c>
      <c r="E296" s="28" t="s">
        <v>44</v>
      </c>
      <c r="F296" s="28" t="s">
        <v>1612</v>
      </c>
      <c r="G296" s="28" t="s">
        <v>47</v>
      </c>
      <c r="H296" s="28" t="s">
        <v>91</v>
      </c>
      <c r="I296" s="28" t="s">
        <v>485</v>
      </c>
      <c r="J296" s="28" t="s">
        <v>1614</v>
      </c>
      <c r="K296" s="28" t="s">
        <v>1615</v>
      </c>
      <c r="L296" s="28" t="s">
        <v>52</v>
      </c>
      <c r="M296" s="28" t="s">
        <v>52</v>
      </c>
      <c r="N296" s="28" t="s">
        <v>1934</v>
      </c>
      <c r="O296" s="28" t="s">
        <v>44</v>
      </c>
      <c r="P296" s="28" t="s">
        <v>1935</v>
      </c>
      <c r="Q296" s="28" t="s">
        <v>1937</v>
      </c>
      <c r="R296" s="28" t="s">
        <v>44</v>
      </c>
      <c r="S296" s="28" t="s">
        <v>44</v>
      </c>
      <c r="T296" s="28" t="s">
        <v>44</v>
      </c>
      <c r="U296" s="28" t="s">
        <v>44</v>
      </c>
      <c r="V296" s="28" t="s">
        <v>2141</v>
      </c>
      <c r="W296" s="28" t="s">
        <v>774</v>
      </c>
      <c r="X296" s="28"/>
      <c r="Y296" s="28"/>
      <c r="Z296" s="28"/>
      <c r="AA296" s="28"/>
    </row>
    <row r="297">
      <c r="A297" s="270" t="s">
        <v>2144</v>
      </c>
      <c r="B297" s="28" t="s">
        <v>36</v>
      </c>
      <c r="C297" s="28" t="s">
        <v>1940</v>
      </c>
      <c r="D297" s="28" t="s">
        <v>44</v>
      </c>
      <c r="E297" s="28" t="s">
        <v>44</v>
      </c>
      <c r="F297" s="28" t="s">
        <v>1612</v>
      </c>
      <c r="G297" s="28" t="s">
        <v>47</v>
      </c>
      <c r="H297" s="28" t="s">
        <v>48</v>
      </c>
      <c r="I297" s="28" t="s">
        <v>485</v>
      </c>
      <c r="J297" s="28" t="s">
        <v>1614</v>
      </c>
      <c r="K297" s="28" t="s">
        <v>1615</v>
      </c>
      <c r="L297" s="28" t="s">
        <v>52</v>
      </c>
      <c r="M297" s="28" t="s">
        <v>52</v>
      </c>
      <c r="N297" s="28" t="s">
        <v>1943</v>
      </c>
      <c r="O297" s="28" t="s">
        <v>44</v>
      </c>
      <c r="P297" s="28" t="s">
        <v>1946</v>
      </c>
      <c r="Q297" s="28" t="s">
        <v>1947</v>
      </c>
      <c r="R297" s="28" t="s">
        <v>44</v>
      </c>
      <c r="S297" s="28" t="s">
        <v>44</v>
      </c>
      <c r="T297" s="28" t="s">
        <v>44</v>
      </c>
      <c r="U297" s="28" t="s">
        <v>44</v>
      </c>
      <c r="V297" s="28" t="s">
        <v>2147</v>
      </c>
      <c r="W297" s="28" t="s">
        <v>774</v>
      </c>
      <c r="X297" s="28"/>
      <c r="Y297" s="28"/>
      <c r="Z297" s="28"/>
      <c r="AA297" s="28"/>
    </row>
    <row r="298">
      <c r="A298" s="270" t="s">
        <v>2148</v>
      </c>
      <c r="B298" s="28" t="s">
        <v>36</v>
      </c>
      <c r="C298" s="28" t="s">
        <v>1949</v>
      </c>
      <c r="D298" s="28" t="s">
        <v>44</v>
      </c>
      <c r="E298" s="28" t="s">
        <v>44</v>
      </c>
      <c r="F298" s="28" t="s">
        <v>1612</v>
      </c>
      <c r="G298" s="28" t="s">
        <v>47</v>
      </c>
      <c r="H298" s="28" t="s">
        <v>91</v>
      </c>
      <c r="I298" s="28" t="s">
        <v>485</v>
      </c>
      <c r="J298" s="28" t="s">
        <v>1614</v>
      </c>
      <c r="K298" s="28" t="s">
        <v>1615</v>
      </c>
      <c r="L298" s="28" t="s">
        <v>52</v>
      </c>
      <c r="M298" s="28" t="s">
        <v>52</v>
      </c>
      <c r="N298" s="28" t="s">
        <v>1934</v>
      </c>
      <c r="O298" s="28" t="s">
        <v>44</v>
      </c>
      <c r="P298" s="28" t="s">
        <v>1953</v>
      </c>
      <c r="Q298" s="28" t="s">
        <v>2151</v>
      </c>
      <c r="R298" s="28" t="s">
        <v>44</v>
      </c>
      <c r="S298" s="28" t="s">
        <v>44</v>
      </c>
      <c r="T298" s="28" t="s">
        <v>44</v>
      </c>
      <c r="U298" s="28" t="s">
        <v>44</v>
      </c>
      <c r="V298" s="28" t="s">
        <v>2153</v>
      </c>
      <c r="W298" s="28" t="s">
        <v>774</v>
      </c>
      <c r="X298" s="28"/>
      <c r="Y298" s="28"/>
      <c r="Z298" s="28"/>
      <c r="AA298" s="28"/>
    </row>
    <row r="299">
      <c r="A299" s="270" t="s">
        <v>2154</v>
      </c>
      <c r="B299" s="28" t="s">
        <v>36</v>
      </c>
      <c r="C299" s="28" t="s">
        <v>1957</v>
      </c>
      <c r="D299" s="28" t="s">
        <v>44</v>
      </c>
      <c r="E299" s="28" t="s">
        <v>44</v>
      </c>
      <c r="F299" s="28" t="s">
        <v>1612</v>
      </c>
      <c r="G299" s="28" t="s">
        <v>47</v>
      </c>
      <c r="H299" s="28" t="s">
        <v>48</v>
      </c>
      <c r="I299" s="28" t="s">
        <v>485</v>
      </c>
      <c r="J299" s="28" t="s">
        <v>1614</v>
      </c>
      <c r="K299" s="28" t="s">
        <v>1615</v>
      </c>
      <c r="L299" s="28" t="s">
        <v>52</v>
      </c>
      <c r="M299" s="28" t="s">
        <v>52</v>
      </c>
      <c r="N299" s="28" t="s">
        <v>1960</v>
      </c>
      <c r="O299" s="28" t="s">
        <v>44</v>
      </c>
      <c r="P299" s="28" t="s">
        <v>1961</v>
      </c>
      <c r="Q299" s="28" t="s">
        <v>1962</v>
      </c>
      <c r="R299" s="28" t="s">
        <v>44</v>
      </c>
      <c r="S299" s="28" t="s">
        <v>44</v>
      </c>
      <c r="T299" s="28" t="s">
        <v>44</v>
      </c>
      <c r="U299" s="28" t="s">
        <v>44</v>
      </c>
      <c r="V299" s="28" t="s">
        <v>2157</v>
      </c>
      <c r="W299" s="28" t="s">
        <v>774</v>
      </c>
      <c r="X299" s="28"/>
      <c r="Y299" s="28"/>
      <c r="Z299" s="28"/>
      <c r="AA299" s="28"/>
    </row>
    <row r="300">
      <c r="A300" s="270" t="s">
        <v>2159</v>
      </c>
      <c r="B300" s="28" t="s">
        <v>36</v>
      </c>
      <c r="C300" s="28" t="s">
        <v>1965</v>
      </c>
      <c r="D300" s="28" t="s">
        <v>44</v>
      </c>
      <c r="E300" s="28" t="s">
        <v>44</v>
      </c>
      <c r="F300" s="28" t="s">
        <v>1612</v>
      </c>
      <c r="G300" s="28" t="s">
        <v>47</v>
      </c>
      <c r="H300" s="28" t="s">
        <v>95</v>
      </c>
      <c r="I300" s="28" t="s">
        <v>485</v>
      </c>
      <c r="J300" s="28" t="s">
        <v>1614</v>
      </c>
      <c r="K300" s="28" t="s">
        <v>1615</v>
      </c>
      <c r="L300" s="28" t="s">
        <v>52</v>
      </c>
      <c r="M300" s="28" t="s">
        <v>52</v>
      </c>
      <c r="N300" s="28" t="s">
        <v>1968</v>
      </c>
      <c r="O300" s="28" t="s">
        <v>44</v>
      </c>
      <c r="P300" s="28" t="s">
        <v>1969</v>
      </c>
      <c r="Q300" s="28" t="s">
        <v>1970</v>
      </c>
      <c r="R300" s="28" t="s">
        <v>44</v>
      </c>
      <c r="S300" s="28" t="s">
        <v>44</v>
      </c>
      <c r="T300" s="28" t="s">
        <v>44</v>
      </c>
      <c r="U300" s="28" t="s">
        <v>44</v>
      </c>
      <c r="V300" s="28" t="s">
        <v>2163</v>
      </c>
      <c r="W300" s="28" t="s">
        <v>774</v>
      </c>
      <c r="X300" s="28"/>
      <c r="Y300" s="28"/>
      <c r="Z300" s="28"/>
      <c r="AA300" s="28"/>
    </row>
    <row r="301">
      <c r="A301" s="270" t="s">
        <v>2164</v>
      </c>
      <c r="B301" s="28" t="s">
        <v>36</v>
      </c>
      <c r="C301" s="28" t="s">
        <v>1975</v>
      </c>
      <c r="D301" s="28" t="s">
        <v>44</v>
      </c>
      <c r="E301" s="28" t="s">
        <v>44</v>
      </c>
      <c r="F301" s="28" t="s">
        <v>1612</v>
      </c>
      <c r="G301" s="28" t="s">
        <v>47</v>
      </c>
      <c r="H301" s="28" t="s">
        <v>95</v>
      </c>
      <c r="I301" s="28" t="s">
        <v>485</v>
      </c>
      <c r="J301" s="28" t="s">
        <v>1614</v>
      </c>
      <c r="K301" s="28" t="s">
        <v>1615</v>
      </c>
      <c r="L301" s="28" t="s">
        <v>52</v>
      </c>
      <c r="M301" s="28" t="s">
        <v>52</v>
      </c>
      <c r="N301" s="28" t="s">
        <v>1976</v>
      </c>
      <c r="O301" s="28" t="s">
        <v>44</v>
      </c>
      <c r="P301" s="28" t="s">
        <v>1977</v>
      </c>
      <c r="Q301" s="28" t="s">
        <v>1978</v>
      </c>
      <c r="R301" s="28" t="s">
        <v>44</v>
      </c>
      <c r="S301" s="28" t="s">
        <v>44</v>
      </c>
      <c r="T301" s="28" t="s">
        <v>44</v>
      </c>
      <c r="U301" s="28" t="s">
        <v>44</v>
      </c>
      <c r="V301" s="28" t="s">
        <v>2169</v>
      </c>
      <c r="W301" s="28" t="s">
        <v>774</v>
      </c>
      <c r="X301" s="28"/>
      <c r="Y301" s="28"/>
      <c r="Z301" s="28"/>
      <c r="AA301" s="28"/>
    </row>
    <row r="302">
      <c r="A302" s="270" t="s">
        <v>2170</v>
      </c>
      <c r="B302" s="28" t="s">
        <v>36</v>
      </c>
      <c r="C302" s="28" t="s">
        <v>1981</v>
      </c>
      <c r="D302" s="28" t="s">
        <v>44</v>
      </c>
      <c r="E302" s="28" t="s">
        <v>44</v>
      </c>
      <c r="F302" s="28" t="s">
        <v>1612</v>
      </c>
      <c r="G302" s="28" t="s">
        <v>47</v>
      </c>
      <c r="H302" s="28" t="s">
        <v>48</v>
      </c>
      <c r="I302" s="28" t="s">
        <v>485</v>
      </c>
      <c r="J302" s="28" t="s">
        <v>1614</v>
      </c>
      <c r="K302" s="28" t="s">
        <v>1615</v>
      </c>
      <c r="L302" s="28" t="s">
        <v>52</v>
      </c>
      <c r="M302" s="28" t="s">
        <v>52</v>
      </c>
      <c r="N302" s="28" t="s">
        <v>1960</v>
      </c>
      <c r="O302" s="28" t="s">
        <v>44</v>
      </c>
      <c r="P302" s="28" t="s">
        <v>1983</v>
      </c>
      <c r="Q302" s="28" t="s">
        <v>1985</v>
      </c>
      <c r="R302" s="28" t="s">
        <v>44</v>
      </c>
      <c r="S302" s="28" t="s">
        <v>44</v>
      </c>
      <c r="T302" s="28" t="s">
        <v>44</v>
      </c>
      <c r="U302" s="28" t="s">
        <v>44</v>
      </c>
      <c r="V302" s="28" t="s">
        <v>2173</v>
      </c>
      <c r="W302" s="28" t="s">
        <v>774</v>
      </c>
      <c r="X302" s="28"/>
      <c r="Y302" s="28"/>
      <c r="Z302" s="28"/>
      <c r="AA302" s="28"/>
    </row>
    <row r="303">
      <c r="A303" s="270" t="s">
        <v>2174</v>
      </c>
      <c r="B303" s="28" t="s">
        <v>36</v>
      </c>
      <c r="C303" s="28" t="s">
        <v>1986</v>
      </c>
      <c r="D303" s="28" t="s">
        <v>44</v>
      </c>
      <c r="E303" s="28" t="s">
        <v>44</v>
      </c>
      <c r="F303" s="28" t="s">
        <v>1612</v>
      </c>
      <c r="G303" s="28" t="s">
        <v>47</v>
      </c>
      <c r="H303" s="28" t="s">
        <v>48</v>
      </c>
      <c r="I303" s="28" t="s">
        <v>485</v>
      </c>
      <c r="J303" s="28" t="s">
        <v>1614</v>
      </c>
      <c r="K303" s="28" t="s">
        <v>1615</v>
      </c>
      <c r="L303" s="28" t="s">
        <v>52</v>
      </c>
      <c r="M303" s="28" t="s">
        <v>52</v>
      </c>
      <c r="N303" s="28" t="s">
        <v>1990</v>
      </c>
      <c r="O303" s="28" t="s">
        <v>44</v>
      </c>
      <c r="P303" s="28" t="s">
        <v>1992</v>
      </c>
      <c r="Q303" s="28" t="s">
        <v>1993</v>
      </c>
      <c r="R303" s="28" t="s">
        <v>44</v>
      </c>
      <c r="S303" s="28" t="s">
        <v>44</v>
      </c>
      <c r="T303" s="28" t="s">
        <v>44</v>
      </c>
      <c r="U303" s="28" t="s">
        <v>44</v>
      </c>
      <c r="V303" s="28" t="s">
        <v>2176</v>
      </c>
      <c r="W303" s="28" t="s">
        <v>774</v>
      </c>
      <c r="X303" s="28"/>
      <c r="Y303" s="28"/>
      <c r="Z303" s="28"/>
      <c r="AA303" s="28"/>
    </row>
    <row r="304">
      <c r="A304" s="270" t="s">
        <v>2177</v>
      </c>
      <c r="B304" s="28" t="s">
        <v>36</v>
      </c>
      <c r="C304" s="28" t="s">
        <v>1997</v>
      </c>
      <c r="D304" s="28" t="s">
        <v>44</v>
      </c>
      <c r="E304" s="28" t="s">
        <v>44</v>
      </c>
      <c r="F304" s="28" t="s">
        <v>1612</v>
      </c>
      <c r="G304" s="28" t="s">
        <v>47</v>
      </c>
      <c r="H304" s="28" t="s">
        <v>95</v>
      </c>
      <c r="I304" s="28" t="s">
        <v>485</v>
      </c>
      <c r="J304" s="28" t="s">
        <v>1614</v>
      </c>
      <c r="K304" s="28" t="s">
        <v>1615</v>
      </c>
      <c r="L304" s="28" t="s">
        <v>52</v>
      </c>
      <c r="M304" s="28" t="s">
        <v>52</v>
      </c>
      <c r="N304" s="28" t="s">
        <v>1999</v>
      </c>
      <c r="O304" s="28" t="s">
        <v>44</v>
      </c>
      <c r="P304" s="28" t="s">
        <v>2000</v>
      </c>
      <c r="Q304" s="28" t="s">
        <v>2001</v>
      </c>
      <c r="R304" s="28" t="s">
        <v>44</v>
      </c>
      <c r="S304" s="28" t="s">
        <v>44</v>
      </c>
      <c r="T304" s="28" t="s">
        <v>44</v>
      </c>
      <c r="U304" s="28" t="s">
        <v>44</v>
      </c>
      <c r="V304" s="28" t="s">
        <v>2181</v>
      </c>
      <c r="W304" s="28" t="s">
        <v>774</v>
      </c>
      <c r="X304" s="28"/>
      <c r="Y304" s="28"/>
      <c r="Z304" s="28"/>
      <c r="AA304" s="28"/>
    </row>
    <row r="305">
      <c r="A305" s="270" t="s">
        <v>2182</v>
      </c>
      <c r="B305" s="28" t="s">
        <v>36</v>
      </c>
      <c r="C305" s="28" t="s">
        <v>2004</v>
      </c>
      <c r="D305" s="28" t="s">
        <v>44</v>
      </c>
      <c r="E305" s="28" t="s">
        <v>44</v>
      </c>
      <c r="F305" s="28" t="s">
        <v>1612</v>
      </c>
      <c r="G305" s="28" t="s">
        <v>47</v>
      </c>
      <c r="H305" s="28" t="s">
        <v>95</v>
      </c>
      <c r="I305" s="28" t="s">
        <v>485</v>
      </c>
      <c r="J305" s="28" t="s">
        <v>1614</v>
      </c>
      <c r="K305" s="28" t="s">
        <v>1615</v>
      </c>
      <c r="L305" s="28" t="s">
        <v>52</v>
      </c>
      <c r="M305" s="28" t="s">
        <v>52</v>
      </c>
      <c r="N305" s="28" t="s">
        <v>2006</v>
      </c>
      <c r="O305" s="28" t="s">
        <v>44</v>
      </c>
      <c r="P305" s="28" t="s">
        <v>2008</v>
      </c>
      <c r="Q305" s="28" t="s">
        <v>2009</v>
      </c>
      <c r="R305" s="28" t="s">
        <v>44</v>
      </c>
      <c r="S305" s="28" t="s">
        <v>44</v>
      </c>
      <c r="T305" s="28" t="s">
        <v>44</v>
      </c>
      <c r="U305" s="28" t="s">
        <v>44</v>
      </c>
      <c r="V305" s="28" t="s">
        <v>2185</v>
      </c>
      <c r="W305" s="28" t="s">
        <v>774</v>
      </c>
      <c r="X305" s="28"/>
      <c r="Y305" s="28"/>
      <c r="Z305" s="28"/>
      <c r="AA305" s="28"/>
    </row>
    <row r="306">
      <c r="A306" s="270" t="s">
        <v>2186</v>
      </c>
      <c r="B306" s="28" t="s">
        <v>36</v>
      </c>
      <c r="C306" s="28" t="s">
        <v>2010</v>
      </c>
      <c r="D306" s="28" t="s">
        <v>44</v>
      </c>
      <c r="E306" s="28" t="s">
        <v>44</v>
      </c>
      <c r="F306" s="28" t="s">
        <v>1612</v>
      </c>
      <c r="G306" s="28" t="s">
        <v>47</v>
      </c>
      <c r="H306" s="28" t="s">
        <v>95</v>
      </c>
      <c r="I306" s="28" t="s">
        <v>485</v>
      </c>
      <c r="J306" s="28" t="s">
        <v>1614</v>
      </c>
      <c r="K306" s="28" t="s">
        <v>1615</v>
      </c>
      <c r="L306" s="28" t="s">
        <v>52</v>
      </c>
      <c r="M306" s="28" t="s">
        <v>52</v>
      </c>
      <c r="N306" s="28" t="s">
        <v>2013</v>
      </c>
      <c r="O306" s="28" t="s">
        <v>44</v>
      </c>
      <c r="P306" s="28" t="s">
        <v>2014</v>
      </c>
      <c r="Q306" s="28" t="s">
        <v>2015</v>
      </c>
      <c r="R306" s="28" t="s">
        <v>44</v>
      </c>
      <c r="S306" s="28" t="s">
        <v>44</v>
      </c>
      <c r="T306" s="28" t="s">
        <v>44</v>
      </c>
      <c r="U306" s="28" t="s">
        <v>44</v>
      </c>
      <c r="V306" s="28" t="s">
        <v>2189</v>
      </c>
      <c r="W306" s="28" t="s">
        <v>774</v>
      </c>
      <c r="X306" s="28"/>
      <c r="Y306" s="28"/>
      <c r="Z306" s="28"/>
      <c r="AA306" s="28"/>
    </row>
    <row r="307">
      <c r="A307" s="270" t="s">
        <v>2190</v>
      </c>
      <c r="B307" s="28" t="s">
        <v>36</v>
      </c>
      <c r="C307" s="28" t="s">
        <v>2016</v>
      </c>
      <c r="D307" s="28" t="s">
        <v>44</v>
      </c>
      <c r="E307" s="28" t="s">
        <v>44</v>
      </c>
      <c r="F307" s="28" t="s">
        <v>1612</v>
      </c>
      <c r="G307" s="28" t="s">
        <v>47</v>
      </c>
      <c r="H307" s="28" t="s">
        <v>95</v>
      </c>
      <c r="I307" s="28" t="s">
        <v>485</v>
      </c>
      <c r="J307" s="28" t="s">
        <v>1614</v>
      </c>
      <c r="K307" s="28" t="s">
        <v>1615</v>
      </c>
      <c r="L307" s="28" t="s">
        <v>52</v>
      </c>
      <c r="M307" s="28" t="s">
        <v>52</v>
      </c>
      <c r="N307" s="28" t="s">
        <v>2019</v>
      </c>
      <c r="O307" s="28" t="s">
        <v>44</v>
      </c>
      <c r="P307" s="28" t="s">
        <v>2020</v>
      </c>
      <c r="Q307" s="28" t="s">
        <v>2021</v>
      </c>
      <c r="R307" s="28" t="s">
        <v>44</v>
      </c>
      <c r="S307" s="28" t="s">
        <v>44</v>
      </c>
      <c r="T307" s="28" t="s">
        <v>44</v>
      </c>
      <c r="U307" s="28" t="s">
        <v>44</v>
      </c>
      <c r="V307" s="28" t="s">
        <v>2191</v>
      </c>
      <c r="W307" s="28" t="s">
        <v>774</v>
      </c>
      <c r="X307" s="28"/>
      <c r="Y307" s="28"/>
      <c r="Z307" s="28"/>
      <c r="AA307" s="28"/>
    </row>
    <row r="308">
      <c r="A308" s="270" t="s">
        <v>2193</v>
      </c>
      <c r="B308" s="28" t="s">
        <v>36</v>
      </c>
      <c r="C308" s="28" t="s">
        <v>2023</v>
      </c>
      <c r="D308" s="28" t="s">
        <v>44</v>
      </c>
      <c r="E308" s="28" t="s">
        <v>44</v>
      </c>
      <c r="F308" s="28" t="s">
        <v>1612</v>
      </c>
      <c r="G308" s="28" t="s">
        <v>197</v>
      </c>
      <c r="H308" s="28" t="s">
        <v>91</v>
      </c>
      <c r="I308" s="28" t="s">
        <v>485</v>
      </c>
      <c r="J308" s="28" t="s">
        <v>1614</v>
      </c>
      <c r="K308" s="28" t="s">
        <v>1615</v>
      </c>
      <c r="L308" s="28" t="s">
        <v>52</v>
      </c>
      <c r="M308" s="28" t="s">
        <v>52</v>
      </c>
      <c r="N308" s="28" t="s">
        <v>2026</v>
      </c>
      <c r="O308" s="28" t="s">
        <v>44</v>
      </c>
      <c r="P308" s="28" t="s">
        <v>2027</v>
      </c>
      <c r="Q308" s="28" t="s">
        <v>2028</v>
      </c>
      <c r="R308" s="28" t="s">
        <v>44</v>
      </c>
      <c r="S308" s="28" t="s">
        <v>44</v>
      </c>
      <c r="T308" s="28" t="s">
        <v>44</v>
      </c>
      <c r="U308" s="28" t="s">
        <v>44</v>
      </c>
      <c r="V308" s="28" t="s">
        <v>2196</v>
      </c>
      <c r="W308" s="28" t="s">
        <v>774</v>
      </c>
      <c r="X308" s="28"/>
      <c r="Y308" s="28"/>
      <c r="Z308" s="28"/>
      <c r="AA308" s="28"/>
    </row>
    <row r="309">
      <c r="A309" s="270" t="s">
        <v>2197</v>
      </c>
      <c r="B309" s="28" t="s">
        <v>36</v>
      </c>
      <c r="C309" s="28" t="s">
        <v>2029</v>
      </c>
      <c r="D309" s="28" t="s">
        <v>44</v>
      </c>
      <c r="E309" s="28" t="s">
        <v>44</v>
      </c>
      <c r="F309" s="28" t="s">
        <v>1612</v>
      </c>
      <c r="G309" s="28" t="s">
        <v>47</v>
      </c>
      <c r="H309" s="28" t="s">
        <v>95</v>
      </c>
      <c r="I309" s="28" t="s">
        <v>485</v>
      </c>
      <c r="J309" s="28" t="s">
        <v>1614</v>
      </c>
      <c r="K309" s="28" t="s">
        <v>1615</v>
      </c>
      <c r="L309" s="28" t="s">
        <v>52</v>
      </c>
      <c r="M309" s="28" t="s">
        <v>52</v>
      </c>
      <c r="N309" s="28" t="s">
        <v>2032</v>
      </c>
      <c r="O309" s="28" t="s">
        <v>44</v>
      </c>
      <c r="P309" s="28" t="s">
        <v>2027</v>
      </c>
      <c r="Q309" s="28" t="s">
        <v>2033</v>
      </c>
      <c r="R309" s="28" t="s">
        <v>44</v>
      </c>
      <c r="S309" s="28" t="s">
        <v>44</v>
      </c>
      <c r="T309" s="28" t="s">
        <v>44</v>
      </c>
      <c r="U309" s="28" t="s">
        <v>44</v>
      </c>
      <c r="V309" s="28" t="s">
        <v>2202</v>
      </c>
      <c r="W309" s="28" t="s">
        <v>774</v>
      </c>
      <c r="X309" s="28"/>
      <c r="Y309" s="28"/>
      <c r="Z309" s="28"/>
      <c r="AA309" s="28"/>
    </row>
    <row r="310">
      <c r="A310" s="270" t="s">
        <v>2203</v>
      </c>
      <c r="B310" s="28" t="s">
        <v>36</v>
      </c>
      <c r="C310" s="28" t="s">
        <v>2034</v>
      </c>
      <c r="D310" s="28" t="s">
        <v>44</v>
      </c>
      <c r="E310" s="28" t="s">
        <v>44</v>
      </c>
      <c r="F310" s="28" t="s">
        <v>1612</v>
      </c>
      <c r="G310" s="28" t="s">
        <v>47</v>
      </c>
      <c r="H310" s="28" t="s">
        <v>48</v>
      </c>
      <c r="I310" s="28" t="s">
        <v>485</v>
      </c>
      <c r="J310" s="28" t="s">
        <v>2036</v>
      </c>
      <c r="K310" s="28" t="s">
        <v>51</v>
      </c>
      <c r="L310" s="28" t="s">
        <v>52</v>
      </c>
      <c r="M310" s="28" t="s">
        <v>52</v>
      </c>
      <c r="N310" s="28" t="s">
        <v>2038</v>
      </c>
      <c r="O310" s="28" t="s">
        <v>44</v>
      </c>
      <c r="P310" s="28" t="s">
        <v>2040</v>
      </c>
      <c r="Q310" s="28" t="s">
        <v>2041</v>
      </c>
      <c r="R310" s="28" t="s">
        <v>44</v>
      </c>
      <c r="S310" s="28" t="s">
        <v>44</v>
      </c>
      <c r="T310" s="28" t="s">
        <v>44</v>
      </c>
      <c r="U310" s="28" t="s">
        <v>44</v>
      </c>
      <c r="V310" s="28" t="s">
        <v>2204</v>
      </c>
      <c r="W310" s="28" t="s">
        <v>774</v>
      </c>
      <c r="X310" s="28"/>
      <c r="Y310" s="28"/>
      <c r="Z310" s="28"/>
      <c r="AA310" s="28"/>
    </row>
    <row r="311">
      <c r="A311" s="270" t="s">
        <v>2205</v>
      </c>
      <c r="B311" s="28" t="s">
        <v>36</v>
      </c>
      <c r="C311" s="28" t="s">
        <v>2043</v>
      </c>
      <c r="D311" s="28" t="s">
        <v>44</v>
      </c>
      <c r="E311" s="28" t="s">
        <v>44</v>
      </c>
      <c r="F311" s="28" t="s">
        <v>1612</v>
      </c>
      <c r="G311" s="28" t="s">
        <v>47</v>
      </c>
      <c r="H311" s="28" t="s">
        <v>95</v>
      </c>
      <c r="I311" s="28" t="s">
        <v>485</v>
      </c>
      <c r="J311" s="28" t="s">
        <v>2036</v>
      </c>
      <c r="K311" s="28" t="s">
        <v>51</v>
      </c>
      <c r="L311" s="28" t="s">
        <v>52</v>
      </c>
      <c r="M311" s="28" t="s">
        <v>52</v>
      </c>
      <c r="N311" s="28" t="s">
        <v>2038</v>
      </c>
      <c r="O311" s="28" t="s">
        <v>44</v>
      </c>
      <c r="P311" s="28" t="s">
        <v>2045</v>
      </c>
      <c r="Q311" s="28" t="s">
        <v>2046</v>
      </c>
      <c r="R311" s="28" t="s">
        <v>44</v>
      </c>
      <c r="S311" s="28" t="s">
        <v>44</v>
      </c>
      <c r="T311" s="28" t="s">
        <v>44</v>
      </c>
      <c r="U311" s="28" t="s">
        <v>44</v>
      </c>
      <c r="V311" s="28" t="s">
        <v>2207</v>
      </c>
      <c r="W311" s="28" t="s">
        <v>774</v>
      </c>
      <c r="X311" s="28"/>
      <c r="Y311" s="28"/>
      <c r="Z311" s="28"/>
      <c r="AA311" s="28"/>
    </row>
    <row r="312">
      <c r="A312" s="270" t="s">
        <v>2208</v>
      </c>
      <c r="B312" s="28" t="s">
        <v>36</v>
      </c>
      <c r="C312" s="28" t="s">
        <v>2048</v>
      </c>
      <c r="D312" s="28" t="s">
        <v>44</v>
      </c>
      <c r="E312" s="28" t="s">
        <v>44</v>
      </c>
      <c r="F312" s="28" t="s">
        <v>1612</v>
      </c>
      <c r="G312" s="28" t="s">
        <v>85</v>
      </c>
      <c r="H312" s="28" t="s">
        <v>86</v>
      </c>
      <c r="I312" s="28" t="s">
        <v>485</v>
      </c>
      <c r="J312" s="28" t="s">
        <v>2036</v>
      </c>
      <c r="K312" s="28" t="s">
        <v>51</v>
      </c>
      <c r="L312" s="28" t="s">
        <v>52</v>
      </c>
      <c r="M312" s="28" t="s">
        <v>52</v>
      </c>
      <c r="N312" s="28" t="s">
        <v>2038</v>
      </c>
      <c r="O312" s="28" t="s">
        <v>44</v>
      </c>
      <c r="P312" s="28" t="s">
        <v>2051</v>
      </c>
      <c r="Q312" s="28" t="s">
        <v>2212</v>
      </c>
      <c r="R312" s="28" t="s">
        <v>44</v>
      </c>
      <c r="S312" s="28" t="s">
        <v>44</v>
      </c>
      <c r="T312" s="28" t="s">
        <v>44</v>
      </c>
      <c r="U312" s="28" t="s">
        <v>44</v>
      </c>
      <c r="V312" s="28" t="s">
        <v>2213</v>
      </c>
      <c r="W312" s="28" t="s">
        <v>2215</v>
      </c>
      <c r="X312" s="28"/>
      <c r="Y312" s="28"/>
      <c r="Z312" s="28"/>
      <c r="AA312" s="28"/>
    </row>
    <row r="313">
      <c r="A313" s="270" t="s">
        <v>2216</v>
      </c>
      <c r="B313" s="28" t="s">
        <v>36</v>
      </c>
      <c r="C313" s="28" t="s">
        <v>2054</v>
      </c>
      <c r="D313" s="28" t="s">
        <v>44</v>
      </c>
      <c r="E313" s="28" t="s">
        <v>44</v>
      </c>
      <c r="F313" s="28" t="s">
        <v>1612</v>
      </c>
      <c r="G313" s="28" t="s">
        <v>47</v>
      </c>
      <c r="H313" s="28" t="s">
        <v>48</v>
      </c>
      <c r="I313" s="28" t="s">
        <v>485</v>
      </c>
      <c r="J313" s="28" t="s">
        <v>1614</v>
      </c>
      <c r="K313" s="28" t="s">
        <v>1615</v>
      </c>
      <c r="L313" s="28" t="s">
        <v>52</v>
      </c>
      <c r="M313" s="28" t="s">
        <v>52</v>
      </c>
      <c r="N313" s="28" t="s">
        <v>1616</v>
      </c>
      <c r="O313" s="28" t="s">
        <v>44</v>
      </c>
      <c r="P313" s="28" t="s">
        <v>2058</v>
      </c>
      <c r="Q313" s="28" t="s">
        <v>2060</v>
      </c>
      <c r="R313" s="28" t="s">
        <v>44</v>
      </c>
      <c r="S313" s="28" t="s">
        <v>44</v>
      </c>
      <c r="T313" s="28" t="s">
        <v>44</v>
      </c>
      <c r="U313" s="28" t="s">
        <v>44</v>
      </c>
      <c r="V313" s="28" t="s">
        <v>2220</v>
      </c>
      <c r="W313" s="28" t="s">
        <v>774</v>
      </c>
      <c r="X313" s="28"/>
      <c r="Y313" s="28"/>
      <c r="Z313" s="28"/>
      <c r="AA313" s="28"/>
    </row>
    <row r="314">
      <c r="A314" s="270" t="s">
        <v>2221</v>
      </c>
      <c r="B314" s="28" t="s">
        <v>36</v>
      </c>
      <c r="C314" s="28" t="s">
        <v>2061</v>
      </c>
      <c r="D314" s="28" t="s">
        <v>44</v>
      </c>
      <c r="E314" s="28" t="s">
        <v>44</v>
      </c>
      <c r="F314" s="28" t="s">
        <v>1612</v>
      </c>
      <c r="G314" s="28" t="s">
        <v>47</v>
      </c>
      <c r="H314" s="28" t="s">
        <v>48</v>
      </c>
      <c r="I314" s="28" t="s">
        <v>485</v>
      </c>
      <c r="J314" s="28" t="s">
        <v>1614</v>
      </c>
      <c r="K314" s="28" t="s">
        <v>1615</v>
      </c>
      <c r="L314" s="28" t="s">
        <v>52</v>
      </c>
      <c r="M314" s="28" t="s">
        <v>52</v>
      </c>
      <c r="N314" s="28" t="s">
        <v>1616</v>
      </c>
      <c r="O314" s="28" t="s">
        <v>44</v>
      </c>
      <c r="P314" s="28" t="s">
        <v>2065</v>
      </c>
      <c r="Q314" s="28" t="s">
        <v>2067</v>
      </c>
      <c r="R314" s="28" t="s">
        <v>44</v>
      </c>
      <c r="S314" s="28" t="s">
        <v>44</v>
      </c>
      <c r="T314" s="28" t="s">
        <v>44</v>
      </c>
      <c r="U314" s="28" t="s">
        <v>44</v>
      </c>
      <c r="V314" s="28" t="s">
        <v>2226</v>
      </c>
      <c r="W314" s="28" t="s">
        <v>774</v>
      </c>
      <c r="X314" s="28"/>
      <c r="Y314" s="28"/>
      <c r="Z314" s="28"/>
      <c r="AA314" s="28"/>
    </row>
    <row r="315">
      <c r="A315" s="270" t="s">
        <v>2227</v>
      </c>
      <c r="B315" s="28" t="s">
        <v>36</v>
      </c>
      <c r="C315" s="28" t="s">
        <v>2068</v>
      </c>
      <c r="D315" s="28" t="s">
        <v>44</v>
      </c>
      <c r="E315" s="28" t="s">
        <v>44</v>
      </c>
      <c r="F315" s="28" t="s">
        <v>1612</v>
      </c>
      <c r="G315" s="28" t="s">
        <v>47</v>
      </c>
      <c r="H315" s="28" t="s">
        <v>48</v>
      </c>
      <c r="I315" s="28" t="s">
        <v>485</v>
      </c>
      <c r="J315" s="28" t="s">
        <v>1614</v>
      </c>
      <c r="K315" s="28" t="s">
        <v>1615</v>
      </c>
      <c r="L315" s="28" t="s">
        <v>52</v>
      </c>
      <c r="M315" s="28" t="s">
        <v>52</v>
      </c>
      <c r="N315" s="28" t="s">
        <v>1692</v>
      </c>
      <c r="O315" s="28" t="s">
        <v>44</v>
      </c>
      <c r="P315" s="28" t="s">
        <v>2072</v>
      </c>
      <c r="Q315" s="28" t="s">
        <v>2073</v>
      </c>
      <c r="R315" s="28" t="s">
        <v>44</v>
      </c>
      <c r="S315" s="28" t="s">
        <v>44</v>
      </c>
      <c r="T315" s="28" t="s">
        <v>44</v>
      </c>
      <c r="U315" s="28" t="s">
        <v>44</v>
      </c>
      <c r="V315" s="28" t="s">
        <v>2229</v>
      </c>
      <c r="W315" s="28" t="s">
        <v>774</v>
      </c>
      <c r="X315" s="28"/>
      <c r="Y315" s="28"/>
      <c r="Z315" s="28"/>
      <c r="AA315" s="28"/>
    </row>
    <row r="316">
      <c r="A316" s="270" t="s">
        <v>2232</v>
      </c>
      <c r="B316" s="28" t="s">
        <v>36</v>
      </c>
      <c r="C316" s="28" t="s">
        <v>2074</v>
      </c>
      <c r="D316" s="28" t="s">
        <v>44</v>
      </c>
      <c r="E316" s="28" t="s">
        <v>44</v>
      </c>
      <c r="F316" s="28" t="s">
        <v>1612</v>
      </c>
      <c r="G316" s="28" t="s">
        <v>47</v>
      </c>
      <c r="H316" s="28" t="s">
        <v>95</v>
      </c>
      <c r="I316" s="28" t="s">
        <v>485</v>
      </c>
      <c r="J316" s="28" t="s">
        <v>1614</v>
      </c>
      <c r="K316" s="28" t="s">
        <v>1615</v>
      </c>
      <c r="L316" s="28" t="s">
        <v>52</v>
      </c>
      <c r="M316" s="28" t="s">
        <v>52</v>
      </c>
      <c r="N316" s="28" t="s">
        <v>1697</v>
      </c>
      <c r="O316" s="28" t="s">
        <v>44</v>
      </c>
      <c r="P316" s="28" t="s">
        <v>2072</v>
      </c>
      <c r="Q316" s="28" t="s">
        <v>2079</v>
      </c>
      <c r="R316" s="28" t="s">
        <v>44</v>
      </c>
      <c r="S316" s="28" t="s">
        <v>44</v>
      </c>
      <c r="T316" s="28" t="s">
        <v>44</v>
      </c>
      <c r="U316" s="28" t="s">
        <v>44</v>
      </c>
      <c r="V316" s="28" t="s">
        <v>2234</v>
      </c>
      <c r="W316" s="28" t="s">
        <v>774</v>
      </c>
      <c r="X316" s="28"/>
      <c r="Y316" s="28"/>
      <c r="Z316" s="28"/>
      <c r="AA316" s="28"/>
    </row>
    <row r="317">
      <c r="A317" s="270" t="s">
        <v>2236</v>
      </c>
      <c r="B317" s="28" t="s">
        <v>36</v>
      </c>
      <c r="C317" s="28" t="s">
        <v>2080</v>
      </c>
      <c r="D317" s="28" t="s">
        <v>44</v>
      </c>
      <c r="E317" s="28" t="s">
        <v>44</v>
      </c>
      <c r="F317" s="28" t="s">
        <v>1612</v>
      </c>
      <c r="G317" s="28" t="s">
        <v>47</v>
      </c>
      <c r="H317" s="28" t="s">
        <v>48</v>
      </c>
      <c r="I317" s="28" t="s">
        <v>485</v>
      </c>
      <c r="J317" s="28" t="s">
        <v>1614</v>
      </c>
      <c r="K317" s="28" t="s">
        <v>1615</v>
      </c>
      <c r="L317" s="28" t="s">
        <v>52</v>
      </c>
      <c r="M317" s="28" t="s">
        <v>52</v>
      </c>
      <c r="N317" s="28" t="s">
        <v>2083</v>
      </c>
      <c r="O317" s="28" t="s">
        <v>44</v>
      </c>
      <c r="P317" s="28" t="s">
        <v>2084</v>
      </c>
      <c r="Q317" s="28" t="s">
        <v>2085</v>
      </c>
      <c r="R317" s="28" t="s">
        <v>44</v>
      </c>
      <c r="S317" s="28" t="s">
        <v>44</v>
      </c>
      <c r="T317" s="28" t="s">
        <v>44</v>
      </c>
      <c r="U317" s="28" t="s">
        <v>44</v>
      </c>
      <c r="V317" s="28" t="s">
        <v>2239</v>
      </c>
      <c r="W317" s="28" t="s">
        <v>774</v>
      </c>
      <c r="X317" s="28"/>
      <c r="Y317" s="28"/>
      <c r="Z317" s="28"/>
      <c r="AA317" s="28"/>
    </row>
    <row r="318">
      <c r="A318" s="270" t="s">
        <v>2241</v>
      </c>
      <c r="B318" s="28" t="s">
        <v>36</v>
      </c>
      <c r="C318" s="28" t="s">
        <v>2087</v>
      </c>
      <c r="D318" s="28" t="s">
        <v>44</v>
      </c>
      <c r="E318" s="28" t="s">
        <v>44</v>
      </c>
      <c r="F318" s="28" t="s">
        <v>1612</v>
      </c>
      <c r="G318" s="28" t="s">
        <v>47</v>
      </c>
      <c r="H318" s="28" t="s">
        <v>95</v>
      </c>
      <c r="I318" s="28" t="s">
        <v>485</v>
      </c>
      <c r="J318" s="28" t="s">
        <v>1614</v>
      </c>
      <c r="K318" s="28" t="s">
        <v>1615</v>
      </c>
      <c r="L318" s="28" t="s">
        <v>52</v>
      </c>
      <c r="M318" s="28" t="s">
        <v>52</v>
      </c>
      <c r="N318" s="28" t="s">
        <v>2089</v>
      </c>
      <c r="O318" s="28" t="s">
        <v>44</v>
      </c>
      <c r="P318" s="28" t="s">
        <v>2092</v>
      </c>
      <c r="Q318" s="28" t="s">
        <v>2093</v>
      </c>
      <c r="R318" s="28" t="s">
        <v>44</v>
      </c>
      <c r="S318" s="28" t="s">
        <v>44</v>
      </c>
      <c r="T318" s="28" t="s">
        <v>44</v>
      </c>
      <c r="U318" s="28" t="s">
        <v>44</v>
      </c>
      <c r="V318" s="28" t="s">
        <v>2244</v>
      </c>
      <c r="W318" s="28" t="s">
        <v>774</v>
      </c>
      <c r="X318" s="28"/>
      <c r="Y318" s="28"/>
      <c r="Z318" s="28"/>
      <c r="AA318" s="28"/>
    </row>
    <row r="319">
      <c r="A319" s="270" t="s">
        <v>2246</v>
      </c>
      <c r="B319" s="28" t="s">
        <v>36</v>
      </c>
      <c r="C319" s="28" t="s">
        <v>2095</v>
      </c>
      <c r="D319" s="28" t="s">
        <v>44</v>
      </c>
      <c r="E319" s="28" t="s">
        <v>44</v>
      </c>
      <c r="F319" s="28" t="s">
        <v>1612</v>
      </c>
      <c r="G319" s="28" t="s">
        <v>47</v>
      </c>
      <c r="H319" s="28" t="s">
        <v>95</v>
      </c>
      <c r="I319" s="28" t="s">
        <v>485</v>
      </c>
      <c r="J319" s="28" t="s">
        <v>1614</v>
      </c>
      <c r="K319" s="28" t="s">
        <v>1615</v>
      </c>
      <c r="L319" s="28" t="s">
        <v>52</v>
      </c>
      <c r="M319" s="28" t="s">
        <v>52</v>
      </c>
      <c r="N319" s="28" t="s">
        <v>2097</v>
      </c>
      <c r="O319" s="28" t="s">
        <v>44</v>
      </c>
      <c r="P319" s="28" t="s">
        <v>2099</v>
      </c>
      <c r="Q319" s="28" t="s">
        <v>2100</v>
      </c>
      <c r="R319" s="28" t="s">
        <v>44</v>
      </c>
      <c r="S319" s="28" t="s">
        <v>44</v>
      </c>
      <c r="T319" s="28" t="s">
        <v>44</v>
      </c>
      <c r="U319" s="28" t="s">
        <v>44</v>
      </c>
      <c r="V319" s="28" t="s">
        <v>2252</v>
      </c>
      <c r="W319" s="28" t="s">
        <v>774</v>
      </c>
      <c r="X319" s="28"/>
      <c r="Y319" s="28"/>
      <c r="Z319" s="28"/>
      <c r="AA319" s="28"/>
    </row>
    <row r="320">
      <c r="A320" s="270" t="s">
        <v>2253</v>
      </c>
      <c r="B320" s="28" t="s">
        <v>36</v>
      </c>
      <c r="C320" s="28" t="s">
        <v>2101</v>
      </c>
      <c r="D320" s="28" t="s">
        <v>44</v>
      </c>
      <c r="E320" s="28" t="s">
        <v>44</v>
      </c>
      <c r="F320" s="28" t="s">
        <v>1612</v>
      </c>
      <c r="G320" s="28" t="s">
        <v>47</v>
      </c>
      <c r="H320" s="28" t="s">
        <v>48</v>
      </c>
      <c r="I320" s="28" t="s">
        <v>485</v>
      </c>
      <c r="J320" s="28" t="s">
        <v>1614</v>
      </c>
      <c r="K320" s="28" t="s">
        <v>1615</v>
      </c>
      <c r="L320" s="28" t="s">
        <v>52</v>
      </c>
      <c r="M320" s="28" t="s">
        <v>52</v>
      </c>
      <c r="N320" s="28" t="s">
        <v>2105</v>
      </c>
      <c r="O320" s="28" t="s">
        <v>44</v>
      </c>
      <c r="P320" s="28" t="s">
        <v>2106</v>
      </c>
      <c r="Q320" s="28" t="s">
        <v>2107</v>
      </c>
      <c r="R320" s="28" t="s">
        <v>44</v>
      </c>
      <c r="S320" s="28" t="s">
        <v>44</v>
      </c>
      <c r="T320" s="28" t="s">
        <v>44</v>
      </c>
      <c r="U320" s="28" t="s">
        <v>44</v>
      </c>
      <c r="V320" s="28" t="s">
        <v>2258</v>
      </c>
      <c r="W320" s="28" t="s">
        <v>774</v>
      </c>
      <c r="X320" s="28"/>
      <c r="Y320" s="28"/>
      <c r="Z320" s="28"/>
      <c r="AA320" s="28"/>
    </row>
    <row r="321">
      <c r="A321" s="270" t="s">
        <v>2259</v>
      </c>
      <c r="B321" s="28" t="s">
        <v>36</v>
      </c>
      <c r="C321" s="28" t="s">
        <v>2110</v>
      </c>
      <c r="D321" s="28" t="s">
        <v>44</v>
      </c>
      <c r="E321" s="28" t="s">
        <v>44</v>
      </c>
      <c r="F321" s="28" t="s">
        <v>1612</v>
      </c>
      <c r="G321" s="28" t="s">
        <v>47</v>
      </c>
      <c r="H321" s="28" t="s">
        <v>48</v>
      </c>
      <c r="I321" s="28" t="s">
        <v>485</v>
      </c>
      <c r="J321" s="28" t="s">
        <v>1614</v>
      </c>
      <c r="K321" s="28" t="s">
        <v>1615</v>
      </c>
      <c r="L321" s="28" t="s">
        <v>52</v>
      </c>
      <c r="M321" s="28" t="s">
        <v>52</v>
      </c>
      <c r="N321" s="28" t="s">
        <v>2111</v>
      </c>
      <c r="O321" s="28" t="s">
        <v>44</v>
      </c>
      <c r="P321" s="28" t="s">
        <v>2112</v>
      </c>
      <c r="Q321" s="28" t="s">
        <v>2113</v>
      </c>
      <c r="R321" s="28" t="s">
        <v>44</v>
      </c>
      <c r="S321" s="28" t="s">
        <v>44</v>
      </c>
      <c r="T321" s="28" t="s">
        <v>44</v>
      </c>
      <c r="U321" s="28" t="s">
        <v>44</v>
      </c>
      <c r="V321" s="28" t="s">
        <v>2264</v>
      </c>
      <c r="W321" s="28" t="s">
        <v>774</v>
      </c>
      <c r="X321" s="28"/>
      <c r="Y321" s="28"/>
      <c r="Z321" s="28"/>
      <c r="AA321" s="28"/>
    </row>
    <row r="322">
      <c r="A322" s="270" t="s">
        <v>2265</v>
      </c>
      <c r="B322" s="28" t="s">
        <v>36</v>
      </c>
      <c r="C322" s="28" t="s">
        <v>2116</v>
      </c>
      <c r="D322" s="28" t="s">
        <v>44</v>
      </c>
      <c r="E322" s="28" t="s">
        <v>44</v>
      </c>
      <c r="F322" s="28" t="s">
        <v>1612</v>
      </c>
      <c r="G322" s="28" t="s">
        <v>47</v>
      </c>
      <c r="H322" s="28" t="s">
        <v>48</v>
      </c>
      <c r="I322" s="28" t="s">
        <v>485</v>
      </c>
      <c r="J322" s="28" t="s">
        <v>1614</v>
      </c>
      <c r="K322" s="28" t="s">
        <v>1615</v>
      </c>
      <c r="L322" s="28" t="s">
        <v>52</v>
      </c>
      <c r="M322" s="28" t="s">
        <v>52</v>
      </c>
      <c r="N322" s="28" t="s">
        <v>2117</v>
      </c>
      <c r="O322" s="28" t="s">
        <v>44</v>
      </c>
      <c r="P322" s="28" t="s">
        <v>2119</v>
      </c>
      <c r="Q322" s="28" t="s">
        <v>2120</v>
      </c>
      <c r="R322" s="28" t="s">
        <v>44</v>
      </c>
      <c r="S322" s="28" t="s">
        <v>44</v>
      </c>
      <c r="T322" s="28" t="s">
        <v>44</v>
      </c>
      <c r="U322" s="28" t="s">
        <v>44</v>
      </c>
      <c r="V322" s="28" t="s">
        <v>2269</v>
      </c>
      <c r="W322" s="28" t="s">
        <v>774</v>
      </c>
      <c r="X322" s="28"/>
      <c r="Y322" s="28"/>
      <c r="Z322" s="28"/>
      <c r="AA322" s="28"/>
    </row>
    <row r="323">
      <c r="A323" s="270" t="s">
        <v>2270</v>
      </c>
      <c r="B323" s="28" t="s">
        <v>36</v>
      </c>
      <c r="C323" s="28" t="s">
        <v>2134</v>
      </c>
      <c r="D323" s="28" t="s">
        <v>44</v>
      </c>
      <c r="E323" s="28" t="s">
        <v>44</v>
      </c>
      <c r="F323" s="28" t="s">
        <v>1612</v>
      </c>
      <c r="G323" s="28" t="s">
        <v>47</v>
      </c>
      <c r="H323" s="28" t="s">
        <v>48</v>
      </c>
      <c r="I323" s="28" t="s">
        <v>485</v>
      </c>
      <c r="J323" s="28" t="s">
        <v>1614</v>
      </c>
      <c r="K323" s="28" t="s">
        <v>1615</v>
      </c>
      <c r="L323" s="28" t="s">
        <v>52</v>
      </c>
      <c r="M323" s="28" t="s">
        <v>52</v>
      </c>
      <c r="N323" s="28" t="s">
        <v>2135</v>
      </c>
      <c r="O323" s="28" t="s">
        <v>44</v>
      </c>
      <c r="P323" s="28" t="s">
        <v>2137</v>
      </c>
      <c r="Q323" s="28" t="s">
        <v>2138</v>
      </c>
      <c r="R323" s="28" t="s">
        <v>44</v>
      </c>
      <c r="S323" s="28" t="s">
        <v>44</v>
      </c>
      <c r="T323" s="28" t="s">
        <v>44</v>
      </c>
      <c r="U323" s="28" t="s">
        <v>44</v>
      </c>
      <c r="V323" s="28" t="s">
        <v>2274</v>
      </c>
      <c r="W323" s="28" t="s">
        <v>774</v>
      </c>
      <c r="X323" s="28"/>
      <c r="Y323" s="28"/>
      <c r="Z323" s="28"/>
      <c r="AA323" s="28"/>
    </row>
    <row r="324">
      <c r="A324" s="270" t="s">
        <v>2275</v>
      </c>
      <c r="B324" s="28" t="s">
        <v>36</v>
      </c>
      <c r="C324" s="28" t="s">
        <v>2140</v>
      </c>
      <c r="D324" s="28" t="s">
        <v>44</v>
      </c>
      <c r="E324" s="28" t="s">
        <v>44</v>
      </c>
      <c r="F324" s="28" t="s">
        <v>1612</v>
      </c>
      <c r="G324" s="28" t="s">
        <v>47</v>
      </c>
      <c r="H324" s="28" t="s">
        <v>95</v>
      </c>
      <c r="I324" s="28" t="s">
        <v>485</v>
      </c>
      <c r="J324" s="28" t="s">
        <v>1614</v>
      </c>
      <c r="K324" s="28" t="s">
        <v>1615</v>
      </c>
      <c r="L324" s="28" t="s">
        <v>52</v>
      </c>
      <c r="M324" s="28" t="s">
        <v>52</v>
      </c>
      <c r="N324" s="28" t="s">
        <v>2142</v>
      </c>
      <c r="O324" s="28" t="s">
        <v>44</v>
      </c>
      <c r="P324" s="28" t="s">
        <v>2143</v>
      </c>
      <c r="Q324" s="28" t="s">
        <v>2145</v>
      </c>
      <c r="R324" s="28" t="s">
        <v>44</v>
      </c>
      <c r="S324" s="28" t="s">
        <v>44</v>
      </c>
      <c r="T324" s="28" t="s">
        <v>44</v>
      </c>
      <c r="U324" s="28" t="s">
        <v>44</v>
      </c>
      <c r="V324" s="28" t="s">
        <v>2279</v>
      </c>
      <c r="W324" s="28" t="s">
        <v>774</v>
      </c>
      <c r="X324" s="28"/>
      <c r="Y324" s="28"/>
      <c r="Z324" s="28"/>
      <c r="AA324" s="28"/>
    </row>
    <row r="325">
      <c r="A325" s="270" t="s">
        <v>2280</v>
      </c>
      <c r="B325" s="28" t="s">
        <v>36</v>
      </c>
      <c r="C325" s="28" t="s">
        <v>2146</v>
      </c>
      <c r="D325" s="28" t="s">
        <v>44</v>
      </c>
      <c r="E325" s="28" t="s">
        <v>44</v>
      </c>
      <c r="F325" s="28" t="s">
        <v>1612</v>
      </c>
      <c r="G325" s="28" t="s">
        <v>47</v>
      </c>
      <c r="H325" s="28" t="s">
        <v>48</v>
      </c>
      <c r="I325" s="28" t="s">
        <v>485</v>
      </c>
      <c r="J325" s="28" t="s">
        <v>1614</v>
      </c>
      <c r="K325" s="28" t="s">
        <v>1615</v>
      </c>
      <c r="L325" s="28" t="s">
        <v>52</v>
      </c>
      <c r="M325" s="28" t="s">
        <v>52</v>
      </c>
      <c r="N325" s="28" t="s">
        <v>1616</v>
      </c>
      <c r="O325" s="28" t="s">
        <v>44</v>
      </c>
      <c r="P325" s="28" t="s">
        <v>2149</v>
      </c>
      <c r="Q325" s="28" t="s">
        <v>2150</v>
      </c>
      <c r="R325" s="28" t="s">
        <v>44</v>
      </c>
      <c r="S325" s="28" t="s">
        <v>44</v>
      </c>
      <c r="T325" s="28" t="s">
        <v>44</v>
      </c>
      <c r="U325" s="28" t="s">
        <v>44</v>
      </c>
      <c r="V325" s="28" t="s">
        <v>2284</v>
      </c>
      <c r="W325" s="28" t="s">
        <v>774</v>
      </c>
      <c r="X325" s="28"/>
      <c r="Y325" s="28"/>
      <c r="Z325" s="28"/>
      <c r="AA325" s="28"/>
    </row>
    <row r="326">
      <c r="A326" s="270" t="s">
        <v>2285</v>
      </c>
      <c r="B326" s="28" t="s">
        <v>36</v>
      </c>
      <c r="C326" s="28" t="s">
        <v>2152</v>
      </c>
      <c r="D326" s="28" t="s">
        <v>44</v>
      </c>
      <c r="E326" s="28" t="s">
        <v>44</v>
      </c>
      <c r="F326" s="28" t="s">
        <v>1612</v>
      </c>
      <c r="G326" s="28" t="s">
        <v>47</v>
      </c>
      <c r="H326" s="28" t="s">
        <v>48</v>
      </c>
      <c r="I326" s="28" t="s">
        <v>485</v>
      </c>
      <c r="J326" s="28" t="s">
        <v>1614</v>
      </c>
      <c r="K326" s="28" t="s">
        <v>1615</v>
      </c>
      <c r="L326" s="28" t="s">
        <v>52</v>
      </c>
      <c r="M326" s="28" t="s">
        <v>52</v>
      </c>
      <c r="N326" s="28" t="s">
        <v>1616</v>
      </c>
      <c r="O326" s="28" t="s">
        <v>44</v>
      </c>
      <c r="P326" s="28" t="s">
        <v>2155</v>
      </c>
      <c r="Q326" s="28" t="s">
        <v>2286</v>
      </c>
      <c r="R326" s="28" t="s">
        <v>44</v>
      </c>
      <c r="S326" s="28" t="s">
        <v>44</v>
      </c>
      <c r="T326" s="28" t="s">
        <v>44</v>
      </c>
      <c r="U326" s="28" t="s">
        <v>44</v>
      </c>
      <c r="V326" s="28" t="s">
        <v>2287</v>
      </c>
      <c r="W326" s="28" t="s">
        <v>774</v>
      </c>
      <c r="X326" s="28"/>
      <c r="Y326" s="28"/>
      <c r="Z326" s="28"/>
      <c r="AA326" s="28"/>
    </row>
    <row r="327">
      <c r="A327" s="270" t="s">
        <v>2288</v>
      </c>
      <c r="B327" s="28" t="s">
        <v>36</v>
      </c>
      <c r="C327" s="28" t="s">
        <v>2158</v>
      </c>
      <c r="D327" s="28" t="s">
        <v>44</v>
      </c>
      <c r="E327" s="28" t="s">
        <v>44</v>
      </c>
      <c r="F327" s="28" t="s">
        <v>1612</v>
      </c>
      <c r="G327" s="28" t="s">
        <v>47</v>
      </c>
      <c r="H327" s="28" t="s">
        <v>48</v>
      </c>
      <c r="I327" s="28" t="s">
        <v>485</v>
      </c>
      <c r="J327" s="28" t="s">
        <v>1614</v>
      </c>
      <c r="K327" s="28" t="s">
        <v>1615</v>
      </c>
      <c r="L327" s="28" t="s">
        <v>52</v>
      </c>
      <c r="M327" s="28" t="s">
        <v>52</v>
      </c>
      <c r="N327" s="28" t="s">
        <v>2160</v>
      </c>
      <c r="O327" s="28" t="s">
        <v>44</v>
      </c>
      <c r="P327" s="28" t="s">
        <v>2290</v>
      </c>
      <c r="Q327" s="28" t="s">
        <v>2291</v>
      </c>
      <c r="R327" s="28" t="s">
        <v>44</v>
      </c>
      <c r="S327" s="28" t="s">
        <v>44</v>
      </c>
      <c r="T327" s="28" t="s">
        <v>44</v>
      </c>
      <c r="U327" s="28" t="s">
        <v>44</v>
      </c>
      <c r="V327" s="28" t="s">
        <v>2292</v>
      </c>
      <c r="W327" s="28" t="s">
        <v>774</v>
      </c>
      <c r="X327" s="28"/>
      <c r="Y327" s="28"/>
      <c r="Z327" s="28"/>
      <c r="AA327" s="28"/>
    </row>
    <row r="328">
      <c r="A328" s="270" t="s">
        <v>2295</v>
      </c>
      <c r="B328" s="28" t="s">
        <v>36</v>
      </c>
      <c r="C328" s="28" t="s">
        <v>2165</v>
      </c>
      <c r="D328" s="28" t="s">
        <v>44</v>
      </c>
      <c r="E328" s="28" t="s">
        <v>44</v>
      </c>
      <c r="F328" s="28" t="s">
        <v>1612</v>
      </c>
      <c r="G328" s="28" t="s">
        <v>47</v>
      </c>
      <c r="H328" s="28" t="s">
        <v>95</v>
      </c>
      <c r="I328" s="28" t="s">
        <v>485</v>
      </c>
      <c r="J328" s="28" t="s">
        <v>1614</v>
      </c>
      <c r="K328" s="28" t="s">
        <v>1615</v>
      </c>
      <c r="L328" s="28" t="s">
        <v>52</v>
      </c>
      <c r="M328" s="28" t="s">
        <v>52</v>
      </c>
      <c r="N328" s="28" t="s">
        <v>2166</v>
      </c>
      <c r="O328" s="28" t="s">
        <v>44</v>
      </c>
      <c r="P328" s="28" t="s">
        <v>2297</v>
      </c>
      <c r="Q328" s="28" t="s">
        <v>2298</v>
      </c>
      <c r="R328" s="28" t="s">
        <v>44</v>
      </c>
      <c r="S328" s="28" t="s">
        <v>44</v>
      </c>
      <c r="T328" s="28" t="s">
        <v>44</v>
      </c>
      <c r="U328" s="28" t="s">
        <v>44</v>
      </c>
      <c r="V328" s="28" t="s">
        <v>2299</v>
      </c>
      <c r="W328" s="28" t="s">
        <v>774</v>
      </c>
      <c r="X328" s="28"/>
      <c r="Y328" s="28"/>
      <c r="Z328" s="28"/>
      <c r="AA328" s="28"/>
    </row>
    <row r="329">
      <c r="A329" s="270" t="s">
        <v>2301</v>
      </c>
      <c r="B329" s="28" t="s">
        <v>36</v>
      </c>
      <c r="C329" s="28" t="s">
        <v>2171</v>
      </c>
      <c r="D329" s="28" t="s">
        <v>44</v>
      </c>
      <c r="E329" s="28" t="s">
        <v>44</v>
      </c>
      <c r="F329" s="28" t="s">
        <v>1612</v>
      </c>
      <c r="G329" s="28" t="s">
        <v>47</v>
      </c>
      <c r="H329" s="28" t="s">
        <v>95</v>
      </c>
      <c r="I329" s="28" t="s">
        <v>485</v>
      </c>
      <c r="J329" s="28" t="s">
        <v>1614</v>
      </c>
      <c r="K329" s="28" t="s">
        <v>1615</v>
      </c>
      <c r="L329" s="28" t="s">
        <v>52</v>
      </c>
      <c r="M329" s="28" t="s">
        <v>52</v>
      </c>
      <c r="N329" s="28" t="s">
        <v>2172</v>
      </c>
      <c r="O329" s="28" t="s">
        <v>44</v>
      </c>
      <c r="P329" s="28" t="s">
        <v>2297</v>
      </c>
      <c r="Q329" s="28" t="s">
        <v>2291</v>
      </c>
      <c r="R329" s="28" t="s">
        <v>44</v>
      </c>
      <c r="S329" s="28" t="s">
        <v>44</v>
      </c>
      <c r="T329" s="28" t="s">
        <v>44</v>
      </c>
      <c r="U329" s="28" t="s">
        <v>44</v>
      </c>
      <c r="V329" s="28" t="s">
        <v>2304</v>
      </c>
      <c r="W329" s="28" t="s">
        <v>774</v>
      </c>
      <c r="X329" s="28"/>
      <c r="Y329" s="28"/>
      <c r="Z329" s="28"/>
      <c r="AA329" s="28"/>
    </row>
    <row r="330">
      <c r="A330" s="270" t="s">
        <v>2305</v>
      </c>
      <c r="B330" s="28" t="s">
        <v>36</v>
      </c>
      <c r="C330" s="28" t="s">
        <v>2175</v>
      </c>
      <c r="D330" s="28" t="s">
        <v>44</v>
      </c>
      <c r="E330" s="28" t="s">
        <v>44</v>
      </c>
      <c r="F330" s="28" t="s">
        <v>1612</v>
      </c>
      <c r="G330" s="28" t="s">
        <v>197</v>
      </c>
      <c r="H330" s="28" t="s">
        <v>91</v>
      </c>
      <c r="I330" s="28" t="s">
        <v>485</v>
      </c>
      <c r="J330" s="28" t="s">
        <v>1614</v>
      </c>
      <c r="K330" s="28" t="s">
        <v>1615</v>
      </c>
      <c r="L330" s="28" t="s">
        <v>52</v>
      </c>
      <c r="M330" s="28" t="s">
        <v>52</v>
      </c>
      <c r="N330" s="28" t="s">
        <v>2160</v>
      </c>
      <c r="O330" s="28" t="s">
        <v>44</v>
      </c>
      <c r="P330" s="28" t="s">
        <v>2178</v>
      </c>
      <c r="Q330" s="28" t="s">
        <v>2179</v>
      </c>
      <c r="R330" s="28" t="s">
        <v>44</v>
      </c>
      <c r="S330" s="28" t="s">
        <v>44</v>
      </c>
      <c r="T330" s="28" t="s">
        <v>44</v>
      </c>
      <c r="U330" s="28" t="s">
        <v>44</v>
      </c>
      <c r="V330" s="28" t="s">
        <v>2308</v>
      </c>
      <c r="W330" s="28" t="s">
        <v>774</v>
      </c>
      <c r="X330" s="28"/>
      <c r="Y330" s="28"/>
      <c r="Z330" s="28"/>
      <c r="AA330" s="28"/>
    </row>
    <row r="331">
      <c r="A331" s="270" t="s">
        <v>2309</v>
      </c>
      <c r="B331" s="28" t="s">
        <v>36</v>
      </c>
      <c r="C331" s="28" t="s">
        <v>2180</v>
      </c>
      <c r="D331" s="28" t="s">
        <v>44</v>
      </c>
      <c r="E331" s="28" t="s">
        <v>44</v>
      </c>
      <c r="F331" s="28" t="s">
        <v>1612</v>
      </c>
      <c r="G331" s="28" t="s">
        <v>197</v>
      </c>
      <c r="H331" s="28" t="s">
        <v>91</v>
      </c>
      <c r="I331" s="28" t="s">
        <v>485</v>
      </c>
      <c r="J331" s="28" t="s">
        <v>1614</v>
      </c>
      <c r="K331" s="28" t="s">
        <v>1615</v>
      </c>
      <c r="L331" s="28" t="s">
        <v>52</v>
      </c>
      <c r="M331" s="28" t="s">
        <v>52</v>
      </c>
      <c r="N331" s="28" t="s">
        <v>2160</v>
      </c>
      <c r="O331" s="28" t="s">
        <v>44</v>
      </c>
      <c r="P331" s="28" t="s">
        <v>2183</v>
      </c>
      <c r="Q331" s="28" t="s">
        <v>2184</v>
      </c>
      <c r="R331" s="28" t="s">
        <v>44</v>
      </c>
      <c r="S331" s="28" t="s">
        <v>44</v>
      </c>
      <c r="T331" s="28" t="s">
        <v>44</v>
      </c>
      <c r="U331" s="28" t="s">
        <v>44</v>
      </c>
      <c r="V331" s="28" t="s">
        <v>2312</v>
      </c>
      <c r="W331" s="28" t="s">
        <v>774</v>
      </c>
      <c r="X331" s="28"/>
      <c r="Y331" s="28"/>
      <c r="Z331" s="28"/>
      <c r="AA331" s="28"/>
    </row>
    <row r="332">
      <c r="A332" s="270" t="s">
        <v>2314</v>
      </c>
      <c r="B332" s="28" t="s">
        <v>36</v>
      </c>
      <c r="C332" s="28" t="s">
        <v>2192</v>
      </c>
      <c r="D332" s="28" t="s">
        <v>44</v>
      </c>
      <c r="E332" s="28" t="s">
        <v>44</v>
      </c>
      <c r="F332" s="28" t="s">
        <v>1612</v>
      </c>
      <c r="G332" s="28" t="s">
        <v>197</v>
      </c>
      <c r="H332" s="28" t="s">
        <v>91</v>
      </c>
      <c r="I332" s="28" t="s">
        <v>485</v>
      </c>
      <c r="J332" s="28" t="s">
        <v>1614</v>
      </c>
      <c r="K332" s="28" t="s">
        <v>1615</v>
      </c>
      <c r="L332" s="28" t="s">
        <v>52</v>
      </c>
      <c r="M332" s="28" t="s">
        <v>52</v>
      </c>
      <c r="N332" s="28" t="s">
        <v>2160</v>
      </c>
      <c r="O332" s="28" t="s">
        <v>44</v>
      </c>
      <c r="P332" s="28" t="s">
        <v>2194</v>
      </c>
      <c r="Q332" s="28" t="s">
        <v>2195</v>
      </c>
      <c r="R332" s="28" t="s">
        <v>44</v>
      </c>
      <c r="S332" s="28" t="s">
        <v>44</v>
      </c>
      <c r="T332" s="28" t="s">
        <v>44</v>
      </c>
      <c r="U332" s="28" t="s">
        <v>44</v>
      </c>
      <c r="V332" s="28" t="s">
        <v>2318</v>
      </c>
      <c r="W332" s="28" t="s">
        <v>774</v>
      </c>
      <c r="X332" s="28"/>
      <c r="Y332" s="28"/>
      <c r="Z332" s="28"/>
      <c r="AA332" s="28"/>
    </row>
    <row r="333">
      <c r="A333" s="270" t="s">
        <v>2319</v>
      </c>
      <c r="B333" s="28" t="s">
        <v>36</v>
      </c>
      <c r="C333" s="28" t="s">
        <v>2198</v>
      </c>
      <c r="D333" s="28" t="s">
        <v>44</v>
      </c>
      <c r="E333" s="28" t="s">
        <v>44</v>
      </c>
      <c r="F333" s="28" t="s">
        <v>1612</v>
      </c>
      <c r="G333" s="28" t="s">
        <v>47</v>
      </c>
      <c r="H333" s="28" t="s">
        <v>95</v>
      </c>
      <c r="I333" s="28" t="s">
        <v>485</v>
      </c>
      <c r="J333" s="28" t="s">
        <v>1614</v>
      </c>
      <c r="K333" s="28" t="s">
        <v>1615</v>
      </c>
      <c r="L333" s="28" t="s">
        <v>52</v>
      </c>
      <c r="M333" s="28" t="s">
        <v>52</v>
      </c>
      <c r="N333" s="28" t="s">
        <v>2199</v>
      </c>
      <c r="O333" s="28" t="s">
        <v>44</v>
      </c>
      <c r="P333" s="28" t="s">
        <v>2200</v>
      </c>
      <c r="Q333" s="28" t="s">
        <v>2201</v>
      </c>
      <c r="R333" s="28" t="s">
        <v>44</v>
      </c>
      <c r="S333" s="28" t="s">
        <v>44</v>
      </c>
      <c r="T333" s="28" t="s">
        <v>44</v>
      </c>
      <c r="U333" s="28" t="s">
        <v>44</v>
      </c>
      <c r="V333" s="28" t="s">
        <v>2324</v>
      </c>
      <c r="W333" s="28" t="s">
        <v>774</v>
      </c>
      <c r="X333" s="28"/>
      <c r="Y333" s="28"/>
      <c r="Z333" s="28"/>
      <c r="AA333" s="28"/>
    </row>
    <row r="334">
      <c r="A334" s="270" t="s">
        <v>2325</v>
      </c>
      <c r="B334" s="28" t="s">
        <v>36</v>
      </c>
      <c r="C334" s="28" t="s">
        <v>2206</v>
      </c>
      <c r="D334" s="28" t="s">
        <v>44</v>
      </c>
      <c r="E334" s="28" t="s">
        <v>44</v>
      </c>
      <c r="F334" s="28" t="s">
        <v>1612</v>
      </c>
      <c r="G334" s="28" t="s">
        <v>47</v>
      </c>
      <c r="H334" s="28" t="s">
        <v>48</v>
      </c>
      <c r="I334" s="28" t="s">
        <v>485</v>
      </c>
      <c r="J334" s="28" t="s">
        <v>1614</v>
      </c>
      <c r="K334" s="28" t="s">
        <v>1615</v>
      </c>
      <c r="L334" s="28" t="s">
        <v>52</v>
      </c>
      <c r="M334" s="28" t="s">
        <v>52</v>
      </c>
      <c r="N334" s="28" t="s">
        <v>2209</v>
      </c>
      <c r="O334" s="28" t="s">
        <v>44</v>
      </c>
      <c r="P334" s="28" t="s">
        <v>2210</v>
      </c>
      <c r="Q334" s="28" t="s">
        <v>2211</v>
      </c>
      <c r="R334" s="28" t="s">
        <v>44</v>
      </c>
      <c r="S334" s="28" t="s">
        <v>44</v>
      </c>
      <c r="T334" s="28" t="s">
        <v>44</v>
      </c>
      <c r="U334" s="28" t="s">
        <v>44</v>
      </c>
      <c r="V334" s="28" t="s">
        <v>2328</v>
      </c>
      <c r="W334" s="28" t="s">
        <v>774</v>
      </c>
      <c r="X334" s="28"/>
      <c r="Y334" s="28"/>
      <c r="Z334" s="28"/>
      <c r="AA334" s="28"/>
    </row>
    <row r="335">
      <c r="A335" s="270" t="s">
        <v>2330</v>
      </c>
      <c r="B335" s="28" t="s">
        <v>36</v>
      </c>
      <c r="C335" s="28" t="s">
        <v>2214</v>
      </c>
      <c r="D335" s="28" t="s">
        <v>44</v>
      </c>
      <c r="E335" s="28" t="s">
        <v>44</v>
      </c>
      <c r="F335" s="28" t="s">
        <v>1612</v>
      </c>
      <c r="G335" s="28" t="s">
        <v>47</v>
      </c>
      <c r="H335" s="28" t="s">
        <v>48</v>
      </c>
      <c r="I335" s="28" t="s">
        <v>485</v>
      </c>
      <c r="J335" s="28" t="s">
        <v>1614</v>
      </c>
      <c r="K335" s="28" t="s">
        <v>1615</v>
      </c>
      <c r="L335" s="28" t="s">
        <v>52</v>
      </c>
      <c r="M335" s="28" t="s">
        <v>52</v>
      </c>
      <c r="N335" s="28" t="s">
        <v>2209</v>
      </c>
      <c r="O335" s="28" t="s">
        <v>44</v>
      </c>
      <c r="P335" s="28" t="s">
        <v>2218</v>
      </c>
      <c r="Q335" s="28" t="s">
        <v>2219</v>
      </c>
      <c r="R335" s="28" t="s">
        <v>44</v>
      </c>
      <c r="S335" s="28" t="s">
        <v>44</v>
      </c>
      <c r="T335" s="28" t="s">
        <v>44</v>
      </c>
      <c r="U335" s="28" t="s">
        <v>44</v>
      </c>
      <c r="V335" s="28" t="s">
        <v>2333</v>
      </c>
      <c r="W335" s="28" t="s">
        <v>774</v>
      </c>
      <c r="X335" s="28"/>
      <c r="Y335" s="28"/>
      <c r="Z335" s="28"/>
      <c r="AA335" s="28"/>
    </row>
    <row r="336">
      <c r="A336" s="270" t="s">
        <v>2335</v>
      </c>
      <c r="B336" s="28" t="s">
        <v>36</v>
      </c>
      <c r="C336" s="28" t="s">
        <v>2222</v>
      </c>
      <c r="D336" s="28" t="s">
        <v>44</v>
      </c>
      <c r="E336" s="28" t="s">
        <v>44</v>
      </c>
      <c r="F336" s="28" t="s">
        <v>1612</v>
      </c>
      <c r="G336" s="28" t="s">
        <v>47</v>
      </c>
      <c r="H336" s="28" t="s">
        <v>95</v>
      </c>
      <c r="I336" s="28" t="s">
        <v>485</v>
      </c>
      <c r="J336" s="28" t="s">
        <v>1614</v>
      </c>
      <c r="K336" s="28" t="s">
        <v>1615</v>
      </c>
      <c r="L336" s="28" t="s">
        <v>52</v>
      </c>
      <c r="M336" s="28" t="s">
        <v>52</v>
      </c>
      <c r="N336" s="28" t="s">
        <v>2223</v>
      </c>
      <c r="O336" s="28" t="s">
        <v>44</v>
      </c>
      <c r="P336" s="28" t="s">
        <v>2224</v>
      </c>
      <c r="Q336" s="28" t="s">
        <v>2225</v>
      </c>
      <c r="R336" s="28" t="s">
        <v>44</v>
      </c>
      <c r="S336" s="28" t="s">
        <v>44</v>
      </c>
      <c r="T336" s="28" t="s">
        <v>44</v>
      </c>
      <c r="U336" s="28" t="s">
        <v>44</v>
      </c>
      <c r="V336" s="28" t="s">
        <v>2340</v>
      </c>
      <c r="W336" s="28" t="s">
        <v>774</v>
      </c>
      <c r="X336" s="28"/>
      <c r="Y336" s="28"/>
      <c r="Z336" s="28"/>
      <c r="AA336" s="28"/>
    </row>
    <row r="337">
      <c r="A337" s="270" t="s">
        <v>2342</v>
      </c>
      <c r="B337" s="28" t="s">
        <v>36</v>
      </c>
      <c r="C337" s="28" t="s">
        <v>2228</v>
      </c>
      <c r="D337" s="28" t="s">
        <v>44</v>
      </c>
      <c r="E337" s="28" t="s">
        <v>44</v>
      </c>
      <c r="F337" s="28" t="s">
        <v>1612</v>
      </c>
      <c r="G337" s="28" t="s">
        <v>47</v>
      </c>
      <c r="H337" s="28" t="s">
        <v>48</v>
      </c>
      <c r="I337" s="28" t="s">
        <v>485</v>
      </c>
      <c r="J337" s="28" t="s">
        <v>1614</v>
      </c>
      <c r="K337" s="28" t="s">
        <v>1615</v>
      </c>
      <c r="L337" s="28" t="s">
        <v>52</v>
      </c>
      <c r="M337" s="28" t="s">
        <v>52</v>
      </c>
      <c r="N337" s="28" t="s">
        <v>2223</v>
      </c>
      <c r="O337" s="28" t="s">
        <v>44</v>
      </c>
      <c r="P337" s="28" t="s">
        <v>2230</v>
      </c>
      <c r="Q337" s="28" t="s">
        <v>2231</v>
      </c>
      <c r="R337" s="28" t="s">
        <v>44</v>
      </c>
      <c r="S337" s="28" t="s">
        <v>44</v>
      </c>
      <c r="T337" s="28" t="s">
        <v>44</v>
      </c>
      <c r="U337" s="28" t="s">
        <v>44</v>
      </c>
      <c r="V337" s="28" t="s">
        <v>2346</v>
      </c>
      <c r="W337" s="28" t="s">
        <v>774</v>
      </c>
      <c r="X337" s="28"/>
      <c r="Y337" s="28"/>
      <c r="Z337" s="28"/>
      <c r="AA337" s="28"/>
    </row>
    <row r="338">
      <c r="A338" s="270" t="s">
        <v>2347</v>
      </c>
      <c r="B338" s="28" t="s">
        <v>36</v>
      </c>
      <c r="C338" s="28" t="s">
        <v>2233</v>
      </c>
      <c r="D338" s="28" t="s">
        <v>44</v>
      </c>
      <c r="E338" s="28" t="s">
        <v>44</v>
      </c>
      <c r="F338" s="28" t="s">
        <v>1612</v>
      </c>
      <c r="G338" s="28" t="s">
        <v>47</v>
      </c>
      <c r="H338" s="28" t="s">
        <v>48</v>
      </c>
      <c r="I338" s="28" t="s">
        <v>485</v>
      </c>
      <c r="J338" s="28" t="s">
        <v>1614</v>
      </c>
      <c r="K338" s="28" t="s">
        <v>1615</v>
      </c>
      <c r="L338" s="28" t="s">
        <v>52</v>
      </c>
      <c r="M338" s="28" t="s">
        <v>52</v>
      </c>
      <c r="N338" s="28" t="s">
        <v>2235</v>
      </c>
      <c r="O338" s="28" t="s">
        <v>44</v>
      </c>
      <c r="P338" s="28" t="s">
        <v>2230</v>
      </c>
      <c r="Q338" s="28" t="s">
        <v>2237</v>
      </c>
      <c r="R338" s="28" t="s">
        <v>44</v>
      </c>
      <c r="S338" s="28" t="s">
        <v>44</v>
      </c>
      <c r="T338" s="28" t="s">
        <v>44</v>
      </c>
      <c r="U338" s="28" t="s">
        <v>44</v>
      </c>
      <c r="V338" s="28" t="s">
        <v>2351</v>
      </c>
      <c r="W338" s="28" t="s">
        <v>774</v>
      </c>
      <c r="X338" s="28"/>
      <c r="Y338" s="28"/>
      <c r="Z338" s="28"/>
      <c r="AA338" s="28"/>
    </row>
    <row r="339">
      <c r="A339" s="270" t="s">
        <v>2353</v>
      </c>
      <c r="B339" s="28" t="s">
        <v>36</v>
      </c>
      <c r="C339" s="28" t="s">
        <v>2238</v>
      </c>
      <c r="D339" s="28" t="s">
        <v>44</v>
      </c>
      <c r="E339" s="28" t="s">
        <v>44</v>
      </c>
      <c r="F339" s="28" t="s">
        <v>1612</v>
      </c>
      <c r="G339" s="28" t="s">
        <v>47</v>
      </c>
      <c r="H339" s="28" t="s">
        <v>48</v>
      </c>
      <c r="I339" s="28" t="s">
        <v>485</v>
      </c>
      <c r="J339" s="28" t="s">
        <v>1614</v>
      </c>
      <c r="K339" s="28" t="s">
        <v>1615</v>
      </c>
      <c r="L339" s="28" t="s">
        <v>52</v>
      </c>
      <c r="M339" s="28" t="s">
        <v>52</v>
      </c>
      <c r="N339" s="28" t="s">
        <v>2240</v>
      </c>
      <c r="O339" s="28" t="s">
        <v>44</v>
      </c>
      <c r="P339" s="28" t="s">
        <v>2230</v>
      </c>
      <c r="Q339" s="28" t="s">
        <v>2242</v>
      </c>
      <c r="R339" s="28" t="s">
        <v>44</v>
      </c>
      <c r="S339" s="28" t="s">
        <v>44</v>
      </c>
      <c r="T339" s="28" t="s">
        <v>44</v>
      </c>
      <c r="U339" s="28" t="s">
        <v>44</v>
      </c>
      <c r="V339" s="28" t="s">
        <v>2357</v>
      </c>
      <c r="W339" s="28" t="s">
        <v>774</v>
      </c>
      <c r="X339" s="28"/>
      <c r="Y339" s="28"/>
      <c r="Z339" s="28"/>
      <c r="AA339" s="28"/>
    </row>
    <row r="340">
      <c r="A340" s="270" t="s">
        <v>2359</v>
      </c>
      <c r="B340" s="28" t="s">
        <v>36</v>
      </c>
      <c r="C340" s="28" t="s">
        <v>2243</v>
      </c>
      <c r="D340" s="28" t="s">
        <v>44</v>
      </c>
      <c r="E340" s="28" t="s">
        <v>44</v>
      </c>
      <c r="F340" s="28" t="s">
        <v>1612</v>
      </c>
      <c r="G340" s="28" t="s">
        <v>47</v>
      </c>
      <c r="H340" s="28" t="s">
        <v>95</v>
      </c>
      <c r="I340" s="28" t="s">
        <v>485</v>
      </c>
      <c r="J340" s="28" t="s">
        <v>1614</v>
      </c>
      <c r="K340" s="28" t="s">
        <v>1615</v>
      </c>
      <c r="L340" s="28" t="s">
        <v>52</v>
      </c>
      <c r="M340" s="28" t="s">
        <v>52</v>
      </c>
      <c r="N340" s="28" t="s">
        <v>2245</v>
      </c>
      <c r="O340" s="28" t="s">
        <v>44</v>
      </c>
      <c r="P340" s="28" t="s">
        <v>2247</v>
      </c>
      <c r="Q340" s="28" t="s">
        <v>2248</v>
      </c>
      <c r="R340" s="28" t="s">
        <v>44</v>
      </c>
      <c r="S340" s="28" t="s">
        <v>44</v>
      </c>
      <c r="T340" s="28" t="s">
        <v>44</v>
      </c>
      <c r="U340" s="28" t="s">
        <v>44</v>
      </c>
      <c r="V340" s="28" t="s">
        <v>2363</v>
      </c>
      <c r="W340" s="28" t="s">
        <v>774</v>
      </c>
      <c r="X340" s="28"/>
      <c r="Y340" s="28"/>
      <c r="Z340" s="28"/>
      <c r="AA340" s="28"/>
    </row>
    <row r="341">
      <c r="A341" s="270" t="s">
        <v>2365</v>
      </c>
      <c r="B341" s="28" t="s">
        <v>36</v>
      </c>
      <c r="C341" s="28" t="s">
        <v>2249</v>
      </c>
      <c r="D341" s="28" t="s">
        <v>44</v>
      </c>
      <c r="E341" s="28" t="s">
        <v>44</v>
      </c>
      <c r="F341" s="28" t="s">
        <v>1612</v>
      </c>
      <c r="G341" s="28" t="s">
        <v>47</v>
      </c>
      <c r="H341" s="28" t="s">
        <v>48</v>
      </c>
      <c r="I341" s="28" t="s">
        <v>485</v>
      </c>
      <c r="J341" s="28" t="s">
        <v>1614</v>
      </c>
      <c r="K341" s="28" t="s">
        <v>1615</v>
      </c>
      <c r="L341" s="28" t="s">
        <v>52</v>
      </c>
      <c r="M341" s="28" t="s">
        <v>52</v>
      </c>
      <c r="N341" s="28" t="s">
        <v>2209</v>
      </c>
      <c r="O341" s="28" t="s">
        <v>44</v>
      </c>
      <c r="P341" s="28" t="s">
        <v>2250</v>
      </c>
      <c r="Q341" s="28" t="s">
        <v>2251</v>
      </c>
      <c r="R341" s="28" t="s">
        <v>44</v>
      </c>
      <c r="S341" s="28" t="s">
        <v>44</v>
      </c>
      <c r="T341" s="28" t="s">
        <v>44</v>
      </c>
      <c r="U341" s="28" t="s">
        <v>44</v>
      </c>
      <c r="V341" s="28" t="s">
        <v>2367</v>
      </c>
      <c r="W341" s="28" t="s">
        <v>774</v>
      </c>
      <c r="X341" s="28"/>
      <c r="Y341" s="28"/>
      <c r="Z341" s="28"/>
      <c r="AA341" s="28"/>
    </row>
    <row r="342">
      <c r="A342" s="270" t="s">
        <v>2370</v>
      </c>
      <c r="B342" s="28" t="s">
        <v>36</v>
      </c>
      <c r="C342" s="28" t="s">
        <v>2254</v>
      </c>
      <c r="D342" s="28" t="s">
        <v>44</v>
      </c>
      <c r="E342" s="28" t="s">
        <v>44</v>
      </c>
      <c r="F342" s="28" t="s">
        <v>1612</v>
      </c>
      <c r="G342" s="28" t="s">
        <v>47</v>
      </c>
      <c r="H342" s="28" t="s">
        <v>95</v>
      </c>
      <c r="I342" s="28" t="s">
        <v>485</v>
      </c>
      <c r="J342" s="28" t="s">
        <v>1614</v>
      </c>
      <c r="K342" s="28" t="s">
        <v>1615</v>
      </c>
      <c r="L342" s="28" t="s">
        <v>52</v>
      </c>
      <c r="M342" s="28" t="s">
        <v>52</v>
      </c>
      <c r="N342" s="28" t="s">
        <v>2255</v>
      </c>
      <c r="O342" s="28" t="s">
        <v>44</v>
      </c>
      <c r="P342" s="28" t="s">
        <v>2256</v>
      </c>
      <c r="Q342" s="28" t="s">
        <v>2257</v>
      </c>
      <c r="R342" s="28" t="s">
        <v>44</v>
      </c>
      <c r="S342" s="28" t="s">
        <v>44</v>
      </c>
      <c r="T342" s="28" t="s">
        <v>44</v>
      </c>
      <c r="U342" s="28" t="s">
        <v>44</v>
      </c>
      <c r="V342" s="28" t="s">
        <v>2373</v>
      </c>
      <c r="W342" s="28" t="s">
        <v>774</v>
      </c>
      <c r="X342" s="28"/>
      <c r="Y342" s="28"/>
      <c r="Z342" s="28"/>
      <c r="AA342" s="28"/>
    </row>
    <row r="343">
      <c r="A343" s="270" t="s">
        <v>2375</v>
      </c>
      <c r="B343" s="28" t="s">
        <v>36</v>
      </c>
      <c r="C343" s="28" t="s">
        <v>2260</v>
      </c>
      <c r="D343" s="28" t="s">
        <v>44</v>
      </c>
      <c r="E343" s="28" t="s">
        <v>44</v>
      </c>
      <c r="F343" s="28" t="s">
        <v>1612</v>
      </c>
      <c r="G343" s="28" t="s">
        <v>47</v>
      </c>
      <c r="H343" s="28" t="s">
        <v>48</v>
      </c>
      <c r="I343" s="28" t="s">
        <v>485</v>
      </c>
      <c r="J343" s="28" t="s">
        <v>1614</v>
      </c>
      <c r="K343" s="28" t="s">
        <v>1615</v>
      </c>
      <c r="L343" s="28" t="s">
        <v>52</v>
      </c>
      <c r="M343" s="28" t="s">
        <v>52</v>
      </c>
      <c r="N343" s="28" t="s">
        <v>2261</v>
      </c>
      <c r="O343" s="28" t="s">
        <v>44</v>
      </c>
      <c r="P343" s="28" t="s">
        <v>2262</v>
      </c>
      <c r="Q343" s="28" t="s">
        <v>2263</v>
      </c>
      <c r="R343" s="28" t="s">
        <v>44</v>
      </c>
      <c r="S343" s="28" t="s">
        <v>44</v>
      </c>
      <c r="T343" s="28" t="s">
        <v>44</v>
      </c>
      <c r="U343" s="28" t="s">
        <v>44</v>
      </c>
      <c r="V343" s="28" t="s">
        <v>2377</v>
      </c>
      <c r="W343" s="28" t="s">
        <v>774</v>
      </c>
      <c r="X343" s="28"/>
      <c r="Y343" s="28"/>
      <c r="Z343" s="28"/>
      <c r="AA343" s="28"/>
    </row>
    <row r="344">
      <c r="A344" s="270" t="s">
        <v>2380</v>
      </c>
      <c r="B344" s="28" t="s">
        <v>36</v>
      </c>
      <c r="C344" s="28" t="s">
        <v>2266</v>
      </c>
      <c r="D344" s="28" t="s">
        <v>44</v>
      </c>
      <c r="E344" s="28" t="s">
        <v>44</v>
      </c>
      <c r="F344" s="28" t="s">
        <v>1612</v>
      </c>
      <c r="G344" s="28" t="s">
        <v>47</v>
      </c>
      <c r="H344" s="28" t="s">
        <v>48</v>
      </c>
      <c r="I344" s="28" t="s">
        <v>485</v>
      </c>
      <c r="J344" s="28" t="s">
        <v>1614</v>
      </c>
      <c r="K344" s="28" t="s">
        <v>1615</v>
      </c>
      <c r="L344" s="28" t="s">
        <v>52</v>
      </c>
      <c r="M344" s="28" t="s">
        <v>52</v>
      </c>
      <c r="N344" s="28" t="s">
        <v>2267</v>
      </c>
      <c r="O344" s="28" t="s">
        <v>44</v>
      </c>
      <c r="P344" s="28" t="s">
        <v>2262</v>
      </c>
      <c r="Q344" s="28" t="s">
        <v>2268</v>
      </c>
      <c r="R344" s="28" t="s">
        <v>44</v>
      </c>
      <c r="S344" s="28" t="s">
        <v>44</v>
      </c>
      <c r="T344" s="28" t="s">
        <v>44</v>
      </c>
      <c r="U344" s="28" t="s">
        <v>44</v>
      </c>
      <c r="V344" s="28" t="s">
        <v>2382</v>
      </c>
      <c r="W344" s="28" t="s">
        <v>774</v>
      </c>
      <c r="X344" s="28"/>
      <c r="Y344" s="28"/>
      <c r="Z344" s="28"/>
      <c r="AA344" s="28"/>
    </row>
    <row r="345">
      <c r="A345" s="270" t="s">
        <v>2384</v>
      </c>
      <c r="B345" s="28" t="s">
        <v>36</v>
      </c>
      <c r="C345" s="28" t="s">
        <v>2271</v>
      </c>
      <c r="D345" s="28" t="s">
        <v>44</v>
      </c>
      <c r="E345" s="28" t="s">
        <v>44</v>
      </c>
      <c r="F345" s="28" t="s">
        <v>1612</v>
      </c>
      <c r="G345" s="28" t="s">
        <v>47</v>
      </c>
      <c r="H345" s="28" t="s">
        <v>48</v>
      </c>
      <c r="I345" s="28" t="s">
        <v>485</v>
      </c>
      <c r="J345" s="28" t="s">
        <v>1614</v>
      </c>
      <c r="K345" s="28" t="s">
        <v>1615</v>
      </c>
      <c r="L345" s="28" t="s">
        <v>52</v>
      </c>
      <c r="M345" s="28" t="s">
        <v>52</v>
      </c>
      <c r="N345" s="28" t="s">
        <v>2267</v>
      </c>
      <c r="O345" s="28" t="s">
        <v>44</v>
      </c>
      <c r="P345" s="28" t="s">
        <v>2272</v>
      </c>
      <c r="Q345" s="28" t="s">
        <v>2273</v>
      </c>
      <c r="R345" s="28" t="s">
        <v>44</v>
      </c>
      <c r="S345" s="28" t="s">
        <v>44</v>
      </c>
      <c r="T345" s="28" t="s">
        <v>44</v>
      </c>
      <c r="U345" s="28" t="s">
        <v>44</v>
      </c>
      <c r="V345" s="28" t="s">
        <v>2387</v>
      </c>
      <c r="W345" s="28" t="s">
        <v>774</v>
      </c>
      <c r="X345" s="28"/>
      <c r="Y345" s="28"/>
      <c r="Z345" s="28"/>
      <c r="AA345" s="28"/>
    </row>
    <row r="346">
      <c r="A346" s="270" t="s">
        <v>2389</v>
      </c>
      <c r="B346" s="28" t="s">
        <v>36</v>
      </c>
      <c r="C346" s="28" t="s">
        <v>2276</v>
      </c>
      <c r="D346" s="28" t="s">
        <v>44</v>
      </c>
      <c r="E346" s="28" t="s">
        <v>44</v>
      </c>
      <c r="F346" s="28" t="s">
        <v>1612</v>
      </c>
      <c r="G346" s="28" t="s">
        <v>47</v>
      </c>
      <c r="H346" s="28" t="s">
        <v>95</v>
      </c>
      <c r="I346" s="28" t="s">
        <v>485</v>
      </c>
      <c r="J346" s="28" t="s">
        <v>1614</v>
      </c>
      <c r="K346" s="28" t="s">
        <v>1615</v>
      </c>
      <c r="L346" s="28" t="s">
        <v>52</v>
      </c>
      <c r="M346" s="28" t="s">
        <v>52</v>
      </c>
      <c r="N346" s="28" t="s">
        <v>2267</v>
      </c>
      <c r="O346" s="28" t="s">
        <v>44</v>
      </c>
      <c r="P346" s="28" t="s">
        <v>2277</v>
      </c>
      <c r="Q346" s="28" t="s">
        <v>2278</v>
      </c>
      <c r="R346" s="28" t="s">
        <v>44</v>
      </c>
      <c r="S346" s="28" t="s">
        <v>44</v>
      </c>
      <c r="T346" s="28" t="s">
        <v>44</v>
      </c>
      <c r="U346" s="28" t="s">
        <v>44</v>
      </c>
      <c r="V346" s="28" t="s">
        <v>2393</v>
      </c>
      <c r="W346" s="28" t="s">
        <v>774</v>
      </c>
      <c r="X346" s="28"/>
      <c r="Y346" s="28"/>
      <c r="Z346" s="28"/>
      <c r="AA346" s="28"/>
    </row>
    <row r="347">
      <c r="A347" s="270" t="s">
        <v>2394</v>
      </c>
      <c r="B347" s="28" t="s">
        <v>36</v>
      </c>
      <c r="C347" s="28" t="s">
        <v>2281</v>
      </c>
      <c r="D347" s="28" t="s">
        <v>44</v>
      </c>
      <c r="E347" s="28" t="s">
        <v>44</v>
      </c>
      <c r="F347" s="28" t="s">
        <v>1612</v>
      </c>
      <c r="G347" s="28" t="s">
        <v>47</v>
      </c>
      <c r="H347" s="28" t="s">
        <v>95</v>
      </c>
      <c r="I347" s="28" t="s">
        <v>485</v>
      </c>
      <c r="J347" s="28" t="s">
        <v>1614</v>
      </c>
      <c r="K347" s="28" t="s">
        <v>1615</v>
      </c>
      <c r="L347" s="28" t="s">
        <v>52</v>
      </c>
      <c r="M347" s="28" t="s">
        <v>52</v>
      </c>
      <c r="N347" s="28" t="s">
        <v>2267</v>
      </c>
      <c r="O347" s="28" t="s">
        <v>44</v>
      </c>
      <c r="P347" s="28" t="s">
        <v>2282</v>
      </c>
      <c r="Q347" s="28" t="s">
        <v>2397</v>
      </c>
      <c r="R347" s="28" t="s">
        <v>44</v>
      </c>
      <c r="S347" s="28" t="s">
        <v>44</v>
      </c>
      <c r="T347" s="28" t="s">
        <v>44</v>
      </c>
      <c r="U347" s="28" t="s">
        <v>44</v>
      </c>
      <c r="V347" s="28" t="s">
        <v>2399</v>
      </c>
      <c r="W347" s="28" t="s">
        <v>2400</v>
      </c>
      <c r="X347" s="28"/>
      <c r="Y347" s="28"/>
      <c r="Z347" s="28"/>
      <c r="AA347" s="28"/>
    </row>
    <row r="348">
      <c r="A348" s="270" t="s">
        <v>2401</v>
      </c>
      <c r="B348" s="28" t="s">
        <v>36</v>
      </c>
      <c r="C348" s="28" t="s">
        <v>2289</v>
      </c>
      <c r="D348" s="28" t="s">
        <v>44</v>
      </c>
      <c r="E348" s="28" t="s">
        <v>44</v>
      </c>
      <c r="F348" s="28" t="s">
        <v>1612</v>
      </c>
      <c r="G348" s="28" t="s">
        <v>47</v>
      </c>
      <c r="H348" s="28" t="s">
        <v>48</v>
      </c>
      <c r="I348" s="28" t="s">
        <v>485</v>
      </c>
      <c r="J348" s="28" t="s">
        <v>1614</v>
      </c>
      <c r="K348" s="28" t="s">
        <v>1615</v>
      </c>
      <c r="L348" s="28" t="s">
        <v>52</v>
      </c>
      <c r="M348" s="28" t="s">
        <v>52</v>
      </c>
      <c r="N348" s="28" t="s">
        <v>2267</v>
      </c>
      <c r="O348" s="28" t="s">
        <v>44</v>
      </c>
      <c r="P348" s="28" t="s">
        <v>2293</v>
      </c>
      <c r="Q348" s="28" t="s">
        <v>2294</v>
      </c>
      <c r="R348" s="28" t="s">
        <v>44</v>
      </c>
      <c r="S348" s="28" t="s">
        <v>44</v>
      </c>
      <c r="T348" s="28" t="s">
        <v>44</v>
      </c>
      <c r="U348" s="28" t="s">
        <v>44</v>
      </c>
      <c r="V348" s="28" t="s">
        <v>2405</v>
      </c>
      <c r="W348" s="28" t="s">
        <v>774</v>
      </c>
      <c r="X348" s="28"/>
      <c r="Y348" s="28"/>
      <c r="Z348" s="28"/>
      <c r="AA348" s="28"/>
    </row>
    <row r="349">
      <c r="A349" s="270" t="s">
        <v>2407</v>
      </c>
      <c r="B349" s="28" t="s">
        <v>36</v>
      </c>
      <c r="C349" s="28" t="s">
        <v>2296</v>
      </c>
      <c r="D349" s="28" t="s">
        <v>44</v>
      </c>
      <c r="E349" s="28" t="s">
        <v>44</v>
      </c>
      <c r="F349" s="28" t="s">
        <v>1612</v>
      </c>
      <c r="G349" s="28" t="s">
        <v>47</v>
      </c>
      <c r="H349" s="28" t="s">
        <v>48</v>
      </c>
      <c r="I349" s="28" t="s">
        <v>485</v>
      </c>
      <c r="J349" s="28" t="s">
        <v>1614</v>
      </c>
      <c r="K349" s="28" t="s">
        <v>1615</v>
      </c>
      <c r="L349" s="28" t="s">
        <v>52</v>
      </c>
      <c r="M349" s="28" t="s">
        <v>52</v>
      </c>
      <c r="N349" s="28" t="s">
        <v>2300</v>
      </c>
      <c r="O349" s="28" t="s">
        <v>44</v>
      </c>
      <c r="P349" s="28" t="s">
        <v>2293</v>
      </c>
      <c r="Q349" s="28" t="s">
        <v>2302</v>
      </c>
      <c r="R349" s="28" t="s">
        <v>44</v>
      </c>
      <c r="S349" s="28" t="s">
        <v>44</v>
      </c>
      <c r="T349" s="28" t="s">
        <v>44</v>
      </c>
      <c r="U349" s="28" t="s">
        <v>44</v>
      </c>
      <c r="V349" s="28" t="s">
        <v>2411</v>
      </c>
      <c r="W349" s="28" t="s">
        <v>774</v>
      </c>
      <c r="X349" s="28"/>
      <c r="Y349" s="28"/>
      <c r="Z349" s="28"/>
      <c r="AA349" s="28"/>
    </row>
    <row r="350">
      <c r="A350" s="270" t="s">
        <v>2412</v>
      </c>
      <c r="B350" s="28" t="s">
        <v>36</v>
      </c>
      <c r="C350" s="28" t="s">
        <v>2303</v>
      </c>
      <c r="D350" s="28" t="s">
        <v>44</v>
      </c>
      <c r="E350" s="28" t="s">
        <v>44</v>
      </c>
      <c r="F350" s="28" t="s">
        <v>1612</v>
      </c>
      <c r="G350" s="28" t="s">
        <v>47</v>
      </c>
      <c r="H350" s="28" t="s">
        <v>48</v>
      </c>
      <c r="I350" s="28" t="s">
        <v>485</v>
      </c>
      <c r="J350" s="28" t="s">
        <v>1614</v>
      </c>
      <c r="K350" s="28" t="s">
        <v>1615</v>
      </c>
      <c r="L350" s="28" t="s">
        <v>52</v>
      </c>
      <c r="M350" s="28" t="s">
        <v>52</v>
      </c>
      <c r="N350" s="28" t="s">
        <v>2223</v>
      </c>
      <c r="O350" s="28" t="s">
        <v>44</v>
      </c>
      <c r="P350" s="28" t="s">
        <v>2230</v>
      </c>
      <c r="Q350" s="28" t="s">
        <v>2306</v>
      </c>
      <c r="R350" s="28" t="s">
        <v>44</v>
      </c>
      <c r="S350" s="28" t="s">
        <v>44</v>
      </c>
      <c r="T350" s="28" t="s">
        <v>44</v>
      </c>
      <c r="U350" s="28" t="s">
        <v>44</v>
      </c>
      <c r="V350" s="28" t="s">
        <v>2413</v>
      </c>
      <c r="W350" s="28" t="s">
        <v>774</v>
      </c>
      <c r="X350" s="28"/>
      <c r="Y350" s="28"/>
      <c r="Z350" s="28"/>
      <c r="AA350" s="28"/>
    </row>
    <row r="351">
      <c r="A351" s="270" t="s">
        <v>2414</v>
      </c>
      <c r="B351" s="28" t="s">
        <v>36</v>
      </c>
      <c r="C351" s="28" t="s">
        <v>2307</v>
      </c>
      <c r="D351" s="28" t="s">
        <v>44</v>
      </c>
      <c r="E351" s="28" t="s">
        <v>44</v>
      </c>
      <c r="F351" s="28" t="s">
        <v>1612</v>
      </c>
      <c r="G351" s="28" t="s">
        <v>47</v>
      </c>
      <c r="H351" s="28" t="s">
        <v>48</v>
      </c>
      <c r="I351" s="28" t="s">
        <v>485</v>
      </c>
      <c r="J351" s="28" t="s">
        <v>1614</v>
      </c>
      <c r="K351" s="28" t="s">
        <v>1615</v>
      </c>
      <c r="L351" s="28" t="s">
        <v>52</v>
      </c>
      <c r="M351" s="28" t="s">
        <v>52</v>
      </c>
      <c r="N351" s="28" t="s">
        <v>2209</v>
      </c>
      <c r="O351" s="28" t="s">
        <v>44</v>
      </c>
      <c r="P351" s="28" t="s">
        <v>2310</v>
      </c>
      <c r="Q351" s="28" t="s">
        <v>2311</v>
      </c>
      <c r="R351" s="28" t="s">
        <v>44</v>
      </c>
      <c r="S351" s="28" t="s">
        <v>44</v>
      </c>
      <c r="T351" s="28" t="s">
        <v>44</v>
      </c>
      <c r="U351" s="28" t="s">
        <v>44</v>
      </c>
      <c r="V351" s="28" t="s">
        <v>2415</v>
      </c>
      <c r="W351" s="28" t="s">
        <v>774</v>
      </c>
      <c r="X351" s="28"/>
      <c r="Y351" s="28"/>
      <c r="Z351" s="28"/>
      <c r="AA351" s="28"/>
    </row>
    <row r="352">
      <c r="A352" s="270" t="s">
        <v>2416</v>
      </c>
      <c r="B352" s="28" t="s">
        <v>36</v>
      </c>
      <c r="C352" s="28" t="s">
        <v>2313</v>
      </c>
      <c r="D352" s="28" t="s">
        <v>44</v>
      </c>
      <c r="E352" s="28" t="s">
        <v>44</v>
      </c>
      <c r="F352" s="28" t="s">
        <v>1612</v>
      </c>
      <c r="G352" s="28" t="s">
        <v>47</v>
      </c>
      <c r="H352" s="28" t="s">
        <v>48</v>
      </c>
      <c r="I352" s="28" t="s">
        <v>485</v>
      </c>
      <c r="J352" s="28" t="s">
        <v>1614</v>
      </c>
      <c r="K352" s="28" t="s">
        <v>1615</v>
      </c>
      <c r="L352" s="28" t="s">
        <v>52</v>
      </c>
      <c r="M352" s="28" t="s">
        <v>52</v>
      </c>
      <c r="N352" s="28" t="s">
        <v>2209</v>
      </c>
      <c r="O352" s="28" t="s">
        <v>44</v>
      </c>
      <c r="P352" s="28" t="s">
        <v>2315</v>
      </c>
      <c r="Q352" s="28" t="s">
        <v>2316</v>
      </c>
      <c r="R352" s="28" t="s">
        <v>44</v>
      </c>
      <c r="S352" s="28" t="s">
        <v>44</v>
      </c>
      <c r="T352" s="28" t="s">
        <v>44</v>
      </c>
      <c r="U352" s="28" t="s">
        <v>44</v>
      </c>
      <c r="V352" s="28" t="s">
        <v>2418</v>
      </c>
      <c r="W352" s="28" t="s">
        <v>774</v>
      </c>
      <c r="X352" s="28"/>
      <c r="Y352" s="28"/>
      <c r="Z352" s="28"/>
      <c r="AA352" s="28"/>
    </row>
    <row r="353">
      <c r="A353" s="270" t="s">
        <v>2421</v>
      </c>
      <c r="B353" s="28" t="s">
        <v>36</v>
      </c>
      <c r="C353" s="28" t="s">
        <v>2317</v>
      </c>
      <c r="D353" s="28" t="s">
        <v>44</v>
      </c>
      <c r="E353" s="28" t="s">
        <v>44</v>
      </c>
      <c r="F353" s="28" t="s">
        <v>1612</v>
      </c>
      <c r="G353" s="28" t="s">
        <v>47</v>
      </c>
      <c r="H353" s="28" t="s">
        <v>95</v>
      </c>
      <c r="I353" s="28" t="s">
        <v>485</v>
      </c>
      <c r="J353" s="28" t="s">
        <v>1614</v>
      </c>
      <c r="K353" s="28" t="s">
        <v>1615</v>
      </c>
      <c r="L353" s="28" t="s">
        <v>52</v>
      </c>
      <c r="M353" s="28" t="s">
        <v>52</v>
      </c>
      <c r="N353" s="28" t="s">
        <v>2320</v>
      </c>
      <c r="O353" s="28" t="s">
        <v>44</v>
      </c>
      <c r="P353" s="28" t="s">
        <v>2321</v>
      </c>
      <c r="Q353" s="28" t="s">
        <v>2322</v>
      </c>
      <c r="R353" s="28" t="s">
        <v>44</v>
      </c>
      <c r="S353" s="28" t="s">
        <v>44</v>
      </c>
      <c r="T353" s="28" t="s">
        <v>44</v>
      </c>
      <c r="U353" s="28" t="s">
        <v>44</v>
      </c>
      <c r="V353" s="28" t="s">
        <v>2423</v>
      </c>
      <c r="W353" s="28" t="s">
        <v>774</v>
      </c>
      <c r="X353" s="28"/>
      <c r="Y353" s="28"/>
      <c r="Z353" s="28"/>
      <c r="AA353" s="28"/>
    </row>
    <row r="354">
      <c r="A354" s="270" t="s">
        <v>2424</v>
      </c>
      <c r="B354" s="28" t="s">
        <v>36</v>
      </c>
      <c r="C354" s="28" t="s">
        <v>2323</v>
      </c>
      <c r="D354" s="28" t="s">
        <v>44</v>
      </c>
      <c r="E354" s="28" t="s">
        <v>44</v>
      </c>
      <c r="F354" s="28" t="s">
        <v>1612</v>
      </c>
      <c r="G354" s="28" t="s">
        <v>47</v>
      </c>
      <c r="H354" s="28" t="s">
        <v>95</v>
      </c>
      <c r="I354" s="28" t="s">
        <v>485</v>
      </c>
      <c r="J354" s="28" t="s">
        <v>1614</v>
      </c>
      <c r="K354" s="28" t="s">
        <v>1615</v>
      </c>
      <c r="L354" s="28" t="s">
        <v>52</v>
      </c>
      <c r="M354" s="28" t="s">
        <v>52</v>
      </c>
      <c r="N354" s="28" t="s">
        <v>2326</v>
      </c>
      <c r="O354" s="28" t="s">
        <v>44</v>
      </c>
      <c r="P354" s="28" t="s">
        <v>2321</v>
      </c>
      <c r="Q354" s="28" t="s">
        <v>2327</v>
      </c>
      <c r="R354" s="28" t="s">
        <v>44</v>
      </c>
      <c r="S354" s="28" t="s">
        <v>44</v>
      </c>
      <c r="T354" s="28" t="s">
        <v>44</v>
      </c>
      <c r="U354" s="28" t="s">
        <v>44</v>
      </c>
      <c r="V354" s="28" t="s">
        <v>2428</v>
      </c>
      <c r="W354" s="28" t="s">
        <v>774</v>
      </c>
      <c r="X354" s="28"/>
      <c r="Y354" s="28"/>
      <c r="Z354" s="28"/>
      <c r="AA354" s="28"/>
    </row>
    <row r="355">
      <c r="A355" s="270" t="s">
        <v>2429</v>
      </c>
      <c r="B355" s="28" t="s">
        <v>36</v>
      </c>
      <c r="C355" s="28" t="s">
        <v>2329</v>
      </c>
      <c r="D355" s="28" t="s">
        <v>44</v>
      </c>
      <c r="E355" s="28" t="s">
        <v>44</v>
      </c>
      <c r="F355" s="28" t="s">
        <v>1612</v>
      </c>
      <c r="G355" s="28" t="s">
        <v>47</v>
      </c>
      <c r="H355" s="28" t="s">
        <v>95</v>
      </c>
      <c r="I355" s="28" t="s">
        <v>485</v>
      </c>
      <c r="J355" s="28" t="s">
        <v>1614</v>
      </c>
      <c r="K355" s="28" t="s">
        <v>1615</v>
      </c>
      <c r="L355" s="28" t="s">
        <v>52</v>
      </c>
      <c r="M355" s="28" t="s">
        <v>52</v>
      </c>
      <c r="N355" s="28" t="s">
        <v>2209</v>
      </c>
      <c r="O355" s="28" t="s">
        <v>44</v>
      </c>
      <c r="P355" s="28" t="s">
        <v>2331</v>
      </c>
      <c r="Q355" s="28" t="s">
        <v>2332</v>
      </c>
      <c r="R355" s="28" t="s">
        <v>44</v>
      </c>
      <c r="S355" s="28" t="s">
        <v>44</v>
      </c>
      <c r="T355" s="28" t="s">
        <v>44</v>
      </c>
      <c r="U355" s="28" t="s">
        <v>44</v>
      </c>
      <c r="V355" s="28" t="s">
        <v>2433</v>
      </c>
      <c r="W355" s="28" t="s">
        <v>774</v>
      </c>
      <c r="X355" s="28"/>
      <c r="Y355" s="28"/>
      <c r="Z355" s="28"/>
      <c r="AA355" s="28"/>
    </row>
    <row r="356">
      <c r="A356" s="270" t="s">
        <v>2435</v>
      </c>
      <c r="B356" s="28" t="s">
        <v>36</v>
      </c>
      <c r="C356" s="28" t="s">
        <v>2334</v>
      </c>
      <c r="D356" s="28" t="s">
        <v>44</v>
      </c>
      <c r="E356" s="28" t="s">
        <v>44</v>
      </c>
      <c r="F356" s="28" t="s">
        <v>1612</v>
      </c>
      <c r="G356" s="28" t="s">
        <v>47</v>
      </c>
      <c r="H356" s="28" t="s">
        <v>48</v>
      </c>
      <c r="I356" s="28" t="s">
        <v>485</v>
      </c>
      <c r="J356" s="28" t="s">
        <v>1614</v>
      </c>
      <c r="K356" s="28" t="s">
        <v>1615</v>
      </c>
      <c r="L356" s="28" t="s">
        <v>52</v>
      </c>
      <c r="M356" s="28" t="s">
        <v>52</v>
      </c>
      <c r="N356" s="28" t="s">
        <v>2209</v>
      </c>
      <c r="O356" s="28" t="s">
        <v>44</v>
      </c>
      <c r="P356" s="28" t="s">
        <v>2336</v>
      </c>
      <c r="Q356" s="28" t="s">
        <v>2337</v>
      </c>
      <c r="R356" s="28" t="s">
        <v>44</v>
      </c>
      <c r="S356" s="28" t="s">
        <v>44</v>
      </c>
      <c r="T356" s="28" t="s">
        <v>44</v>
      </c>
      <c r="U356" s="28" t="s">
        <v>44</v>
      </c>
      <c r="V356" s="28" t="s">
        <v>2438</v>
      </c>
      <c r="W356" s="28" t="s">
        <v>774</v>
      </c>
      <c r="X356" s="28"/>
      <c r="Y356" s="28"/>
      <c r="Z356" s="28"/>
      <c r="AA356" s="28"/>
    </row>
    <row r="357">
      <c r="A357" s="270" t="s">
        <v>2440</v>
      </c>
      <c r="B357" s="28" t="s">
        <v>36</v>
      </c>
      <c r="C357" s="28" t="s">
        <v>2338</v>
      </c>
      <c r="D357" s="28" t="s">
        <v>44</v>
      </c>
      <c r="E357" s="28" t="s">
        <v>44</v>
      </c>
      <c r="F357" s="28" t="s">
        <v>1612</v>
      </c>
      <c r="G357" s="28" t="s">
        <v>47</v>
      </c>
      <c r="H357" s="28" t="s">
        <v>48</v>
      </c>
      <c r="I357" s="28" t="s">
        <v>485</v>
      </c>
      <c r="J357" s="28" t="s">
        <v>1614</v>
      </c>
      <c r="K357" s="28" t="s">
        <v>1615</v>
      </c>
      <c r="L357" s="28" t="s">
        <v>52</v>
      </c>
      <c r="M357" s="28" t="s">
        <v>52</v>
      </c>
      <c r="N357" s="28" t="s">
        <v>2209</v>
      </c>
      <c r="O357" s="28" t="s">
        <v>44</v>
      </c>
      <c r="P357" s="28" t="s">
        <v>2339</v>
      </c>
      <c r="Q357" s="28" t="s">
        <v>2341</v>
      </c>
      <c r="R357" s="28" t="s">
        <v>44</v>
      </c>
      <c r="S357" s="28" t="s">
        <v>44</v>
      </c>
      <c r="T357" s="28" t="s">
        <v>44</v>
      </c>
      <c r="U357" s="28" t="s">
        <v>44</v>
      </c>
      <c r="V357" s="28" t="s">
        <v>2445</v>
      </c>
      <c r="W357" s="28" t="s">
        <v>774</v>
      </c>
      <c r="X357" s="28"/>
      <c r="Y357" s="28"/>
      <c r="Z357" s="28"/>
      <c r="AA357" s="28"/>
    </row>
    <row r="358">
      <c r="A358" s="270" t="s">
        <v>2446</v>
      </c>
      <c r="B358" s="28" t="s">
        <v>36</v>
      </c>
      <c r="C358" s="28" t="s">
        <v>2343</v>
      </c>
      <c r="D358" s="28" t="s">
        <v>44</v>
      </c>
      <c r="E358" s="28" t="s">
        <v>44</v>
      </c>
      <c r="F358" s="28" t="s">
        <v>1612</v>
      </c>
      <c r="G358" s="28" t="s">
        <v>47</v>
      </c>
      <c r="H358" s="28" t="s">
        <v>48</v>
      </c>
      <c r="I358" s="28" t="s">
        <v>485</v>
      </c>
      <c r="J358" s="28" t="s">
        <v>1614</v>
      </c>
      <c r="K358" s="28" t="s">
        <v>1615</v>
      </c>
      <c r="L358" s="28" t="s">
        <v>52</v>
      </c>
      <c r="M358" s="28" t="s">
        <v>52</v>
      </c>
      <c r="N358" s="28" t="s">
        <v>2209</v>
      </c>
      <c r="O358" s="28" t="s">
        <v>44</v>
      </c>
      <c r="P358" s="28" t="s">
        <v>2344</v>
      </c>
      <c r="Q358" s="28" t="s">
        <v>2345</v>
      </c>
      <c r="R358" s="28" t="s">
        <v>44</v>
      </c>
      <c r="S358" s="28" t="s">
        <v>44</v>
      </c>
      <c r="T358" s="28" t="s">
        <v>44</v>
      </c>
      <c r="U358" s="28" t="s">
        <v>44</v>
      </c>
      <c r="V358" s="28" t="s">
        <v>2451</v>
      </c>
      <c r="W358" s="28" t="s">
        <v>774</v>
      </c>
      <c r="X358" s="28"/>
      <c r="Y358" s="28"/>
      <c r="Z358" s="28"/>
      <c r="AA358" s="28"/>
    </row>
    <row r="359">
      <c r="A359" s="270" t="s">
        <v>2452</v>
      </c>
      <c r="B359" s="28" t="s">
        <v>36</v>
      </c>
      <c r="C359" s="28" t="s">
        <v>2348</v>
      </c>
      <c r="D359" s="28" t="s">
        <v>44</v>
      </c>
      <c r="E359" s="28" t="s">
        <v>44</v>
      </c>
      <c r="F359" s="28" t="s">
        <v>1612</v>
      </c>
      <c r="G359" s="28" t="s">
        <v>197</v>
      </c>
      <c r="H359" s="28" t="s">
        <v>91</v>
      </c>
      <c r="I359" s="28" t="s">
        <v>485</v>
      </c>
      <c r="J359" s="28" t="s">
        <v>1614</v>
      </c>
      <c r="K359" s="28" t="s">
        <v>1615</v>
      </c>
      <c r="L359" s="28" t="s">
        <v>52</v>
      </c>
      <c r="M359" s="28" t="s">
        <v>52</v>
      </c>
      <c r="N359" s="28" t="s">
        <v>2349</v>
      </c>
      <c r="O359" s="28" t="s">
        <v>44</v>
      </c>
      <c r="P359" s="28" t="s">
        <v>2350</v>
      </c>
      <c r="Q359" s="28" t="s">
        <v>2352</v>
      </c>
      <c r="R359" s="28" t="s">
        <v>44</v>
      </c>
      <c r="S359" s="28" t="s">
        <v>44</v>
      </c>
      <c r="T359" s="28" t="s">
        <v>44</v>
      </c>
      <c r="U359" s="28" t="s">
        <v>44</v>
      </c>
      <c r="V359" s="28" t="s">
        <v>2456</v>
      </c>
      <c r="W359" s="28" t="s">
        <v>774</v>
      </c>
      <c r="X359" s="28"/>
      <c r="Y359" s="28"/>
      <c r="Z359" s="28"/>
      <c r="AA359" s="28"/>
    </row>
    <row r="360">
      <c r="A360" s="270" t="s">
        <v>2457</v>
      </c>
      <c r="B360" s="28" t="s">
        <v>36</v>
      </c>
      <c r="C360" s="28" t="s">
        <v>2354</v>
      </c>
      <c r="D360" s="28" t="s">
        <v>44</v>
      </c>
      <c r="E360" s="28" t="s">
        <v>44</v>
      </c>
      <c r="F360" s="28" t="s">
        <v>1612</v>
      </c>
      <c r="G360" s="28" t="s">
        <v>47</v>
      </c>
      <c r="H360" s="28" t="s">
        <v>95</v>
      </c>
      <c r="I360" s="28" t="s">
        <v>485</v>
      </c>
      <c r="J360" s="28" t="s">
        <v>1614</v>
      </c>
      <c r="K360" s="28" t="s">
        <v>1615</v>
      </c>
      <c r="L360" s="28" t="s">
        <v>52</v>
      </c>
      <c r="M360" s="28" t="s">
        <v>52</v>
      </c>
      <c r="N360" s="28" t="s">
        <v>2355</v>
      </c>
      <c r="O360" s="28" t="s">
        <v>44</v>
      </c>
      <c r="P360" s="28" t="s">
        <v>2356</v>
      </c>
      <c r="Q360" s="28" t="s">
        <v>2358</v>
      </c>
      <c r="R360" s="28" t="s">
        <v>44</v>
      </c>
      <c r="S360" s="28" t="s">
        <v>44</v>
      </c>
      <c r="T360" s="28" t="s">
        <v>44</v>
      </c>
      <c r="U360" s="28" t="s">
        <v>44</v>
      </c>
      <c r="V360" s="28" t="s">
        <v>2461</v>
      </c>
      <c r="W360" s="28" t="s">
        <v>774</v>
      </c>
      <c r="X360" s="28"/>
      <c r="Y360" s="28"/>
      <c r="Z360" s="28"/>
      <c r="AA360" s="28"/>
    </row>
    <row r="361">
      <c r="A361" s="270" t="s">
        <v>2462</v>
      </c>
      <c r="B361" s="28" t="s">
        <v>36</v>
      </c>
      <c r="C361" s="28" t="s">
        <v>2360</v>
      </c>
      <c r="D361" s="28" t="s">
        <v>44</v>
      </c>
      <c r="E361" s="28" t="s">
        <v>44</v>
      </c>
      <c r="F361" s="28" t="s">
        <v>1612</v>
      </c>
      <c r="G361" s="28" t="s">
        <v>47</v>
      </c>
      <c r="H361" s="28" t="s">
        <v>48</v>
      </c>
      <c r="I361" s="28" t="s">
        <v>485</v>
      </c>
      <c r="J361" s="28" t="s">
        <v>1614</v>
      </c>
      <c r="K361" s="28" t="s">
        <v>1615</v>
      </c>
      <c r="L361" s="28" t="s">
        <v>52</v>
      </c>
      <c r="M361" s="28" t="s">
        <v>52</v>
      </c>
      <c r="N361" s="28" t="s">
        <v>2361</v>
      </c>
      <c r="O361" s="28" t="s">
        <v>44</v>
      </c>
      <c r="P361" s="28" t="s">
        <v>2362</v>
      </c>
      <c r="Q361" s="28" t="s">
        <v>2364</v>
      </c>
      <c r="R361" s="28" t="s">
        <v>44</v>
      </c>
      <c r="S361" s="28" t="s">
        <v>44</v>
      </c>
      <c r="T361" s="28" t="s">
        <v>44</v>
      </c>
      <c r="U361" s="28" t="s">
        <v>44</v>
      </c>
      <c r="V361" s="28" t="s">
        <v>2465</v>
      </c>
      <c r="W361" s="28" t="s">
        <v>774</v>
      </c>
      <c r="X361" s="28"/>
      <c r="Y361" s="28"/>
      <c r="Z361" s="28"/>
      <c r="AA361" s="28"/>
    </row>
    <row r="362">
      <c r="A362" s="270" t="s">
        <v>2466</v>
      </c>
      <c r="B362" s="28" t="s">
        <v>36</v>
      </c>
      <c r="C362" s="28" t="s">
        <v>2366</v>
      </c>
      <c r="D362" s="28" t="s">
        <v>44</v>
      </c>
      <c r="E362" s="28" t="s">
        <v>44</v>
      </c>
      <c r="F362" s="28" t="s">
        <v>1612</v>
      </c>
      <c r="G362" s="28" t="s">
        <v>47</v>
      </c>
      <c r="H362" s="28" t="s">
        <v>95</v>
      </c>
      <c r="I362" s="28" t="s">
        <v>485</v>
      </c>
      <c r="J362" s="28" t="s">
        <v>1614</v>
      </c>
      <c r="K362" s="28" t="s">
        <v>1615</v>
      </c>
      <c r="L362" s="28" t="s">
        <v>52</v>
      </c>
      <c r="M362" s="28" t="s">
        <v>52</v>
      </c>
      <c r="N362" s="28" t="s">
        <v>2349</v>
      </c>
      <c r="O362" s="28" t="s">
        <v>44</v>
      </c>
      <c r="P362" s="28" t="s">
        <v>2368</v>
      </c>
      <c r="Q362" s="28" t="s">
        <v>2369</v>
      </c>
      <c r="R362" s="28" t="s">
        <v>44</v>
      </c>
      <c r="S362" s="28" t="s">
        <v>44</v>
      </c>
      <c r="T362" s="28" t="s">
        <v>44</v>
      </c>
      <c r="U362" s="28" t="s">
        <v>44</v>
      </c>
      <c r="V362" s="28" t="s">
        <v>2471</v>
      </c>
      <c r="W362" s="28" t="s">
        <v>774</v>
      </c>
      <c r="X362" s="28"/>
      <c r="Y362" s="28"/>
      <c r="Z362" s="28"/>
      <c r="AA362" s="28"/>
    </row>
    <row r="363">
      <c r="A363" s="270" t="s">
        <v>2472</v>
      </c>
      <c r="B363" s="28" t="s">
        <v>36</v>
      </c>
      <c r="C363" s="28" t="s">
        <v>2371</v>
      </c>
      <c r="D363" s="28" t="s">
        <v>44</v>
      </c>
      <c r="E363" s="28" t="s">
        <v>44</v>
      </c>
      <c r="F363" s="28" t="s">
        <v>1612</v>
      </c>
      <c r="G363" s="28" t="s">
        <v>47</v>
      </c>
      <c r="H363" s="28" t="s">
        <v>95</v>
      </c>
      <c r="I363" s="28" t="s">
        <v>485</v>
      </c>
      <c r="J363" s="28" t="s">
        <v>1614</v>
      </c>
      <c r="K363" s="28" t="s">
        <v>1615</v>
      </c>
      <c r="L363" s="28" t="s">
        <v>52</v>
      </c>
      <c r="M363" s="28" t="s">
        <v>52</v>
      </c>
      <c r="N363" s="28" t="s">
        <v>2372</v>
      </c>
      <c r="O363" s="28" t="s">
        <v>44</v>
      </c>
      <c r="P363" s="28" t="s">
        <v>2368</v>
      </c>
      <c r="Q363" s="28" t="s">
        <v>2374</v>
      </c>
      <c r="R363" s="28" t="s">
        <v>44</v>
      </c>
      <c r="S363" s="28" t="s">
        <v>44</v>
      </c>
      <c r="T363" s="28" t="s">
        <v>44</v>
      </c>
      <c r="U363" s="28" t="s">
        <v>44</v>
      </c>
      <c r="V363" s="28" t="s">
        <v>2475</v>
      </c>
      <c r="W363" s="28" t="s">
        <v>774</v>
      </c>
      <c r="X363" s="28"/>
      <c r="Y363" s="28"/>
      <c r="Z363" s="28"/>
      <c r="AA363" s="28"/>
    </row>
    <row r="364">
      <c r="A364" s="270" t="s">
        <v>2477</v>
      </c>
      <c r="B364" s="28" t="s">
        <v>36</v>
      </c>
      <c r="C364" s="28" t="s">
        <v>2376</v>
      </c>
      <c r="D364" s="28" t="s">
        <v>44</v>
      </c>
      <c r="E364" s="28" t="s">
        <v>44</v>
      </c>
      <c r="F364" s="28" t="s">
        <v>1612</v>
      </c>
      <c r="G364" s="28" t="s">
        <v>197</v>
      </c>
      <c r="H364" s="28" t="s">
        <v>91</v>
      </c>
      <c r="I364" s="28" t="s">
        <v>485</v>
      </c>
      <c r="J364" s="28" t="s">
        <v>1614</v>
      </c>
      <c r="K364" s="28" t="s">
        <v>1615</v>
      </c>
      <c r="L364" s="28" t="s">
        <v>52</v>
      </c>
      <c r="M364" s="28" t="s">
        <v>52</v>
      </c>
      <c r="N364" s="28" t="s">
        <v>2372</v>
      </c>
      <c r="O364" s="28" t="s">
        <v>44</v>
      </c>
      <c r="P364" s="28" t="s">
        <v>2378</v>
      </c>
      <c r="Q364" s="28" t="s">
        <v>2379</v>
      </c>
      <c r="R364" s="28" t="s">
        <v>44</v>
      </c>
      <c r="S364" s="28" t="s">
        <v>44</v>
      </c>
      <c r="T364" s="28" t="s">
        <v>44</v>
      </c>
      <c r="U364" s="28" t="s">
        <v>44</v>
      </c>
      <c r="V364" s="28" t="s">
        <v>2480</v>
      </c>
      <c r="W364" s="28" t="s">
        <v>774</v>
      </c>
      <c r="X364" s="28"/>
      <c r="Y364" s="28"/>
      <c r="Z364" s="28"/>
      <c r="AA364" s="28"/>
    </row>
    <row r="365">
      <c r="A365" s="270" t="s">
        <v>2482</v>
      </c>
      <c r="B365" s="28" t="s">
        <v>36</v>
      </c>
      <c r="C365" s="28" t="s">
        <v>2381</v>
      </c>
      <c r="D365" s="28" t="s">
        <v>44</v>
      </c>
      <c r="E365" s="28" t="s">
        <v>44</v>
      </c>
      <c r="F365" s="28" t="s">
        <v>1612</v>
      </c>
      <c r="G365" s="28" t="s">
        <v>47</v>
      </c>
      <c r="H365" s="28" t="s">
        <v>48</v>
      </c>
      <c r="I365" s="28" t="s">
        <v>485</v>
      </c>
      <c r="J365" s="28" t="s">
        <v>1614</v>
      </c>
      <c r="K365" s="28" t="s">
        <v>1615</v>
      </c>
      <c r="L365" s="28" t="s">
        <v>52</v>
      </c>
      <c r="M365" s="28" t="s">
        <v>52</v>
      </c>
      <c r="N365" s="28" t="s">
        <v>2209</v>
      </c>
      <c r="O365" s="28" t="s">
        <v>44</v>
      </c>
      <c r="P365" s="28" t="s">
        <v>2383</v>
      </c>
      <c r="Q365" s="28" t="s">
        <v>2385</v>
      </c>
      <c r="R365" s="28" t="s">
        <v>44</v>
      </c>
      <c r="S365" s="28" t="s">
        <v>44</v>
      </c>
      <c r="T365" s="28" t="s">
        <v>44</v>
      </c>
      <c r="U365" s="28" t="s">
        <v>44</v>
      </c>
      <c r="V365" s="28" t="s">
        <v>2485</v>
      </c>
      <c r="W365" s="28" t="s">
        <v>774</v>
      </c>
      <c r="X365" s="28"/>
      <c r="Y365" s="28"/>
      <c r="Z365" s="28"/>
      <c r="AA365" s="28"/>
    </row>
    <row r="366">
      <c r="A366" s="270" t="s">
        <v>2487</v>
      </c>
      <c r="B366" s="28" t="s">
        <v>36</v>
      </c>
      <c r="C366" s="28" t="s">
        <v>2386</v>
      </c>
      <c r="D366" s="28" t="s">
        <v>44</v>
      </c>
      <c r="E366" s="28" t="s">
        <v>44</v>
      </c>
      <c r="F366" s="28" t="s">
        <v>1612</v>
      </c>
      <c r="G366" s="28" t="s">
        <v>47</v>
      </c>
      <c r="H366" s="28" t="s">
        <v>95</v>
      </c>
      <c r="I366" s="28" t="s">
        <v>485</v>
      </c>
      <c r="J366" s="28" t="s">
        <v>1614</v>
      </c>
      <c r="K366" s="28" t="s">
        <v>1615</v>
      </c>
      <c r="L366" s="28" t="s">
        <v>52</v>
      </c>
      <c r="M366" s="28" t="s">
        <v>52</v>
      </c>
      <c r="N366" s="28" t="s">
        <v>2388</v>
      </c>
      <c r="O366" s="28" t="s">
        <v>44</v>
      </c>
      <c r="P366" s="28" t="s">
        <v>2390</v>
      </c>
      <c r="Q366" s="28" t="s">
        <v>2391</v>
      </c>
      <c r="R366" s="28" t="s">
        <v>44</v>
      </c>
      <c r="S366" s="28" t="s">
        <v>44</v>
      </c>
      <c r="T366" s="28" t="s">
        <v>44</v>
      </c>
      <c r="U366" s="28" t="s">
        <v>44</v>
      </c>
      <c r="V366" s="28" t="s">
        <v>2491</v>
      </c>
      <c r="W366" s="28" t="s">
        <v>2493</v>
      </c>
      <c r="X366" s="28"/>
      <c r="Y366" s="28"/>
      <c r="Z366" s="28"/>
      <c r="AA366" s="28"/>
    </row>
    <row r="367">
      <c r="A367" s="270" t="s">
        <v>2494</v>
      </c>
      <c r="B367" s="28" t="s">
        <v>36</v>
      </c>
      <c r="C367" s="28" t="s">
        <v>2392</v>
      </c>
      <c r="D367" s="28" t="s">
        <v>44</v>
      </c>
      <c r="E367" s="28" t="s">
        <v>44</v>
      </c>
      <c r="F367" s="28" t="s">
        <v>1612</v>
      </c>
      <c r="G367" s="28" t="s">
        <v>47</v>
      </c>
      <c r="H367" s="28" t="s">
        <v>48</v>
      </c>
      <c r="I367" s="28" t="s">
        <v>485</v>
      </c>
      <c r="J367" s="28" t="s">
        <v>1614</v>
      </c>
      <c r="K367" s="28" t="s">
        <v>1615</v>
      </c>
      <c r="L367" s="28" t="s">
        <v>52</v>
      </c>
      <c r="M367" s="28" t="s">
        <v>52</v>
      </c>
      <c r="N367" s="28" t="s">
        <v>2209</v>
      </c>
      <c r="O367" s="28" t="s">
        <v>44</v>
      </c>
      <c r="P367" s="28" t="s">
        <v>2395</v>
      </c>
      <c r="Q367" s="28" t="s">
        <v>2396</v>
      </c>
      <c r="R367" s="28" t="s">
        <v>44</v>
      </c>
      <c r="S367" s="28" t="s">
        <v>44</v>
      </c>
      <c r="T367" s="28" t="s">
        <v>44</v>
      </c>
      <c r="U367" s="28" t="s">
        <v>44</v>
      </c>
      <c r="V367" s="28" t="s">
        <v>2498</v>
      </c>
      <c r="W367" s="28" t="s">
        <v>774</v>
      </c>
      <c r="X367" s="28"/>
      <c r="Y367" s="28"/>
      <c r="Z367" s="28"/>
      <c r="AA367" s="28"/>
    </row>
    <row r="368">
      <c r="A368" s="270" t="s">
        <v>2499</v>
      </c>
      <c r="B368" s="28" t="s">
        <v>36</v>
      </c>
      <c r="C368" s="28" t="s">
        <v>2398</v>
      </c>
      <c r="D368" s="28" t="s">
        <v>44</v>
      </c>
      <c r="E368" s="28" t="s">
        <v>44</v>
      </c>
      <c r="F368" s="28" t="s">
        <v>1612</v>
      </c>
      <c r="G368" s="28" t="s">
        <v>47</v>
      </c>
      <c r="H368" s="28" t="s">
        <v>48</v>
      </c>
      <c r="I368" s="28" t="s">
        <v>485</v>
      </c>
      <c r="J368" s="28" t="s">
        <v>1614</v>
      </c>
      <c r="K368" s="28" t="s">
        <v>1615</v>
      </c>
      <c r="L368" s="28" t="s">
        <v>52</v>
      </c>
      <c r="M368" s="28" t="s">
        <v>52</v>
      </c>
      <c r="N368" s="28" t="s">
        <v>2402</v>
      </c>
      <c r="O368" s="28" t="s">
        <v>44</v>
      </c>
      <c r="P368" s="28" t="s">
        <v>2403</v>
      </c>
      <c r="Q368" s="28" t="s">
        <v>2404</v>
      </c>
      <c r="R368" s="28" t="s">
        <v>44</v>
      </c>
      <c r="S368" s="28" t="s">
        <v>44</v>
      </c>
      <c r="T368" s="28" t="s">
        <v>44</v>
      </c>
      <c r="U368" s="28" t="s">
        <v>44</v>
      </c>
      <c r="V368" s="28" t="s">
        <v>2505</v>
      </c>
      <c r="W368" s="28" t="s">
        <v>774</v>
      </c>
      <c r="X368" s="28"/>
      <c r="Y368" s="28"/>
      <c r="Z368" s="28"/>
      <c r="AA368" s="28"/>
    </row>
    <row r="369">
      <c r="A369" s="270" t="s">
        <v>2506</v>
      </c>
      <c r="B369" s="28" t="s">
        <v>36</v>
      </c>
      <c r="C369" s="28" t="s">
        <v>2406</v>
      </c>
      <c r="D369" s="28" t="s">
        <v>44</v>
      </c>
      <c r="E369" s="28" t="s">
        <v>44</v>
      </c>
      <c r="F369" s="28" t="s">
        <v>1612</v>
      </c>
      <c r="G369" s="28" t="s">
        <v>47</v>
      </c>
      <c r="H369" s="28" t="s">
        <v>95</v>
      </c>
      <c r="I369" s="28" t="s">
        <v>485</v>
      </c>
      <c r="J369" s="28" t="s">
        <v>1614</v>
      </c>
      <c r="K369" s="28" t="s">
        <v>1615</v>
      </c>
      <c r="L369" s="28" t="s">
        <v>52</v>
      </c>
      <c r="M369" s="28" t="s">
        <v>52</v>
      </c>
      <c r="N369" s="28" t="s">
        <v>2408</v>
      </c>
      <c r="O369" s="28" t="s">
        <v>44</v>
      </c>
      <c r="P369" s="28" t="s">
        <v>2409</v>
      </c>
      <c r="Q369" s="28" t="s">
        <v>2410</v>
      </c>
      <c r="R369" s="28" t="s">
        <v>44</v>
      </c>
      <c r="S369" s="28" t="s">
        <v>44</v>
      </c>
      <c r="T369" s="28" t="s">
        <v>44</v>
      </c>
      <c r="U369" s="28" t="s">
        <v>44</v>
      </c>
      <c r="V369" s="28" t="s">
        <v>2510</v>
      </c>
      <c r="W369" s="28" t="s">
        <v>774</v>
      </c>
      <c r="X369" s="28"/>
      <c r="Y369" s="28"/>
      <c r="Z369" s="28"/>
      <c r="AA369" s="28"/>
    </row>
    <row r="370">
      <c r="A370" s="270" t="s">
        <v>2511</v>
      </c>
      <c r="B370" s="28" t="s">
        <v>36</v>
      </c>
      <c r="C370" s="28" t="s">
        <v>2417</v>
      </c>
      <c r="D370" s="28" t="s">
        <v>44</v>
      </c>
      <c r="E370" s="28" t="s">
        <v>44</v>
      </c>
      <c r="F370" s="28" t="s">
        <v>1612</v>
      </c>
      <c r="G370" s="28" t="s">
        <v>197</v>
      </c>
      <c r="H370" s="28" t="s">
        <v>91</v>
      </c>
      <c r="I370" s="28" t="s">
        <v>485</v>
      </c>
      <c r="J370" s="28" t="s">
        <v>1614</v>
      </c>
      <c r="K370" s="28" t="s">
        <v>1615</v>
      </c>
      <c r="L370" s="28" t="s">
        <v>52</v>
      </c>
      <c r="M370" s="28" t="s">
        <v>52</v>
      </c>
      <c r="N370" s="28" t="s">
        <v>2402</v>
      </c>
      <c r="O370" s="28" t="s">
        <v>44</v>
      </c>
      <c r="P370" s="28" t="s">
        <v>2419</v>
      </c>
      <c r="Q370" s="28" t="s">
        <v>2420</v>
      </c>
      <c r="R370" s="28" t="s">
        <v>44</v>
      </c>
      <c r="S370" s="28" t="s">
        <v>44</v>
      </c>
      <c r="T370" s="28" t="s">
        <v>44</v>
      </c>
      <c r="U370" s="28" t="s">
        <v>44</v>
      </c>
      <c r="V370" s="28" t="s">
        <v>2515</v>
      </c>
      <c r="W370" s="28" t="s">
        <v>774</v>
      </c>
      <c r="X370" s="28"/>
      <c r="Y370" s="28"/>
      <c r="Z370" s="28"/>
      <c r="AA370" s="28"/>
    </row>
    <row r="371">
      <c r="A371" s="270" t="s">
        <v>2516</v>
      </c>
      <c r="B371" s="28" t="s">
        <v>36</v>
      </c>
      <c r="C371" s="28" t="s">
        <v>2422</v>
      </c>
      <c r="D371" s="28" t="s">
        <v>44</v>
      </c>
      <c r="E371" s="28" t="s">
        <v>44</v>
      </c>
      <c r="F371" s="28" t="s">
        <v>1612</v>
      </c>
      <c r="G371" s="28" t="s">
        <v>47</v>
      </c>
      <c r="H371" s="28" t="s">
        <v>95</v>
      </c>
      <c r="I371" s="28" t="s">
        <v>485</v>
      </c>
      <c r="J371" s="28" t="s">
        <v>1614</v>
      </c>
      <c r="K371" s="28" t="s">
        <v>1615</v>
      </c>
      <c r="L371" s="28" t="s">
        <v>52</v>
      </c>
      <c r="M371" s="28" t="s">
        <v>52</v>
      </c>
      <c r="N371" s="28" t="s">
        <v>2402</v>
      </c>
      <c r="O371" s="28" t="s">
        <v>44</v>
      </c>
      <c r="P371" s="28" t="s">
        <v>2425</v>
      </c>
      <c r="Q371" s="28" t="s">
        <v>2426</v>
      </c>
      <c r="R371" s="28" t="s">
        <v>44</v>
      </c>
      <c r="S371" s="28" t="s">
        <v>44</v>
      </c>
      <c r="T371" s="28" t="s">
        <v>44</v>
      </c>
      <c r="U371" s="28" t="s">
        <v>44</v>
      </c>
      <c r="V371" s="28" t="s">
        <v>2519</v>
      </c>
      <c r="W371" s="28" t="s">
        <v>774</v>
      </c>
      <c r="X371" s="28"/>
      <c r="Y371" s="28"/>
      <c r="Z371" s="28"/>
      <c r="AA371" s="28"/>
    </row>
    <row r="372">
      <c r="A372" s="270" t="s">
        <v>2522</v>
      </c>
      <c r="B372" s="28" t="s">
        <v>36</v>
      </c>
      <c r="C372" s="28" t="s">
        <v>2427</v>
      </c>
      <c r="D372" s="28" t="s">
        <v>44</v>
      </c>
      <c r="E372" s="28" t="s">
        <v>44</v>
      </c>
      <c r="F372" s="28" t="s">
        <v>1612</v>
      </c>
      <c r="G372" s="28" t="s">
        <v>47</v>
      </c>
      <c r="H372" s="28" t="s">
        <v>48</v>
      </c>
      <c r="I372" s="28" t="s">
        <v>485</v>
      </c>
      <c r="J372" s="28" t="s">
        <v>1614</v>
      </c>
      <c r="K372" s="28" t="s">
        <v>1615</v>
      </c>
      <c r="L372" s="28" t="s">
        <v>52</v>
      </c>
      <c r="M372" s="28" t="s">
        <v>52</v>
      </c>
      <c r="N372" s="28" t="s">
        <v>2430</v>
      </c>
      <c r="O372" s="28" t="s">
        <v>44</v>
      </c>
      <c r="P372" s="28" t="s">
        <v>2431</v>
      </c>
      <c r="Q372" s="28" t="s">
        <v>2432</v>
      </c>
      <c r="R372" s="28" t="s">
        <v>44</v>
      </c>
      <c r="S372" s="28" t="s">
        <v>44</v>
      </c>
      <c r="T372" s="28" t="s">
        <v>44</v>
      </c>
      <c r="U372" s="28" t="s">
        <v>44</v>
      </c>
      <c r="V372" s="28" t="s">
        <v>2524</v>
      </c>
      <c r="W372" s="28" t="s">
        <v>774</v>
      </c>
      <c r="X372" s="28"/>
      <c r="Y372" s="28"/>
      <c r="Z372" s="28"/>
      <c r="AA372" s="28"/>
    </row>
    <row r="373">
      <c r="A373" s="270" t="s">
        <v>2527</v>
      </c>
      <c r="B373" s="28" t="s">
        <v>36</v>
      </c>
      <c r="C373" s="28" t="s">
        <v>2434</v>
      </c>
      <c r="D373" s="28" t="s">
        <v>44</v>
      </c>
      <c r="E373" s="28" t="s">
        <v>44</v>
      </c>
      <c r="F373" s="28" t="s">
        <v>1612</v>
      </c>
      <c r="G373" s="28" t="s">
        <v>47</v>
      </c>
      <c r="H373" s="28" t="s">
        <v>48</v>
      </c>
      <c r="I373" s="28" t="s">
        <v>485</v>
      </c>
      <c r="J373" s="28" t="s">
        <v>1614</v>
      </c>
      <c r="K373" s="28" t="s">
        <v>1615</v>
      </c>
      <c r="L373" s="28" t="s">
        <v>52</v>
      </c>
      <c r="M373" s="28" t="s">
        <v>52</v>
      </c>
      <c r="N373" s="28" t="s">
        <v>2209</v>
      </c>
      <c r="O373" s="28" t="s">
        <v>44</v>
      </c>
      <c r="P373" s="28" t="s">
        <v>2436</v>
      </c>
      <c r="Q373" s="28" t="s">
        <v>2437</v>
      </c>
      <c r="R373" s="28" t="s">
        <v>44</v>
      </c>
      <c r="S373" s="28" t="s">
        <v>44</v>
      </c>
      <c r="T373" s="28" t="s">
        <v>44</v>
      </c>
      <c r="U373" s="28" t="s">
        <v>44</v>
      </c>
      <c r="V373" s="28" t="s">
        <v>2530</v>
      </c>
      <c r="W373" s="28" t="s">
        <v>774</v>
      </c>
      <c r="X373" s="28"/>
      <c r="Y373" s="28"/>
      <c r="Z373" s="28"/>
      <c r="AA373" s="28"/>
    </row>
    <row r="374">
      <c r="A374" s="270" t="s">
        <v>2533</v>
      </c>
      <c r="B374" s="28" t="s">
        <v>36</v>
      </c>
      <c r="C374" s="28" t="s">
        <v>2439</v>
      </c>
      <c r="D374" s="28" t="s">
        <v>44</v>
      </c>
      <c r="E374" s="28" t="s">
        <v>44</v>
      </c>
      <c r="F374" s="28" t="s">
        <v>1612</v>
      </c>
      <c r="G374" s="28" t="s">
        <v>47</v>
      </c>
      <c r="H374" s="28" t="s">
        <v>48</v>
      </c>
      <c r="I374" s="28" t="s">
        <v>485</v>
      </c>
      <c r="J374" s="28" t="s">
        <v>1614</v>
      </c>
      <c r="K374" s="28" t="s">
        <v>1615</v>
      </c>
      <c r="L374" s="28" t="s">
        <v>52</v>
      </c>
      <c r="M374" s="28" t="s">
        <v>52</v>
      </c>
      <c r="N374" s="28" t="s">
        <v>2441</v>
      </c>
      <c r="O374" s="28" t="s">
        <v>44</v>
      </c>
      <c r="P374" s="28" t="s">
        <v>2442</v>
      </c>
      <c r="Q374" s="28" t="s">
        <v>2443</v>
      </c>
      <c r="R374" s="28" t="s">
        <v>44</v>
      </c>
      <c r="S374" s="28" t="s">
        <v>44</v>
      </c>
      <c r="T374" s="28" t="s">
        <v>44</v>
      </c>
      <c r="U374" s="28" t="s">
        <v>44</v>
      </c>
      <c r="V374" s="28" t="s">
        <v>2535</v>
      </c>
      <c r="W374" s="28" t="s">
        <v>774</v>
      </c>
      <c r="X374" s="28"/>
      <c r="Y374" s="28"/>
      <c r="Z374" s="28"/>
      <c r="AA374" s="28"/>
    </row>
    <row r="375">
      <c r="A375" s="270" t="s">
        <v>2537</v>
      </c>
      <c r="B375" s="28" t="s">
        <v>36</v>
      </c>
      <c r="C375" s="28" t="s">
        <v>2444</v>
      </c>
      <c r="D375" s="28" t="s">
        <v>44</v>
      </c>
      <c r="E375" s="28" t="s">
        <v>44</v>
      </c>
      <c r="F375" s="28" t="s">
        <v>1612</v>
      </c>
      <c r="G375" s="28" t="s">
        <v>47</v>
      </c>
      <c r="H375" s="28" t="s">
        <v>95</v>
      </c>
      <c r="I375" s="28" t="s">
        <v>485</v>
      </c>
      <c r="J375" s="28" t="s">
        <v>1614</v>
      </c>
      <c r="K375" s="28" t="s">
        <v>1615</v>
      </c>
      <c r="L375" s="28" t="s">
        <v>52</v>
      </c>
      <c r="M375" s="28" t="s">
        <v>52</v>
      </c>
      <c r="N375" s="28" t="s">
        <v>2447</v>
      </c>
      <c r="O375" s="28" t="s">
        <v>44</v>
      </c>
      <c r="P375" s="28" t="s">
        <v>2448</v>
      </c>
      <c r="Q375" s="28" t="s">
        <v>2449</v>
      </c>
      <c r="R375" s="28" t="s">
        <v>44</v>
      </c>
      <c r="S375" s="28" t="s">
        <v>44</v>
      </c>
      <c r="T375" s="28" t="s">
        <v>44</v>
      </c>
      <c r="U375" s="28" t="s">
        <v>44</v>
      </c>
      <c r="V375" s="28" t="s">
        <v>2541</v>
      </c>
      <c r="W375" s="28" t="s">
        <v>774</v>
      </c>
      <c r="X375" s="28"/>
      <c r="Y375" s="28"/>
      <c r="Z375" s="28"/>
      <c r="AA375" s="28"/>
    </row>
    <row r="376">
      <c r="A376" s="270" t="s">
        <v>2544</v>
      </c>
      <c r="B376" s="28" t="s">
        <v>36</v>
      </c>
      <c r="C376" s="28" t="s">
        <v>2450</v>
      </c>
      <c r="D376" s="28" t="s">
        <v>44</v>
      </c>
      <c r="E376" s="28" t="s">
        <v>44</v>
      </c>
      <c r="F376" s="28" t="s">
        <v>1612</v>
      </c>
      <c r="G376" s="28" t="s">
        <v>197</v>
      </c>
      <c r="H376" s="28" t="s">
        <v>91</v>
      </c>
      <c r="I376" s="28" t="s">
        <v>485</v>
      </c>
      <c r="J376" s="28" t="s">
        <v>1614</v>
      </c>
      <c r="K376" s="28" t="s">
        <v>1615</v>
      </c>
      <c r="L376" s="28" t="s">
        <v>52</v>
      </c>
      <c r="M376" s="28" t="s">
        <v>52</v>
      </c>
      <c r="N376" s="28" t="s">
        <v>2447</v>
      </c>
      <c r="O376" s="28" t="s">
        <v>44</v>
      </c>
      <c r="P376" s="28" t="s">
        <v>2453</v>
      </c>
      <c r="Q376" s="28" t="s">
        <v>2454</v>
      </c>
      <c r="R376" s="28" t="s">
        <v>44</v>
      </c>
      <c r="S376" s="28" t="s">
        <v>44</v>
      </c>
      <c r="T376" s="28" t="s">
        <v>44</v>
      </c>
      <c r="U376" s="28" t="s">
        <v>44</v>
      </c>
      <c r="V376" s="28" t="s">
        <v>2546</v>
      </c>
      <c r="W376" s="28" t="s">
        <v>774</v>
      </c>
      <c r="X376" s="28"/>
      <c r="Y376" s="28"/>
      <c r="Z376" s="28"/>
      <c r="AA376" s="28"/>
    </row>
    <row r="377">
      <c r="A377" s="270" t="s">
        <v>2547</v>
      </c>
      <c r="B377" s="28" t="s">
        <v>36</v>
      </c>
      <c r="C377" s="28" t="s">
        <v>2455</v>
      </c>
      <c r="D377" s="28" t="s">
        <v>44</v>
      </c>
      <c r="E377" s="28" t="s">
        <v>44</v>
      </c>
      <c r="F377" s="28" t="s">
        <v>1612</v>
      </c>
      <c r="G377" s="28" t="s">
        <v>47</v>
      </c>
      <c r="H377" s="28" t="s">
        <v>48</v>
      </c>
      <c r="I377" s="28" t="s">
        <v>485</v>
      </c>
      <c r="J377" s="28" t="s">
        <v>1614</v>
      </c>
      <c r="K377" s="28" t="s">
        <v>1615</v>
      </c>
      <c r="L377" s="28" t="s">
        <v>52</v>
      </c>
      <c r="M377" s="28" t="s">
        <v>52</v>
      </c>
      <c r="N377" s="28" t="s">
        <v>2388</v>
      </c>
      <c r="O377" s="28" t="s">
        <v>44</v>
      </c>
      <c r="P377" s="28" t="s">
        <v>2458</v>
      </c>
      <c r="Q377" s="28" t="s">
        <v>2459</v>
      </c>
      <c r="R377" s="28" t="s">
        <v>44</v>
      </c>
      <c r="S377" s="28" t="s">
        <v>44</v>
      </c>
      <c r="T377" s="28" t="s">
        <v>44</v>
      </c>
      <c r="U377" s="28" t="s">
        <v>44</v>
      </c>
      <c r="V377" s="28" t="s">
        <v>2551</v>
      </c>
      <c r="W377" s="28" t="s">
        <v>774</v>
      </c>
      <c r="X377" s="28"/>
      <c r="Y377" s="28"/>
      <c r="Z377" s="28"/>
      <c r="AA377" s="28"/>
    </row>
    <row r="378">
      <c r="A378" s="270" t="s">
        <v>2553</v>
      </c>
      <c r="B378" s="28" t="s">
        <v>36</v>
      </c>
      <c r="C378" s="28" t="s">
        <v>2460</v>
      </c>
      <c r="D378" s="28" t="s">
        <v>44</v>
      </c>
      <c r="E378" s="28" t="s">
        <v>44</v>
      </c>
      <c r="F378" s="28" t="s">
        <v>1612</v>
      </c>
      <c r="G378" s="28" t="s">
        <v>47</v>
      </c>
      <c r="H378" s="28" t="s">
        <v>48</v>
      </c>
      <c r="I378" s="28" t="s">
        <v>485</v>
      </c>
      <c r="J378" s="28" t="s">
        <v>1614</v>
      </c>
      <c r="K378" s="28" t="s">
        <v>1615</v>
      </c>
      <c r="L378" s="28" t="s">
        <v>52</v>
      </c>
      <c r="M378" s="28" t="s">
        <v>52</v>
      </c>
      <c r="N378" s="28" t="s">
        <v>2388</v>
      </c>
      <c r="O378" s="28" t="s">
        <v>44</v>
      </c>
      <c r="P378" s="28" t="s">
        <v>2463</v>
      </c>
      <c r="Q378" s="28" t="s">
        <v>2432</v>
      </c>
      <c r="R378" s="28" t="s">
        <v>44</v>
      </c>
      <c r="S378" s="28" t="s">
        <v>44</v>
      </c>
      <c r="T378" s="28" t="s">
        <v>44</v>
      </c>
      <c r="U378" s="28" t="s">
        <v>44</v>
      </c>
      <c r="V378" s="28" t="s">
        <v>2557</v>
      </c>
      <c r="W378" s="28" t="s">
        <v>774</v>
      </c>
      <c r="X378" s="28"/>
      <c r="Y378" s="28"/>
      <c r="Z378" s="28"/>
      <c r="AA378" s="28"/>
    </row>
    <row r="379">
      <c r="A379" s="270" t="s">
        <v>2558</v>
      </c>
      <c r="B379" s="28" t="s">
        <v>36</v>
      </c>
      <c r="C379" s="28" t="s">
        <v>2464</v>
      </c>
      <c r="D379" s="28" t="s">
        <v>44</v>
      </c>
      <c r="E379" s="28" t="s">
        <v>44</v>
      </c>
      <c r="F379" s="28" t="s">
        <v>1612</v>
      </c>
      <c r="G379" s="28" t="s">
        <v>47</v>
      </c>
      <c r="H379" s="28" t="s">
        <v>48</v>
      </c>
      <c r="I379" s="28" t="s">
        <v>485</v>
      </c>
      <c r="J379" s="28" t="s">
        <v>1614</v>
      </c>
      <c r="K379" s="28" t="s">
        <v>1615</v>
      </c>
      <c r="L379" s="28" t="s">
        <v>52</v>
      </c>
      <c r="M379" s="28" t="s">
        <v>52</v>
      </c>
      <c r="N379" s="28" t="s">
        <v>2467</v>
      </c>
      <c r="O379" s="28" t="s">
        <v>44</v>
      </c>
      <c r="P379" s="28" t="s">
        <v>2468</v>
      </c>
      <c r="Q379" s="28" t="s">
        <v>2469</v>
      </c>
      <c r="R379" s="28" t="s">
        <v>44</v>
      </c>
      <c r="S379" s="28" t="s">
        <v>44</v>
      </c>
      <c r="T379" s="28" t="s">
        <v>44</v>
      </c>
      <c r="U379" s="28" t="s">
        <v>44</v>
      </c>
      <c r="V379" s="28" t="s">
        <v>2563</v>
      </c>
      <c r="W379" s="28" t="s">
        <v>774</v>
      </c>
      <c r="X379" s="28"/>
      <c r="Y379" s="28"/>
      <c r="Z379" s="28"/>
      <c r="AA379" s="28"/>
    </row>
    <row r="380">
      <c r="A380" s="270" t="s">
        <v>2564</v>
      </c>
      <c r="B380" s="28" t="s">
        <v>36</v>
      </c>
      <c r="C380" s="28" t="s">
        <v>2470</v>
      </c>
      <c r="D380" s="28" t="s">
        <v>44</v>
      </c>
      <c r="E380" s="28" t="s">
        <v>44</v>
      </c>
      <c r="F380" s="28" t="s">
        <v>1612</v>
      </c>
      <c r="G380" s="28" t="s">
        <v>47</v>
      </c>
      <c r="H380" s="28" t="s">
        <v>95</v>
      </c>
      <c r="I380" s="28" t="s">
        <v>485</v>
      </c>
      <c r="J380" s="28" t="s">
        <v>1614</v>
      </c>
      <c r="K380" s="28" t="s">
        <v>1615</v>
      </c>
      <c r="L380" s="28" t="s">
        <v>52</v>
      </c>
      <c r="M380" s="28" t="s">
        <v>52</v>
      </c>
      <c r="N380" s="28" t="s">
        <v>2388</v>
      </c>
      <c r="O380" s="28" t="s">
        <v>44</v>
      </c>
      <c r="P380" s="28" t="s">
        <v>2473</v>
      </c>
      <c r="Q380" s="28" t="s">
        <v>2474</v>
      </c>
      <c r="R380" s="28" t="s">
        <v>44</v>
      </c>
      <c r="S380" s="28" t="s">
        <v>44</v>
      </c>
      <c r="T380" s="28" t="s">
        <v>44</v>
      </c>
      <c r="U380" s="28" t="s">
        <v>44</v>
      </c>
      <c r="V380" s="28" t="s">
        <v>2567</v>
      </c>
      <c r="W380" s="28" t="s">
        <v>774</v>
      </c>
      <c r="X380" s="28"/>
      <c r="Y380" s="28"/>
      <c r="Z380" s="28"/>
      <c r="AA380" s="28"/>
    </row>
    <row r="381">
      <c r="A381" s="270" t="s">
        <v>2569</v>
      </c>
      <c r="B381" s="28" t="s">
        <v>36</v>
      </c>
      <c r="C381" s="28" t="s">
        <v>2476</v>
      </c>
      <c r="D381" s="28" t="s">
        <v>44</v>
      </c>
      <c r="E381" s="28" t="s">
        <v>44</v>
      </c>
      <c r="F381" s="28" t="s">
        <v>1612</v>
      </c>
      <c r="G381" s="28" t="s">
        <v>47</v>
      </c>
      <c r="H381" s="28" t="s">
        <v>95</v>
      </c>
      <c r="I381" s="28" t="s">
        <v>485</v>
      </c>
      <c r="J381" s="28" t="s">
        <v>1614</v>
      </c>
      <c r="K381" s="28" t="s">
        <v>1615</v>
      </c>
      <c r="L381" s="28" t="s">
        <v>52</v>
      </c>
      <c r="M381" s="28" t="s">
        <v>52</v>
      </c>
      <c r="N381" s="28" t="s">
        <v>2388</v>
      </c>
      <c r="O381" s="28" t="s">
        <v>44</v>
      </c>
      <c r="P381" s="28" t="s">
        <v>2478</v>
      </c>
      <c r="Q381" s="28" t="s">
        <v>2479</v>
      </c>
      <c r="R381" s="28" t="s">
        <v>44</v>
      </c>
      <c r="S381" s="28" t="s">
        <v>44</v>
      </c>
      <c r="T381" s="28" t="s">
        <v>44</v>
      </c>
      <c r="U381" s="28" t="s">
        <v>44</v>
      </c>
      <c r="V381" s="28" t="s">
        <v>2571</v>
      </c>
      <c r="W381" s="28" t="s">
        <v>774</v>
      </c>
      <c r="X381" s="28"/>
      <c r="Y381" s="28"/>
      <c r="Z381" s="28"/>
      <c r="AA381" s="28"/>
    </row>
    <row r="382">
      <c r="A382" s="270" t="s">
        <v>2573</v>
      </c>
      <c r="B382" s="28" t="s">
        <v>36</v>
      </c>
      <c r="C382" s="28" t="s">
        <v>2481</v>
      </c>
      <c r="D382" s="28" t="s">
        <v>44</v>
      </c>
      <c r="E382" s="28" t="s">
        <v>44</v>
      </c>
      <c r="F382" s="28" t="s">
        <v>1612</v>
      </c>
      <c r="G382" s="28" t="s">
        <v>47</v>
      </c>
      <c r="H382" s="28" t="s">
        <v>48</v>
      </c>
      <c r="I382" s="28" t="s">
        <v>485</v>
      </c>
      <c r="J382" s="28" t="s">
        <v>1614</v>
      </c>
      <c r="K382" s="28" t="s">
        <v>1615</v>
      </c>
      <c r="L382" s="28" t="s">
        <v>52</v>
      </c>
      <c r="M382" s="28" t="s">
        <v>52</v>
      </c>
      <c r="N382" s="28" t="s">
        <v>2388</v>
      </c>
      <c r="O382" s="28" t="s">
        <v>44</v>
      </c>
      <c r="P382" s="28" t="s">
        <v>2483</v>
      </c>
      <c r="Q382" s="28" t="s">
        <v>2484</v>
      </c>
      <c r="R382" s="28" t="s">
        <v>44</v>
      </c>
      <c r="S382" s="28" t="s">
        <v>44</v>
      </c>
      <c r="T382" s="28" t="s">
        <v>44</v>
      </c>
      <c r="U382" s="28" t="s">
        <v>44</v>
      </c>
      <c r="V382" s="28" t="s">
        <v>2576</v>
      </c>
      <c r="W382" s="28" t="s">
        <v>774</v>
      </c>
      <c r="X382" s="28"/>
      <c r="Y382" s="28"/>
      <c r="Z382" s="28"/>
      <c r="AA382" s="28"/>
    </row>
    <row r="383">
      <c r="A383" s="270" t="s">
        <v>2578</v>
      </c>
      <c r="B383" s="28" t="s">
        <v>36</v>
      </c>
      <c r="C383" s="28" t="s">
        <v>2486</v>
      </c>
      <c r="D383" s="28" t="s">
        <v>44</v>
      </c>
      <c r="E383" s="28" t="s">
        <v>44</v>
      </c>
      <c r="F383" s="28" t="s">
        <v>1612</v>
      </c>
      <c r="G383" s="28" t="s">
        <v>47</v>
      </c>
      <c r="H383" s="28" t="s">
        <v>48</v>
      </c>
      <c r="I383" s="28" t="s">
        <v>485</v>
      </c>
      <c r="J383" s="28" t="s">
        <v>1614</v>
      </c>
      <c r="K383" s="28" t="s">
        <v>1615</v>
      </c>
      <c r="L383" s="28" t="s">
        <v>52</v>
      </c>
      <c r="M383" s="28" t="s">
        <v>52</v>
      </c>
      <c r="N383" s="28" t="s">
        <v>2488</v>
      </c>
      <c r="O383" s="28" t="s">
        <v>44</v>
      </c>
      <c r="P383" s="28" t="s">
        <v>2489</v>
      </c>
      <c r="Q383" s="28" t="s">
        <v>2490</v>
      </c>
      <c r="R383" s="28" t="s">
        <v>44</v>
      </c>
      <c r="S383" s="28" t="s">
        <v>44</v>
      </c>
      <c r="T383" s="28" t="s">
        <v>44</v>
      </c>
      <c r="U383" s="28" t="s">
        <v>44</v>
      </c>
      <c r="V383" s="28" t="s">
        <v>2582</v>
      </c>
      <c r="W383" s="28" t="s">
        <v>774</v>
      </c>
      <c r="X383" s="28"/>
      <c r="Y383" s="28"/>
      <c r="Z383" s="28"/>
      <c r="AA383" s="28"/>
    </row>
    <row r="384">
      <c r="A384" s="270" t="s">
        <v>2584</v>
      </c>
      <c r="B384" s="28" t="s">
        <v>36</v>
      </c>
      <c r="C384" s="28" t="s">
        <v>2492</v>
      </c>
      <c r="D384" s="28" t="s">
        <v>44</v>
      </c>
      <c r="E384" s="28" t="s">
        <v>44</v>
      </c>
      <c r="F384" s="28" t="s">
        <v>1612</v>
      </c>
      <c r="G384" s="28" t="s">
        <v>47</v>
      </c>
      <c r="H384" s="28" t="s">
        <v>95</v>
      </c>
      <c r="I384" s="28" t="s">
        <v>485</v>
      </c>
      <c r="J384" s="28" t="s">
        <v>1614</v>
      </c>
      <c r="K384" s="28" t="s">
        <v>1615</v>
      </c>
      <c r="L384" s="28" t="s">
        <v>52</v>
      </c>
      <c r="M384" s="28" t="s">
        <v>52</v>
      </c>
      <c r="N384" s="28" t="s">
        <v>2495</v>
      </c>
      <c r="O384" s="28" t="s">
        <v>44</v>
      </c>
      <c r="P384" s="28" t="s">
        <v>2496</v>
      </c>
      <c r="Q384" s="28" t="s">
        <v>2497</v>
      </c>
      <c r="R384" s="28" t="s">
        <v>44</v>
      </c>
      <c r="S384" s="28" t="s">
        <v>44</v>
      </c>
      <c r="T384" s="28" t="s">
        <v>44</v>
      </c>
      <c r="U384" s="28" t="s">
        <v>44</v>
      </c>
      <c r="V384" s="28" t="s">
        <v>2588</v>
      </c>
      <c r="W384" s="28" t="s">
        <v>774</v>
      </c>
      <c r="X384" s="28"/>
      <c r="Y384" s="28"/>
      <c r="Z384" s="28"/>
      <c r="AA384" s="28"/>
    </row>
    <row r="385">
      <c r="A385" s="270" t="s">
        <v>2590</v>
      </c>
      <c r="B385" s="28" t="s">
        <v>36</v>
      </c>
      <c r="C385" s="28" t="s">
        <v>2500</v>
      </c>
      <c r="D385" s="28" t="s">
        <v>44</v>
      </c>
      <c r="E385" s="28" t="s">
        <v>44</v>
      </c>
      <c r="F385" s="28" t="s">
        <v>1612</v>
      </c>
      <c r="G385" s="28" t="s">
        <v>47</v>
      </c>
      <c r="H385" s="28" t="s">
        <v>48</v>
      </c>
      <c r="I385" s="28" t="s">
        <v>485</v>
      </c>
      <c r="J385" s="28" t="s">
        <v>2501</v>
      </c>
      <c r="K385" s="28" t="s">
        <v>51</v>
      </c>
      <c r="L385" s="28" t="s">
        <v>52</v>
      </c>
      <c r="M385" s="28" t="s">
        <v>52</v>
      </c>
      <c r="N385" s="28" t="s">
        <v>2502</v>
      </c>
      <c r="O385" s="28" t="s">
        <v>44</v>
      </c>
      <c r="P385" s="28" t="s">
        <v>2503</v>
      </c>
      <c r="Q385" s="28" t="s">
        <v>2504</v>
      </c>
      <c r="R385" s="28" t="s">
        <v>44</v>
      </c>
      <c r="S385" s="28" t="s">
        <v>44</v>
      </c>
      <c r="T385" s="28" t="s">
        <v>44</v>
      </c>
      <c r="U385" s="28" t="s">
        <v>44</v>
      </c>
      <c r="V385" s="28" t="s">
        <v>2594</v>
      </c>
      <c r="W385" s="28" t="s">
        <v>774</v>
      </c>
      <c r="X385" s="28"/>
      <c r="Y385" s="28"/>
      <c r="Z385" s="28"/>
      <c r="AA385" s="28"/>
    </row>
    <row r="386">
      <c r="A386" s="270" t="s">
        <v>2596</v>
      </c>
      <c r="B386" s="28" t="s">
        <v>36</v>
      </c>
      <c r="C386" s="28" t="s">
        <v>2507</v>
      </c>
      <c r="D386" s="28" t="s">
        <v>44</v>
      </c>
      <c r="E386" s="28" t="s">
        <v>44</v>
      </c>
      <c r="F386" s="28" t="s">
        <v>1612</v>
      </c>
      <c r="G386" s="28" t="s">
        <v>47</v>
      </c>
      <c r="H386" s="28" t="s">
        <v>48</v>
      </c>
      <c r="I386" s="28" t="s">
        <v>485</v>
      </c>
      <c r="J386" s="28" t="s">
        <v>2501</v>
      </c>
      <c r="K386" s="28" t="s">
        <v>51</v>
      </c>
      <c r="L386" s="28" t="s">
        <v>52</v>
      </c>
      <c r="M386" s="28" t="s">
        <v>52</v>
      </c>
      <c r="N386" s="28" t="s">
        <v>2502</v>
      </c>
      <c r="O386" s="28" t="s">
        <v>44</v>
      </c>
      <c r="P386" s="28" t="s">
        <v>2508</v>
      </c>
      <c r="Q386" s="28" t="s">
        <v>2509</v>
      </c>
      <c r="R386" s="28" t="s">
        <v>44</v>
      </c>
      <c r="S386" s="28" t="s">
        <v>44</v>
      </c>
      <c r="T386" s="28" t="s">
        <v>44</v>
      </c>
      <c r="U386" s="28" t="s">
        <v>44</v>
      </c>
      <c r="V386" s="28" t="s">
        <v>2600</v>
      </c>
      <c r="W386" s="28" t="s">
        <v>774</v>
      </c>
      <c r="X386" s="28"/>
      <c r="Y386" s="28"/>
      <c r="Z386" s="28"/>
      <c r="AA386" s="28"/>
    </row>
    <row r="387">
      <c r="A387" s="270" t="s">
        <v>2602</v>
      </c>
      <c r="B387" s="28" t="s">
        <v>36</v>
      </c>
      <c r="C387" s="28" t="s">
        <v>2512</v>
      </c>
      <c r="D387" s="28" t="s">
        <v>44</v>
      </c>
      <c r="E387" s="28" t="s">
        <v>44</v>
      </c>
      <c r="F387" s="28" t="s">
        <v>1612</v>
      </c>
      <c r="G387" s="28" t="s">
        <v>47</v>
      </c>
      <c r="H387" s="28" t="s">
        <v>48</v>
      </c>
      <c r="I387" s="28" t="s">
        <v>485</v>
      </c>
      <c r="J387" s="28" t="s">
        <v>2501</v>
      </c>
      <c r="K387" s="28" t="s">
        <v>51</v>
      </c>
      <c r="L387" s="28" t="s">
        <v>52</v>
      </c>
      <c r="M387" s="28" t="s">
        <v>52</v>
      </c>
      <c r="N387" s="28" t="s">
        <v>2502</v>
      </c>
      <c r="O387" s="28" t="s">
        <v>44</v>
      </c>
      <c r="P387" s="28" t="s">
        <v>2513</v>
      </c>
      <c r="Q387" s="28" t="s">
        <v>2514</v>
      </c>
      <c r="R387" s="28" t="s">
        <v>44</v>
      </c>
      <c r="S387" s="28" t="s">
        <v>44</v>
      </c>
      <c r="T387" s="28" t="s">
        <v>44</v>
      </c>
      <c r="U387" s="28" t="s">
        <v>44</v>
      </c>
      <c r="V387" s="28" t="s">
        <v>2605</v>
      </c>
      <c r="W387" s="28" t="s">
        <v>774</v>
      </c>
      <c r="X387" s="28"/>
      <c r="Y387" s="28"/>
      <c r="Z387" s="28"/>
      <c r="AA387" s="28"/>
    </row>
    <row r="388">
      <c r="A388" s="270" t="s">
        <v>2606</v>
      </c>
      <c r="B388" s="28" t="s">
        <v>36</v>
      </c>
      <c r="C388" s="28" t="s">
        <v>2517</v>
      </c>
      <c r="D388" s="28" t="s">
        <v>44</v>
      </c>
      <c r="E388" s="28" t="s">
        <v>44</v>
      </c>
      <c r="F388" s="28" t="s">
        <v>1612</v>
      </c>
      <c r="G388" s="28" t="s">
        <v>47</v>
      </c>
      <c r="H388" s="28" t="s">
        <v>48</v>
      </c>
      <c r="I388" s="28" t="s">
        <v>485</v>
      </c>
      <c r="J388" s="28" t="s">
        <v>2501</v>
      </c>
      <c r="K388" s="28" t="s">
        <v>51</v>
      </c>
      <c r="L388" s="28" t="s">
        <v>52</v>
      </c>
      <c r="M388" s="28" t="s">
        <v>52</v>
      </c>
      <c r="N388" s="28" t="s">
        <v>2518</v>
      </c>
      <c r="O388" s="28" t="s">
        <v>44</v>
      </c>
      <c r="P388" s="28" t="s">
        <v>2520</v>
      </c>
      <c r="Q388" s="28" t="s">
        <v>2521</v>
      </c>
      <c r="R388" s="28" t="s">
        <v>44</v>
      </c>
      <c r="S388" s="28" t="s">
        <v>44</v>
      </c>
      <c r="T388" s="28" t="s">
        <v>44</v>
      </c>
      <c r="U388" s="28" t="s">
        <v>44</v>
      </c>
      <c r="V388" s="28" t="s">
        <v>2608</v>
      </c>
      <c r="W388" s="28" t="s">
        <v>774</v>
      </c>
      <c r="X388" s="28"/>
      <c r="Y388" s="28"/>
      <c r="Z388" s="28"/>
      <c r="AA388" s="28"/>
    </row>
    <row r="389">
      <c r="A389" s="270" t="s">
        <v>2609</v>
      </c>
      <c r="B389" s="28" t="s">
        <v>36</v>
      </c>
      <c r="C389" s="28" t="s">
        <v>2523</v>
      </c>
      <c r="D389" s="28" t="s">
        <v>44</v>
      </c>
      <c r="E389" s="28" t="s">
        <v>44</v>
      </c>
      <c r="F389" s="28" t="s">
        <v>1612</v>
      </c>
      <c r="G389" s="28" t="s">
        <v>47</v>
      </c>
      <c r="H389" s="28" t="s">
        <v>95</v>
      </c>
      <c r="I389" s="28" t="s">
        <v>485</v>
      </c>
      <c r="J389" s="28" t="s">
        <v>2501</v>
      </c>
      <c r="K389" s="28" t="s">
        <v>51</v>
      </c>
      <c r="L389" s="28" t="s">
        <v>52</v>
      </c>
      <c r="M389" s="28" t="s">
        <v>52</v>
      </c>
      <c r="N389" s="28" t="s">
        <v>2502</v>
      </c>
      <c r="O389" s="28" t="s">
        <v>44</v>
      </c>
      <c r="P389" s="28" t="s">
        <v>2525</v>
      </c>
      <c r="Q389" s="28" t="s">
        <v>2526</v>
      </c>
      <c r="R389" s="28" t="s">
        <v>44</v>
      </c>
      <c r="S389" s="28" t="s">
        <v>44</v>
      </c>
      <c r="T389" s="28" t="s">
        <v>44</v>
      </c>
      <c r="U389" s="28" t="s">
        <v>44</v>
      </c>
      <c r="V389" s="28" t="s">
        <v>2614</v>
      </c>
      <c r="W389" s="28" t="s">
        <v>2615</v>
      </c>
      <c r="X389" s="28"/>
      <c r="Y389" s="28"/>
      <c r="Z389" s="28"/>
      <c r="AA389" s="28"/>
    </row>
    <row r="390">
      <c r="A390" s="270" t="s">
        <v>2616</v>
      </c>
      <c r="B390" s="28" t="s">
        <v>36</v>
      </c>
      <c r="C390" s="28" t="s">
        <v>2528</v>
      </c>
      <c r="D390" s="28" t="s">
        <v>44</v>
      </c>
      <c r="E390" s="28" t="s">
        <v>44</v>
      </c>
      <c r="F390" s="28" t="s">
        <v>1612</v>
      </c>
      <c r="G390" s="28" t="s">
        <v>47</v>
      </c>
      <c r="H390" s="28" t="s">
        <v>95</v>
      </c>
      <c r="I390" s="28" t="s">
        <v>485</v>
      </c>
      <c r="J390" s="28" t="s">
        <v>2501</v>
      </c>
      <c r="K390" s="28" t="s">
        <v>51</v>
      </c>
      <c r="L390" s="28" t="s">
        <v>52</v>
      </c>
      <c r="M390" s="28" t="s">
        <v>52</v>
      </c>
      <c r="N390" s="28" t="s">
        <v>2529</v>
      </c>
      <c r="O390" s="28" t="s">
        <v>44</v>
      </c>
      <c r="P390" s="28" t="s">
        <v>2531</v>
      </c>
      <c r="Q390" s="28" t="s">
        <v>2532</v>
      </c>
      <c r="R390" s="28" t="s">
        <v>44</v>
      </c>
      <c r="S390" s="28" t="s">
        <v>44</v>
      </c>
      <c r="T390" s="28" t="s">
        <v>44</v>
      </c>
      <c r="U390" s="28" t="s">
        <v>44</v>
      </c>
      <c r="V390" s="28" t="s">
        <v>2620</v>
      </c>
      <c r="W390" s="28" t="s">
        <v>774</v>
      </c>
      <c r="X390" s="28"/>
      <c r="Y390" s="28"/>
      <c r="Z390" s="28"/>
      <c r="AA390" s="28"/>
    </row>
    <row r="391">
      <c r="A391" s="270" t="s">
        <v>2622</v>
      </c>
      <c r="B391" s="28" t="s">
        <v>36</v>
      </c>
      <c r="C391" s="28" t="s">
        <v>2534</v>
      </c>
      <c r="D391" s="28" t="s">
        <v>44</v>
      </c>
      <c r="E391" s="28" t="s">
        <v>44</v>
      </c>
      <c r="F391" s="28" t="s">
        <v>1612</v>
      </c>
      <c r="G391" s="28" t="s">
        <v>47</v>
      </c>
      <c r="H391" s="28" t="s">
        <v>95</v>
      </c>
      <c r="I391" s="28" t="s">
        <v>485</v>
      </c>
      <c r="J391" s="28" t="s">
        <v>2501</v>
      </c>
      <c r="K391" s="28" t="s">
        <v>51</v>
      </c>
      <c r="L391" s="28" t="s">
        <v>52</v>
      </c>
      <c r="M391" s="28" t="s">
        <v>52</v>
      </c>
      <c r="N391" s="28" t="s">
        <v>2536</v>
      </c>
      <c r="O391" s="28" t="s">
        <v>44</v>
      </c>
      <c r="P391" s="28" t="s">
        <v>2538</v>
      </c>
      <c r="Q391" s="28" t="s">
        <v>2539</v>
      </c>
      <c r="R391" s="28" t="s">
        <v>44</v>
      </c>
      <c r="S391" s="28" t="s">
        <v>44</v>
      </c>
      <c r="T391" s="28" t="s">
        <v>44</v>
      </c>
      <c r="U391" s="28" t="s">
        <v>44</v>
      </c>
      <c r="V391" s="28" t="s">
        <v>2626</v>
      </c>
      <c r="W391" s="28" t="s">
        <v>774</v>
      </c>
      <c r="X391" s="28"/>
      <c r="Y391" s="28"/>
      <c r="Z391" s="28"/>
      <c r="AA391" s="28"/>
    </row>
    <row r="392">
      <c r="A392" s="270" t="s">
        <v>2628</v>
      </c>
      <c r="B392" s="28" t="s">
        <v>36</v>
      </c>
      <c r="C392" s="28" t="s">
        <v>2540</v>
      </c>
      <c r="D392" s="28" t="s">
        <v>44</v>
      </c>
      <c r="E392" s="28" t="s">
        <v>44</v>
      </c>
      <c r="F392" s="28" t="s">
        <v>1612</v>
      </c>
      <c r="G392" s="28" t="s">
        <v>47</v>
      </c>
      <c r="H392" s="28" t="s">
        <v>48</v>
      </c>
      <c r="I392" s="28" t="s">
        <v>485</v>
      </c>
      <c r="J392" s="28" t="s">
        <v>2501</v>
      </c>
      <c r="K392" s="28" t="s">
        <v>51</v>
      </c>
      <c r="L392" s="28" t="s">
        <v>52</v>
      </c>
      <c r="M392" s="28" t="s">
        <v>52</v>
      </c>
      <c r="N392" s="28" t="s">
        <v>2542</v>
      </c>
      <c r="O392" s="28" t="s">
        <v>44</v>
      </c>
      <c r="P392" s="28" t="s">
        <v>2531</v>
      </c>
      <c r="Q392" s="28" t="s">
        <v>2543</v>
      </c>
      <c r="R392" s="28" t="s">
        <v>44</v>
      </c>
      <c r="S392" s="28" t="s">
        <v>44</v>
      </c>
      <c r="T392" s="28" t="s">
        <v>44</v>
      </c>
      <c r="U392" s="28" t="s">
        <v>44</v>
      </c>
      <c r="V392" s="28" t="s">
        <v>2631</v>
      </c>
      <c r="W392" s="28" t="s">
        <v>774</v>
      </c>
      <c r="X392" s="28"/>
      <c r="Y392" s="28"/>
      <c r="Z392" s="28"/>
      <c r="AA392" s="28"/>
    </row>
    <row r="393">
      <c r="A393" s="270" t="s">
        <v>2632</v>
      </c>
      <c r="B393" s="28" t="s">
        <v>36</v>
      </c>
      <c r="C393" s="28" t="s">
        <v>2545</v>
      </c>
      <c r="D393" s="28" t="s">
        <v>44</v>
      </c>
      <c r="E393" s="28" t="s">
        <v>44</v>
      </c>
      <c r="F393" s="28" t="s">
        <v>1612</v>
      </c>
      <c r="G393" s="28" t="s">
        <v>47</v>
      </c>
      <c r="H393" s="28" t="s">
        <v>95</v>
      </c>
      <c r="I393" s="28" t="s">
        <v>485</v>
      </c>
      <c r="J393" s="28" t="s">
        <v>2501</v>
      </c>
      <c r="K393" s="28" t="s">
        <v>51</v>
      </c>
      <c r="L393" s="28" t="s">
        <v>52</v>
      </c>
      <c r="M393" s="28" t="s">
        <v>52</v>
      </c>
      <c r="N393" s="28" t="s">
        <v>2542</v>
      </c>
      <c r="O393" s="28" t="s">
        <v>44</v>
      </c>
      <c r="P393" s="28" t="s">
        <v>2548</v>
      </c>
      <c r="Q393" s="28" t="s">
        <v>2549</v>
      </c>
      <c r="R393" s="28" t="s">
        <v>44</v>
      </c>
      <c r="S393" s="28" t="s">
        <v>44</v>
      </c>
      <c r="T393" s="28" t="s">
        <v>44</v>
      </c>
      <c r="U393" s="28" t="s">
        <v>44</v>
      </c>
      <c r="V393" s="28" t="s">
        <v>2636</v>
      </c>
      <c r="W393" s="28" t="s">
        <v>774</v>
      </c>
      <c r="X393" s="28"/>
      <c r="Y393" s="28"/>
      <c r="Z393" s="28"/>
      <c r="AA393" s="28"/>
    </row>
    <row r="394">
      <c r="A394" s="270" t="s">
        <v>2637</v>
      </c>
      <c r="B394" s="28" t="s">
        <v>36</v>
      </c>
      <c r="C394" s="28" t="s">
        <v>2550</v>
      </c>
      <c r="D394" s="28" t="s">
        <v>44</v>
      </c>
      <c r="E394" s="28" t="s">
        <v>44</v>
      </c>
      <c r="F394" s="28" t="s">
        <v>1612</v>
      </c>
      <c r="G394" s="28" t="s">
        <v>47</v>
      </c>
      <c r="H394" s="28" t="s">
        <v>91</v>
      </c>
      <c r="I394" s="28" t="s">
        <v>485</v>
      </c>
      <c r="J394" s="28" t="s">
        <v>2501</v>
      </c>
      <c r="K394" s="28" t="s">
        <v>51</v>
      </c>
      <c r="L394" s="28" t="s">
        <v>52</v>
      </c>
      <c r="M394" s="28" t="s">
        <v>52</v>
      </c>
      <c r="N394" s="28" t="s">
        <v>2552</v>
      </c>
      <c r="O394" s="28" t="s">
        <v>44</v>
      </c>
      <c r="P394" s="28" t="s">
        <v>2554</v>
      </c>
      <c r="Q394" s="28" t="s">
        <v>2555</v>
      </c>
      <c r="R394" s="28" t="s">
        <v>44</v>
      </c>
      <c r="S394" s="28" t="s">
        <v>44</v>
      </c>
      <c r="T394" s="28" t="s">
        <v>44</v>
      </c>
      <c r="U394" s="28" t="s">
        <v>44</v>
      </c>
      <c r="V394" s="28" t="s">
        <v>2642</v>
      </c>
      <c r="W394" s="28" t="s">
        <v>774</v>
      </c>
      <c r="X394" s="28"/>
      <c r="Y394" s="28"/>
      <c r="Z394" s="28"/>
      <c r="AA394" s="28"/>
    </row>
    <row r="395">
      <c r="A395" s="270" t="s">
        <v>2643</v>
      </c>
      <c r="B395" s="28" t="s">
        <v>36</v>
      </c>
      <c r="C395" s="28" t="s">
        <v>2556</v>
      </c>
      <c r="D395" s="28" t="s">
        <v>44</v>
      </c>
      <c r="E395" s="28" t="s">
        <v>44</v>
      </c>
      <c r="F395" s="28" t="s">
        <v>1612</v>
      </c>
      <c r="G395" s="28" t="s">
        <v>47</v>
      </c>
      <c r="H395" s="28" t="s">
        <v>48</v>
      </c>
      <c r="I395" s="28" t="s">
        <v>485</v>
      </c>
      <c r="J395" s="28" t="s">
        <v>2501</v>
      </c>
      <c r="K395" s="28" t="s">
        <v>51</v>
      </c>
      <c r="L395" s="28" t="s">
        <v>52</v>
      </c>
      <c r="M395" s="28" t="s">
        <v>52</v>
      </c>
      <c r="N395" s="28" t="s">
        <v>2559</v>
      </c>
      <c r="O395" s="28" t="s">
        <v>44</v>
      </c>
      <c r="P395" s="28" t="s">
        <v>2560</v>
      </c>
      <c r="Q395" s="28" t="s">
        <v>2561</v>
      </c>
      <c r="R395" s="28" t="s">
        <v>44</v>
      </c>
      <c r="S395" s="28" t="s">
        <v>44</v>
      </c>
      <c r="T395" s="28" t="s">
        <v>44</v>
      </c>
      <c r="U395" s="28" t="s">
        <v>44</v>
      </c>
      <c r="V395" s="28" t="s">
        <v>2645</v>
      </c>
      <c r="W395" s="28" t="s">
        <v>2647</v>
      </c>
      <c r="X395" s="28"/>
      <c r="Y395" s="28"/>
      <c r="Z395" s="28"/>
      <c r="AA395" s="28"/>
    </row>
    <row r="396">
      <c r="A396" s="270" t="s">
        <v>2648</v>
      </c>
      <c r="B396" s="28" t="s">
        <v>36</v>
      </c>
      <c r="C396" s="28" t="s">
        <v>2562</v>
      </c>
      <c r="D396" s="28" t="s">
        <v>44</v>
      </c>
      <c r="E396" s="28" t="s">
        <v>44</v>
      </c>
      <c r="F396" s="28" t="s">
        <v>1612</v>
      </c>
      <c r="G396" s="28" t="s">
        <v>47</v>
      </c>
      <c r="H396" s="28" t="s">
        <v>95</v>
      </c>
      <c r="I396" s="28" t="s">
        <v>485</v>
      </c>
      <c r="J396" s="28" t="s">
        <v>2501</v>
      </c>
      <c r="K396" s="28" t="s">
        <v>51</v>
      </c>
      <c r="L396" s="28" t="s">
        <v>52</v>
      </c>
      <c r="M396" s="28" t="s">
        <v>52</v>
      </c>
      <c r="N396" s="28" t="s">
        <v>2559</v>
      </c>
      <c r="O396" s="28" t="s">
        <v>44</v>
      </c>
      <c r="P396" s="28" t="s">
        <v>2565</v>
      </c>
      <c r="Q396" s="28" t="s">
        <v>2566</v>
      </c>
      <c r="R396" s="28" t="s">
        <v>44</v>
      </c>
      <c r="S396" s="28" t="s">
        <v>44</v>
      </c>
      <c r="T396" s="28" t="s">
        <v>44</v>
      </c>
      <c r="U396" s="28" t="s">
        <v>44</v>
      </c>
      <c r="V396" s="28" t="s">
        <v>2651</v>
      </c>
      <c r="W396" s="28" t="s">
        <v>774</v>
      </c>
      <c r="X396" s="28"/>
      <c r="Y396" s="28"/>
      <c r="Z396" s="28"/>
      <c r="AA396" s="28"/>
    </row>
    <row r="397">
      <c r="A397" s="270" t="s">
        <v>2652</v>
      </c>
      <c r="B397" s="28" t="s">
        <v>36</v>
      </c>
      <c r="C397" s="28" t="s">
        <v>2568</v>
      </c>
      <c r="D397" s="28" t="s">
        <v>44</v>
      </c>
      <c r="E397" s="28" t="s">
        <v>44</v>
      </c>
      <c r="F397" s="28" t="s">
        <v>1612</v>
      </c>
      <c r="G397" s="28" t="s">
        <v>85</v>
      </c>
      <c r="H397" s="28" t="s">
        <v>86</v>
      </c>
      <c r="I397" s="28" t="s">
        <v>485</v>
      </c>
      <c r="J397" s="28" t="s">
        <v>2501</v>
      </c>
      <c r="K397" s="28" t="s">
        <v>51</v>
      </c>
      <c r="L397" s="28" t="s">
        <v>52</v>
      </c>
      <c r="M397" s="28" t="s">
        <v>52</v>
      </c>
      <c r="N397" s="28" t="s">
        <v>2502</v>
      </c>
      <c r="O397" s="28" t="s">
        <v>44</v>
      </c>
      <c r="P397" s="28" t="s">
        <v>2051</v>
      </c>
      <c r="Q397" s="28" t="s">
        <v>2570</v>
      </c>
      <c r="R397" s="28" t="s">
        <v>44</v>
      </c>
      <c r="S397" s="28" t="s">
        <v>44</v>
      </c>
      <c r="T397" s="28" t="s">
        <v>44</v>
      </c>
      <c r="U397" s="28" t="s">
        <v>44</v>
      </c>
      <c r="V397" s="28" t="s">
        <v>2655</v>
      </c>
      <c r="W397" s="28" t="s">
        <v>774</v>
      </c>
      <c r="X397" s="28"/>
      <c r="Y397" s="28"/>
      <c r="Z397" s="28"/>
      <c r="AA397" s="28"/>
    </row>
    <row r="398">
      <c r="A398" s="270" t="s">
        <v>2658</v>
      </c>
      <c r="B398" s="28" t="s">
        <v>36</v>
      </c>
      <c r="C398" s="28" t="s">
        <v>2572</v>
      </c>
      <c r="D398" s="28" t="s">
        <v>44</v>
      </c>
      <c r="E398" s="28" t="s">
        <v>44</v>
      </c>
      <c r="F398" s="28" t="s">
        <v>1612</v>
      </c>
      <c r="G398" s="28" t="s">
        <v>47</v>
      </c>
      <c r="H398" s="28" t="s">
        <v>48</v>
      </c>
      <c r="I398" s="28" t="s">
        <v>485</v>
      </c>
      <c r="J398" s="28" t="s">
        <v>2501</v>
      </c>
      <c r="K398" s="28" t="s">
        <v>51</v>
      </c>
      <c r="L398" s="28" t="s">
        <v>52</v>
      </c>
      <c r="M398" s="28" t="s">
        <v>52</v>
      </c>
      <c r="N398" s="28" t="s">
        <v>2502</v>
      </c>
      <c r="O398" s="28" t="s">
        <v>44</v>
      </c>
      <c r="P398" s="28" t="s">
        <v>2574</v>
      </c>
      <c r="Q398" s="28" t="s">
        <v>2575</v>
      </c>
      <c r="R398" s="28" t="s">
        <v>44</v>
      </c>
      <c r="S398" s="28" t="s">
        <v>44</v>
      </c>
      <c r="T398" s="28" t="s">
        <v>44</v>
      </c>
      <c r="U398" s="28" t="s">
        <v>44</v>
      </c>
      <c r="V398" s="28" t="s">
        <v>2660</v>
      </c>
      <c r="W398" s="28" t="s">
        <v>774</v>
      </c>
      <c r="X398" s="28"/>
      <c r="Y398" s="28"/>
      <c r="Z398" s="28"/>
      <c r="AA398" s="28"/>
    </row>
    <row r="399">
      <c r="A399" s="270" t="s">
        <v>2662</v>
      </c>
      <c r="B399" s="28" t="s">
        <v>36</v>
      </c>
      <c r="C399" s="28" t="s">
        <v>2577</v>
      </c>
      <c r="D399" s="28" t="s">
        <v>44</v>
      </c>
      <c r="E399" s="28" t="s">
        <v>44</v>
      </c>
      <c r="F399" s="28" t="s">
        <v>1612</v>
      </c>
      <c r="G399" s="28" t="s">
        <v>47</v>
      </c>
      <c r="H399" s="28" t="s">
        <v>48</v>
      </c>
      <c r="I399" s="28" t="s">
        <v>485</v>
      </c>
      <c r="J399" s="28" t="s">
        <v>2501</v>
      </c>
      <c r="K399" s="28" t="s">
        <v>51</v>
      </c>
      <c r="L399" s="28" t="s">
        <v>52</v>
      </c>
      <c r="M399" s="28" t="s">
        <v>52</v>
      </c>
      <c r="N399" s="28" t="s">
        <v>2579</v>
      </c>
      <c r="O399" s="28" t="s">
        <v>44</v>
      </c>
      <c r="P399" s="28" t="s">
        <v>2580</v>
      </c>
      <c r="Q399" s="28" t="s">
        <v>2581</v>
      </c>
      <c r="R399" s="28" t="s">
        <v>44</v>
      </c>
      <c r="S399" s="28" t="s">
        <v>44</v>
      </c>
      <c r="T399" s="28" t="s">
        <v>44</v>
      </c>
      <c r="U399" s="28" t="s">
        <v>44</v>
      </c>
      <c r="V399" s="28" t="s">
        <v>2664</v>
      </c>
      <c r="W399" s="28" t="s">
        <v>774</v>
      </c>
      <c r="X399" s="28"/>
      <c r="Y399" s="28"/>
      <c r="Z399" s="28"/>
      <c r="AA399" s="28"/>
    </row>
    <row r="400">
      <c r="A400" s="270" t="s">
        <v>2665</v>
      </c>
      <c r="B400" s="28" t="s">
        <v>36</v>
      </c>
      <c r="C400" s="28" t="s">
        <v>2583</v>
      </c>
      <c r="D400" s="28" t="s">
        <v>44</v>
      </c>
      <c r="E400" s="28" t="s">
        <v>44</v>
      </c>
      <c r="F400" s="28" t="s">
        <v>1612</v>
      </c>
      <c r="G400" s="28" t="s">
        <v>47</v>
      </c>
      <c r="H400" s="28" t="s">
        <v>95</v>
      </c>
      <c r="I400" s="28" t="s">
        <v>485</v>
      </c>
      <c r="J400" s="28" t="s">
        <v>2501</v>
      </c>
      <c r="K400" s="28" t="s">
        <v>51</v>
      </c>
      <c r="L400" s="28" t="s">
        <v>52</v>
      </c>
      <c r="M400" s="28" t="s">
        <v>52</v>
      </c>
      <c r="N400" s="28" t="s">
        <v>2585</v>
      </c>
      <c r="O400" s="28" t="s">
        <v>44</v>
      </c>
      <c r="P400" s="28" t="s">
        <v>2586</v>
      </c>
      <c r="Q400" s="28" t="s">
        <v>2587</v>
      </c>
      <c r="R400" s="28" t="s">
        <v>44</v>
      </c>
      <c r="S400" s="28" t="s">
        <v>44</v>
      </c>
      <c r="T400" s="28" t="s">
        <v>44</v>
      </c>
      <c r="U400" s="28" t="s">
        <v>44</v>
      </c>
      <c r="V400" s="28" t="s">
        <v>2667</v>
      </c>
      <c r="W400" s="28" t="s">
        <v>774</v>
      </c>
      <c r="X400" s="28"/>
      <c r="Y400" s="28"/>
      <c r="Z400" s="28"/>
      <c r="AA400" s="28"/>
    </row>
    <row r="401">
      <c r="A401" s="270" t="s">
        <v>2669</v>
      </c>
      <c r="B401" s="28" t="s">
        <v>36</v>
      </c>
      <c r="C401" s="28" t="s">
        <v>2589</v>
      </c>
      <c r="D401" s="28" t="s">
        <v>44</v>
      </c>
      <c r="E401" s="28" t="s">
        <v>44</v>
      </c>
      <c r="F401" s="28" t="s">
        <v>1612</v>
      </c>
      <c r="G401" s="28" t="s">
        <v>197</v>
      </c>
      <c r="H401" s="28" t="s">
        <v>112</v>
      </c>
      <c r="I401" s="28" t="s">
        <v>485</v>
      </c>
      <c r="J401" s="28" t="s">
        <v>2501</v>
      </c>
      <c r="K401" s="28" t="s">
        <v>51</v>
      </c>
      <c r="L401" s="28" t="s">
        <v>52</v>
      </c>
      <c r="M401" s="28" t="s">
        <v>52</v>
      </c>
      <c r="N401" s="28" t="s">
        <v>2591</v>
      </c>
      <c r="O401" s="28" t="s">
        <v>44</v>
      </c>
      <c r="P401" s="28" t="s">
        <v>2592</v>
      </c>
      <c r="Q401" s="28" t="s">
        <v>2593</v>
      </c>
      <c r="R401" s="28" t="s">
        <v>44</v>
      </c>
      <c r="S401" s="28" t="s">
        <v>44</v>
      </c>
      <c r="T401" s="28" t="s">
        <v>44</v>
      </c>
      <c r="U401" s="28" t="s">
        <v>44</v>
      </c>
      <c r="V401" s="28" t="s">
        <v>2673</v>
      </c>
      <c r="W401" s="28" t="s">
        <v>774</v>
      </c>
      <c r="X401" s="28"/>
      <c r="Y401" s="28"/>
      <c r="Z401" s="28"/>
      <c r="AA401" s="28"/>
    </row>
    <row r="402">
      <c r="A402" s="270" t="s">
        <v>2674</v>
      </c>
      <c r="B402" s="28" t="s">
        <v>36</v>
      </c>
      <c r="C402" s="28" t="s">
        <v>2595</v>
      </c>
      <c r="D402" s="28" t="s">
        <v>44</v>
      </c>
      <c r="E402" s="28" t="s">
        <v>44</v>
      </c>
      <c r="F402" s="28" t="s">
        <v>1612</v>
      </c>
      <c r="G402" s="28" t="s">
        <v>47</v>
      </c>
      <c r="H402" s="28" t="s">
        <v>48</v>
      </c>
      <c r="I402" s="28" t="s">
        <v>485</v>
      </c>
      <c r="J402" s="28" t="s">
        <v>1614</v>
      </c>
      <c r="K402" s="28" t="s">
        <v>1615</v>
      </c>
      <c r="L402" s="28" t="s">
        <v>52</v>
      </c>
      <c r="M402" s="28" t="s">
        <v>52</v>
      </c>
      <c r="N402" s="28" t="s">
        <v>2597</v>
      </c>
      <c r="O402" s="28" t="s">
        <v>44</v>
      </c>
      <c r="P402" s="28" t="s">
        <v>2598</v>
      </c>
      <c r="Q402" s="28" t="s">
        <v>2599</v>
      </c>
      <c r="R402" s="28" t="s">
        <v>44</v>
      </c>
      <c r="S402" s="28" t="s">
        <v>44</v>
      </c>
      <c r="T402" s="28" t="s">
        <v>44</v>
      </c>
      <c r="U402" s="28" t="s">
        <v>44</v>
      </c>
      <c r="V402" s="28" t="s">
        <v>2677</v>
      </c>
      <c r="W402" s="28" t="s">
        <v>774</v>
      </c>
      <c r="X402" s="28"/>
      <c r="Y402" s="28"/>
      <c r="Z402" s="28"/>
      <c r="AA402" s="28"/>
    </row>
    <row r="403">
      <c r="A403" s="270" t="s">
        <v>2679</v>
      </c>
      <c r="B403" s="28" t="s">
        <v>36</v>
      </c>
      <c r="C403" s="28" t="s">
        <v>2601</v>
      </c>
      <c r="D403" s="28" t="s">
        <v>44</v>
      </c>
      <c r="E403" s="28" t="s">
        <v>44</v>
      </c>
      <c r="F403" s="28" t="s">
        <v>1612</v>
      </c>
      <c r="G403" s="28" t="s">
        <v>197</v>
      </c>
      <c r="H403" s="28" t="s">
        <v>91</v>
      </c>
      <c r="I403" s="28" t="s">
        <v>485</v>
      </c>
      <c r="J403" s="28" t="s">
        <v>1614</v>
      </c>
      <c r="K403" s="28" t="s">
        <v>1615</v>
      </c>
      <c r="L403" s="28" t="s">
        <v>52</v>
      </c>
      <c r="M403" s="28" t="s">
        <v>52</v>
      </c>
      <c r="N403" s="28" t="s">
        <v>2111</v>
      </c>
      <c r="O403" s="28" t="s">
        <v>44</v>
      </c>
      <c r="P403" s="28" t="s">
        <v>2603</v>
      </c>
      <c r="Q403" s="28" t="s">
        <v>2604</v>
      </c>
      <c r="R403" s="28" t="s">
        <v>44</v>
      </c>
      <c r="S403" s="28" t="s">
        <v>44</v>
      </c>
      <c r="T403" s="28" t="s">
        <v>44</v>
      </c>
      <c r="U403" s="28" t="s">
        <v>44</v>
      </c>
      <c r="V403" s="28" t="s">
        <v>2682</v>
      </c>
      <c r="W403" s="28" t="s">
        <v>774</v>
      </c>
      <c r="X403" s="28"/>
      <c r="Y403" s="28"/>
      <c r="Z403" s="28"/>
      <c r="AA403" s="28"/>
    </row>
    <row r="404">
      <c r="A404" s="270" t="s">
        <v>2683</v>
      </c>
      <c r="B404" s="28" t="s">
        <v>36</v>
      </c>
      <c r="C404" s="28" t="s">
        <v>2607</v>
      </c>
      <c r="D404" s="28" t="s">
        <v>44</v>
      </c>
      <c r="E404" s="28" t="s">
        <v>44</v>
      </c>
      <c r="F404" s="28" t="s">
        <v>1612</v>
      </c>
      <c r="G404" s="28" t="s">
        <v>197</v>
      </c>
      <c r="H404" s="28" t="s">
        <v>112</v>
      </c>
      <c r="I404" s="28" t="s">
        <v>485</v>
      </c>
      <c r="J404" s="28" t="s">
        <v>1614</v>
      </c>
      <c r="K404" s="28" t="s">
        <v>1615</v>
      </c>
      <c r="L404" s="28" t="s">
        <v>52</v>
      </c>
      <c r="M404" s="28" t="s">
        <v>52</v>
      </c>
      <c r="N404" s="28" t="s">
        <v>2610</v>
      </c>
      <c r="O404" s="28" t="s">
        <v>44</v>
      </c>
      <c r="P404" s="28" t="s">
        <v>2611</v>
      </c>
      <c r="Q404" s="28" t="s">
        <v>2612</v>
      </c>
      <c r="R404" s="28" t="s">
        <v>44</v>
      </c>
      <c r="S404" s="28" t="s">
        <v>44</v>
      </c>
      <c r="T404" s="28" t="s">
        <v>44</v>
      </c>
      <c r="U404" s="28" t="s">
        <v>44</v>
      </c>
      <c r="V404" s="28" t="s">
        <v>2687</v>
      </c>
      <c r="W404" s="28" t="s">
        <v>774</v>
      </c>
      <c r="X404" s="28"/>
      <c r="Y404" s="28"/>
      <c r="Z404" s="28"/>
      <c r="AA404" s="28"/>
    </row>
    <row r="405">
      <c r="A405" s="270" t="s">
        <v>2688</v>
      </c>
      <c r="B405" s="28" t="s">
        <v>36</v>
      </c>
      <c r="C405" s="28" t="s">
        <v>2613</v>
      </c>
      <c r="D405" s="28" t="s">
        <v>44</v>
      </c>
      <c r="E405" s="28" t="s">
        <v>44</v>
      </c>
      <c r="F405" s="28" t="s">
        <v>1612</v>
      </c>
      <c r="G405" s="28" t="s">
        <v>85</v>
      </c>
      <c r="H405" s="28" t="s">
        <v>86</v>
      </c>
      <c r="I405" s="28" t="s">
        <v>485</v>
      </c>
      <c r="J405" s="28" t="s">
        <v>1614</v>
      </c>
      <c r="K405" s="28" t="s">
        <v>1615</v>
      </c>
      <c r="L405" s="28" t="s">
        <v>52</v>
      </c>
      <c r="M405" s="28" t="s">
        <v>52</v>
      </c>
      <c r="N405" s="28" t="s">
        <v>2617</v>
      </c>
      <c r="O405" s="28" t="s">
        <v>44</v>
      </c>
      <c r="P405" s="28" t="s">
        <v>2618</v>
      </c>
      <c r="Q405" s="28" t="s">
        <v>2619</v>
      </c>
      <c r="R405" s="28" t="s">
        <v>44</v>
      </c>
      <c r="S405" s="28" t="s">
        <v>44</v>
      </c>
      <c r="T405" s="28" t="s">
        <v>44</v>
      </c>
      <c r="U405" s="28" t="s">
        <v>44</v>
      </c>
      <c r="V405" s="28" t="s">
        <v>2693</v>
      </c>
      <c r="W405" s="28" t="s">
        <v>774</v>
      </c>
      <c r="X405" s="28"/>
      <c r="Y405" s="28"/>
      <c r="Z405" s="28"/>
      <c r="AA405" s="28"/>
    </row>
    <row r="406">
      <c r="A406" s="270" t="s">
        <v>2694</v>
      </c>
      <c r="B406" s="28" t="s">
        <v>36</v>
      </c>
      <c r="C406" s="28" t="s">
        <v>2621</v>
      </c>
      <c r="D406" s="28" t="s">
        <v>44</v>
      </c>
      <c r="E406" s="28" t="s">
        <v>44</v>
      </c>
      <c r="F406" s="28" t="s">
        <v>1612</v>
      </c>
      <c r="G406" s="28" t="s">
        <v>47</v>
      </c>
      <c r="H406" s="28" t="s">
        <v>48</v>
      </c>
      <c r="I406" s="28" t="s">
        <v>485</v>
      </c>
      <c r="J406" s="28" t="s">
        <v>1614</v>
      </c>
      <c r="K406" s="28" t="s">
        <v>1615</v>
      </c>
      <c r="L406" s="28" t="s">
        <v>52</v>
      </c>
      <c r="M406" s="28" t="s">
        <v>52</v>
      </c>
      <c r="N406" s="28" t="s">
        <v>2623</v>
      </c>
      <c r="O406" s="28" t="s">
        <v>44</v>
      </c>
      <c r="P406" s="28" t="s">
        <v>2624</v>
      </c>
      <c r="Q406" s="28" t="s">
        <v>2625</v>
      </c>
      <c r="R406" s="28" t="s">
        <v>44</v>
      </c>
      <c r="S406" s="28" t="s">
        <v>44</v>
      </c>
      <c r="T406" s="28" t="s">
        <v>44</v>
      </c>
      <c r="U406" s="28" t="s">
        <v>44</v>
      </c>
      <c r="V406" s="28" t="s">
        <v>2698</v>
      </c>
      <c r="W406" s="28" t="s">
        <v>774</v>
      </c>
      <c r="X406" s="28"/>
      <c r="Y406" s="28"/>
      <c r="Z406" s="28"/>
      <c r="AA406" s="28"/>
    </row>
    <row r="407">
      <c r="A407" s="270" t="s">
        <v>2699</v>
      </c>
      <c r="B407" s="28" t="s">
        <v>36</v>
      </c>
      <c r="C407" s="28" t="s">
        <v>2627</v>
      </c>
      <c r="D407" s="28" t="s">
        <v>44</v>
      </c>
      <c r="E407" s="28" t="s">
        <v>44</v>
      </c>
      <c r="F407" s="28" t="s">
        <v>1612</v>
      </c>
      <c r="G407" s="28" t="s">
        <v>47</v>
      </c>
      <c r="H407" s="28" t="s">
        <v>95</v>
      </c>
      <c r="I407" s="28" t="s">
        <v>485</v>
      </c>
      <c r="J407" s="28" t="s">
        <v>1614</v>
      </c>
      <c r="K407" s="28" t="s">
        <v>1615</v>
      </c>
      <c r="L407" s="28" t="s">
        <v>52</v>
      </c>
      <c r="M407" s="28" t="s">
        <v>52</v>
      </c>
      <c r="N407" s="28" t="s">
        <v>2597</v>
      </c>
      <c r="O407" s="28" t="s">
        <v>44</v>
      </c>
      <c r="P407" s="28" t="s">
        <v>2629</v>
      </c>
      <c r="Q407" s="28" t="s">
        <v>2630</v>
      </c>
      <c r="R407" s="28" t="s">
        <v>44</v>
      </c>
      <c r="S407" s="28" t="s">
        <v>44</v>
      </c>
      <c r="T407" s="28" t="s">
        <v>44</v>
      </c>
      <c r="U407" s="28" t="s">
        <v>44</v>
      </c>
      <c r="V407" s="28" t="s">
        <v>2701</v>
      </c>
      <c r="W407" s="28" t="s">
        <v>774</v>
      </c>
      <c r="X407" s="28"/>
      <c r="Y407" s="28"/>
      <c r="Z407" s="28"/>
      <c r="AA407" s="28"/>
    </row>
    <row r="408">
      <c r="A408" s="270" t="s">
        <v>2704</v>
      </c>
      <c r="B408" s="28" t="s">
        <v>36</v>
      </c>
      <c r="C408" s="28" t="s">
        <v>2633</v>
      </c>
      <c r="D408" s="28" t="s">
        <v>44</v>
      </c>
      <c r="E408" s="28" t="s">
        <v>44</v>
      </c>
      <c r="F408" s="28" t="s">
        <v>1612</v>
      </c>
      <c r="G408" s="28" t="s">
        <v>47</v>
      </c>
      <c r="H408" s="28" t="s">
        <v>95</v>
      </c>
      <c r="I408" s="28" t="s">
        <v>485</v>
      </c>
      <c r="J408" s="28" t="s">
        <v>1614</v>
      </c>
      <c r="K408" s="28" t="s">
        <v>1615</v>
      </c>
      <c r="L408" s="28" t="s">
        <v>52</v>
      </c>
      <c r="M408" s="28" t="s">
        <v>52</v>
      </c>
      <c r="N408" s="28" t="s">
        <v>2623</v>
      </c>
      <c r="O408" s="28" t="s">
        <v>44</v>
      </c>
      <c r="P408" s="28" t="s">
        <v>2634</v>
      </c>
      <c r="Q408" s="28" t="s">
        <v>2635</v>
      </c>
      <c r="R408" s="28" t="s">
        <v>44</v>
      </c>
      <c r="S408" s="28" t="s">
        <v>44</v>
      </c>
      <c r="T408" s="28" t="s">
        <v>44</v>
      </c>
      <c r="U408" s="28" t="s">
        <v>44</v>
      </c>
      <c r="V408" s="28" t="s">
        <v>2706</v>
      </c>
      <c r="W408" s="28" t="s">
        <v>774</v>
      </c>
      <c r="X408" s="28"/>
      <c r="Y408" s="28"/>
      <c r="Z408" s="28"/>
      <c r="AA408" s="28"/>
    </row>
    <row r="409">
      <c r="A409" s="270" t="s">
        <v>2710</v>
      </c>
      <c r="B409" s="28" t="s">
        <v>36</v>
      </c>
      <c r="C409" s="28" t="s">
        <v>2638</v>
      </c>
      <c r="D409" s="28" t="s">
        <v>44</v>
      </c>
      <c r="E409" s="28" t="s">
        <v>44</v>
      </c>
      <c r="F409" s="28" t="s">
        <v>1612</v>
      </c>
      <c r="G409" s="28" t="s">
        <v>47</v>
      </c>
      <c r="H409" s="28" t="s">
        <v>95</v>
      </c>
      <c r="I409" s="28" t="s">
        <v>485</v>
      </c>
      <c r="J409" s="28" t="s">
        <v>1614</v>
      </c>
      <c r="K409" s="28" t="s">
        <v>1615</v>
      </c>
      <c r="L409" s="28" t="s">
        <v>52</v>
      </c>
      <c r="M409" s="28" t="s">
        <v>52</v>
      </c>
      <c r="N409" s="28" t="s">
        <v>2639</v>
      </c>
      <c r="O409" s="28" t="s">
        <v>44</v>
      </c>
      <c r="P409" s="28" t="s">
        <v>2640</v>
      </c>
      <c r="Q409" s="28" t="s">
        <v>2641</v>
      </c>
      <c r="R409" s="28" t="s">
        <v>44</v>
      </c>
      <c r="S409" s="28" t="s">
        <v>44</v>
      </c>
      <c r="T409" s="28" t="s">
        <v>44</v>
      </c>
      <c r="U409" s="28" t="s">
        <v>44</v>
      </c>
      <c r="V409" s="28" t="s">
        <v>2712</v>
      </c>
      <c r="W409" s="28" t="s">
        <v>774</v>
      </c>
      <c r="X409" s="28"/>
      <c r="Y409" s="28"/>
      <c r="Z409" s="28"/>
      <c r="AA409" s="28"/>
    </row>
    <row r="410">
      <c r="A410" s="270" t="s">
        <v>2714</v>
      </c>
      <c r="B410" s="28" t="s">
        <v>36</v>
      </c>
      <c r="C410" s="28" t="s">
        <v>2644</v>
      </c>
      <c r="D410" s="28" t="s">
        <v>44</v>
      </c>
      <c r="E410" s="28" t="s">
        <v>44</v>
      </c>
      <c r="F410" s="28" t="s">
        <v>1612</v>
      </c>
      <c r="G410" s="28" t="s">
        <v>47</v>
      </c>
      <c r="H410" s="28" t="s">
        <v>48</v>
      </c>
      <c r="I410" s="28" t="s">
        <v>485</v>
      </c>
      <c r="J410" s="28" t="s">
        <v>1614</v>
      </c>
      <c r="K410" s="28" t="s">
        <v>1615</v>
      </c>
      <c r="L410" s="28" t="s">
        <v>52</v>
      </c>
      <c r="M410" s="28" t="s">
        <v>52</v>
      </c>
      <c r="N410" s="28" t="s">
        <v>2597</v>
      </c>
      <c r="O410" s="28" t="s">
        <v>44</v>
      </c>
      <c r="P410" s="28" t="s">
        <v>2646</v>
      </c>
      <c r="Q410" s="28" t="s">
        <v>2341</v>
      </c>
      <c r="R410" s="28" t="s">
        <v>44</v>
      </c>
      <c r="S410" s="28" t="s">
        <v>44</v>
      </c>
      <c r="T410" s="28" t="s">
        <v>44</v>
      </c>
      <c r="U410" s="28" t="s">
        <v>44</v>
      </c>
      <c r="V410" s="28" t="s">
        <v>2716</v>
      </c>
      <c r="W410" s="28" t="s">
        <v>774</v>
      </c>
      <c r="X410" s="28"/>
      <c r="Y410" s="28"/>
      <c r="Z410" s="28"/>
      <c r="AA410" s="28"/>
    </row>
    <row r="411">
      <c r="A411" s="270" t="s">
        <v>2719</v>
      </c>
      <c r="B411" s="28" t="s">
        <v>36</v>
      </c>
      <c r="C411" s="28" t="s">
        <v>2649</v>
      </c>
      <c r="D411" s="28" t="s">
        <v>44</v>
      </c>
      <c r="E411" s="28" t="s">
        <v>44</v>
      </c>
      <c r="F411" s="28" t="s">
        <v>1612</v>
      </c>
      <c r="G411" s="28" t="s">
        <v>47</v>
      </c>
      <c r="H411" s="28" t="s">
        <v>48</v>
      </c>
      <c r="I411" s="28" t="s">
        <v>485</v>
      </c>
      <c r="J411" s="28" t="s">
        <v>2650</v>
      </c>
      <c r="K411" s="28" t="s">
        <v>51</v>
      </c>
      <c r="L411" s="28" t="s">
        <v>52</v>
      </c>
      <c r="M411" s="28" t="s">
        <v>52</v>
      </c>
      <c r="N411" s="28" t="s">
        <v>2617</v>
      </c>
      <c r="O411" s="28" t="s">
        <v>44</v>
      </c>
      <c r="P411" s="28" t="s">
        <v>2503</v>
      </c>
      <c r="Q411" s="28" t="s">
        <v>2653</v>
      </c>
      <c r="R411" s="28" t="s">
        <v>44</v>
      </c>
      <c r="S411" s="28" t="s">
        <v>44</v>
      </c>
      <c r="T411" s="28" t="s">
        <v>44</v>
      </c>
      <c r="U411" s="28" t="s">
        <v>44</v>
      </c>
      <c r="V411" s="28" t="s">
        <v>2721</v>
      </c>
      <c r="W411" s="28" t="s">
        <v>774</v>
      </c>
      <c r="X411" s="28"/>
      <c r="Y411" s="28"/>
      <c r="Z411" s="28"/>
      <c r="AA411" s="28"/>
    </row>
    <row r="412">
      <c r="A412" s="270" t="s">
        <v>2723</v>
      </c>
      <c r="B412" s="28" t="s">
        <v>36</v>
      </c>
      <c r="C412" s="28" t="s">
        <v>2654</v>
      </c>
      <c r="D412" s="28" t="s">
        <v>44</v>
      </c>
      <c r="E412" s="28" t="s">
        <v>44</v>
      </c>
      <c r="F412" s="28" t="s">
        <v>1612</v>
      </c>
      <c r="G412" s="28" t="s">
        <v>47</v>
      </c>
      <c r="H412" s="28" t="s">
        <v>95</v>
      </c>
      <c r="I412" s="28" t="s">
        <v>485</v>
      </c>
      <c r="J412" s="28" t="s">
        <v>2650</v>
      </c>
      <c r="K412" s="28" t="s">
        <v>51</v>
      </c>
      <c r="L412" s="28" t="s">
        <v>52</v>
      </c>
      <c r="M412" s="28" t="s">
        <v>52</v>
      </c>
      <c r="N412" s="28" t="s">
        <v>2656</v>
      </c>
      <c r="O412" s="28" t="s">
        <v>44</v>
      </c>
      <c r="P412" s="28" t="s">
        <v>2657</v>
      </c>
      <c r="Q412" s="28" t="s">
        <v>2659</v>
      </c>
      <c r="R412" s="28" t="s">
        <v>44</v>
      </c>
      <c r="S412" s="28" t="s">
        <v>44</v>
      </c>
      <c r="T412" s="28" t="s">
        <v>44</v>
      </c>
      <c r="U412" s="28" t="s">
        <v>44</v>
      </c>
      <c r="V412" s="28" t="s">
        <v>2725</v>
      </c>
      <c r="W412" s="28" t="s">
        <v>774</v>
      </c>
      <c r="X412" s="28"/>
      <c r="Y412" s="28"/>
      <c r="Z412" s="28"/>
      <c r="AA412" s="28"/>
    </row>
    <row r="413">
      <c r="A413" s="270" t="s">
        <v>2726</v>
      </c>
      <c r="B413" s="28" t="s">
        <v>36</v>
      </c>
      <c r="C413" s="28" t="s">
        <v>2661</v>
      </c>
      <c r="D413" s="28" t="s">
        <v>44</v>
      </c>
      <c r="E413" s="28" t="s">
        <v>44</v>
      </c>
      <c r="F413" s="28" t="s">
        <v>1612</v>
      </c>
      <c r="G413" s="28" t="s">
        <v>47</v>
      </c>
      <c r="H413" s="28" t="s">
        <v>48</v>
      </c>
      <c r="I413" s="28" t="s">
        <v>485</v>
      </c>
      <c r="J413" s="28" t="s">
        <v>2650</v>
      </c>
      <c r="K413" s="28" t="s">
        <v>51</v>
      </c>
      <c r="L413" s="28" t="s">
        <v>52</v>
      </c>
      <c r="M413" s="28" t="s">
        <v>52</v>
      </c>
      <c r="N413" s="28" t="s">
        <v>2617</v>
      </c>
      <c r="O413" s="28" t="s">
        <v>44</v>
      </c>
      <c r="P413" s="28" t="s">
        <v>2508</v>
      </c>
      <c r="Q413" s="28" t="s">
        <v>2663</v>
      </c>
      <c r="R413" s="28" t="s">
        <v>44</v>
      </c>
      <c r="S413" s="28" t="s">
        <v>44</v>
      </c>
      <c r="T413" s="28" t="s">
        <v>44</v>
      </c>
      <c r="U413" s="28" t="s">
        <v>44</v>
      </c>
      <c r="V413" s="28" t="s">
        <v>2729</v>
      </c>
      <c r="W413" s="28" t="s">
        <v>774</v>
      </c>
      <c r="X413" s="28"/>
      <c r="Y413" s="28"/>
      <c r="Z413" s="28"/>
      <c r="AA413" s="28"/>
    </row>
    <row r="414">
      <c r="A414" s="270" t="s">
        <v>2731</v>
      </c>
      <c r="B414" s="28" t="s">
        <v>36</v>
      </c>
      <c r="C414" s="28" t="s">
        <v>2666</v>
      </c>
      <c r="D414" s="28" t="s">
        <v>44</v>
      </c>
      <c r="E414" s="28" t="s">
        <v>44</v>
      </c>
      <c r="F414" s="28" t="s">
        <v>1612</v>
      </c>
      <c r="G414" s="28" t="s">
        <v>47</v>
      </c>
      <c r="H414" s="28" t="s">
        <v>48</v>
      </c>
      <c r="I414" s="28" t="s">
        <v>485</v>
      </c>
      <c r="J414" s="28" t="s">
        <v>2650</v>
      </c>
      <c r="K414" s="28" t="s">
        <v>51</v>
      </c>
      <c r="L414" s="28" t="s">
        <v>52</v>
      </c>
      <c r="M414" s="28" t="s">
        <v>52</v>
      </c>
      <c r="N414" s="28" t="s">
        <v>2668</v>
      </c>
      <c r="O414" s="28" t="s">
        <v>44</v>
      </c>
      <c r="P414" s="28" t="s">
        <v>2670</v>
      </c>
      <c r="Q414" s="28" t="s">
        <v>2671</v>
      </c>
      <c r="R414" s="28" t="s">
        <v>44</v>
      </c>
      <c r="S414" s="28" t="s">
        <v>44</v>
      </c>
      <c r="T414" s="28" t="s">
        <v>44</v>
      </c>
      <c r="U414" s="28" t="s">
        <v>44</v>
      </c>
      <c r="V414" s="28" t="s">
        <v>2734</v>
      </c>
      <c r="W414" s="28" t="s">
        <v>774</v>
      </c>
      <c r="X414" s="28"/>
      <c r="Y414" s="28"/>
      <c r="Z414" s="28"/>
      <c r="AA414" s="28"/>
    </row>
    <row r="415">
      <c r="A415" s="270" t="s">
        <v>2735</v>
      </c>
      <c r="B415" s="28" t="s">
        <v>36</v>
      </c>
      <c r="C415" s="28" t="s">
        <v>2672</v>
      </c>
      <c r="D415" s="28" t="s">
        <v>44</v>
      </c>
      <c r="E415" s="28" t="s">
        <v>44</v>
      </c>
      <c r="F415" s="28" t="s">
        <v>1612</v>
      </c>
      <c r="G415" s="28" t="s">
        <v>47</v>
      </c>
      <c r="H415" s="28" t="s">
        <v>48</v>
      </c>
      <c r="I415" s="28" t="s">
        <v>485</v>
      </c>
      <c r="J415" s="28" t="s">
        <v>2650</v>
      </c>
      <c r="K415" s="28" t="s">
        <v>51</v>
      </c>
      <c r="L415" s="28" t="s">
        <v>52</v>
      </c>
      <c r="M415" s="28" t="s">
        <v>52</v>
      </c>
      <c r="N415" s="28" t="s">
        <v>2668</v>
      </c>
      <c r="O415" s="28" t="s">
        <v>44</v>
      </c>
      <c r="P415" s="28" t="s">
        <v>2675</v>
      </c>
      <c r="Q415" s="28" t="s">
        <v>2676</v>
      </c>
      <c r="R415" s="28" t="s">
        <v>44</v>
      </c>
      <c r="S415" s="28" t="s">
        <v>44</v>
      </c>
      <c r="T415" s="28" t="s">
        <v>44</v>
      </c>
      <c r="U415" s="28" t="s">
        <v>44</v>
      </c>
      <c r="V415" s="28" t="s">
        <v>2737</v>
      </c>
      <c r="W415" s="28" t="s">
        <v>2738</v>
      </c>
      <c r="X415" s="28"/>
      <c r="Y415" s="28"/>
      <c r="Z415" s="28"/>
      <c r="AA415" s="28"/>
    </row>
    <row r="416">
      <c r="A416" s="270" t="s">
        <v>2739</v>
      </c>
      <c r="B416" s="28" t="s">
        <v>36</v>
      </c>
      <c r="C416" s="28" t="s">
        <v>2678</v>
      </c>
      <c r="D416" s="28" t="s">
        <v>44</v>
      </c>
      <c r="E416" s="28" t="s">
        <v>44</v>
      </c>
      <c r="F416" s="28" t="s">
        <v>1612</v>
      </c>
      <c r="G416" s="28" t="s">
        <v>47</v>
      </c>
      <c r="H416" s="28" t="s">
        <v>48</v>
      </c>
      <c r="I416" s="28" t="s">
        <v>485</v>
      </c>
      <c r="J416" s="28" t="s">
        <v>2650</v>
      </c>
      <c r="K416" s="28" t="s">
        <v>51</v>
      </c>
      <c r="L416" s="28" t="s">
        <v>52</v>
      </c>
      <c r="M416" s="28" t="s">
        <v>52</v>
      </c>
      <c r="N416" s="28" t="s">
        <v>2668</v>
      </c>
      <c r="O416" s="28" t="s">
        <v>44</v>
      </c>
      <c r="P416" s="28" t="s">
        <v>2680</v>
      </c>
      <c r="Q416" s="28" t="s">
        <v>2681</v>
      </c>
      <c r="R416" s="28" t="s">
        <v>44</v>
      </c>
      <c r="S416" s="28" t="s">
        <v>44</v>
      </c>
      <c r="T416" s="28" t="s">
        <v>44</v>
      </c>
      <c r="U416" s="28" t="s">
        <v>44</v>
      </c>
      <c r="V416" s="28" t="s">
        <v>2743</v>
      </c>
      <c r="W416" s="28" t="s">
        <v>774</v>
      </c>
      <c r="X416" s="28"/>
      <c r="Y416" s="28"/>
      <c r="Z416" s="28"/>
      <c r="AA416" s="28"/>
    </row>
    <row r="417">
      <c r="A417" s="270" t="s">
        <v>2745</v>
      </c>
      <c r="B417" s="28" t="s">
        <v>36</v>
      </c>
      <c r="C417" s="28" t="s">
        <v>2684</v>
      </c>
      <c r="D417" s="28" t="s">
        <v>44</v>
      </c>
      <c r="E417" s="28" t="s">
        <v>44</v>
      </c>
      <c r="F417" s="28" t="s">
        <v>1612</v>
      </c>
      <c r="G417" s="28" t="s">
        <v>47</v>
      </c>
      <c r="H417" s="28" t="s">
        <v>48</v>
      </c>
      <c r="I417" s="28" t="s">
        <v>485</v>
      </c>
      <c r="J417" s="28" t="s">
        <v>2650</v>
      </c>
      <c r="K417" s="28" t="s">
        <v>51</v>
      </c>
      <c r="L417" s="28" t="s">
        <v>52</v>
      </c>
      <c r="M417" s="28" t="s">
        <v>52</v>
      </c>
      <c r="N417" s="28" t="s">
        <v>2668</v>
      </c>
      <c r="O417" s="28" t="s">
        <v>44</v>
      </c>
      <c r="P417" s="28" t="s">
        <v>2685</v>
      </c>
      <c r="Q417" s="28" t="s">
        <v>2686</v>
      </c>
      <c r="R417" s="28" t="s">
        <v>44</v>
      </c>
      <c r="S417" s="28" t="s">
        <v>44</v>
      </c>
      <c r="T417" s="28" t="s">
        <v>44</v>
      </c>
      <c r="U417" s="28" t="s">
        <v>44</v>
      </c>
      <c r="V417" s="28" t="s">
        <v>2748</v>
      </c>
      <c r="W417" s="28" t="s">
        <v>774</v>
      </c>
      <c r="X417" s="28"/>
      <c r="Y417" s="28"/>
      <c r="Z417" s="28"/>
      <c r="AA417" s="28"/>
    </row>
    <row r="418">
      <c r="A418" s="270" t="s">
        <v>2749</v>
      </c>
      <c r="B418" s="28" t="s">
        <v>36</v>
      </c>
      <c r="C418" s="28" t="s">
        <v>2689</v>
      </c>
      <c r="D418" s="28" t="s">
        <v>44</v>
      </c>
      <c r="E418" s="28" t="s">
        <v>44</v>
      </c>
      <c r="F418" s="28" t="s">
        <v>1612</v>
      </c>
      <c r="G418" s="28" t="s">
        <v>47</v>
      </c>
      <c r="H418" s="28" t="s">
        <v>48</v>
      </c>
      <c r="I418" s="28" t="s">
        <v>485</v>
      </c>
      <c r="J418" s="28" t="s">
        <v>2650</v>
      </c>
      <c r="K418" s="28" t="s">
        <v>51</v>
      </c>
      <c r="L418" s="28" t="s">
        <v>52</v>
      </c>
      <c r="M418" s="28" t="s">
        <v>52</v>
      </c>
      <c r="N418" s="28" t="s">
        <v>2690</v>
      </c>
      <c r="O418" s="28" t="s">
        <v>44</v>
      </c>
      <c r="P418" s="28" t="s">
        <v>2691</v>
      </c>
      <c r="Q418" s="28" t="s">
        <v>2692</v>
      </c>
      <c r="R418" s="28" t="s">
        <v>44</v>
      </c>
      <c r="S418" s="28" t="s">
        <v>44</v>
      </c>
      <c r="T418" s="28" t="s">
        <v>44</v>
      </c>
      <c r="U418" s="28" t="s">
        <v>44</v>
      </c>
      <c r="V418" s="28" t="s">
        <v>2753</v>
      </c>
      <c r="W418" s="28" t="s">
        <v>774</v>
      </c>
      <c r="X418" s="28"/>
      <c r="Y418" s="28"/>
      <c r="Z418" s="28"/>
      <c r="AA418" s="28"/>
    </row>
    <row r="419">
      <c r="A419" s="270" t="s">
        <v>2754</v>
      </c>
      <c r="B419" s="28" t="s">
        <v>36</v>
      </c>
      <c r="C419" s="28" t="s">
        <v>2695</v>
      </c>
      <c r="D419" s="28" t="s">
        <v>44</v>
      </c>
      <c r="E419" s="28" t="s">
        <v>44</v>
      </c>
      <c r="F419" s="28" t="s">
        <v>1612</v>
      </c>
      <c r="G419" s="28" t="s">
        <v>47</v>
      </c>
      <c r="H419" s="28" t="s">
        <v>95</v>
      </c>
      <c r="I419" s="28" t="s">
        <v>485</v>
      </c>
      <c r="J419" s="28" t="s">
        <v>2650</v>
      </c>
      <c r="K419" s="28" t="s">
        <v>51</v>
      </c>
      <c r="L419" s="28" t="s">
        <v>52</v>
      </c>
      <c r="M419" s="28" t="s">
        <v>52</v>
      </c>
      <c r="N419" s="28" t="s">
        <v>2690</v>
      </c>
      <c r="O419" s="28" t="s">
        <v>44</v>
      </c>
      <c r="P419" s="28" t="s">
        <v>2696</v>
      </c>
      <c r="Q419" s="28" t="s">
        <v>2697</v>
      </c>
      <c r="R419" s="28" t="s">
        <v>44</v>
      </c>
      <c r="S419" s="28" t="s">
        <v>44</v>
      </c>
      <c r="T419" s="28" t="s">
        <v>44</v>
      </c>
      <c r="U419" s="28" t="s">
        <v>44</v>
      </c>
      <c r="V419" s="28" t="s">
        <v>2757</v>
      </c>
      <c r="W419" s="28" t="s">
        <v>774</v>
      </c>
      <c r="X419" s="28"/>
      <c r="Y419" s="28"/>
      <c r="Z419" s="28"/>
      <c r="AA419" s="28"/>
    </row>
    <row r="420">
      <c r="A420" s="270" t="s">
        <v>2759</v>
      </c>
      <c r="B420" s="28" t="s">
        <v>36</v>
      </c>
      <c r="C420" s="28" t="s">
        <v>2700</v>
      </c>
      <c r="D420" s="28" t="s">
        <v>44</v>
      </c>
      <c r="E420" s="28" t="s">
        <v>44</v>
      </c>
      <c r="F420" s="28" t="s">
        <v>1612</v>
      </c>
      <c r="G420" s="28" t="s">
        <v>47</v>
      </c>
      <c r="H420" s="28" t="s">
        <v>95</v>
      </c>
      <c r="I420" s="28" t="s">
        <v>485</v>
      </c>
      <c r="J420" s="28" t="s">
        <v>2650</v>
      </c>
      <c r="K420" s="28" t="s">
        <v>51</v>
      </c>
      <c r="L420" s="28" t="s">
        <v>52</v>
      </c>
      <c r="M420" s="28" t="s">
        <v>52</v>
      </c>
      <c r="N420" s="28" t="s">
        <v>2668</v>
      </c>
      <c r="O420" s="28" t="s">
        <v>44</v>
      </c>
      <c r="P420" s="28" t="s">
        <v>2702</v>
      </c>
      <c r="Q420" s="28" t="s">
        <v>2703</v>
      </c>
      <c r="R420" s="28" t="s">
        <v>44</v>
      </c>
      <c r="S420" s="28" t="s">
        <v>44</v>
      </c>
      <c r="T420" s="28" t="s">
        <v>44</v>
      </c>
      <c r="U420" s="28" t="s">
        <v>44</v>
      </c>
      <c r="V420" s="28" t="s">
        <v>2763</v>
      </c>
      <c r="W420" s="28" t="s">
        <v>2764</v>
      </c>
      <c r="X420" s="28"/>
      <c r="Y420" s="28"/>
      <c r="Z420" s="28"/>
      <c r="AA420" s="28"/>
    </row>
    <row r="421">
      <c r="A421" s="270" t="s">
        <v>2765</v>
      </c>
      <c r="B421" s="28" t="s">
        <v>36</v>
      </c>
      <c r="C421" s="28" t="s">
        <v>2705</v>
      </c>
      <c r="D421" s="28" t="s">
        <v>44</v>
      </c>
      <c r="E421" s="28" t="s">
        <v>44</v>
      </c>
      <c r="F421" s="28" t="s">
        <v>1612</v>
      </c>
      <c r="G421" s="28" t="s">
        <v>47</v>
      </c>
      <c r="H421" s="28" t="s">
        <v>95</v>
      </c>
      <c r="I421" s="28" t="s">
        <v>485</v>
      </c>
      <c r="J421" s="28" t="s">
        <v>2650</v>
      </c>
      <c r="K421" s="28" t="s">
        <v>51</v>
      </c>
      <c r="L421" s="28" t="s">
        <v>52</v>
      </c>
      <c r="M421" s="28" t="s">
        <v>52</v>
      </c>
      <c r="N421" s="28" t="s">
        <v>2707</v>
      </c>
      <c r="O421" s="28" t="s">
        <v>44</v>
      </c>
      <c r="P421" s="28" t="s">
        <v>2708</v>
      </c>
      <c r="Q421" s="28" t="s">
        <v>2709</v>
      </c>
      <c r="R421" s="28" t="s">
        <v>44</v>
      </c>
      <c r="S421" s="28" t="s">
        <v>44</v>
      </c>
      <c r="T421" s="28" t="s">
        <v>44</v>
      </c>
      <c r="U421" s="28" t="s">
        <v>44</v>
      </c>
      <c r="V421" s="28" t="s">
        <v>2766</v>
      </c>
      <c r="W421" s="28" t="s">
        <v>774</v>
      </c>
      <c r="X421" s="28"/>
      <c r="Y421" s="28"/>
      <c r="Z421" s="28"/>
      <c r="AA421" s="28"/>
    </row>
    <row r="422">
      <c r="A422" s="270" t="s">
        <v>2768</v>
      </c>
      <c r="B422" s="28" t="s">
        <v>36</v>
      </c>
      <c r="C422" s="28" t="s">
        <v>2711</v>
      </c>
      <c r="D422" s="28" t="s">
        <v>44</v>
      </c>
      <c r="E422" s="28" t="s">
        <v>44</v>
      </c>
      <c r="F422" s="28" t="s">
        <v>1612</v>
      </c>
      <c r="G422" s="28" t="s">
        <v>47</v>
      </c>
      <c r="H422" s="28" t="s">
        <v>95</v>
      </c>
      <c r="I422" s="28" t="s">
        <v>485</v>
      </c>
      <c r="J422" s="28" t="s">
        <v>2650</v>
      </c>
      <c r="K422" s="28" t="s">
        <v>51</v>
      </c>
      <c r="L422" s="28" t="s">
        <v>52</v>
      </c>
      <c r="M422" s="28" t="s">
        <v>52</v>
      </c>
      <c r="N422" s="28" t="s">
        <v>2656</v>
      </c>
      <c r="O422" s="28" t="s">
        <v>44</v>
      </c>
      <c r="P422" s="28" t="s">
        <v>2708</v>
      </c>
      <c r="Q422" s="28" t="s">
        <v>2713</v>
      </c>
      <c r="R422" s="28" t="s">
        <v>44</v>
      </c>
      <c r="S422" s="28" t="s">
        <v>44</v>
      </c>
      <c r="T422" s="28" t="s">
        <v>44</v>
      </c>
      <c r="U422" s="28" t="s">
        <v>44</v>
      </c>
      <c r="V422" s="28" t="s">
        <v>2771</v>
      </c>
      <c r="W422" s="28" t="s">
        <v>774</v>
      </c>
      <c r="X422" s="28"/>
      <c r="Y422" s="28"/>
      <c r="Z422" s="28"/>
      <c r="AA422" s="28"/>
    </row>
    <row r="423">
      <c r="A423" s="270" t="s">
        <v>2772</v>
      </c>
      <c r="B423" s="28" t="s">
        <v>36</v>
      </c>
      <c r="C423" s="28" t="s">
        <v>2715</v>
      </c>
      <c r="D423" s="28" t="s">
        <v>44</v>
      </c>
      <c r="E423" s="28" t="s">
        <v>44</v>
      </c>
      <c r="F423" s="28" t="s">
        <v>1612</v>
      </c>
      <c r="G423" s="28" t="s">
        <v>47</v>
      </c>
      <c r="H423" s="28" t="s">
        <v>95</v>
      </c>
      <c r="I423" s="28" t="s">
        <v>485</v>
      </c>
      <c r="J423" s="28" t="s">
        <v>2650</v>
      </c>
      <c r="K423" s="28" t="s">
        <v>51</v>
      </c>
      <c r="L423" s="28" t="s">
        <v>52</v>
      </c>
      <c r="M423" s="28" t="s">
        <v>52</v>
      </c>
      <c r="N423" s="28" t="s">
        <v>2717</v>
      </c>
      <c r="O423" s="28" t="s">
        <v>44</v>
      </c>
      <c r="P423" s="28" t="s">
        <v>2708</v>
      </c>
      <c r="Q423" s="28" t="s">
        <v>2718</v>
      </c>
      <c r="R423" s="28" t="s">
        <v>44</v>
      </c>
      <c r="S423" s="28" t="s">
        <v>44</v>
      </c>
      <c r="T423" s="28" t="s">
        <v>44</v>
      </c>
      <c r="U423" s="28" t="s">
        <v>44</v>
      </c>
      <c r="V423" s="28" t="s">
        <v>2775</v>
      </c>
      <c r="W423" s="28" t="s">
        <v>774</v>
      </c>
      <c r="X423" s="28"/>
      <c r="Y423" s="28"/>
      <c r="Z423" s="28"/>
      <c r="AA423" s="28"/>
    </row>
    <row r="424">
      <c r="A424" s="270" t="s">
        <v>2776</v>
      </c>
      <c r="B424" s="28" t="s">
        <v>36</v>
      </c>
      <c r="C424" s="28" t="s">
        <v>2720</v>
      </c>
      <c r="D424" s="28" t="s">
        <v>44</v>
      </c>
      <c r="E424" s="28" t="s">
        <v>44</v>
      </c>
      <c r="F424" s="28" t="s">
        <v>1612</v>
      </c>
      <c r="G424" s="28" t="s">
        <v>85</v>
      </c>
      <c r="H424" s="28" t="s">
        <v>86</v>
      </c>
      <c r="I424" s="28" t="s">
        <v>485</v>
      </c>
      <c r="J424" s="28" t="s">
        <v>2650</v>
      </c>
      <c r="K424" s="28" t="s">
        <v>51</v>
      </c>
      <c r="L424" s="28" t="s">
        <v>52</v>
      </c>
      <c r="M424" s="28" t="s">
        <v>52</v>
      </c>
      <c r="N424" s="28" t="s">
        <v>2722</v>
      </c>
      <c r="O424" s="28" t="s">
        <v>44</v>
      </c>
      <c r="P424" s="28" t="s">
        <v>2051</v>
      </c>
      <c r="Q424" s="28" t="s">
        <v>2570</v>
      </c>
      <c r="R424" s="28" t="s">
        <v>44</v>
      </c>
      <c r="S424" s="28" t="s">
        <v>44</v>
      </c>
      <c r="T424" s="28" t="s">
        <v>44</v>
      </c>
      <c r="U424" s="28" t="s">
        <v>44</v>
      </c>
      <c r="V424" s="28" t="s">
        <v>2778</v>
      </c>
      <c r="W424" s="28" t="s">
        <v>774</v>
      </c>
      <c r="X424" s="28"/>
      <c r="Y424" s="28"/>
      <c r="Z424" s="28"/>
      <c r="AA424" s="28"/>
    </row>
    <row r="425">
      <c r="A425" s="270" t="s">
        <v>2781</v>
      </c>
      <c r="B425" s="28" t="s">
        <v>36</v>
      </c>
      <c r="C425" s="28" t="s">
        <v>2724</v>
      </c>
      <c r="D425" s="28" t="s">
        <v>44</v>
      </c>
      <c r="E425" s="28" t="s">
        <v>44</v>
      </c>
      <c r="F425" s="28" t="s">
        <v>1612</v>
      </c>
      <c r="G425" s="28" t="s">
        <v>47</v>
      </c>
      <c r="H425" s="28" t="s">
        <v>48</v>
      </c>
      <c r="I425" s="28" t="s">
        <v>485</v>
      </c>
      <c r="J425" s="28" t="s">
        <v>2650</v>
      </c>
      <c r="K425" s="28" t="s">
        <v>51</v>
      </c>
      <c r="L425" s="28" t="s">
        <v>52</v>
      </c>
      <c r="M425" s="28" t="s">
        <v>52</v>
      </c>
      <c r="N425" s="28" t="s">
        <v>2722</v>
      </c>
      <c r="O425" s="28" t="s">
        <v>44</v>
      </c>
      <c r="P425" s="28" t="s">
        <v>2574</v>
      </c>
      <c r="Q425" s="28" t="s">
        <v>2727</v>
      </c>
      <c r="R425" s="28" t="s">
        <v>44</v>
      </c>
      <c r="S425" s="28" t="s">
        <v>44</v>
      </c>
      <c r="T425" s="28" t="s">
        <v>44</v>
      </c>
      <c r="U425" s="28" t="s">
        <v>44</v>
      </c>
      <c r="V425" s="28" t="s">
        <v>2786</v>
      </c>
      <c r="W425" s="28" t="s">
        <v>774</v>
      </c>
      <c r="X425" s="28"/>
      <c r="Y425" s="28"/>
      <c r="Z425" s="28"/>
      <c r="AA425" s="28"/>
    </row>
    <row r="426">
      <c r="A426" s="270" t="s">
        <v>2787</v>
      </c>
      <c r="B426" s="28" t="s">
        <v>36</v>
      </c>
      <c r="C426" s="28" t="s">
        <v>2728</v>
      </c>
      <c r="D426" s="28" t="s">
        <v>44</v>
      </c>
      <c r="E426" s="28" t="s">
        <v>44</v>
      </c>
      <c r="F426" s="28" t="s">
        <v>1612</v>
      </c>
      <c r="G426" s="28" t="s">
        <v>197</v>
      </c>
      <c r="H426" s="28" t="s">
        <v>198</v>
      </c>
      <c r="I426" s="28" t="s">
        <v>485</v>
      </c>
      <c r="J426" s="28" t="s">
        <v>2650</v>
      </c>
      <c r="K426" s="28" t="s">
        <v>51</v>
      </c>
      <c r="L426" s="28" t="s">
        <v>52</v>
      </c>
      <c r="M426" s="28" t="s">
        <v>52</v>
      </c>
      <c r="N426" s="28" t="s">
        <v>2730</v>
      </c>
      <c r="O426" s="28" t="s">
        <v>44</v>
      </c>
      <c r="P426" s="28" t="s">
        <v>2732</v>
      </c>
      <c r="Q426" s="28" t="s">
        <v>2733</v>
      </c>
      <c r="R426" s="28" t="s">
        <v>44</v>
      </c>
      <c r="S426" s="28" t="s">
        <v>44</v>
      </c>
      <c r="T426" s="28" t="s">
        <v>44</v>
      </c>
      <c r="U426" s="28" t="s">
        <v>44</v>
      </c>
      <c r="V426" s="28" t="s">
        <v>2791</v>
      </c>
      <c r="W426" s="28" t="s">
        <v>774</v>
      </c>
      <c r="X426" s="28"/>
      <c r="Y426" s="28"/>
      <c r="Z426" s="28"/>
      <c r="AA426" s="28"/>
    </row>
    <row r="427">
      <c r="A427" s="270" t="s">
        <v>2792</v>
      </c>
      <c r="B427" s="28" t="s">
        <v>36</v>
      </c>
      <c r="C427" s="28" t="s">
        <v>2736</v>
      </c>
      <c r="D427" s="28" t="s">
        <v>44</v>
      </c>
      <c r="E427" s="28" t="s">
        <v>44</v>
      </c>
      <c r="F427" s="28" t="s">
        <v>1612</v>
      </c>
      <c r="G427" s="28" t="s">
        <v>197</v>
      </c>
      <c r="H427" s="28" t="s">
        <v>112</v>
      </c>
      <c r="I427" s="28" t="s">
        <v>485</v>
      </c>
      <c r="J427" s="28" t="s">
        <v>2650</v>
      </c>
      <c r="K427" s="28" t="s">
        <v>51</v>
      </c>
      <c r="L427" s="28" t="s">
        <v>52</v>
      </c>
      <c r="M427" s="28" t="s">
        <v>52</v>
      </c>
      <c r="N427" s="28" t="s">
        <v>2740</v>
      </c>
      <c r="O427" s="28" t="s">
        <v>44</v>
      </c>
      <c r="P427" s="28" t="s">
        <v>2741</v>
      </c>
      <c r="Q427" s="28" t="s">
        <v>2742</v>
      </c>
      <c r="R427" s="28" t="s">
        <v>44</v>
      </c>
      <c r="S427" s="28" t="s">
        <v>44</v>
      </c>
      <c r="T427" s="28" t="s">
        <v>44</v>
      </c>
      <c r="U427" s="28" t="s">
        <v>44</v>
      </c>
      <c r="V427" s="28" t="s">
        <v>2795</v>
      </c>
      <c r="W427" s="28" t="s">
        <v>774</v>
      </c>
      <c r="X427" s="28"/>
      <c r="Y427" s="28"/>
      <c r="Z427" s="28"/>
      <c r="AA427" s="28"/>
    </row>
    <row r="428">
      <c r="A428" s="270" t="s">
        <v>2798</v>
      </c>
      <c r="B428" s="28" t="s">
        <v>36</v>
      </c>
      <c r="C428" s="28" t="s">
        <v>2744</v>
      </c>
      <c r="D428" s="28" t="s">
        <v>44</v>
      </c>
      <c r="E428" s="28" t="s">
        <v>44</v>
      </c>
      <c r="F428" s="28" t="s">
        <v>1612</v>
      </c>
      <c r="G428" s="28" t="s">
        <v>47</v>
      </c>
      <c r="H428" s="28" t="s">
        <v>48</v>
      </c>
      <c r="I428" s="28" t="s">
        <v>485</v>
      </c>
      <c r="J428" s="28" t="s">
        <v>1614</v>
      </c>
      <c r="K428" s="28" t="s">
        <v>1615</v>
      </c>
      <c r="L428" s="28" t="s">
        <v>52</v>
      </c>
      <c r="M428" s="28" t="s">
        <v>52</v>
      </c>
      <c r="N428" s="28" t="s">
        <v>2117</v>
      </c>
      <c r="O428" s="28" t="s">
        <v>44</v>
      </c>
      <c r="P428" s="28" t="s">
        <v>2746</v>
      </c>
      <c r="Q428" s="28" t="s">
        <v>2747</v>
      </c>
      <c r="R428" s="28" t="s">
        <v>44</v>
      </c>
      <c r="S428" s="28" t="s">
        <v>44</v>
      </c>
      <c r="T428" s="28" t="s">
        <v>44</v>
      </c>
      <c r="U428" s="28" t="s">
        <v>44</v>
      </c>
      <c r="V428" s="28" t="s">
        <v>2801</v>
      </c>
      <c r="W428" s="28" t="s">
        <v>774</v>
      </c>
      <c r="X428" s="28"/>
      <c r="Y428" s="28"/>
      <c r="Z428" s="28"/>
      <c r="AA428" s="28"/>
    </row>
    <row r="429">
      <c r="A429" s="270" t="s">
        <v>2804</v>
      </c>
      <c r="B429" s="28" t="s">
        <v>36</v>
      </c>
      <c r="C429" s="28" t="s">
        <v>2750</v>
      </c>
      <c r="D429" s="28" t="s">
        <v>44</v>
      </c>
      <c r="E429" s="28" t="s">
        <v>44</v>
      </c>
      <c r="F429" s="28" t="s">
        <v>1612</v>
      </c>
      <c r="G429" s="28" t="s">
        <v>47</v>
      </c>
      <c r="H429" s="28" t="s">
        <v>48</v>
      </c>
      <c r="I429" s="28" t="s">
        <v>485</v>
      </c>
      <c r="J429" s="28" t="s">
        <v>1614</v>
      </c>
      <c r="K429" s="28" t="s">
        <v>1615</v>
      </c>
      <c r="L429" s="28" t="s">
        <v>52</v>
      </c>
      <c r="M429" s="28" t="s">
        <v>52</v>
      </c>
      <c r="N429" s="28" t="s">
        <v>2117</v>
      </c>
      <c r="O429" s="28" t="s">
        <v>44</v>
      </c>
      <c r="P429" s="28" t="s">
        <v>2751</v>
      </c>
      <c r="Q429" s="28" t="s">
        <v>2752</v>
      </c>
      <c r="R429" s="28" t="s">
        <v>44</v>
      </c>
      <c r="S429" s="28" t="s">
        <v>44</v>
      </c>
      <c r="T429" s="28" t="s">
        <v>44</v>
      </c>
      <c r="U429" s="28" t="s">
        <v>44</v>
      </c>
      <c r="V429" s="28" t="s">
        <v>2806</v>
      </c>
      <c r="W429" s="28" t="s">
        <v>774</v>
      </c>
      <c r="X429" s="28"/>
      <c r="Y429" s="28"/>
      <c r="Z429" s="28"/>
      <c r="AA429" s="28"/>
    </row>
    <row r="430">
      <c r="A430" s="270" t="s">
        <v>2807</v>
      </c>
      <c r="B430" s="28" t="s">
        <v>36</v>
      </c>
      <c r="C430" s="28" t="s">
        <v>2755</v>
      </c>
      <c r="D430" s="28" t="s">
        <v>44</v>
      </c>
      <c r="E430" s="28" t="s">
        <v>44</v>
      </c>
      <c r="F430" s="28" t="s">
        <v>1612</v>
      </c>
      <c r="G430" s="28" t="s">
        <v>47</v>
      </c>
      <c r="H430" s="28" t="s">
        <v>48</v>
      </c>
      <c r="I430" s="28" t="s">
        <v>485</v>
      </c>
      <c r="J430" s="28" t="s">
        <v>1614</v>
      </c>
      <c r="K430" s="28" t="s">
        <v>1615</v>
      </c>
      <c r="L430" s="28" t="s">
        <v>52</v>
      </c>
      <c r="M430" s="28" t="s">
        <v>52</v>
      </c>
      <c r="N430" s="28" t="s">
        <v>2117</v>
      </c>
      <c r="O430" s="28" t="s">
        <v>44</v>
      </c>
      <c r="P430" s="28" t="s">
        <v>2756</v>
      </c>
      <c r="Q430" s="28" t="s">
        <v>2758</v>
      </c>
      <c r="R430" s="28" t="s">
        <v>44</v>
      </c>
      <c r="S430" s="28" t="s">
        <v>44</v>
      </c>
      <c r="T430" s="28" t="s">
        <v>44</v>
      </c>
      <c r="U430" s="28" t="s">
        <v>44</v>
      </c>
      <c r="V430" s="28" t="s">
        <v>2811</v>
      </c>
      <c r="W430" s="28" t="s">
        <v>774</v>
      </c>
      <c r="X430" s="28"/>
      <c r="Y430" s="28"/>
      <c r="Z430" s="28"/>
      <c r="AA430" s="28"/>
    </row>
    <row r="431">
      <c r="A431" s="270" t="s">
        <v>2812</v>
      </c>
      <c r="B431" s="28" t="s">
        <v>36</v>
      </c>
      <c r="C431" s="28" t="s">
        <v>2760</v>
      </c>
      <c r="D431" s="28" t="s">
        <v>44</v>
      </c>
      <c r="E431" s="28" t="s">
        <v>44</v>
      </c>
      <c r="F431" s="28" t="s">
        <v>1612</v>
      </c>
      <c r="G431" s="28" t="s">
        <v>47</v>
      </c>
      <c r="H431" s="28" t="s">
        <v>48</v>
      </c>
      <c r="I431" s="28" t="s">
        <v>485</v>
      </c>
      <c r="J431" s="28" t="s">
        <v>1614</v>
      </c>
      <c r="K431" s="28" t="s">
        <v>1615</v>
      </c>
      <c r="L431" s="28" t="s">
        <v>52</v>
      </c>
      <c r="M431" s="28" t="s">
        <v>52</v>
      </c>
      <c r="N431" s="28" t="s">
        <v>2117</v>
      </c>
      <c r="O431" s="28" t="s">
        <v>44</v>
      </c>
      <c r="P431" s="28" t="s">
        <v>2761</v>
      </c>
      <c r="Q431" s="28" t="s">
        <v>2762</v>
      </c>
      <c r="R431" s="28" t="s">
        <v>44</v>
      </c>
      <c r="S431" s="28" t="s">
        <v>44</v>
      </c>
      <c r="T431" s="28" t="s">
        <v>44</v>
      </c>
      <c r="U431" s="28" t="s">
        <v>44</v>
      </c>
      <c r="V431" s="28" t="s">
        <v>2816</v>
      </c>
      <c r="W431" s="28" t="s">
        <v>774</v>
      </c>
      <c r="X431" s="28"/>
      <c r="Y431" s="28"/>
      <c r="Z431" s="28"/>
      <c r="AA431" s="28"/>
    </row>
    <row r="432">
      <c r="A432" s="270" t="s">
        <v>2817</v>
      </c>
      <c r="B432" s="28" t="s">
        <v>36</v>
      </c>
      <c r="C432" s="28" t="s">
        <v>2767</v>
      </c>
      <c r="D432" s="28" t="s">
        <v>44</v>
      </c>
      <c r="E432" s="28" t="s">
        <v>44</v>
      </c>
      <c r="F432" s="28" t="s">
        <v>1612</v>
      </c>
      <c r="G432" s="28" t="s">
        <v>47</v>
      </c>
      <c r="H432" s="28" t="s">
        <v>48</v>
      </c>
      <c r="I432" s="28" t="s">
        <v>485</v>
      </c>
      <c r="J432" s="28" t="s">
        <v>1614</v>
      </c>
      <c r="K432" s="28" t="s">
        <v>1615</v>
      </c>
      <c r="L432" s="28" t="s">
        <v>52</v>
      </c>
      <c r="M432" s="28" t="s">
        <v>52</v>
      </c>
      <c r="N432" s="28" t="s">
        <v>2117</v>
      </c>
      <c r="O432" s="28" t="s">
        <v>44</v>
      </c>
      <c r="P432" s="28" t="s">
        <v>2769</v>
      </c>
      <c r="Q432" s="28" t="s">
        <v>2770</v>
      </c>
      <c r="R432" s="28" t="s">
        <v>44</v>
      </c>
      <c r="S432" s="28" t="s">
        <v>44</v>
      </c>
      <c r="T432" s="28" t="s">
        <v>44</v>
      </c>
      <c r="U432" s="28" t="s">
        <v>44</v>
      </c>
      <c r="V432" s="28" t="s">
        <v>2821</v>
      </c>
      <c r="W432" s="28" t="s">
        <v>774</v>
      </c>
      <c r="X432" s="28"/>
      <c r="Y432" s="28"/>
      <c r="Z432" s="28"/>
      <c r="AA432" s="28"/>
    </row>
    <row r="433">
      <c r="A433" s="270" t="s">
        <v>2822</v>
      </c>
      <c r="B433" s="28" t="s">
        <v>36</v>
      </c>
      <c r="C433" s="28" t="s">
        <v>2773</v>
      </c>
      <c r="D433" s="28" t="s">
        <v>44</v>
      </c>
      <c r="E433" s="28" t="s">
        <v>44</v>
      </c>
      <c r="F433" s="28" t="s">
        <v>1612</v>
      </c>
      <c r="G433" s="28" t="s">
        <v>197</v>
      </c>
      <c r="H433" s="28" t="s">
        <v>112</v>
      </c>
      <c r="I433" s="28" t="s">
        <v>485</v>
      </c>
      <c r="J433" s="28" t="s">
        <v>1614</v>
      </c>
      <c r="K433" s="28" t="s">
        <v>1615</v>
      </c>
      <c r="L433" s="28" t="s">
        <v>52</v>
      </c>
      <c r="M433" s="28" t="s">
        <v>52</v>
      </c>
      <c r="N433" s="28" t="s">
        <v>2117</v>
      </c>
      <c r="O433" s="28" t="s">
        <v>44</v>
      </c>
      <c r="P433" s="28" t="s">
        <v>2774</v>
      </c>
      <c r="Q433" s="28" t="s">
        <v>2069</v>
      </c>
      <c r="R433" s="28" t="s">
        <v>44</v>
      </c>
      <c r="S433" s="28" t="s">
        <v>44</v>
      </c>
      <c r="T433" s="28" t="s">
        <v>44</v>
      </c>
      <c r="U433" s="28" t="s">
        <v>44</v>
      </c>
      <c r="V433" s="28" t="s">
        <v>2825</v>
      </c>
      <c r="W433" s="28" t="s">
        <v>774</v>
      </c>
      <c r="X433" s="28"/>
      <c r="Y433" s="28"/>
      <c r="Z433" s="28"/>
      <c r="AA433" s="28"/>
    </row>
    <row r="434">
      <c r="A434" s="270" t="s">
        <v>2827</v>
      </c>
      <c r="B434" s="28" t="s">
        <v>36</v>
      </c>
      <c r="C434" s="28" t="s">
        <v>2777</v>
      </c>
      <c r="D434" s="28" t="s">
        <v>44</v>
      </c>
      <c r="E434" s="28" t="s">
        <v>44</v>
      </c>
      <c r="F434" s="28" t="s">
        <v>1612</v>
      </c>
      <c r="G434" s="28" t="s">
        <v>47</v>
      </c>
      <c r="H434" s="28" t="s">
        <v>95</v>
      </c>
      <c r="I434" s="28" t="s">
        <v>485</v>
      </c>
      <c r="J434" s="28" t="s">
        <v>1614</v>
      </c>
      <c r="K434" s="28" t="s">
        <v>1615</v>
      </c>
      <c r="L434" s="28" t="s">
        <v>52</v>
      </c>
      <c r="M434" s="28" t="s">
        <v>52</v>
      </c>
      <c r="N434" s="28" t="s">
        <v>2117</v>
      </c>
      <c r="O434" s="28" t="s">
        <v>44</v>
      </c>
      <c r="P434" s="28" t="s">
        <v>2779</v>
      </c>
      <c r="Q434" s="28" t="s">
        <v>2780</v>
      </c>
      <c r="R434" s="28" t="s">
        <v>44</v>
      </c>
      <c r="S434" s="28" t="s">
        <v>44</v>
      </c>
      <c r="T434" s="28" t="s">
        <v>44</v>
      </c>
      <c r="U434" s="28" t="s">
        <v>44</v>
      </c>
      <c r="V434" s="28" t="s">
        <v>2830</v>
      </c>
      <c r="W434" s="28" t="s">
        <v>774</v>
      </c>
      <c r="X434" s="28"/>
      <c r="Y434" s="28"/>
      <c r="Z434" s="28"/>
      <c r="AA434" s="28"/>
    </row>
    <row r="435">
      <c r="A435" s="270" t="s">
        <v>2832</v>
      </c>
      <c r="B435" s="28" t="s">
        <v>36</v>
      </c>
      <c r="C435" s="28" t="s">
        <v>2782</v>
      </c>
      <c r="D435" s="28" t="s">
        <v>44</v>
      </c>
      <c r="E435" s="28" t="s">
        <v>44</v>
      </c>
      <c r="F435" s="28" t="s">
        <v>1612</v>
      </c>
      <c r="G435" s="28" t="s">
        <v>47</v>
      </c>
      <c r="H435" s="28" t="s">
        <v>95</v>
      </c>
      <c r="I435" s="28" t="s">
        <v>485</v>
      </c>
      <c r="J435" s="28" t="s">
        <v>1614</v>
      </c>
      <c r="K435" s="28" t="s">
        <v>1615</v>
      </c>
      <c r="L435" s="28" t="s">
        <v>52</v>
      </c>
      <c r="M435" s="28" t="s">
        <v>52</v>
      </c>
      <c r="N435" s="28" t="s">
        <v>2783</v>
      </c>
      <c r="O435" s="28" t="s">
        <v>44</v>
      </c>
      <c r="P435" s="28" t="s">
        <v>2784</v>
      </c>
      <c r="Q435" s="28" t="s">
        <v>2785</v>
      </c>
      <c r="R435" s="28" t="s">
        <v>44</v>
      </c>
      <c r="S435" s="28" t="s">
        <v>44</v>
      </c>
      <c r="T435" s="28" t="s">
        <v>44</v>
      </c>
      <c r="U435" s="28" t="s">
        <v>44</v>
      </c>
      <c r="V435" s="28" t="s">
        <v>2835</v>
      </c>
      <c r="W435" s="28" t="s">
        <v>774</v>
      </c>
      <c r="X435" s="28"/>
      <c r="Y435" s="28"/>
      <c r="Z435" s="28"/>
      <c r="AA435" s="28"/>
    </row>
    <row r="436">
      <c r="A436" s="270" t="s">
        <v>2837</v>
      </c>
      <c r="B436" s="28" t="s">
        <v>36</v>
      </c>
      <c r="C436" s="28" t="s">
        <v>2788</v>
      </c>
      <c r="D436" s="28" t="s">
        <v>44</v>
      </c>
      <c r="E436" s="28" t="s">
        <v>44</v>
      </c>
      <c r="F436" s="28" t="s">
        <v>1612</v>
      </c>
      <c r="G436" s="28" t="s">
        <v>47</v>
      </c>
      <c r="H436" s="28" t="s">
        <v>48</v>
      </c>
      <c r="I436" s="28" t="s">
        <v>485</v>
      </c>
      <c r="J436" s="28" t="s">
        <v>1614</v>
      </c>
      <c r="K436" s="28" t="s">
        <v>1615</v>
      </c>
      <c r="L436" s="28" t="s">
        <v>52</v>
      </c>
      <c r="M436" s="28" t="s">
        <v>52</v>
      </c>
      <c r="N436" s="28" t="s">
        <v>2117</v>
      </c>
      <c r="O436" s="28" t="s">
        <v>44</v>
      </c>
      <c r="P436" s="28" t="s">
        <v>2789</v>
      </c>
      <c r="Q436" s="28" t="s">
        <v>2790</v>
      </c>
      <c r="R436" s="28" t="s">
        <v>44</v>
      </c>
      <c r="S436" s="28" t="s">
        <v>44</v>
      </c>
      <c r="T436" s="28" t="s">
        <v>44</v>
      </c>
      <c r="U436" s="28" t="s">
        <v>44</v>
      </c>
      <c r="V436" s="28" t="s">
        <v>2840</v>
      </c>
      <c r="W436" s="28" t="s">
        <v>774</v>
      </c>
      <c r="X436" s="28"/>
      <c r="Y436" s="28"/>
      <c r="Z436" s="28"/>
      <c r="AA436" s="28"/>
    </row>
    <row r="437">
      <c r="A437" s="270" t="s">
        <v>2842</v>
      </c>
      <c r="B437" s="28" t="s">
        <v>36</v>
      </c>
      <c r="C437" s="28" t="s">
        <v>2793</v>
      </c>
      <c r="D437" s="28" t="s">
        <v>44</v>
      </c>
      <c r="E437" s="28" t="s">
        <v>44</v>
      </c>
      <c r="F437" s="28" t="s">
        <v>1612</v>
      </c>
      <c r="G437" s="28" t="s">
        <v>47</v>
      </c>
      <c r="H437" s="28" t="s">
        <v>48</v>
      </c>
      <c r="I437" s="28" t="s">
        <v>485</v>
      </c>
      <c r="J437" s="28" t="s">
        <v>1614</v>
      </c>
      <c r="K437" s="28" t="s">
        <v>1615</v>
      </c>
      <c r="L437" s="28" t="s">
        <v>52</v>
      </c>
      <c r="M437" s="28" t="s">
        <v>52</v>
      </c>
      <c r="N437" s="28" t="s">
        <v>2794</v>
      </c>
      <c r="O437" s="28" t="s">
        <v>44</v>
      </c>
      <c r="P437" s="28" t="s">
        <v>2796</v>
      </c>
      <c r="Q437" s="28" t="s">
        <v>2797</v>
      </c>
      <c r="R437" s="28" t="s">
        <v>44</v>
      </c>
      <c r="S437" s="28" t="s">
        <v>44</v>
      </c>
      <c r="T437" s="28" t="s">
        <v>44</v>
      </c>
      <c r="U437" s="28" t="s">
        <v>44</v>
      </c>
      <c r="V437" s="28" t="s">
        <v>2845</v>
      </c>
      <c r="W437" s="28" t="s">
        <v>774</v>
      </c>
      <c r="X437" s="28"/>
      <c r="Y437" s="28"/>
      <c r="Z437" s="28"/>
      <c r="AA437" s="28"/>
    </row>
    <row r="438">
      <c r="A438" s="270" t="s">
        <v>2847</v>
      </c>
      <c r="B438" s="28" t="s">
        <v>36</v>
      </c>
      <c r="C438" s="28" t="s">
        <v>2799</v>
      </c>
      <c r="D438" s="28" t="s">
        <v>44</v>
      </c>
      <c r="E438" s="28" t="s">
        <v>44</v>
      </c>
      <c r="F438" s="28" t="s">
        <v>1612</v>
      </c>
      <c r="G438" s="28" t="s">
        <v>47</v>
      </c>
      <c r="H438" s="28" t="s">
        <v>95</v>
      </c>
      <c r="I438" s="28" t="s">
        <v>485</v>
      </c>
      <c r="J438" s="28" t="s">
        <v>1614</v>
      </c>
      <c r="K438" s="28" t="s">
        <v>1615</v>
      </c>
      <c r="L438" s="28" t="s">
        <v>52</v>
      </c>
      <c r="M438" s="28" t="s">
        <v>52</v>
      </c>
      <c r="N438" s="28" t="s">
        <v>2800</v>
      </c>
      <c r="O438" s="28" t="s">
        <v>44</v>
      </c>
      <c r="P438" s="28" t="s">
        <v>2802</v>
      </c>
      <c r="Q438" s="28" t="s">
        <v>2803</v>
      </c>
      <c r="R438" s="28" t="s">
        <v>44</v>
      </c>
      <c r="S438" s="28" t="s">
        <v>44</v>
      </c>
      <c r="T438" s="28" t="s">
        <v>44</v>
      </c>
      <c r="U438" s="28" t="s">
        <v>44</v>
      </c>
      <c r="V438" s="28" t="s">
        <v>2850</v>
      </c>
      <c r="W438" s="28" t="s">
        <v>774</v>
      </c>
      <c r="X438" s="28"/>
      <c r="Y438" s="28"/>
      <c r="Z438" s="28"/>
      <c r="AA438" s="28"/>
    </row>
    <row r="439">
      <c r="A439" s="270" t="s">
        <v>2852</v>
      </c>
      <c r="B439" s="28" t="s">
        <v>36</v>
      </c>
      <c r="C439" s="28" t="s">
        <v>2805</v>
      </c>
      <c r="D439" s="28" t="s">
        <v>44</v>
      </c>
      <c r="E439" s="28" t="s">
        <v>44</v>
      </c>
      <c r="F439" s="28" t="s">
        <v>1612</v>
      </c>
      <c r="G439" s="28" t="s">
        <v>197</v>
      </c>
      <c r="H439" s="28" t="s">
        <v>91</v>
      </c>
      <c r="I439" s="28" t="s">
        <v>485</v>
      </c>
      <c r="J439" s="28" t="s">
        <v>1614</v>
      </c>
      <c r="K439" s="28" t="s">
        <v>1615</v>
      </c>
      <c r="L439" s="28" t="s">
        <v>52</v>
      </c>
      <c r="M439" s="28" t="s">
        <v>52</v>
      </c>
      <c r="N439" s="28" t="s">
        <v>2794</v>
      </c>
      <c r="O439" s="28" t="s">
        <v>44</v>
      </c>
      <c r="P439" s="28" t="s">
        <v>2808</v>
      </c>
      <c r="Q439" s="28" t="s">
        <v>2809</v>
      </c>
      <c r="R439" s="28" t="s">
        <v>44</v>
      </c>
      <c r="S439" s="28" t="s">
        <v>44</v>
      </c>
      <c r="T439" s="28" t="s">
        <v>44</v>
      </c>
      <c r="U439" s="28" t="s">
        <v>44</v>
      </c>
      <c r="V439" s="28" t="s">
        <v>2856</v>
      </c>
      <c r="W439" s="28" t="s">
        <v>774</v>
      </c>
      <c r="X439" s="28"/>
      <c r="Y439" s="28"/>
      <c r="Z439" s="28"/>
      <c r="AA439" s="28"/>
    </row>
    <row r="440">
      <c r="A440" s="270" t="s">
        <v>2858</v>
      </c>
      <c r="B440" s="28" t="s">
        <v>36</v>
      </c>
      <c r="C440" s="28" t="s">
        <v>2810</v>
      </c>
      <c r="D440" s="28" t="s">
        <v>44</v>
      </c>
      <c r="E440" s="28" t="s">
        <v>44</v>
      </c>
      <c r="F440" s="28" t="s">
        <v>1612</v>
      </c>
      <c r="G440" s="28" t="s">
        <v>47</v>
      </c>
      <c r="H440" s="28" t="s">
        <v>48</v>
      </c>
      <c r="I440" s="28" t="s">
        <v>485</v>
      </c>
      <c r="J440" s="28" t="s">
        <v>1614</v>
      </c>
      <c r="K440" s="28" t="s">
        <v>1615</v>
      </c>
      <c r="L440" s="28" t="s">
        <v>52</v>
      </c>
      <c r="M440" s="28" t="s">
        <v>52</v>
      </c>
      <c r="N440" s="28" t="s">
        <v>2117</v>
      </c>
      <c r="O440" s="28" t="s">
        <v>44</v>
      </c>
      <c r="P440" s="28" t="s">
        <v>2813</v>
      </c>
      <c r="Q440" s="28" t="s">
        <v>2814</v>
      </c>
      <c r="R440" s="28" t="s">
        <v>44</v>
      </c>
      <c r="S440" s="28" t="s">
        <v>44</v>
      </c>
      <c r="T440" s="28" t="s">
        <v>44</v>
      </c>
      <c r="U440" s="28" t="s">
        <v>44</v>
      </c>
      <c r="V440" s="28" t="s">
        <v>2861</v>
      </c>
      <c r="W440" s="28" t="s">
        <v>774</v>
      </c>
      <c r="X440" s="28"/>
      <c r="Y440" s="28"/>
      <c r="Z440" s="28"/>
      <c r="AA440" s="28"/>
    </row>
    <row r="441">
      <c r="A441" s="270" t="s">
        <v>2863</v>
      </c>
      <c r="B441" s="28" t="s">
        <v>36</v>
      </c>
      <c r="C441" s="28" t="s">
        <v>2815</v>
      </c>
      <c r="D441" s="28" t="s">
        <v>44</v>
      </c>
      <c r="E441" s="28" t="s">
        <v>44</v>
      </c>
      <c r="F441" s="28" t="s">
        <v>1612</v>
      </c>
      <c r="G441" s="28" t="s">
        <v>47</v>
      </c>
      <c r="H441" s="28" t="s">
        <v>48</v>
      </c>
      <c r="I441" s="28" t="s">
        <v>485</v>
      </c>
      <c r="J441" s="28" t="s">
        <v>1614</v>
      </c>
      <c r="K441" s="28" t="s">
        <v>1615</v>
      </c>
      <c r="L441" s="28" t="s">
        <v>52</v>
      </c>
      <c r="M441" s="28" t="s">
        <v>52</v>
      </c>
      <c r="N441" s="28" t="s">
        <v>2794</v>
      </c>
      <c r="O441" s="28" t="s">
        <v>44</v>
      </c>
      <c r="P441" s="28" t="s">
        <v>2818</v>
      </c>
      <c r="Q441" s="28" t="s">
        <v>2819</v>
      </c>
      <c r="R441" s="28" t="s">
        <v>44</v>
      </c>
      <c r="S441" s="28" t="s">
        <v>44</v>
      </c>
      <c r="T441" s="28" t="s">
        <v>44</v>
      </c>
      <c r="U441" s="28" t="s">
        <v>44</v>
      </c>
      <c r="V441" s="28" t="s">
        <v>2865</v>
      </c>
      <c r="W441" s="28" t="s">
        <v>774</v>
      </c>
      <c r="X441" s="28"/>
      <c r="Y441" s="28"/>
      <c r="Z441" s="28"/>
      <c r="AA441" s="28"/>
    </row>
    <row r="442">
      <c r="A442" s="270" t="s">
        <v>2867</v>
      </c>
      <c r="B442" s="28" t="s">
        <v>36</v>
      </c>
      <c r="C442" s="28" t="s">
        <v>2820</v>
      </c>
      <c r="D442" s="28" t="s">
        <v>44</v>
      </c>
      <c r="E442" s="28" t="s">
        <v>44</v>
      </c>
      <c r="F442" s="28" t="s">
        <v>1612</v>
      </c>
      <c r="G442" s="28" t="s">
        <v>47</v>
      </c>
      <c r="H442" s="28" t="s">
        <v>95</v>
      </c>
      <c r="I442" s="28" t="s">
        <v>485</v>
      </c>
      <c r="J442" s="28" t="s">
        <v>1614</v>
      </c>
      <c r="K442" s="28" t="s">
        <v>1615</v>
      </c>
      <c r="L442" s="28" t="s">
        <v>52</v>
      </c>
      <c r="M442" s="28" t="s">
        <v>52</v>
      </c>
      <c r="N442" s="28" t="s">
        <v>2823</v>
      </c>
      <c r="O442" s="28" t="s">
        <v>44</v>
      </c>
      <c r="P442" s="28" t="s">
        <v>2818</v>
      </c>
      <c r="Q442" s="28" t="s">
        <v>2824</v>
      </c>
      <c r="R442" s="28" t="s">
        <v>44</v>
      </c>
      <c r="S442" s="28" t="s">
        <v>44</v>
      </c>
      <c r="T442" s="28" t="s">
        <v>44</v>
      </c>
      <c r="U442" s="28" t="s">
        <v>44</v>
      </c>
      <c r="V442" s="28" t="s">
        <v>2869</v>
      </c>
      <c r="W442" s="28" t="s">
        <v>774</v>
      </c>
      <c r="X442" s="28"/>
      <c r="Y442" s="28"/>
      <c r="Z442" s="28"/>
      <c r="AA442" s="28"/>
    </row>
    <row r="443">
      <c r="A443" s="270" t="s">
        <v>2870</v>
      </c>
      <c r="B443" s="28" t="s">
        <v>36</v>
      </c>
      <c r="C443" s="28" t="s">
        <v>2826</v>
      </c>
      <c r="D443" s="28" t="s">
        <v>44</v>
      </c>
      <c r="E443" s="28" t="s">
        <v>44</v>
      </c>
      <c r="F443" s="28" t="s">
        <v>1612</v>
      </c>
      <c r="G443" s="28" t="s">
        <v>197</v>
      </c>
      <c r="H443" s="28" t="s">
        <v>91</v>
      </c>
      <c r="I443" s="28" t="s">
        <v>485</v>
      </c>
      <c r="J443" s="28" t="s">
        <v>1614</v>
      </c>
      <c r="K443" s="28" t="s">
        <v>1615</v>
      </c>
      <c r="L443" s="28" t="s">
        <v>52</v>
      </c>
      <c r="M443" s="28" t="s">
        <v>52</v>
      </c>
      <c r="N443" s="28" t="s">
        <v>2823</v>
      </c>
      <c r="O443" s="28" t="s">
        <v>44</v>
      </c>
      <c r="P443" s="28" t="s">
        <v>2828</v>
      </c>
      <c r="Q443" s="28" t="s">
        <v>2829</v>
      </c>
      <c r="R443" s="28" t="s">
        <v>44</v>
      </c>
      <c r="S443" s="28" t="s">
        <v>44</v>
      </c>
      <c r="T443" s="28" t="s">
        <v>44</v>
      </c>
      <c r="U443" s="28" t="s">
        <v>44</v>
      </c>
      <c r="V443" s="28" t="s">
        <v>2873</v>
      </c>
      <c r="W443" s="28" t="s">
        <v>774</v>
      </c>
      <c r="X443" s="28"/>
      <c r="Y443" s="28"/>
      <c r="Z443" s="28"/>
      <c r="AA443" s="28"/>
    </row>
    <row r="444">
      <c r="A444" s="270" t="s">
        <v>2874</v>
      </c>
      <c r="B444" s="28" t="s">
        <v>36</v>
      </c>
      <c r="C444" s="28" t="s">
        <v>2831</v>
      </c>
      <c r="D444" s="28" t="s">
        <v>44</v>
      </c>
      <c r="E444" s="28" t="s">
        <v>44</v>
      </c>
      <c r="F444" s="28" t="s">
        <v>1612</v>
      </c>
      <c r="G444" s="28" t="s">
        <v>47</v>
      </c>
      <c r="H444" s="28" t="s">
        <v>48</v>
      </c>
      <c r="I444" s="28" t="s">
        <v>485</v>
      </c>
      <c r="J444" s="28" t="s">
        <v>1614</v>
      </c>
      <c r="K444" s="28" t="s">
        <v>1615</v>
      </c>
      <c r="L444" s="28" t="s">
        <v>52</v>
      </c>
      <c r="M444" s="28" t="s">
        <v>52</v>
      </c>
      <c r="N444" s="28" t="s">
        <v>2117</v>
      </c>
      <c r="O444" s="28" t="s">
        <v>44</v>
      </c>
      <c r="P444" s="28" t="s">
        <v>2833</v>
      </c>
      <c r="Q444" s="28" t="s">
        <v>2834</v>
      </c>
      <c r="R444" s="28" t="s">
        <v>44</v>
      </c>
      <c r="S444" s="28" t="s">
        <v>44</v>
      </c>
      <c r="T444" s="28" t="s">
        <v>44</v>
      </c>
      <c r="U444" s="28" t="s">
        <v>44</v>
      </c>
      <c r="V444" s="28" t="s">
        <v>2877</v>
      </c>
      <c r="W444" s="28" t="s">
        <v>774</v>
      </c>
      <c r="X444" s="28"/>
      <c r="Y444" s="28"/>
      <c r="Z444" s="28"/>
      <c r="AA444" s="28"/>
    </row>
    <row r="445">
      <c r="A445" s="270" t="s">
        <v>2878</v>
      </c>
      <c r="B445" s="28" t="s">
        <v>36</v>
      </c>
      <c r="C445" s="28" t="s">
        <v>2836</v>
      </c>
      <c r="D445" s="28" t="s">
        <v>44</v>
      </c>
      <c r="E445" s="28" t="s">
        <v>44</v>
      </c>
      <c r="F445" s="28" t="s">
        <v>1612</v>
      </c>
      <c r="G445" s="28" t="s">
        <v>47</v>
      </c>
      <c r="H445" s="28" t="s">
        <v>48</v>
      </c>
      <c r="I445" s="28" t="s">
        <v>485</v>
      </c>
      <c r="J445" s="28" t="s">
        <v>1614</v>
      </c>
      <c r="K445" s="28" t="s">
        <v>1615</v>
      </c>
      <c r="L445" s="28" t="s">
        <v>52</v>
      </c>
      <c r="M445" s="28" t="s">
        <v>52</v>
      </c>
      <c r="N445" s="28" t="s">
        <v>2117</v>
      </c>
      <c r="O445" s="28" t="s">
        <v>44</v>
      </c>
      <c r="P445" s="28" t="s">
        <v>2838</v>
      </c>
      <c r="Q445" s="28" t="s">
        <v>2839</v>
      </c>
      <c r="R445" s="28" t="s">
        <v>44</v>
      </c>
      <c r="S445" s="28" t="s">
        <v>44</v>
      </c>
      <c r="T445" s="28" t="s">
        <v>44</v>
      </c>
      <c r="U445" s="28" t="s">
        <v>44</v>
      </c>
      <c r="V445" s="28" t="s">
        <v>2881</v>
      </c>
      <c r="W445" s="28" t="s">
        <v>774</v>
      </c>
      <c r="X445" s="28"/>
      <c r="Y445" s="28"/>
      <c r="Z445" s="28"/>
      <c r="AA445" s="28"/>
    </row>
    <row r="446">
      <c r="A446" s="270" t="s">
        <v>2882</v>
      </c>
      <c r="B446" s="28" t="s">
        <v>36</v>
      </c>
      <c r="C446" s="28" t="s">
        <v>2841</v>
      </c>
      <c r="D446" s="28" t="s">
        <v>44</v>
      </c>
      <c r="E446" s="28" t="s">
        <v>44</v>
      </c>
      <c r="F446" s="28" t="s">
        <v>1612</v>
      </c>
      <c r="G446" s="28" t="s">
        <v>47</v>
      </c>
      <c r="H446" s="28" t="s">
        <v>48</v>
      </c>
      <c r="I446" s="28" t="s">
        <v>485</v>
      </c>
      <c r="J446" s="28" t="s">
        <v>1614</v>
      </c>
      <c r="K446" s="28" t="s">
        <v>1615</v>
      </c>
      <c r="L446" s="28" t="s">
        <v>52</v>
      </c>
      <c r="M446" s="28" t="s">
        <v>52</v>
      </c>
      <c r="N446" s="28" t="s">
        <v>2117</v>
      </c>
      <c r="O446" s="28" t="s">
        <v>44</v>
      </c>
      <c r="P446" s="28" t="s">
        <v>2843</v>
      </c>
      <c r="Q446" s="28" t="s">
        <v>2844</v>
      </c>
      <c r="R446" s="28" t="s">
        <v>44</v>
      </c>
      <c r="S446" s="28" t="s">
        <v>44</v>
      </c>
      <c r="T446" s="28" t="s">
        <v>44</v>
      </c>
      <c r="U446" s="28" t="s">
        <v>44</v>
      </c>
      <c r="V446" s="28" t="s">
        <v>2884</v>
      </c>
      <c r="W446" s="28" t="s">
        <v>774</v>
      </c>
      <c r="X446" s="28"/>
      <c r="Y446" s="28"/>
      <c r="Z446" s="28"/>
      <c r="AA446" s="28"/>
    </row>
    <row r="447">
      <c r="A447" s="270" t="s">
        <v>2885</v>
      </c>
      <c r="B447" s="28" t="s">
        <v>36</v>
      </c>
      <c r="C447" s="28" t="s">
        <v>2846</v>
      </c>
      <c r="D447" s="28" t="s">
        <v>44</v>
      </c>
      <c r="E447" s="28" t="s">
        <v>44</v>
      </c>
      <c r="F447" s="28" t="s">
        <v>1612</v>
      </c>
      <c r="G447" s="28" t="s">
        <v>47</v>
      </c>
      <c r="H447" s="28" t="s">
        <v>48</v>
      </c>
      <c r="I447" s="28" t="s">
        <v>485</v>
      </c>
      <c r="J447" s="28" t="s">
        <v>1614</v>
      </c>
      <c r="K447" s="28" t="s">
        <v>1615</v>
      </c>
      <c r="L447" s="28" t="s">
        <v>52</v>
      </c>
      <c r="M447" s="28" t="s">
        <v>52</v>
      </c>
      <c r="N447" s="28" t="s">
        <v>2117</v>
      </c>
      <c r="O447" s="28" t="s">
        <v>44</v>
      </c>
      <c r="P447" s="28" t="s">
        <v>2848</v>
      </c>
      <c r="Q447" s="28" t="s">
        <v>2849</v>
      </c>
      <c r="R447" s="28" t="s">
        <v>44</v>
      </c>
      <c r="S447" s="28" t="s">
        <v>44</v>
      </c>
      <c r="T447" s="28" t="s">
        <v>44</v>
      </c>
      <c r="U447" s="28" t="s">
        <v>44</v>
      </c>
      <c r="V447" s="28" t="s">
        <v>2888</v>
      </c>
      <c r="W447" s="28" t="s">
        <v>774</v>
      </c>
      <c r="X447" s="28"/>
      <c r="Y447" s="28"/>
      <c r="Z447" s="28"/>
      <c r="AA447" s="28"/>
    </row>
    <row r="448">
      <c r="A448" s="270" t="s">
        <v>2889</v>
      </c>
      <c r="B448" s="28" t="s">
        <v>36</v>
      </c>
      <c r="C448" s="28" t="s">
        <v>2851</v>
      </c>
      <c r="D448" s="28" t="s">
        <v>44</v>
      </c>
      <c r="E448" s="28" t="s">
        <v>44</v>
      </c>
      <c r="F448" s="28" t="s">
        <v>1612</v>
      </c>
      <c r="G448" s="28" t="s">
        <v>47</v>
      </c>
      <c r="H448" s="28" t="s">
        <v>95</v>
      </c>
      <c r="I448" s="28" t="s">
        <v>485</v>
      </c>
      <c r="J448" s="28" t="s">
        <v>1614</v>
      </c>
      <c r="K448" s="28" t="s">
        <v>1615</v>
      </c>
      <c r="L448" s="28" t="s">
        <v>52</v>
      </c>
      <c r="M448" s="28" t="s">
        <v>52</v>
      </c>
      <c r="N448" s="28" t="s">
        <v>2853</v>
      </c>
      <c r="O448" s="28" t="s">
        <v>44</v>
      </c>
      <c r="P448" s="28" t="s">
        <v>2854</v>
      </c>
      <c r="Q448" s="28" t="s">
        <v>2855</v>
      </c>
      <c r="R448" s="28" t="s">
        <v>44</v>
      </c>
      <c r="S448" s="28" t="s">
        <v>44</v>
      </c>
      <c r="T448" s="28" t="s">
        <v>44</v>
      </c>
      <c r="U448" s="28" t="s">
        <v>44</v>
      </c>
      <c r="V448" s="28" t="s">
        <v>2891</v>
      </c>
      <c r="W448" s="28" t="s">
        <v>774</v>
      </c>
      <c r="X448" s="28"/>
      <c r="Y448" s="28"/>
      <c r="Z448" s="28"/>
      <c r="AA448" s="28"/>
    </row>
    <row r="449">
      <c r="A449" s="270" t="s">
        <v>2892</v>
      </c>
      <c r="B449" s="28" t="s">
        <v>36</v>
      </c>
      <c r="C449" s="28" t="s">
        <v>2857</v>
      </c>
      <c r="D449" s="28" t="s">
        <v>44</v>
      </c>
      <c r="E449" s="28" t="s">
        <v>44</v>
      </c>
      <c r="F449" s="28" t="s">
        <v>1612</v>
      </c>
      <c r="G449" s="28" t="s">
        <v>47</v>
      </c>
      <c r="H449" s="28" t="s">
        <v>95</v>
      </c>
      <c r="I449" s="28" t="s">
        <v>485</v>
      </c>
      <c r="J449" s="28" t="s">
        <v>1614</v>
      </c>
      <c r="K449" s="28" t="s">
        <v>1615</v>
      </c>
      <c r="L449" s="28" t="s">
        <v>52</v>
      </c>
      <c r="M449" s="28" t="s">
        <v>52</v>
      </c>
      <c r="N449" s="28" t="s">
        <v>2859</v>
      </c>
      <c r="O449" s="28" t="s">
        <v>44</v>
      </c>
      <c r="P449" s="28" t="s">
        <v>2854</v>
      </c>
      <c r="Q449" s="28" t="s">
        <v>2860</v>
      </c>
      <c r="R449" s="28" t="s">
        <v>44</v>
      </c>
      <c r="S449" s="28" t="s">
        <v>44</v>
      </c>
      <c r="T449" s="28" t="s">
        <v>44</v>
      </c>
      <c r="U449" s="28" t="s">
        <v>44</v>
      </c>
      <c r="V449" s="28" t="s">
        <v>2894</v>
      </c>
      <c r="W449" s="28" t="s">
        <v>774</v>
      </c>
      <c r="X449" s="28"/>
      <c r="Y449" s="28"/>
      <c r="Z449" s="28"/>
      <c r="AA449" s="28"/>
    </row>
    <row r="450">
      <c r="A450" s="270" t="s">
        <v>2895</v>
      </c>
      <c r="B450" s="28" t="s">
        <v>36</v>
      </c>
      <c r="C450" s="28" t="s">
        <v>2862</v>
      </c>
      <c r="D450" s="28" t="s">
        <v>44</v>
      </c>
      <c r="E450" s="28" t="s">
        <v>44</v>
      </c>
      <c r="F450" s="28" t="s">
        <v>1612</v>
      </c>
      <c r="G450" s="28" t="s">
        <v>47</v>
      </c>
      <c r="H450" s="28" t="s">
        <v>95</v>
      </c>
      <c r="I450" s="28" t="s">
        <v>485</v>
      </c>
      <c r="J450" s="28" t="s">
        <v>1614</v>
      </c>
      <c r="K450" s="28" t="s">
        <v>1615</v>
      </c>
      <c r="L450" s="28" t="s">
        <v>52</v>
      </c>
      <c r="M450" s="28" t="s">
        <v>52</v>
      </c>
      <c r="N450" s="28" t="s">
        <v>2117</v>
      </c>
      <c r="O450" s="28" t="s">
        <v>44</v>
      </c>
      <c r="P450" s="28" t="s">
        <v>2864</v>
      </c>
      <c r="Q450" s="28" t="s">
        <v>2278</v>
      </c>
      <c r="R450" s="28" t="s">
        <v>44</v>
      </c>
      <c r="S450" s="28" t="s">
        <v>44</v>
      </c>
      <c r="T450" s="28" t="s">
        <v>44</v>
      </c>
      <c r="U450" s="28" t="s">
        <v>44</v>
      </c>
      <c r="V450" s="28" t="s">
        <v>2899</v>
      </c>
      <c r="W450" s="28" t="s">
        <v>774</v>
      </c>
      <c r="X450" s="28"/>
      <c r="Y450" s="28"/>
      <c r="Z450" s="28"/>
      <c r="AA450" s="28"/>
    </row>
    <row r="451">
      <c r="A451" s="270" t="s">
        <v>2900</v>
      </c>
      <c r="B451" s="28" t="s">
        <v>36</v>
      </c>
      <c r="C451" s="28" t="s">
        <v>2866</v>
      </c>
      <c r="D451" s="28" t="s">
        <v>44</v>
      </c>
      <c r="E451" s="28" t="s">
        <v>44</v>
      </c>
      <c r="F451" s="28" t="s">
        <v>1612</v>
      </c>
      <c r="G451" s="28" t="s">
        <v>47</v>
      </c>
      <c r="H451" s="28" t="s">
        <v>48</v>
      </c>
      <c r="I451" s="28" t="s">
        <v>485</v>
      </c>
      <c r="J451" s="28" t="s">
        <v>1614</v>
      </c>
      <c r="K451" s="28" t="s">
        <v>1615</v>
      </c>
      <c r="L451" s="28" t="s">
        <v>52</v>
      </c>
      <c r="M451" s="28" t="s">
        <v>52</v>
      </c>
      <c r="N451" s="28" t="s">
        <v>2117</v>
      </c>
      <c r="O451" s="28" t="s">
        <v>44</v>
      </c>
      <c r="P451" s="28" t="s">
        <v>2868</v>
      </c>
      <c r="Q451" s="28" t="s">
        <v>2341</v>
      </c>
      <c r="R451" s="28" t="s">
        <v>44</v>
      </c>
      <c r="S451" s="28" t="s">
        <v>44</v>
      </c>
      <c r="T451" s="28" t="s">
        <v>44</v>
      </c>
      <c r="U451" s="28" t="s">
        <v>44</v>
      </c>
      <c r="V451" s="28" t="s">
        <v>2903</v>
      </c>
      <c r="W451" s="28" t="s">
        <v>774</v>
      </c>
      <c r="X451" s="28"/>
      <c r="Y451" s="28"/>
      <c r="Z451" s="28"/>
      <c r="AA451" s="28"/>
    </row>
    <row r="452">
      <c r="A452" s="270" t="s">
        <v>2905</v>
      </c>
      <c r="B452" s="28" t="s">
        <v>36</v>
      </c>
      <c r="C452" s="28" t="s">
        <v>2871</v>
      </c>
      <c r="D452" s="28" t="s">
        <v>44</v>
      </c>
      <c r="E452" s="28" t="s">
        <v>44</v>
      </c>
      <c r="F452" s="28" t="s">
        <v>1612</v>
      </c>
      <c r="G452" s="28" t="s">
        <v>47</v>
      </c>
      <c r="H452" s="28" t="s">
        <v>48</v>
      </c>
      <c r="I452" s="28" t="s">
        <v>485</v>
      </c>
      <c r="J452" s="28" t="s">
        <v>1614</v>
      </c>
      <c r="K452" s="28" t="s">
        <v>1615</v>
      </c>
      <c r="L452" s="28" t="s">
        <v>52</v>
      </c>
      <c r="M452" s="28" t="s">
        <v>52</v>
      </c>
      <c r="N452" s="28" t="s">
        <v>2117</v>
      </c>
      <c r="O452" s="28" t="s">
        <v>44</v>
      </c>
      <c r="P452" s="28" t="s">
        <v>2872</v>
      </c>
      <c r="Q452" s="28" t="s">
        <v>2345</v>
      </c>
      <c r="R452" s="28" t="s">
        <v>44</v>
      </c>
      <c r="S452" s="28" t="s">
        <v>44</v>
      </c>
      <c r="T452" s="28" t="s">
        <v>44</v>
      </c>
      <c r="U452" s="28" t="s">
        <v>44</v>
      </c>
      <c r="V452" s="28" t="s">
        <v>2909</v>
      </c>
      <c r="W452" s="28" t="s">
        <v>774</v>
      </c>
      <c r="X452" s="28"/>
      <c r="Y452" s="28"/>
      <c r="Z452" s="28"/>
      <c r="AA452" s="28"/>
    </row>
    <row r="453">
      <c r="A453" s="270" t="s">
        <v>2911</v>
      </c>
      <c r="B453" s="28" t="s">
        <v>36</v>
      </c>
      <c r="C453" s="28" t="s">
        <v>2875</v>
      </c>
      <c r="D453" s="28" t="s">
        <v>44</v>
      </c>
      <c r="E453" s="28" t="s">
        <v>44</v>
      </c>
      <c r="F453" s="28" t="s">
        <v>1612</v>
      </c>
      <c r="G453" s="28" t="s">
        <v>197</v>
      </c>
      <c r="H453" s="28" t="s">
        <v>91</v>
      </c>
      <c r="I453" s="28" t="s">
        <v>485</v>
      </c>
      <c r="J453" s="28" t="s">
        <v>1614</v>
      </c>
      <c r="K453" s="28" t="s">
        <v>1615</v>
      </c>
      <c r="L453" s="28" t="s">
        <v>52</v>
      </c>
      <c r="M453" s="28" t="s">
        <v>52</v>
      </c>
      <c r="N453" s="28" t="s">
        <v>2876</v>
      </c>
      <c r="O453" s="28" t="s">
        <v>44</v>
      </c>
      <c r="P453" s="28" t="s">
        <v>2350</v>
      </c>
      <c r="Q453" s="28" t="s">
        <v>2352</v>
      </c>
      <c r="R453" s="28" t="s">
        <v>44</v>
      </c>
      <c r="S453" s="28" t="s">
        <v>44</v>
      </c>
      <c r="T453" s="28" t="s">
        <v>44</v>
      </c>
      <c r="U453" s="28" t="s">
        <v>44</v>
      </c>
      <c r="V453" s="28" t="s">
        <v>2915</v>
      </c>
      <c r="W453" s="28" t="s">
        <v>774</v>
      </c>
      <c r="X453" s="28"/>
      <c r="Y453" s="28"/>
      <c r="Z453" s="28"/>
      <c r="AA453" s="28"/>
    </row>
    <row r="454">
      <c r="A454" s="270" t="s">
        <v>2916</v>
      </c>
      <c r="B454" s="28" t="s">
        <v>36</v>
      </c>
      <c r="C454" s="28" t="s">
        <v>2879</v>
      </c>
      <c r="D454" s="28" t="s">
        <v>44</v>
      </c>
      <c r="E454" s="28" t="s">
        <v>44</v>
      </c>
      <c r="F454" s="28" t="s">
        <v>1612</v>
      </c>
      <c r="G454" s="28" t="s">
        <v>47</v>
      </c>
      <c r="H454" s="28" t="s">
        <v>95</v>
      </c>
      <c r="I454" s="28" t="s">
        <v>485</v>
      </c>
      <c r="J454" s="28" t="s">
        <v>1614</v>
      </c>
      <c r="K454" s="28" t="s">
        <v>1615</v>
      </c>
      <c r="L454" s="28" t="s">
        <v>52</v>
      </c>
      <c r="M454" s="28" t="s">
        <v>52</v>
      </c>
      <c r="N454" s="28" t="s">
        <v>2880</v>
      </c>
      <c r="O454" s="28" t="s">
        <v>44</v>
      </c>
      <c r="P454" s="28" t="s">
        <v>2356</v>
      </c>
      <c r="Q454" s="28" t="s">
        <v>2358</v>
      </c>
      <c r="R454" s="28" t="s">
        <v>44</v>
      </c>
      <c r="S454" s="28" t="s">
        <v>44</v>
      </c>
      <c r="T454" s="28" t="s">
        <v>44</v>
      </c>
      <c r="U454" s="28" t="s">
        <v>44</v>
      </c>
      <c r="V454" s="28" t="s">
        <v>2920</v>
      </c>
      <c r="W454" s="28" t="s">
        <v>774</v>
      </c>
      <c r="X454" s="28"/>
      <c r="Y454" s="28"/>
      <c r="Z454" s="28"/>
      <c r="AA454" s="28"/>
    </row>
    <row r="455">
      <c r="A455" s="270" t="s">
        <v>2921</v>
      </c>
      <c r="B455" s="28" t="s">
        <v>36</v>
      </c>
      <c r="C455" s="28" t="s">
        <v>2883</v>
      </c>
      <c r="D455" s="28" t="s">
        <v>44</v>
      </c>
      <c r="E455" s="28" t="s">
        <v>44</v>
      </c>
      <c r="F455" s="28" t="s">
        <v>1612</v>
      </c>
      <c r="G455" s="28" t="s">
        <v>47</v>
      </c>
      <c r="H455" s="28" t="s">
        <v>95</v>
      </c>
      <c r="I455" s="28" t="s">
        <v>485</v>
      </c>
      <c r="J455" s="28" t="s">
        <v>1614</v>
      </c>
      <c r="K455" s="28" t="s">
        <v>1615</v>
      </c>
      <c r="L455" s="28" t="s">
        <v>52</v>
      </c>
      <c r="M455" s="28" t="s">
        <v>52</v>
      </c>
      <c r="N455" s="28" t="s">
        <v>2876</v>
      </c>
      <c r="O455" s="28" t="s">
        <v>44</v>
      </c>
      <c r="P455" s="28" t="s">
        <v>2368</v>
      </c>
      <c r="Q455" s="28" t="s">
        <v>2369</v>
      </c>
      <c r="R455" s="28" t="s">
        <v>44</v>
      </c>
      <c r="S455" s="28" t="s">
        <v>44</v>
      </c>
      <c r="T455" s="28" t="s">
        <v>44</v>
      </c>
      <c r="U455" s="28" t="s">
        <v>44</v>
      </c>
      <c r="V455" s="28" t="s">
        <v>2924</v>
      </c>
      <c r="W455" s="28" t="s">
        <v>774</v>
      </c>
      <c r="X455" s="28"/>
      <c r="Y455" s="28"/>
      <c r="Z455" s="28"/>
      <c r="AA455" s="28"/>
    </row>
    <row r="456">
      <c r="A456" s="270" t="s">
        <v>2926</v>
      </c>
      <c r="B456" s="28" t="s">
        <v>36</v>
      </c>
      <c r="C456" s="28" t="s">
        <v>2886</v>
      </c>
      <c r="D456" s="28" t="s">
        <v>44</v>
      </c>
      <c r="E456" s="28" t="s">
        <v>44</v>
      </c>
      <c r="F456" s="28" t="s">
        <v>1612</v>
      </c>
      <c r="G456" s="28" t="s">
        <v>47</v>
      </c>
      <c r="H456" s="28" t="s">
        <v>95</v>
      </c>
      <c r="I456" s="28" t="s">
        <v>485</v>
      </c>
      <c r="J456" s="28" t="s">
        <v>1614</v>
      </c>
      <c r="K456" s="28" t="s">
        <v>1615</v>
      </c>
      <c r="L456" s="28" t="s">
        <v>52</v>
      </c>
      <c r="M456" s="28" t="s">
        <v>52</v>
      </c>
      <c r="N456" s="28" t="s">
        <v>2887</v>
      </c>
      <c r="O456" s="28" t="s">
        <v>44</v>
      </c>
      <c r="P456" s="28" t="s">
        <v>2368</v>
      </c>
      <c r="Q456" s="28" t="s">
        <v>2374</v>
      </c>
      <c r="R456" s="28" t="s">
        <v>44</v>
      </c>
      <c r="S456" s="28" t="s">
        <v>44</v>
      </c>
      <c r="T456" s="28" t="s">
        <v>44</v>
      </c>
      <c r="U456" s="28" t="s">
        <v>44</v>
      </c>
      <c r="V456" s="28" t="s">
        <v>2928</v>
      </c>
      <c r="W456" s="28" t="s">
        <v>774</v>
      </c>
      <c r="X456" s="28"/>
      <c r="Y456" s="28"/>
      <c r="Z456" s="28"/>
      <c r="AA456" s="28"/>
    </row>
    <row r="457">
      <c r="A457" s="270" t="s">
        <v>2929</v>
      </c>
      <c r="B457" s="28" t="s">
        <v>36</v>
      </c>
      <c r="C457" s="28" t="s">
        <v>2890</v>
      </c>
      <c r="D457" s="28" t="s">
        <v>44</v>
      </c>
      <c r="E457" s="28" t="s">
        <v>44</v>
      </c>
      <c r="F457" s="28" t="s">
        <v>1612</v>
      </c>
      <c r="G457" s="28" t="s">
        <v>197</v>
      </c>
      <c r="H457" s="28" t="s">
        <v>91</v>
      </c>
      <c r="I457" s="28" t="s">
        <v>485</v>
      </c>
      <c r="J457" s="28" t="s">
        <v>1614</v>
      </c>
      <c r="K457" s="28" t="s">
        <v>1615</v>
      </c>
      <c r="L457" s="28" t="s">
        <v>52</v>
      </c>
      <c r="M457" s="28" t="s">
        <v>52</v>
      </c>
      <c r="N457" s="28" t="s">
        <v>2887</v>
      </c>
      <c r="O457" s="28" t="s">
        <v>44</v>
      </c>
      <c r="P457" s="28" t="s">
        <v>2378</v>
      </c>
      <c r="Q457" s="28" t="s">
        <v>2379</v>
      </c>
      <c r="R457" s="28" t="s">
        <v>44</v>
      </c>
      <c r="S457" s="28" t="s">
        <v>44</v>
      </c>
      <c r="T457" s="28" t="s">
        <v>44</v>
      </c>
      <c r="U457" s="28" t="s">
        <v>44</v>
      </c>
      <c r="V457" s="28" t="s">
        <v>2934</v>
      </c>
      <c r="W457" s="28" t="s">
        <v>774</v>
      </c>
      <c r="X457" s="28"/>
      <c r="Y457" s="28"/>
      <c r="Z457" s="28"/>
      <c r="AA457" s="28"/>
    </row>
    <row r="458">
      <c r="A458" s="270" t="s">
        <v>2935</v>
      </c>
      <c r="B458" s="28" t="s">
        <v>36</v>
      </c>
      <c r="C458" s="28" t="s">
        <v>2893</v>
      </c>
      <c r="D458" s="28" t="s">
        <v>44</v>
      </c>
      <c r="E458" s="28" t="s">
        <v>44</v>
      </c>
      <c r="F458" s="28" t="s">
        <v>1612</v>
      </c>
      <c r="G458" s="28" t="s">
        <v>47</v>
      </c>
      <c r="H458" s="28" t="s">
        <v>48</v>
      </c>
      <c r="I458" s="28" t="s">
        <v>485</v>
      </c>
      <c r="J458" s="28" t="s">
        <v>1614</v>
      </c>
      <c r="K458" s="28" t="s">
        <v>1615</v>
      </c>
      <c r="L458" s="28" t="s">
        <v>52</v>
      </c>
      <c r="M458" s="28" t="s">
        <v>52</v>
      </c>
      <c r="N458" s="28" t="s">
        <v>2135</v>
      </c>
      <c r="O458" s="28" t="s">
        <v>44</v>
      </c>
      <c r="P458" s="28" t="s">
        <v>2896</v>
      </c>
      <c r="Q458" s="28" t="s">
        <v>2897</v>
      </c>
      <c r="R458" s="28" t="s">
        <v>44</v>
      </c>
      <c r="S458" s="28" t="s">
        <v>44</v>
      </c>
      <c r="T458" s="28" t="s">
        <v>44</v>
      </c>
      <c r="U458" s="28" t="s">
        <v>44</v>
      </c>
      <c r="V458" s="28" t="s">
        <v>2940</v>
      </c>
      <c r="W458" s="28" t="s">
        <v>774</v>
      </c>
      <c r="X458" s="28"/>
      <c r="Y458" s="28"/>
      <c r="Z458" s="28"/>
      <c r="AA458" s="28"/>
    </row>
    <row r="459">
      <c r="A459" s="270" t="s">
        <v>2941</v>
      </c>
      <c r="B459" s="28" t="s">
        <v>36</v>
      </c>
      <c r="C459" s="28" t="s">
        <v>2898</v>
      </c>
      <c r="D459" s="28" t="s">
        <v>44</v>
      </c>
      <c r="E459" s="28" t="s">
        <v>44</v>
      </c>
      <c r="F459" s="28" t="s">
        <v>1612</v>
      </c>
      <c r="G459" s="28" t="s">
        <v>47</v>
      </c>
      <c r="H459" s="28" t="s">
        <v>48</v>
      </c>
      <c r="I459" s="28" t="s">
        <v>485</v>
      </c>
      <c r="J459" s="28" t="s">
        <v>1614</v>
      </c>
      <c r="K459" s="28" t="s">
        <v>1615</v>
      </c>
      <c r="L459" s="28" t="s">
        <v>52</v>
      </c>
      <c r="M459" s="28" t="s">
        <v>52</v>
      </c>
      <c r="N459" s="28" t="s">
        <v>2135</v>
      </c>
      <c r="O459" s="28" t="s">
        <v>44</v>
      </c>
      <c r="P459" s="28" t="s">
        <v>2901</v>
      </c>
      <c r="Q459" s="28" t="s">
        <v>2902</v>
      </c>
      <c r="R459" s="28" t="s">
        <v>44</v>
      </c>
      <c r="S459" s="28" t="s">
        <v>44</v>
      </c>
      <c r="T459" s="28" t="s">
        <v>44</v>
      </c>
      <c r="U459" s="28" t="s">
        <v>44</v>
      </c>
      <c r="V459" s="28" t="s">
        <v>2945</v>
      </c>
      <c r="W459" s="28" t="s">
        <v>774</v>
      </c>
      <c r="X459" s="28"/>
      <c r="Y459" s="28"/>
      <c r="Z459" s="28"/>
      <c r="AA459" s="28"/>
    </row>
    <row r="460">
      <c r="A460" s="270" t="s">
        <v>2946</v>
      </c>
      <c r="B460" s="28" t="s">
        <v>36</v>
      </c>
      <c r="C460" s="28" t="s">
        <v>2904</v>
      </c>
      <c r="D460" s="28" t="s">
        <v>44</v>
      </c>
      <c r="E460" s="28" t="s">
        <v>44</v>
      </c>
      <c r="F460" s="28" t="s">
        <v>1612</v>
      </c>
      <c r="G460" s="28" t="s">
        <v>47</v>
      </c>
      <c r="H460" s="28" t="s">
        <v>48</v>
      </c>
      <c r="I460" s="28" t="s">
        <v>485</v>
      </c>
      <c r="J460" s="28" t="s">
        <v>1614</v>
      </c>
      <c r="K460" s="28" t="s">
        <v>1615</v>
      </c>
      <c r="L460" s="28" t="s">
        <v>52</v>
      </c>
      <c r="M460" s="28" t="s">
        <v>52</v>
      </c>
      <c r="N460" s="28" t="s">
        <v>2135</v>
      </c>
      <c r="O460" s="28" t="s">
        <v>44</v>
      </c>
      <c r="P460" s="28" t="s">
        <v>2906</v>
      </c>
      <c r="Q460" s="28" t="s">
        <v>2907</v>
      </c>
      <c r="R460" s="28" t="s">
        <v>44</v>
      </c>
      <c r="S460" s="28" t="s">
        <v>44</v>
      </c>
      <c r="T460" s="28" t="s">
        <v>44</v>
      </c>
      <c r="U460" s="28" t="s">
        <v>44</v>
      </c>
      <c r="V460" s="28" t="s">
        <v>2951</v>
      </c>
      <c r="W460" s="28" t="s">
        <v>774</v>
      </c>
      <c r="X460" s="28"/>
      <c r="Y460" s="28"/>
      <c r="Z460" s="28"/>
      <c r="AA460" s="28"/>
    </row>
    <row r="461">
      <c r="A461" s="270" t="s">
        <v>2952</v>
      </c>
      <c r="B461" s="28" t="s">
        <v>36</v>
      </c>
      <c r="C461" s="28" t="s">
        <v>2908</v>
      </c>
      <c r="D461" s="28" t="s">
        <v>44</v>
      </c>
      <c r="E461" s="28" t="s">
        <v>44</v>
      </c>
      <c r="F461" s="28" t="s">
        <v>1612</v>
      </c>
      <c r="G461" s="28" t="s">
        <v>47</v>
      </c>
      <c r="H461" s="28" t="s">
        <v>95</v>
      </c>
      <c r="I461" s="28" t="s">
        <v>485</v>
      </c>
      <c r="J461" s="28" t="s">
        <v>1614</v>
      </c>
      <c r="K461" s="28" t="s">
        <v>1615</v>
      </c>
      <c r="L461" s="28" t="s">
        <v>52</v>
      </c>
      <c r="M461" s="28" t="s">
        <v>52</v>
      </c>
      <c r="N461" s="28" t="s">
        <v>2910</v>
      </c>
      <c r="O461" s="28" t="s">
        <v>44</v>
      </c>
      <c r="P461" s="28" t="s">
        <v>2912</v>
      </c>
      <c r="Q461" s="28" t="s">
        <v>2913</v>
      </c>
      <c r="R461" s="28" t="s">
        <v>44</v>
      </c>
      <c r="S461" s="28" t="s">
        <v>44</v>
      </c>
      <c r="T461" s="28" t="s">
        <v>44</v>
      </c>
      <c r="U461" s="28" t="s">
        <v>44</v>
      </c>
      <c r="V461" s="28" t="s">
        <v>2956</v>
      </c>
      <c r="W461" s="28" t="s">
        <v>774</v>
      </c>
      <c r="X461" s="28"/>
      <c r="Y461" s="28"/>
      <c r="Z461" s="28"/>
      <c r="AA461" s="28"/>
    </row>
    <row r="462">
      <c r="A462" s="270" t="s">
        <v>2957</v>
      </c>
      <c r="B462" s="28" t="s">
        <v>36</v>
      </c>
      <c r="C462" s="28" t="s">
        <v>2914</v>
      </c>
      <c r="D462" s="28" t="s">
        <v>44</v>
      </c>
      <c r="E462" s="28" t="s">
        <v>44</v>
      </c>
      <c r="F462" s="28" t="s">
        <v>1612</v>
      </c>
      <c r="G462" s="28" t="s">
        <v>47</v>
      </c>
      <c r="H462" s="28" t="s">
        <v>48</v>
      </c>
      <c r="I462" s="28" t="s">
        <v>485</v>
      </c>
      <c r="J462" s="28" t="s">
        <v>1614</v>
      </c>
      <c r="K462" s="28" t="s">
        <v>1615</v>
      </c>
      <c r="L462" s="28" t="s">
        <v>52</v>
      </c>
      <c r="M462" s="28" t="s">
        <v>52</v>
      </c>
      <c r="N462" s="28" t="s">
        <v>2910</v>
      </c>
      <c r="O462" s="28" t="s">
        <v>44</v>
      </c>
      <c r="P462" s="28" t="s">
        <v>2917</v>
      </c>
      <c r="Q462" s="28" t="s">
        <v>2918</v>
      </c>
      <c r="R462" s="28" t="s">
        <v>44</v>
      </c>
      <c r="S462" s="28" t="s">
        <v>44</v>
      </c>
      <c r="T462" s="28" t="s">
        <v>44</v>
      </c>
      <c r="U462" s="28" t="s">
        <v>44</v>
      </c>
      <c r="V462" s="28" t="s">
        <v>2960</v>
      </c>
      <c r="W462" s="28" t="s">
        <v>774</v>
      </c>
      <c r="X462" s="28"/>
      <c r="Y462" s="28"/>
      <c r="Z462" s="28"/>
      <c r="AA462" s="28"/>
    </row>
    <row r="463">
      <c r="A463" s="270" t="s">
        <v>2961</v>
      </c>
      <c r="B463" s="28" t="s">
        <v>36</v>
      </c>
      <c r="C463" s="28" t="s">
        <v>2919</v>
      </c>
      <c r="D463" s="28" t="s">
        <v>44</v>
      </c>
      <c r="E463" s="28" t="s">
        <v>44</v>
      </c>
      <c r="F463" s="28" t="s">
        <v>1612</v>
      </c>
      <c r="G463" s="28" t="s">
        <v>47</v>
      </c>
      <c r="H463" s="28" t="s">
        <v>48</v>
      </c>
      <c r="I463" s="28" t="s">
        <v>485</v>
      </c>
      <c r="J463" s="28" t="s">
        <v>1614</v>
      </c>
      <c r="K463" s="28" t="s">
        <v>1615</v>
      </c>
      <c r="L463" s="28" t="s">
        <v>52</v>
      </c>
      <c r="M463" s="28" t="s">
        <v>52</v>
      </c>
      <c r="N463" s="28" t="s">
        <v>2922</v>
      </c>
      <c r="O463" s="28" t="s">
        <v>44</v>
      </c>
      <c r="P463" s="28" t="s">
        <v>2917</v>
      </c>
      <c r="Q463" s="28" t="s">
        <v>2923</v>
      </c>
      <c r="R463" s="28" t="s">
        <v>44</v>
      </c>
      <c r="S463" s="28" t="s">
        <v>44</v>
      </c>
      <c r="T463" s="28" t="s">
        <v>44</v>
      </c>
      <c r="U463" s="28" t="s">
        <v>44</v>
      </c>
      <c r="V463" s="28" t="s">
        <v>2964</v>
      </c>
      <c r="W463" s="28" t="s">
        <v>774</v>
      </c>
      <c r="X463" s="28"/>
      <c r="Y463" s="28"/>
      <c r="Z463" s="28"/>
      <c r="AA463" s="28"/>
    </row>
    <row r="464">
      <c r="A464" s="270" t="s">
        <v>2965</v>
      </c>
      <c r="B464" s="28" t="s">
        <v>36</v>
      </c>
      <c r="C464" s="28" t="s">
        <v>2925</v>
      </c>
      <c r="D464" s="28" t="s">
        <v>44</v>
      </c>
      <c r="E464" s="28" t="s">
        <v>44</v>
      </c>
      <c r="F464" s="28" t="s">
        <v>1612</v>
      </c>
      <c r="G464" s="28" t="s">
        <v>47</v>
      </c>
      <c r="H464" s="28" t="s">
        <v>48</v>
      </c>
      <c r="I464" s="28" t="s">
        <v>485</v>
      </c>
      <c r="J464" s="28" t="s">
        <v>1614</v>
      </c>
      <c r="K464" s="28" t="s">
        <v>1615</v>
      </c>
      <c r="L464" s="28" t="s">
        <v>52</v>
      </c>
      <c r="M464" s="28" t="s">
        <v>52</v>
      </c>
      <c r="N464" s="28" t="s">
        <v>2927</v>
      </c>
      <c r="O464" s="28" t="s">
        <v>44</v>
      </c>
      <c r="P464" s="28" t="s">
        <v>2917</v>
      </c>
      <c r="Q464" s="28" t="s">
        <v>2923</v>
      </c>
      <c r="R464" s="28" t="s">
        <v>44</v>
      </c>
      <c r="S464" s="28" t="s">
        <v>44</v>
      </c>
      <c r="T464" s="28" t="s">
        <v>44</v>
      </c>
      <c r="U464" s="28" t="s">
        <v>44</v>
      </c>
      <c r="V464" s="28" t="s">
        <v>2967</v>
      </c>
      <c r="W464" s="28" t="s">
        <v>774</v>
      </c>
      <c r="X464" s="28"/>
      <c r="Y464" s="28"/>
      <c r="Z464" s="28"/>
      <c r="AA464" s="28"/>
    </row>
    <row r="465">
      <c r="A465" s="270" t="s">
        <v>2969</v>
      </c>
      <c r="B465" s="28" t="s">
        <v>36</v>
      </c>
      <c r="C465" s="28" t="s">
        <v>2930</v>
      </c>
      <c r="D465" s="28" t="s">
        <v>44</v>
      </c>
      <c r="E465" s="28" t="s">
        <v>44</v>
      </c>
      <c r="F465" s="28" t="s">
        <v>1612</v>
      </c>
      <c r="G465" s="28" t="s">
        <v>47</v>
      </c>
      <c r="H465" s="28" t="s">
        <v>48</v>
      </c>
      <c r="I465" s="28" t="s">
        <v>485</v>
      </c>
      <c r="J465" s="28" t="s">
        <v>1614</v>
      </c>
      <c r="K465" s="28" t="s">
        <v>1615</v>
      </c>
      <c r="L465" s="28" t="s">
        <v>52</v>
      </c>
      <c r="M465" s="28" t="s">
        <v>52</v>
      </c>
      <c r="N465" s="28" t="s">
        <v>2931</v>
      </c>
      <c r="O465" s="28" t="s">
        <v>44</v>
      </c>
      <c r="P465" s="28" t="s">
        <v>2932</v>
      </c>
      <c r="Q465" s="28" t="s">
        <v>2933</v>
      </c>
      <c r="R465" s="28" t="s">
        <v>44</v>
      </c>
      <c r="S465" s="28" t="s">
        <v>44</v>
      </c>
      <c r="T465" s="28" t="s">
        <v>44</v>
      </c>
      <c r="U465" s="28" t="s">
        <v>44</v>
      </c>
      <c r="V465" s="28" t="s">
        <v>2973</v>
      </c>
      <c r="W465" s="28" t="s">
        <v>774</v>
      </c>
      <c r="X465" s="28"/>
      <c r="Y465" s="28"/>
      <c r="Z465" s="28"/>
      <c r="AA465" s="28"/>
    </row>
    <row r="466">
      <c r="A466" s="270" t="s">
        <v>2975</v>
      </c>
      <c r="B466" s="28" t="s">
        <v>36</v>
      </c>
      <c r="C466" s="28" t="s">
        <v>2936</v>
      </c>
      <c r="D466" s="28" t="s">
        <v>44</v>
      </c>
      <c r="E466" s="28" t="s">
        <v>44</v>
      </c>
      <c r="F466" s="28" t="s">
        <v>1612</v>
      </c>
      <c r="G466" s="28" t="s">
        <v>47</v>
      </c>
      <c r="H466" s="28" t="s">
        <v>95</v>
      </c>
      <c r="I466" s="28" t="s">
        <v>485</v>
      </c>
      <c r="J466" s="28" t="s">
        <v>1614</v>
      </c>
      <c r="K466" s="28" t="s">
        <v>1615</v>
      </c>
      <c r="L466" s="28" t="s">
        <v>52</v>
      </c>
      <c r="M466" s="28" t="s">
        <v>52</v>
      </c>
      <c r="N466" s="28" t="s">
        <v>2937</v>
      </c>
      <c r="O466" s="28" t="s">
        <v>44</v>
      </c>
      <c r="P466" s="28" t="s">
        <v>2938</v>
      </c>
      <c r="Q466" s="28" t="s">
        <v>2939</v>
      </c>
      <c r="R466" s="28" t="s">
        <v>44</v>
      </c>
      <c r="S466" s="28" t="s">
        <v>44</v>
      </c>
      <c r="T466" s="28" t="s">
        <v>44</v>
      </c>
      <c r="U466" s="28" t="s">
        <v>44</v>
      </c>
      <c r="V466" s="28" t="s">
        <v>2979</v>
      </c>
      <c r="W466" s="28" t="s">
        <v>774</v>
      </c>
      <c r="X466" s="28"/>
      <c r="Y466" s="28"/>
      <c r="Z466" s="28"/>
      <c r="AA466" s="28"/>
    </row>
    <row r="467">
      <c r="A467" s="270" t="s">
        <v>2980</v>
      </c>
      <c r="B467" s="28" t="s">
        <v>36</v>
      </c>
      <c r="C467" s="28" t="s">
        <v>2942</v>
      </c>
      <c r="D467" s="28" t="s">
        <v>44</v>
      </c>
      <c r="E467" s="28" t="s">
        <v>44</v>
      </c>
      <c r="F467" s="28" t="s">
        <v>1612</v>
      </c>
      <c r="G467" s="28" t="s">
        <v>47</v>
      </c>
      <c r="H467" s="28" t="s">
        <v>91</v>
      </c>
      <c r="I467" s="28" t="s">
        <v>485</v>
      </c>
      <c r="J467" s="28" t="s">
        <v>1614</v>
      </c>
      <c r="K467" s="28" t="s">
        <v>1615</v>
      </c>
      <c r="L467" s="28" t="s">
        <v>52</v>
      </c>
      <c r="M467" s="28" t="s">
        <v>52</v>
      </c>
      <c r="N467" s="28" t="s">
        <v>2937</v>
      </c>
      <c r="O467" s="28" t="s">
        <v>44</v>
      </c>
      <c r="P467" s="28" t="s">
        <v>2943</v>
      </c>
      <c r="Q467" s="28" t="s">
        <v>2944</v>
      </c>
      <c r="R467" s="28" t="s">
        <v>44</v>
      </c>
      <c r="S467" s="28" t="s">
        <v>44</v>
      </c>
      <c r="T467" s="28" t="s">
        <v>44</v>
      </c>
      <c r="U467" s="28" t="s">
        <v>44</v>
      </c>
      <c r="V467" s="28" t="s">
        <v>2984</v>
      </c>
      <c r="W467" s="28" t="s">
        <v>774</v>
      </c>
      <c r="X467" s="28"/>
      <c r="Y467" s="28"/>
      <c r="Z467" s="28"/>
      <c r="AA467" s="28"/>
    </row>
    <row r="468">
      <c r="A468" s="270" t="s">
        <v>2985</v>
      </c>
      <c r="B468" s="28" t="s">
        <v>36</v>
      </c>
      <c r="C468" s="28" t="s">
        <v>2947</v>
      </c>
      <c r="D468" s="28" t="s">
        <v>44</v>
      </c>
      <c r="E468" s="28" t="s">
        <v>44</v>
      </c>
      <c r="F468" s="28" t="s">
        <v>1612</v>
      </c>
      <c r="G468" s="28" t="s">
        <v>47</v>
      </c>
      <c r="H468" s="28" t="s">
        <v>48</v>
      </c>
      <c r="I468" s="28" t="s">
        <v>485</v>
      </c>
      <c r="J468" s="28" t="s">
        <v>1614</v>
      </c>
      <c r="K468" s="28" t="s">
        <v>1615</v>
      </c>
      <c r="L468" s="28" t="s">
        <v>52</v>
      </c>
      <c r="M468" s="28" t="s">
        <v>52</v>
      </c>
      <c r="N468" s="28" t="s">
        <v>2948</v>
      </c>
      <c r="O468" s="28" t="s">
        <v>44</v>
      </c>
      <c r="P468" s="28" t="s">
        <v>2949</v>
      </c>
      <c r="Q468" s="28" t="s">
        <v>2950</v>
      </c>
      <c r="R468" s="28" t="s">
        <v>44</v>
      </c>
      <c r="S468" s="28" t="s">
        <v>44</v>
      </c>
      <c r="T468" s="28" t="s">
        <v>44</v>
      </c>
      <c r="U468" s="28" t="s">
        <v>44</v>
      </c>
      <c r="V468" s="28" t="s">
        <v>2989</v>
      </c>
      <c r="W468" s="28" t="s">
        <v>774</v>
      </c>
      <c r="X468" s="28"/>
      <c r="Y468" s="28"/>
      <c r="Z468" s="28"/>
      <c r="AA468" s="28"/>
    </row>
    <row r="469">
      <c r="A469" s="270" t="s">
        <v>2990</v>
      </c>
      <c r="B469" s="28" t="s">
        <v>36</v>
      </c>
      <c r="C469" s="28" t="s">
        <v>2953</v>
      </c>
      <c r="D469" s="28" t="s">
        <v>44</v>
      </c>
      <c r="E469" s="28" t="s">
        <v>44</v>
      </c>
      <c r="F469" s="28" t="s">
        <v>1612</v>
      </c>
      <c r="G469" s="28" t="s">
        <v>47</v>
      </c>
      <c r="H469" s="28" t="s">
        <v>91</v>
      </c>
      <c r="I469" s="28" t="s">
        <v>485</v>
      </c>
      <c r="J469" s="28" t="s">
        <v>1614</v>
      </c>
      <c r="K469" s="28" t="s">
        <v>1615</v>
      </c>
      <c r="L469" s="28" t="s">
        <v>52</v>
      </c>
      <c r="M469" s="28" t="s">
        <v>52</v>
      </c>
      <c r="N469" s="28" t="s">
        <v>2937</v>
      </c>
      <c r="O469" s="28" t="s">
        <v>44</v>
      </c>
      <c r="P469" s="28" t="s">
        <v>2954</v>
      </c>
      <c r="Q469" s="28" t="s">
        <v>2955</v>
      </c>
      <c r="R469" s="28" t="s">
        <v>44</v>
      </c>
      <c r="S469" s="28" t="s">
        <v>44</v>
      </c>
      <c r="T469" s="28" t="s">
        <v>44</v>
      </c>
      <c r="U469" s="28" t="s">
        <v>44</v>
      </c>
      <c r="V469" s="28" t="s">
        <v>2994</v>
      </c>
      <c r="W469" s="28" t="s">
        <v>774</v>
      </c>
      <c r="X469" s="28"/>
      <c r="Y469" s="28"/>
      <c r="Z469" s="28"/>
      <c r="AA469" s="28"/>
    </row>
    <row r="470">
      <c r="A470" s="270" t="s">
        <v>2995</v>
      </c>
      <c r="B470" s="28" t="s">
        <v>36</v>
      </c>
      <c r="C470" s="28" t="s">
        <v>2958</v>
      </c>
      <c r="D470" s="28" t="s">
        <v>44</v>
      </c>
      <c r="E470" s="28" t="s">
        <v>44</v>
      </c>
      <c r="F470" s="28" t="s">
        <v>1612</v>
      </c>
      <c r="G470" s="28" t="s">
        <v>47</v>
      </c>
      <c r="H470" s="28" t="s">
        <v>48</v>
      </c>
      <c r="I470" s="28" t="s">
        <v>485</v>
      </c>
      <c r="J470" s="28" t="s">
        <v>1614</v>
      </c>
      <c r="K470" s="28" t="s">
        <v>1615</v>
      </c>
      <c r="L470" s="28" t="s">
        <v>52</v>
      </c>
      <c r="M470" s="28" t="s">
        <v>52</v>
      </c>
      <c r="N470" s="28" t="s">
        <v>2959</v>
      </c>
      <c r="O470" s="28" t="s">
        <v>44</v>
      </c>
      <c r="P470" s="28" t="s">
        <v>1969</v>
      </c>
      <c r="Q470" s="28" t="s">
        <v>1970</v>
      </c>
      <c r="R470" s="28" t="s">
        <v>44</v>
      </c>
      <c r="S470" s="28" t="s">
        <v>44</v>
      </c>
      <c r="T470" s="28" t="s">
        <v>44</v>
      </c>
      <c r="U470" s="28" t="s">
        <v>44</v>
      </c>
      <c r="V470" s="28" t="s">
        <v>3000</v>
      </c>
      <c r="W470" s="28" t="s">
        <v>774</v>
      </c>
      <c r="X470" s="28"/>
      <c r="Y470" s="28"/>
      <c r="Z470" s="28"/>
      <c r="AA470" s="28"/>
    </row>
    <row r="471">
      <c r="A471" s="270" t="s">
        <v>3002</v>
      </c>
      <c r="B471" s="28" t="s">
        <v>36</v>
      </c>
      <c r="C471" s="28" t="s">
        <v>2962</v>
      </c>
      <c r="D471" s="28" t="s">
        <v>44</v>
      </c>
      <c r="E471" s="28" t="s">
        <v>44</v>
      </c>
      <c r="F471" s="28" t="s">
        <v>1612</v>
      </c>
      <c r="G471" s="28" t="s">
        <v>47</v>
      </c>
      <c r="H471" s="28" t="s">
        <v>95</v>
      </c>
      <c r="I471" s="28" t="s">
        <v>485</v>
      </c>
      <c r="J471" s="28" t="s">
        <v>1614</v>
      </c>
      <c r="K471" s="28" t="s">
        <v>1615</v>
      </c>
      <c r="L471" s="28" t="s">
        <v>52</v>
      </c>
      <c r="M471" s="28" t="s">
        <v>52</v>
      </c>
      <c r="N471" s="28" t="s">
        <v>2963</v>
      </c>
      <c r="O471" s="28" t="s">
        <v>44</v>
      </c>
      <c r="P471" s="28" t="s">
        <v>1977</v>
      </c>
      <c r="Q471" s="28" t="s">
        <v>1978</v>
      </c>
      <c r="R471" s="28" t="s">
        <v>44</v>
      </c>
      <c r="S471" s="28" t="s">
        <v>44</v>
      </c>
      <c r="T471" s="28" t="s">
        <v>44</v>
      </c>
      <c r="U471" s="28" t="s">
        <v>44</v>
      </c>
      <c r="V471" s="28" t="s">
        <v>3005</v>
      </c>
      <c r="W471" s="28" t="s">
        <v>774</v>
      </c>
      <c r="X471" s="28"/>
      <c r="Y471" s="28"/>
      <c r="Z471" s="28"/>
      <c r="AA471" s="28"/>
    </row>
    <row r="472">
      <c r="A472" s="270" t="s">
        <v>3008</v>
      </c>
      <c r="B472" s="28" t="s">
        <v>36</v>
      </c>
      <c r="C472" s="28" t="s">
        <v>2966</v>
      </c>
      <c r="D472" s="28" t="s">
        <v>44</v>
      </c>
      <c r="E472" s="28" t="s">
        <v>44</v>
      </c>
      <c r="F472" s="28" t="s">
        <v>1612</v>
      </c>
      <c r="G472" s="28" t="s">
        <v>47</v>
      </c>
      <c r="H472" s="28" t="s">
        <v>95</v>
      </c>
      <c r="I472" s="28" t="s">
        <v>485</v>
      </c>
      <c r="J472" s="28" t="s">
        <v>1614</v>
      </c>
      <c r="K472" s="28" t="s">
        <v>1615</v>
      </c>
      <c r="L472" s="28" t="s">
        <v>52</v>
      </c>
      <c r="M472" s="28" t="s">
        <v>52</v>
      </c>
      <c r="N472" s="28" t="s">
        <v>2968</v>
      </c>
      <c r="O472" s="28" t="s">
        <v>44</v>
      </c>
      <c r="P472" s="28" t="s">
        <v>2970</v>
      </c>
      <c r="Q472" s="28" t="s">
        <v>2971</v>
      </c>
      <c r="R472" s="28" t="s">
        <v>44</v>
      </c>
      <c r="S472" s="28" t="s">
        <v>44</v>
      </c>
      <c r="T472" s="28" t="s">
        <v>44</v>
      </c>
      <c r="U472" s="28" t="s">
        <v>44</v>
      </c>
      <c r="V472" s="28" t="s">
        <v>3010</v>
      </c>
      <c r="W472" s="28" t="s">
        <v>774</v>
      </c>
      <c r="X472" s="28"/>
      <c r="Y472" s="28"/>
      <c r="Z472" s="28"/>
      <c r="AA472" s="28"/>
    </row>
    <row r="473">
      <c r="A473" s="270" t="s">
        <v>3012</v>
      </c>
      <c r="B473" s="28" t="s">
        <v>36</v>
      </c>
      <c r="C473" s="28" t="s">
        <v>2972</v>
      </c>
      <c r="D473" s="28" t="s">
        <v>44</v>
      </c>
      <c r="E473" s="28" t="s">
        <v>44</v>
      </c>
      <c r="F473" s="28" t="s">
        <v>1612</v>
      </c>
      <c r="G473" s="28" t="s">
        <v>47</v>
      </c>
      <c r="H473" s="28" t="s">
        <v>48</v>
      </c>
      <c r="I473" s="28" t="s">
        <v>485</v>
      </c>
      <c r="J473" s="28" t="s">
        <v>1614</v>
      </c>
      <c r="K473" s="28" t="s">
        <v>1615</v>
      </c>
      <c r="L473" s="28" t="s">
        <v>52</v>
      </c>
      <c r="M473" s="28" t="s">
        <v>52</v>
      </c>
      <c r="N473" s="28" t="s">
        <v>2974</v>
      </c>
      <c r="O473" s="28" t="s">
        <v>44</v>
      </c>
      <c r="P473" s="28" t="s">
        <v>2976</v>
      </c>
      <c r="Q473" s="28" t="s">
        <v>2977</v>
      </c>
      <c r="R473" s="28" t="s">
        <v>44</v>
      </c>
      <c r="S473" s="28" t="s">
        <v>44</v>
      </c>
      <c r="T473" s="28" t="s">
        <v>44</v>
      </c>
      <c r="U473" s="28" t="s">
        <v>44</v>
      </c>
      <c r="V473" s="28" t="s">
        <v>3015</v>
      </c>
      <c r="W473" s="28" t="s">
        <v>774</v>
      </c>
      <c r="X473" s="28"/>
      <c r="Y473" s="28"/>
      <c r="Z473" s="28"/>
      <c r="AA473" s="28"/>
    </row>
    <row r="474">
      <c r="A474" s="270" t="s">
        <v>3016</v>
      </c>
      <c r="B474" s="28" t="s">
        <v>36</v>
      </c>
      <c r="C474" s="28" t="s">
        <v>2978</v>
      </c>
      <c r="D474" s="28" t="s">
        <v>44</v>
      </c>
      <c r="E474" s="28" t="s">
        <v>44</v>
      </c>
      <c r="F474" s="28" t="s">
        <v>1612</v>
      </c>
      <c r="G474" s="28" t="s">
        <v>47</v>
      </c>
      <c r="H474" s="28" t="s">
        <v>48</v>
      </c>
      <c r="I474" s="28" t="s">
        <v>485</v>
      </c>
      <c r="J474" s="28" t="s">
        <v>1614</v>
      </c>
      <c r="K474" s="28" t="s">
        <v>1615</v>
      </c>
      <c r="L474" s="28" t="s">
        <v>52</v>
      </c>
      <c r="M474" s="28" t="s">
        <v>52</v>
      </c>
      <c r="N474" s="28" t="s">
        <v>2135</v>
      </c>
      <c r="O474" s="28" t="s">
        <v>44</v>
      </c>
      <c r="P474" s="28" t="s">
        <v>2981</v>
      </c>
      <c r="Q474" s="28" t="s">
        <v>2982</v>
      </c>
      <c r="R474" s="28" t="s">
        <v>44</v>
      </c>
      <c r="S474" s="28" t="s">
        <v>44</v>
      </c>
      <c r="T474" s="28" t="s">
        <v>44</v>
      </c>
      <c r="U474" s="28" t="s">
        <v>44</v>
      </c>
      <c r="V474" s="28" t="s">
        <v>3020</v>
      </c>
      <c r="W474" s="28" t="s">
        <v>774</v>
      </c>
      <c r="X474" s="28"/>
      <c r="Y474" s="28"/>
      <c r="Z474" s="28"/>
      <c r="AA474" s="28"/>
    </row>
    <row r="475">
      <c r="A475" s="270" t="s">
        <v>3021</v>
      </c>
      <c r="B475" s="28" t="s">
        <v>36</v>
      </c>
      <c r="C475" s="28" t="s">
        <v>2983</v>
      </c>
      <c r="D475" s="28" t="s">
        <v>44</v>
      </c>
      <c r="E475" s="28" t="s">
        <v>44</v>
      </c>
      <c r="F475" s="28" t="s">
        <v>1612</v>
      </c>
      <c r="G475" s="28" t="s">
        <v>47</v>
      </c>
      <c r="H475" s="28" t="s">
        <v>95</v>
      </c>
      <c r="I475" s="28" t="s">
        <v>485</v>
      </c>
      <c r="J475" s="28" t="s">
        <v>1614</v>
      </c>
      <c r="K475" s="28" t="s">
        <v>1615</v>
      </c>
      <c r="L475" s="28" t="s">
        <v>52</v>
      </c>
      <c r="M475" s="28" t="s">
        <v>52</v>
      </c>
      <c r="N475" s="28" t="s">
        <v>2135</v>
      </c>
      <c r="O475" s="28" t="s">
        <v>44</v>
      </c>
      <c r="P475" s="28" t="s">
        <v>2986</v>
      </c>
      <c r="Q475" s="28" t="s">
        <v>2987</v>
      </c>
      <c r="R475" s="28" t="s">
        <v>44</v>
      </c>
      <c r="S475" s="28" t="s">
        <v>44</v>
      </c>
      <c r="T475" s="28" t="s">
        <v>44</v>
      </c>
      <c r="U475" s="28" t="s">
        <v>44</v>
      </c>
      <c r="V475" s="28" t="s">
        <v>3024</v>
      </c>
      <c r="W475" s="28" t="s">
        <v>774</v>
      </c>
      <c r="X475" s="28"/>
      <c r="Y475" s="28"/>
      <c r="Z475" s="28"/>
      <c r="AA475" s="28"/>
    </row>
    <row r="476">
      <c r="A476" s="270" t="s">
        <v>3026</v>
      </c>
      <c r="B476" s="28" t="s">
        <v>36</v>
      </c>
      <c r="C476" s="28" t="s">
        <v>2988</v>
      </c>
      <c r="D476" s="28" t="s">
        <v>44</v>
      </c>
      <c r="E476" s="28" t="s">
        <v>44</v>
      </c>
      <c r="F476" s="28" t="s">
        <v>1612</v>
      </c>
      <c r="G476" s="28" t="s">
        <v>47</v>
      </c>
      <c r="H476" s="28" t="s">
        <v>95</v>
      </c>
      <c r="I476" s="28" t="s">
        <v>485</v>
      </c>
      <c r="J476" s="28" t="s">
        <v>1614</v>
      </c>
      <c r="K476" s="28" t="s">
        <v>1615</v>
      </c>
      <c r="L476" s="28" t="s">
        <v>52</v>
      </c>
      <c r="M476" s="28" t="s">
        <v>52</v>
      </c>
      <c r="N476" s="28" t="s">
        <v>2991</v>
      </c>
      <c r="O476" s="28" t="s">
        <v>44</v>
      </c>
      <c r="P476" s="28" t="s">
        <v>2992</v>
      </c>
      <c r="Q476" s="28" t="s">
        <v>2993</v>
      </c>
      <c r="R476" s="28" t="s">
        <v>44</v>
      </c>
      <c r="S476" s="28" t="s">
        <v>44</v>
      </c>
      <c r="T476" s="28" t="s">
        <v>44</v>
      </c>
      <c r="U476" s="28" t="s">
        <v>44</v>
      </c>
      <c r="V476" s="28" t="s">
        <v>3030</v>
      </c>
      <c r="W476" s="28" t="s">
        <v>774</v>
      </c>
      <c r="X476" s="28"/>
      <c r="Y476" s="28"/>
      <c r="Z476" s="28"/>
      <c r="AA476" s="28"/>
    </row>
    <row r="477">
      <c r="A477" s="270" t="s">
        <v>3031</v>
      </c>
      <c r="B477" s="28" t="s">
        <v>36</v>
      </c>
      <c r="C477" s="28" t="s">
        <v>2996</v>
      </c>
      <c r="D477" s="28" t="s">
        <v>44</v>
      </c>
      <c r="E477" s="28" t="s">
        <v>44</v>
      </c>
      <c r="F477" s="28" t="s">
        <v>1612</v>
      </c>
      <c r="G477" s="28" t="s">
        <v>47</v>
      </c>
      <c r="H477" s="28" t="s">
        <v>48</v>
      </c>
      <c r="I477" s="28" t="s">
        <v>485</v>
      </c>
      <c r="J477" s="28" t="s">
        <v>1614</v>
      </c>
      <c r="K477" s="28" t="s">
        <v>1615</v>
      </c>
      <c r="L477" s="28" t="s">
        <v>52</v>
      </c>
      <c r="M477" s="28" t="s">
        <v>52</v>
      </c>
      <c r="N477" s="28" t="s">
        <v>2135</v>
      </c>
      <c r="O477" s="28" t="s">
        <v>44</v>
      </c>
      <c r="P477" s="28" t="s">
        <v>2997</v>
      </c>
      <c r="Q477" s="28" t="s">
        <v>2341</v>
      </c>
      <c r="R477" s="28" t="s">
        <v>44</v>
      </c>
      <c r="S477" s="28" t="s">
        <v>44</v>
      </c>
      <c r="T477" s="28" t="s">
        <v>44</v>
      </c>
      <c r="U477" s="28" t="s">
        <v>44</v>
      </c>
      <c r="V477" s="28" t="s">
        <v>3035</v>
      </c>
      <c r="W477" s="28" t="s">
        <v>774</v>
      </c>
      <c r="X477" s="28"/>
      <c r="Y477" s="28"/>
      <c r="Z477" s="28"/>
      <c r="AA477" s="28"/>
    </row>
    <row r="478">
      <c r="A478" s="270" t="s">
        <v>3037</v>
      </c>
      <c r="B478" s="28" t="s">
        <v>36</v>
      </c>
      <c r="C478" s="28" t="s">
        <v>2998</v>
      </c>
      <c r="D478" s="28" t="s">
        <v>44</v>
      </c>
      <c r="E478" s="28" t="s">
        <v>44</v>
      </c>
      <c r="F478" s="28" t="s">
        <v>1612</v>
      </c>
      <c r="G478" s="28" t="s">
        <v>47</v>
      </c>
      <c r="H478" s="28" t="s">
        <v>48</v>
      </c>
      <c r="I478" s="28" t="s">
        <v>485</v>
      </c>
      <c r="J478" s="28" t="s">
        <v>1614</v>
      </c>
      <c r="K478" s="28" t="s">
        <v>1615</v>
      </c>
      <c r="L478" s="28" t="s">
        <v>52</v>
      </c>
      <c r="M478" s="28" t="s">
        <v>52</v>
      </c>
      <c r="N478" s="28" t="s">
        <v>1616</v>
      </c>
      <c r="O478" s="28" t="s">
        <v>44</v>
      </c>
      <c r="P478" s="28" t="s">
        <v>2999</v>
      </c>
      <c r="Q478" s="28" t="s">
        <v>3001</v>
      </c>
      <c r="R478" s="28" t="s">
        <v>44</v>
      </c>
      <c r="S478" s="28" t="s">
        <v>44</v>
      </c>
      <c r="T478" s="28" t="s">
        <v>44</v>
      </c>
      <c r="U478" s="28" t="s">
        <v>44</v>
      </c>
      <c r="V478" s="28" t="s">
        <v>3040</v>
      </c>
      <c r="W478" s="28" t="s">
        <v>774</v>
      </c>
      <c r="X478" s="28"/>
      <c r="Y478" s="28"/>
      <c r="Z478" s="28"/>
      <c r="AA478" s="28"/>
    </row>
    <row r="479">
      <c r="A479" s="270" t="s">
        <v>3042</v>
      </c>
      <c r="B479" s="28" t="s">
        <v>36</v>
      </c>
      <c r="C479" s="28" t="s">
        <v>3003</v>
      </c>
      <c r="D479" s="28" t="s">
        <v>44</v>
      </c>
      <c r="E479" s="28" t="s">
        <v>44</v>
      </c>
      <c r="F479" s="28" t="s">
        <v>1612</v>
      </c>
      <c r="G479" s="28" t="s">
        <v>47</v>
      </c>
      <c r="H479" s="28" t="s">
        <v>48</v>
      </c>
      <c r="I479" s="28" t="s">
        <v>485</v>
      </c>
      <c r="J479" s="28" t="s">
        <v>1614</v>
      </c>
      <c r="K479" s="28" t="s">
        <v>1615</v>
      </c>
      <c r="L479" s="28" t="s">
        <v>52</v>
      </c>
      <c r="M479" s="28" t="s">
        <v>52</v>
      </c>
      <c r="N479" s="28" t="s">
        <v>3004</v>
      </c>
      <c r="O479" s="28" t="s">
        <v>44</v>
      </c>
      <c r="P479" s="28" t="s">
        <v>3006</v>
      </c>
      <c r="Q479" s="28" t="s">
        <v>3007</v>
      </c>
      <c r="R479" s="28" t="s">
        <v>44</v>
      </c>
      <c r="S479" s="28" t="s">
        <v>44</v>
      </c>
      <c r="T479" s="28" t="s">
        <v>44</v>
      </c>
      <c r="U479" s="28" t="s">
        <v>44</v>
      </c>
      <c r="V479" s="28" t="s">
        <v>3045</v>
      </c>
      <c r="W479" s="28" t="s">
        <v>774</v>
      </c>
      <c r="X479" s="28"/>
      <c r="Y479" s="28"/>
      <c r="Z479" s="28"/>
      <c r="AA479" s="28"/>
    </row>
    <row r="480">
      <c r="A480" s="270" t="s">
        <v>3047</v>
      </c>
      <c r="B480" s="28" t="s">
        <v>36</v>
      </c>
      <c r="C480" s="28" t="s">
        <v>3009</v>
      </c>
      <c r="D480" s="28" t="s">
        <v>44</v>
      </c>
      <c r="E480" s="28" t="s">
        <v>44</v>
      </c>
      <c r="F480" s="28" t="s">
        <v>1612</v>
      </c>
      <c r="G480" s="28" t="s">
        <v>47</v>
      </c>
      <c r="H480" s="28" t="s">
        <v>48</v>
      </c>
      <c r="I480" s="28" t="s">
        <v>485</v>
      </c>
      <c r="J480" s="28" t="s">
        <v>1614</v>
      </c>
      <c r="K480" s="28" t="s">
        <v>1615</v>
      </c>
      <c r="L480" s="28" t="s">
        <v>52</v>
      </c>
      <c r="M480" s="28" t="s">
        <v>52</v>
      </c>
      <c r="N480" s="28" t="s">
        <v>3004</v>
      </c>
      <c r="O480" s="28" t="s">
        <v>44</v>
      </c>
      <c r="P480" s="28" t="s">
        <v>3011</v>
      </c>
      <c r="Q480" s="28" t="s">
        <v>3013</v>
      </c>
      <c r="R480" s="28" t="s">
        <v>44</v>
      </c>
      <c r="S480" s="28" t="s">
        <v>44</v>
      </c>
      <c r="T480" s="28" t="s">
        <v>44</v>
      </c>
      <c r="U480" s="28" t="s">
        <v>44</v>
      </c>
      <c r="V480" s="28" t="s">
        <v>3050</v>
      </c>
      <c r="W480" s="28" t="s">
        <v>774</v>
      </c>
      <c r="X480" s="28"/>
      <c r="Y480" s="28"/>
      <c r="Z480" s="28"/>
      <c r="AA480" s="28"/>
    </row>
    <row r="481">
      <c r="A481" s="270" t="s">
        <v>3052</v>
      </c>
      <c r="B481" s="28" t="s">
        <v>36</v>
      </c>
      <c r="C481" s="28" t="s">
        <v>3014</v>
      </c>
      <c r="D481" s="28" t="s">
        <v>44</v>
      </c>
      <c r="E481" s="28" t="s">
        <v>44</v>
      </c>
      <c r="F481" s="28" t="s">
        <v>1612</v>
      </c>
      <c r="G481" s="28" t="s">
        <v>197</v>
      </c>
      <c r="H481" s="28" t="s">
        <v>112</v>
      </c>
      <c r="I481" s="28" t="s">
        <v>485</v>
      </c>
      <c r="J481" s="28" t="s">
        <v>1614</v>
      </c>
      <c r="K481" s="28" t="s">
        <v>1615</v>
      </c>
      <c r="L481" s="28" t="s">
        <v>52</v>
      </c>
      <c r="M481" s="28" t="s">
        <v>52</v>
      </c>
      <c r="N481" s="28" t="s">
        <v>3017</v>
      </c>
      <c r="O481" s="28" t="s">
        <v>44</v>
      </c>
      <c r="P481" s="28" t="s">
        <v>3006</v>
      </c>
      <c r="Q481" s="28" t="s">
        <v>3018</v>
      </c>
      <c r="R481" s="28" t="s">
        <v>44</v>
      </c>
      <c r="S481" s="28" t="s">
        <v>44</v>
      </c>
      <c r="T481" s="28" t="s">
        <v>44</v>
      </c>
      <c r="U481" s="28" t="s">
        <v>44</v>
      </c>
      <c r="V481" s="28" t="s">
        <v>3056</v>
      </c>
      <c r="W481" s="28" t="s">
        <v>774</v>
      </c>
      <c r="X481" s="28"/>
      <c r="Y481" s="28"/>
      <c r="Z481" s="28"/>
      <c r="AA481" s="28"/>
    </row>
    <row r="482">
      <c r="A482" s="270" t="s">
        <v>3057</v>
      </c>
      <c r="B482" s="28" t="s">
        <v>36</v>
      </c>
      <c r="C482" s="28" t="s">
        <v>3019</v>
      </c>
      <c r="D482" s="28" t="s">
        <v>44</v>
      </c>
      <c r="E482" s="28" t="s">
        <v>44</v>
      </c>
      <c r="F482" s="28" t="s">
        <v>1612</v>
      </c>
      <c r="G482" s="28" t="s">
        <v>47</v>
      </c>
      <c r="H482" s="28" t="s">
        <v>48</v>
      </c>
      <c r="I482" s="28" t="s">
        <v>485</v>
      </c>
      <c r="J482" s="28" t="s">
        <v>1614</v>
      </c>
      <c r="K482" s="28" t="s">
        <v>1615</v>
      </c>
      <c r="L482" s="28" t="s">
        <v>52</v>
      </c>
      <c r="M482" s="28" t="s">
        <v>52</v>
      </c>
      <c r="N482" s="28" t="s">
        <v>1616</v>
      </c>
      <c r="O482" s="28" t="s">
        <v>44</v>
      </c>
      <c r="P482" s="28" t="s">
        <v>3022</v>
      </c>
      <c r="Q482" s="28" t="s">
        <v>3023</v>
      </c>
      <c r="R482" s="28" t="s">
        <v>44</v>
      </c>
      <c r="S482" s="28" t="s">
        <v>44</v>
      </c>
      <c r="T482" s="28" t="s">
        <v>44</v>
      </c>
      <c r="U482" s="28" t="s">
        <v>44</v>
      </c>
      <c r="V482" s="28" t="s">
        <v>3061</v>
      </c>
      <c r="W482" s="28" t="s">
        <v>774</v>
      </c>
      <c r="X482" s="28"/>
      <c r="Y482" s="28"/>
      <c r="Z482" s="28"/>
      <c r="AA482" s="28"/>
    </row>
    <row r="483">
      <c r="A483" s="270" t="s">
        <v>3062</v>
      </c>
      <c r="B483" s="28" t="s">
        <v>36</v>
      </c>
      <c r="C483" s="28" t="s">
        <v>3025</v>
      </c>
      <c r="D483" s="28" t="s">
        <v>44</v>
      </c>
      <c r="E483" s="28" t="s">
        <v>44</v>
      </c>
      <c r="F483" s="28" t="s">
        <v>1612</v>
      </c>
      <c r="G483" s="28" t="s">
        <v>111</v>
      </c>
      <c r="H483" s="28" t="s">
        <v>91</v>
      </c>
      <c r="I483" s="28" t="s">
        <v>485</v>
      </c>
      <c r="J483" s="28" t="s">
        <v>1614</v>
      </c>
      <c r="K483" s="28" t="s">
        <v>1615</v>
      </c>
      <c r="L483" s="28" t="s">
        <v>52</v>
      </c>
      <c r="M483" s="28" t="s">
        <v>52</v>
      </c>
      <c r="N483" s="28" t="s">
        <v>1616</v>
      </c>
      <c r="O483" s="28" t="s">
        <v>44</v>
      </c>
      <c r="P483" s="28" t="s">
        <v>3027</v>
      </c>
      <c r="Q483" s="28" t="s">
        <v>3028</v>
      </c>
      <c r="R483" s="28" t="s">
        <v>44</v>
      </c>
      <c r="S483" s="28" t="s">
        <v>44</v>
      </c>
      <c r="T483" s="28" t="s">
        <v>44</v>
      </c>
      <c r="U483" s="28" t="s">
        <v>44</v>
      </c>
      <c r="V483" s="28" t="s">
        <v>3067</v>
      </c>
      <c r="W483" s="28" t="s">
        <v>774</v>
      </c>
      <c r="X483" s="28"/>
      <c r="Y483" s="28"/>
      <c r="Z483" s="28"/>
      <c r="AA483" s="28"/>
    </row>
    <row r="484">
      <c r="A484" s="270" t="s">
        <v>3068</v>
      </c>
      <c r="B484" s="28" t="s">
        <v>36</v>
      </c>
      <c r="C484" s="28" t="s">
        <v>3029</v>
      </c>
      <c r="D484" s="28" t="s">
        <v>44</v>
      </c>
      <c r="E484" s="28" t="s">
        <v>44</v>
      </c>
      <c r="F484" s="28" t="s">
        <v>1612</v>
      </c>
      <c r="G484" s="28" t="s">
        <v>47</v>
      </c>
      <c r="H484" s="28" t="s">
        <v>48</v>
      </c>
      <c r="I484" s="28" t="s">
        <v>485</v>
      </c>
      <c r="J484" s="28" t="s">
        <v>1614</v>
      </c>
      <c r="K484" s="28" t="s">
        <v>1615</v>
      </c>
      <c r="L484" s="28" t="s">
        <v>52</v>
      </c>
      <c r="M484" s="28" t="s">
        <v>52</v>
      </c>
      <c r="N484" s="28" t="s">
        <v>3032</v>
      </c>
      <c r="O484" s="28" t="s">
        <v>44</v>
      </c>
      <c r="P484" s="28" t="s">
        <v>3033</v>
      </c>
      <c r="Q484" s="28" t="s">
        <v>3034</v>
      </c>
      <c r="R484" s="28" t="s">
        <v>44</v>
      </c>
      <c r="S484" s="28" t="s">
        <v>44</v>
      </c>
      <c r="T484" s="28" t="s">
        <v>44</v>
      </c>
      <c r="U484" s="28" t="s">
        <v>44</v>
      </c>
      <c r="V484" s="28" t="s">
        <v>3073</v>
      </c>
      <c r="W484" s="28" t="s">
        <v>774</v>
      </c>
      <c r="X484" s="28"/>
      <c r="Y484" s="28"/>
      <c r="Z484" s="28"/>
      <c r="AA484" s="28"/>
    </row>
    <row r="485">
      <c r="A485" s="270" t="s">
        <v>3074</v>
      </c>
      <c r="B485" s="28" t="s">
        <v>36</v>
      </c>
      <c r="C485" s="28" t="s">
        <v>3036</v>
      </c>
      <c r="D485" s="28" t="s">
        <v>44</v>
      </c>
      <c r="E485" s="28" t="s">
        <v>44</v>
      </c>
      <c r="F485" s="28" t="s">
        <v>1612</v>
      </c>
      <c r="G485" s="28" t="s">
        <v>47</v>
      </c>
      <c r="H485" s="28" t="s">
        <v>48</v>
      </c>
      <c r="I485" s="28" t="s">
        <v>485</v>
      </c>
      <c r="J485" s="28" t="s">
        <v>1614</v>
      </c>
      <c r="K485" s="28" t="s">
        <v>1615</v>
      </c>
      <c r="L485" s="28" t="s">
        <v>52</v>
      </c>
      <c r="M485" s="28" t="s">
        <v>52</v>
      </c>
      <c r="N485" s="28" t="s">
        <v>1616</v>
      </c>
      <c r="O485" s="28" t="s">
        <v>44</v>
      </c>
      <c r="P485" s="28" t="s">
        <v>3038</v>
      </c>
      <c r="Q485" s="28" t="s">
        <v>3039</v>
      </c>
      <c r="R485" s="28" t="s">
        <v>44</v>
      </c>
      <c r="S485" s="28" t="s">
        <v>44</v>
      </c>
      <c r="T485" s="28" t="s">
        <v>44</v>
      </c>
      <c r="U485" s="28" t="s">
        <v>44</v>
      </c>
      <c r="V485" s="28" t="s">
        <v>3078</v>
      </c>
      <c r="W485" s="28" t="s">
        <v>3079</v>
      </c>
      <c r="X485" s="28"/>
      <c r="Y485" s="28"/>
      <c r="Z485" s="28"/>
      <c r="AA485" s="28"/>
    </row>
    <row r="486">
      <c r="A486" s="270" t="s">
        <v>3080</v>
      </c>
      <c r="B486" s="28" t="s">
        <v>36</v>
      </c>
      <c r="C486" s="28" t="s">
        <v>3041</v>
      </c>
      <c r="D486" s="28" t="s">
        <v>44</v>
      </c>
      <c r="E486" s="28" t="s">
        <v>44</v>
      </c>
      <c r="F486" s="28" t="s">
        <v>1612</v>
      </c>
      <c r="G486" s="28" t="s">
        <v>47</v>
      </c>
      <c r="H486" s="28" t="s">
        <v>48</v>
      </c>
      <c r="I486" s="28" t="s">
        <v>485</v>
      </c>
      <c r="J486" s="28" t="s">
        <v>1614</v>
      </c>
      <c r="K486" s="28" t="s">
        <v>1615</v>
      </c>
      <c r="L486" s="28" t="s">
        <v>52</v>
      </c>
      <c r="M486" s="28" t="s">
        <v>52</v>
      </c>
      <c r="N486" s="28" t="s">
        <v>3032</v>
      </c>
      <c r="O486" s="28" t="s">
        <v>44</v>
      </c>
      <c r="P486" s="28" t="s">
        <v>3043</v>
      </c>
      <c r="Q486" s="28" t="s">
        <v>3044</v>
      </c>
      <c r="R486" s="28" t="s">
        <v>44</v>
      </c>
      <c r="S486" s="28" t="s">
        <v>44</v>
      </c>
      <c r="T486" s="28" t="s">
        <v>44</v>
      </c>
      <c r="U486" s="28" t="s">
        <v>44</v>
      </c>
      <c r="V486" s="28" t="s">
        <v>3085</v>
      </c>
      <c r="W486" s="28" t="s">
        <v>3086</v>
      </c>
      <c r="X486" s="28"/>
      <c r="Y486" s="28"/>
      <c r="Z486" s="28"/>
      <c r="AA486" s="28"/>
    </row>
    <row r="487">
      <c r="A487" s="270" t="s">
        <v>3087</v>
      </c>
      <c r="B487" s="28" t="s">
        <v>36</v>
      </c>
      <c r="C487" s="28" t="s">
        <v>3046</v>
      </c>
      <c r="D487" s="28" t="s">
        <v>44</v>
      </c>
      <c r="E487" s="28" t="s">
        <v>44</v>
      </c>
      <c r="F487" s="28" t="s">
        <v>1612</v>
      </c>
      <c r="G487" s="28" t="s">
        <v>47</v>
      </c>
      <c r="H487" s="28" t="s">
        <v>48</v>
      </c>
      <c r="I487" s="28" t="s">
        <v>485</v>
      </c>
      <c r="J487" s="28" t="s">
        <v>1614</v>
      </c>
      <c r="K487" s="28" t="s">
        <v>1615</v>
      </c>
      <c r="L487" s="28" t="s">
        <v>52</v>
      </c>
      <c r="M487" s="28" t="s">
        <v>52</v>
      </c>
      <c r="N487" s="28" t="s">
        <v>3032</v>
      </c>
      <c r="O487" s="28" t="s">
        <v>44</v>
      </c>
      <c r="P487" s="28" t="s">
        <v>3048</v>
      </c>
      <c r="Q487" s="28" t="s">
        <v>3049</v>
      </c>
      <c r="R487" s="28" t="s">
        <v>44</v>
      </c>
      <c r="S487" s="28" t="s">
        <v>44</v>
      </c>
      <c r="T487" s="28" t="s">
        <v>44</v>
      </c>
      <c r="U487" s="28" t="s">
        <v>44</v>
      </c>
      <c r="V487" s="28" t="s">
        <v>3092</v>
      </c>
      <c r="W487" s="28" t="s">
        <v>774</v>
      </c>
      <c r="X487" s="28"/>
      <c r="Y487" s="28"/>
      <c r="Z487" s="28"/>
      <c r="AA487" s="28"/>
    </row>
    <row r="488">
      <c r="A488" s="270" t="s">
        <v>3093</v>
      </c>
      <c r="B488" s="28" t="s">
        <v>36</v>
      </c>
      <c r="C488" s="28" t="s">
        <v>3051</v>
      </c>
      <c r="D488" s="28" t="s">
        <v>44</v>
      </c>
      <c r="E488" s="28" t="s">
        <v>44</v>
      </c>
      <c r="F488" s="28" t="s">
        <v>1612</v>
      </c>
      <c r="G488" s="28" t="s">
        <v>47</v>
      </c>
      <c r="H488" s="28" t="s">
        <v>48</v>
      </c>
      <c r="I488" s="28" t="s">
        <v>485</v>
      </c>
      <c r="J488" s="28" t="s">
        <v>1614</v>
      </c>
      <c r="K488" s="28" t="s">
        <v>1615</v>
      </c>
      <c r="L488" s="28" t="s">
        <v>52</v>
      </c>
      <c r="M488" s="28" t="s">
        <v>52</v>
      </c>
      <c r="N488" s="28" t="s">
        <v>3053</v>
      </c>
      <c r="O488" s="28" t="s">
        <v>44</v>
      </c>
      <c r="P488" s="28" t="s">
        <v>3054</v>
      </c>
      <c r="Q488" s="28" t="s">
        <v>3055</v>
      </c>
      <c r="R488" s="28" t="s">
        <v>44</v>
      </c>
      <c r="S488" s="28" t="s">
        <v>44</v>
      </c>
      <c r="T488" s="28" t="s">
        <v>44</v>
      </c>
      <c r="U488" s="28" t="s">
        <v>44</v>
      </c>
      <c r="V488" s="28" t="s">
        <v>3098</v>
      </c>
      <c r="W488" s="28" t="s">
        <v>774</v>
      </c>
      <c r="X488" s="28"/>
      <c r="Y488" s="28"/>
      <c r="Z488" s="28"/>
      <c r="AA488" s="28"/>
    </row>
    <row r="489">
      <c r="A489" s="270" t="s">
        <v>3099</v>
      </c>
      <c r="B489" s="28" t="s">
        <v>36</v>
      </c>
      <c r="C489" s="28" t="s">
        <v>3058</v>
      </c>
      <c r="D489" s="28" t="s">
        <v>44</v>
      </c>
      <c r="E489" s="28" t="s">
        <v>44</v>
      </c>
      <c r="F489" s="28" t="s">
        <v>1612</v>
      </c>
      <c r="G489" s="28" t="s">
        <v>47</v>
      </c>
      <c r="H489" s="28" t="s">
        <v>91</v>
      </c>
      <c r="I489" s="28" t="s">
        <v>485</v>
      </c>
      <c r="J489" s="28" t="s">
        <v>1614</v>
      </c>
      <c r="K489" s="28" t="s">
        <v>1615</v>
      </c>
      <c r="L489" s="28" t="s">
        <v>52</v>
      </c>
      <c r="M489" s="28" t="s">
        <v>52</v>
      </c>
      <c r="N489" s="28" t="s">
        <v>3053</v>
      </c>
      <c r="O489" s="28" t="s">
        <v>44</v>
      </c>
      <c r="P489" s="28" t="s">
        <v>3059</v>
      </c>
      <c r="Q489" s="28" t="s">
        <v>3060</v>
      </c>
      <c r="R489" s="28" t="s">
        <v>44</v>
      </c>
      <c r="S489" s="28" t="s">
        <v>44</v>
      </c>
      <c r="T489" s="28" t="s">
        <v>44</v>
      </c>
      <c r="U489" s="28" t="s">
        <v>44</v>
      </c>
      <c r="V489" s="28" t="s">
        <v>3101</v>
      </c>
      <c r="W489" s="28" t="s">
        <v>774</v>
      </c>
      <c r="X489" s="28"/>
      <c r="Y489" s="28"/>
      <c r="Z489" s="28"/>
      <c r="AA489" s="28"/>
    </row>
    <row r="490">
      <c r="A490" s="270" t="s">
        <v>3102</v>
      </c>
      <c r="B490" s="28" t="s">
        <v>36</v>
      </c>
      <c r="C490" s="28" t="s">
        <v>3063</v>
      </c>
      <c r="D490" s="28" t="s">
        <v>44</v>
      </c>
      <c r="E490" s="28" t="s">
        <v>44</v>
      </c>
      <c r="F490" s="28" t="s">
        <v>1612</v>
      </c>
      <c r="G490" s="28" t="s">
        <v>47</v>
      </c>
      <c r="H490" s="28" t="s">
        <v>95</v>
      </c>
      <c r="I490" s="28" t="s">
        <v>485</v>
      </c>
      <c r="J490" s="28" t="s">
        <v>1614</v>
      </c>
      <c r="K490" s="28" t="s">
        <v>1615</v>
      </c>
      <c r="L490" s="28" t="s">
        <v>52</v>
      </c>
      <c r="M490" s="28" t="s">
        <v>52</v>
      </c>
      <c r="N490" s="28" t="s">
        <v>3064</v>
      </c>
      <c r="O490" s="28" t="s">
        <v>44</v>
      </c>
      <c r="P490" s="28" t="s">
        <v>3065</v>
      </c>
      <c r="Q490" s="28" t="s">
        <v>3066</v>
      </c>
      <c r="R490" s="28" t="s">
        <v>44</v>
      </c>
      <c r="S490" s="28" t="s">
        <v>44</v>
      </c>
      <c r="T490" s="28" t="s">
        <v>44</v>
      </c>
      <c r="U490" s="28" t="s">
        <v>44</v>
      </c>
      <c r="V490" s="28" t="s">
        <v>3106</v>
      </c>
      <c r="W490" s="28" t="s">
        <v>774</v>
      </c>
      <c r="X490" s="28"/>
      <c r="Y490" s="28"/>
      <c r="Z490" s="28"/>
      <c r="AA490" s="28"/>
    </row>
    <row r="491">
      <c r="A491" s="270" t="s">
        <v>3107</v>
      </c>
      <c r="B491" s="28" t="s">
        <v>36</v>
      </c>
      <c r="C491" s="28" t="s">
        <v>3069</v>
      </c>
      <c r="D491" s="28" t="s">
        <v>44</v>
      </c>
      <c r="E491" s="28" t="s">
        <v>44</v>
      </c>
      <c r="F491" s="28" t="s">
        <v>1612</v>
      </c>
      <c r="G491" s="28" t="s">
        <v>47</v>
      </c>
      <c r="H491" s="28" t="s">
        <v>48</v>
      </c>
      <c r="I491" s="28" t="s">
        <v>485</v>
      </c>
      <c r="J491" s="28" t="s">
        <v>1614</v>
      </c>
      <c r="K491" s="28" t="s">
        <v>1615</v>
      </c>
      <c r="L491" s="28" t="s">
        <v>52</v>
      </c>
      <c r="M491" s="28" t="s">
        <v>52</v>
      </c>
      <c r="N491" s="28" t="s">
        <v>3070</v>
      </c>
      <c r="O491" s="28" t="s">
        <v>44</v>
      </c>
      <c r="P491" s="28" t="s">
        <v>3071</v>
      </c>
      <c r="Q491" s="28" t="s">
        <v>3072</v>
      </c>
      <c r="R491" s="28" t="s">
        <v>44</v>
      </c>
      <c r="S491" s="28" t="s">
        <v>44</v>
      </c>
      <c r="T491" s="28" t="s">
        <v>44</v>
      </c>
      <c r="U491" s="28" t="s">
        <v>44</v>
      </c>
      <c r="V491" s="28" t="s">
        <v>3112</v>
      </c>
      <c r="W491" s="28" t="s">
        <v>774</v>
      </c>
      <c r="X491" s="28"/>
      <c r="Y491" s="28"/>
      <c r="Z491" s="28"/>
      <c r="AA491" s="28"/>
    </row>
    <row r="492">
      <c r="A492" s="270" t="s">
        <v>3113</v>
      </c>
      <c r="B492" s="28" t="s">
        <v>36</v>
      </c>
      <c r="C492" s="28" t="s">
        <v>3075</v>
      </c>
      <c r="D492" s="28" t="s">
        <v>44</v>
      </c>
      <c r="E492" s="28" t="s">
        <v>44</v>
      </c>
      <c r="F492" s="28" t="s">
        <v>1612</v>
      </c>
      <c r="G492" s="28" t="s">
        <v>47</v>
      </c>
      <c r="H492" s="28" t="s">
        <v>48</v>
      </c>
      <c r="I492" s="28" t="s">
        <v>485</v>
      </c>
      <c r="J492" s="28" t="s">
        <v>1614</v>
      </c>
      <c r="K492" s="28" t="s">
        <v>1615</v>
      </c>
      <c r="L492" s="28" t="s">
        <v>52</v>
      </c>
      <c r="M492" s="28" t="s">
        <v>52</v>
      </c>
      <c r="N492" s="28" t="s">
        <v>3032</v>
      </c>
      <c r="O492" s="28" t="s">
        <v>44</v>
      </c>
      <c r="P492" s="28" t="s">
        <v>3076</v>
      </c>
      <c r="Q492" s="28" t="s">
        <v>3077</v>
      </c>
      <c r="R492" s="28" t="s">
        <v>44</v>
      </c>
      <c r="S492" s="28" t="s">
        <v>44</v>
      </c>
      <c r="T492" s="28" t="s">
        <v>44</v>
      </c>
      <c r="U492" s="28" t="s">
        <v>44</v>
      </c>
      <c r="V492" s="28" t="s">
        <v>3118</v>
      </c>
      <c r="W492" s="28" t="s">
        <v>774</v>
      </c>
      <c r="X492" s="28"/>
      <c r="Y492" s="28"/>
      <c r="Z492" s="28"/>
      <c r="AA492" s="28"/>
    </row>
    <row r="493">
      <c r="A493" s="270" t="s">
        <v>3119</v>
      </c>
      <c r="B493" s="28" t="s">
        <v>36</v>
      </c>
      <c r="C493" s="28" t="s">
        <v>3081</v>
      </c>
      <c r="D493" s="28" t="s">
        <v>44</v>
      </c>
      <c r="E493" s="28" t="s">
        <v>44</v>
      </c>
      <c r="F493" s="28" t="s">
        <v>1612</v>
      </c>
      <c r="G493" s="28" t="s">
        <v>47</v>
      </c>
      <c r="H493" s="28" t="s">
        <v>48</v>
      </c>
      <c r="I493" s="28" t="s">
        <v>485</v>
      </c>
      <c r="J493" s="28" t="s">
        <v>1614</v>
      </c>
      <c r="K493" s="28" t="s">
        <v>1615</v>
      </c>
      <c r="L493" s="28" t="s">
        <v>52</v>
      </c>
      <c r="M493" s="28" t="s">
        <v>52</v>
      </c>
      <c r="N493" s="28" t="s">
        <v>3082</v>
      </c>
      <c r="O493" s="28" t="s">
        <v>44</v>
      </c>
      <c r="P493" s="28" t="s">
        <v>3083</v>
      </c>
      <c r="Q493" s="28" t="s">
        <v>3084</v>
      </c>
      <c r="R493" s="28" t="s">
        <v>44</v>
      </c>
      <c r="S493" s="28" t="s">
        <v>44</v>
      </c>
      <c r="T493" s="28" t="s">
        <v>44</v>
      </c>
      <c r="U493" s="28" t="s">
        <v>44</v>
      </c>
      <c r="V493" s="28" t="s">
        <v>3123</v>
      </c>
      <c r="W493" s="28" t="s">
        <v>774</v>
      </c>
      <c r="X493" s="28"/>
      <c r="Y493" s="28"/>
      <c r="Z493" s="28"/>
      <c r="AA493" s="28"/>
    </row>
    <row r="494">
      <c r="A494" s="270" t="s">
        <v>3124</v>
      </c>
      <c r="B494" s="28" t="s">
        <v>36</v>
      </c>
      <c r="C494" s="28" t="s">
        <v>3088</v>
      </c>
      <c r="D494" s="28" t="s">
        <v>44</v>
      </c>
      <c r="E494" s="28" t="s">
        <v>44</v>
      </c>
      <c r="F494" s="28" t="s">
        <v>1612</v>
      </c>
      <c r="G494" s="28" t="s">
        <v>47</v>
      </c>
      <c r="H494" s="28" t="s">
        <v>95</v>
      </c>
      <c r="I494" s="28" t="s">
        <v>485</v>
      </c>
      <c r="J494" s="28" t="s">
        <v>1614</v>
      </c>
      <c r="K494" s="28" t="s">
        <v>1615</v>
      </c>
      <c r="L494" s="28" t="s">
        <v>52</v>
      </c>
      <c r="M494" s="28" t="s">
        <v>52</v>
      </c>
      <c r="N494" s="28" t="s">
        <v>3089</v>
      </c>
      <c r="O494" s="28" t="s">
        <v>44</v>
      </c>
      <c r="P494" s="28" t="s">
        <v>3090</v>
      </c>
      <c r="Q494" s="28" t="s">
        <v>3091</v>
      </c>
      <c r="R494" s="28" t="s">
        <v>44</v>
      </c>
      <c r="S494" s="28" t="s">
        <v>44</v>
      </c>
      <c r="T494" s="28" t="s">
        <v>44</v>
      </c>
      <c r="U494" s="28" t="s">
        <v>44</v>
      </c>
      <c r="V494" s="28" t="s">
        <v>3127</v>
      </c>
      <c r="W494" s="28" t="s">
        <v>774</v>
      </c>
      <c r="X494" s="28"/>
      <c r="Y494" s="28"/>
      <c r="Z494" s="28"/>
      <c r="AA494" s="28"/>
    </row>
    <row r="495">
      <c r="A495" s="270" t="s">
        <v>3128</v>
      </c>
      <c r="B495" s="28" t="s">
        <v>36</v>
      </c>
      <c r="C495" s="28" t="s">
        <v>3094</v>
      </c>
      <c r="D495" s="28" t="s">
        <v>44</v>
      </c>
      <c r="E495" s="28" t="s">
        <v>44</v>
      </c>
      <c r="F495" s="28" t="s">
        <v>1612</v>
      </c>
      <c r="G495" s="28" t="s">
        <v>47</v>
      </c>
      <c r="H495" s="28" t="s">
        <v>95</v>
      </c>
      <c r="I495" s="28" t="s">
        <v>485</v>
      </c>
      <c r="J495" s="28" t="s">
        <v>1614</v>
      </c>
      <c r="K495" s="28" t="s">
        <v>1615</v>
      </c>
      <c r="L495" s="28" t="s">
        <v>52</v>
      </c>
      <c r="M495" s="28" t="s">
        <v>52</v>
      </c>
      <c r="N495" s="28" t="s">
        <v>3095</v>
      </c>
      <c r="O495" s="28" t="s">
        <v>44</v>
      </c>
      <c r="P495" s="28" t="s">
        <v>3096</v>
      </c>
      <c r="Q495" s="28" t="s">
        <v>3097</v>
      </c>
      <c r="R495" s="28" t="s">
        <v>44</v>
      </c>
      <c r="S495" s="28" t="s">
        <v>44</v>
      </c>
      <c r="T495" s="28" t="s">
        <v>44</v>
      </c>
      <c r="U495" s="28" t="s">
        <v>44</v>
      </c>
      <c r="V495" s="28" t="s">
        <v>3132</v>
      </c>
      <c r="W495" s="28" t="s">
        <v>774</v>
      </c>
      <c r="X495" s="28"/>
      <c r="Y495" s="28"/>
      <c r="Z495" s="28"/>
      <c r="AA495" s="28"/>
    </row>
    <row r="496">
      <c r="A496" s="270" t="s">
        <v>3133</v>
      </c>
      <c r="B496" s="28" t="s">
        <v>36</v>
      </c>
      <c r="C496" s="28" t="s">
        <v>3100</v>
      </c>
      <c r="D496" s="28" t="s">
        <v>44</v>
      </c>
      <c r="E496" s="28" t="s">
        <v>44</v>
      </c>
      <c r="F496" s="28" t="s">
        <v>1612</v>
      </c>
      <c r="G496" s="28" t="s">
        <v>47</v>
      </c>
      <c r="H496" s="28" t="s">
        <v>48</v>
      </c>
      <c r="I496" s="28" t="s">
        <v>485</v>
      </c>
      <c r="J496" s="28" t="s">
        <v>1614</v>
      </c>
      <c r="K496" s="28" t="s">
        <v>1615</v>
      </c>
      <c r="L496" s="28" t="s">
        <v>52</v>
      </c>
      <c r="M496" s="28" t="s">
        <v>52</v>
      </c>
      <c r="N496" s="28" t="s">
        <v>3032</v>
      </c>
      <c r="O496" s="28" t="s">
        <v>44</v>
      </c>
      <c r="P496" s="28" t="s">
        <v>3103</v>
      </c>
      <c r="Q496" s="28" t="s">
        <v>3104</v>
      </c>
      <c r="R496" s="28" t="s">
        <v>44</v>
      </c>
      <c r="S496" s="28" t="s">
        <v>44</v>
      </c>
      <c r="T496" s="28" t="s">
        <v>44</v>
      </c>
      <c r="U496" s="28" t="s">
        <v>44</v>
      </c>
      <c r="V496" s="28" t="s">
        <v>3137</v>
      </c>
      <c r="W496" s="28" t="s">
        <v>774</v>
      </c>
      <c r="X496" s="28"/>
      <c r="Y496" s="28"/>
      <c r="Z496" s="28"/>
      <c r="AA496" s="28"/>
    </row>
    <row r="497">
      <c r="A497" s="270" t="s">
        <v>3138</v>
      </c>
      <c r="B497" s="28" t="s">
        <v>36</v>
      </c>
      <c r="C497" s="28" t="s">
        <v>3105</v>
      </c>
      <c r="D497" s="28" t="s">
        <v>44</v>
      </c>
      <c r="E497" s="28" t="s">
        <v>44</v>
      </c>
      <c r="F497" s="28" t="s">
        <v>1612</v>
      </c>
      <c r="G497" s="28" t="s">
        <v>47</v>
      </c>
      <c r="H497" s="28" t="s">
        <v>48</v>
      </c>
      <c r="I497" s="28" t="s">
        <v>485</v>
      </c>
      <c r="J497" s="28" t="s">
        <v>1614</v>
      </c>
      <c r="K497" s="28" t="s">
        <v>1615</v>
      </c>
      <c r="L497" s="28" t="s">
        <v>52</v>
      </c>
      <c r="M497" s="28" t="s">
        <v>52</v>
      </c>
      <c r="N497" s="28" t="s">
        <v>3108</v>
      </c>
      <c r="O497" s="28" t="s">
        <v>44</v>
      </c>
      <c r="P497" s="28" t="s">
        <v>3109</v>
      </c>
      <c r="Q497" s="28" t="s">
        <v>3110</v>
      </c>
      <c r="R497" s="28" t="s">
        <v>44</v>
      </c>
      <c r="S497" s="28" t="s">
        <v>44</v>
      </c>
      <c r="T497" s="28" t="s">
        <v>44</v>
      </c>
      <c r="U497" s="28" t="s">
        <v>44</v>
      </c>
      <c r="V497" s="28" t="s">
        <v>3141</v>
      </c>
      <c r="W497" s="28" t="s">
        <v>774</v>
      </c>
      <c r="X497" s="28"/>
      <c r="Y497" s="28"/>
      <c r="Z497" s="28"/>
      <c r="AA497" s="28"/>
    </row>
    <row r="498">
      <c r="A498" s="270" t="s">
        <v>3143</v>
      </c>
      <c r="B498" s="28" t="s">
        <v>36</v>
      </c>
      <c r="C498" s="28" t="s">
        <v>3111</v>
      </c>
      <c r="D498" s="28" t="s">
        <v>44</v>
      </c>
      <c r="E498" s="28" t="s">
        <v>44</v>
      </c>
      <c r="F498" s="28" t="s">
        <v>1612</v>
      </c>
      <c r="G498" s="28" t="s">
        <v>47</v>
      </c>
      <c r="H498" s="28" t="s">
        <v>48</v>
      </c>
      <c r="I498" s="28" t="s">
        <v>485</v>
      </c>
      <c r="J498" s="28" t="s">
        <v>1614</v>
      </c>
      <c r="K498" s="28" t="s">
        <v>1615</v>
      </c>
      <c r="L498" s="28" t="s">
        <v>52</v>
      </c>
      <c r="M498" s="28" t="s">
        <v>52</v>
      </c>
      <c r="N498" s="28" t="s">
        <v>3114</v>
      </c>
      <c r="O498" s="28" t="s">
        <v>44</v>
      </c>
      <c r="P498" s="28" t="s">
        <v>3115</v>
      </c>
      <c r="Q498" s="28" t="s">
        <v>3116</v>
      </c>
      <c r="R498" s="28" t="s">
        <v>44</v>
      </c>
      <c r="S498" s="28" t="s">
        <v>44</v>
      </c>
      <c r="T498" s="28" t="s">
        <v>44</v>
      </c>
      <c r="U498" s="28" t="s">
        <v>44</v>
      </c>
      <c r="V498" s="28" t="s">
        <v>3147</v>
      </c>
      <c r="W498" s="28" t="s">
        <v>774</v>
      </c>
      <c r="X498" s="28"/>
      <c r="Y498" s="28"/>
      <c r="Z498" s="28"/>
      <c r="AA498" s="28"/>
    </row>
    <row r="499">
      <c r="A499" s="270" t="s">
        <v>3149</v>
      </c>
      <c r="B499" s="28" t="s">
        <v>36</v>
      </c>
      <c r="C499" s="28" t="s">
        <v>3117</v>
      </c>
      <c r="D499" s="28" t="s">
        <v>44</v>
      </c>
      <c r="E499" s="28" t="s">
        <v>44</v>
      </c>
      <c r="F499" s="28" t="s">
        <v>1612</v>
      </c>
      <c r="G499" s="28" t="s">
        <v>47</v>
      </c>
      <c r="H499" s="28" t="s">
        <v>48</v>
      </c>
      <c r="I499" s="28" t="s">
        <v>485</v>
      </c>
      <c r="J499" s="28" t="s">
        <v>1614</v>
      </c>
      <c r="K499" s="28" t="s">
        <v>1615</v>
      </c>
      <c r="L499" s="28" t="s">
        <v>52</v>
      </c>
      <c r="M499" s="28" t="s">
        <v>52</v>
      </c>
      <c r="N499" s="28" t="s">
        <v>3032</v>
      </c>
      <c r="O499" s="28" t="s">
        <v>44</v>
      </c>
      <c r="P499" s="28" t="s">
        <v>3120</v>
      </c>
      <c r="Q499" s="28" t="s">
        <v>3121</v>
      </c>
      <c r="R499" s="28" t="s">
        <v>44</v>
      </c>
      <c r="S499" s="28" t="s">
        <v>44</v>
      </c>
      <c r="T499" s="28" t="s">
        <v>44</v>
      </c>
      <c r="U499" s="28" t="s">
        <v>44</v>
      </c>
      <c r="V499" s="28" t="s">
        <v>3153</v>
      </c>
      <c r="W499" s="28" t="s">
        <v>774</v>
      </c>
      <c r="X499" s="28"/>
      <c r="Y499" s="28"/>
      <c r="Z499" s="28"/>
      <c r="AA499" s="28"/>
    </row>
    <row r="500">
      <c r="A500" s="270" t="s">
        <v>3155</v>
      </c>
      <c r="B500" s="28" t="s">
        <v>36</v>
      </c>
      <c r="C500" s="28" t="s">
        <v>3122</v>
      </c>
      <c r="D500" s="28" t="s">
        <v>44</v>
      </c>
      <c r="E500" s="28" t="s">
        <v>44</v>
      </c>
      <c r="F500" s="28" t="s">
        <v>1612</v>
      </c>
      <c r="G500" s="28" t="s">
        <v>47</v>
      </c>
      <c r="H500" s="28" t="s">
        <v>48</v>
      </c>
      <c r="I500" s="28" t="s">
        <v>485</v>
      </c>
      <c r="J500" s="28" t="s">
        <v>1614</v>
      </c>
      <c r="K500" s="28" t="s">
        <v>1615</v>
      </c>
      <c r="L500" s="28" t="s">
        <v>52</v>
      </c>
      <c r="M500" s="28" t="s">
        <v>52</v>
      </c>
      <c r="N500" s="28" t="s">
        <v>3032</v>
      </c>
      <c r="O500" s="28" t="s">
        <v>44</v>
      </c>
      <c r="P500" s="28" t="s">
        <v>3125</v>
      </c>
      <c r="Q500" s="28" t="s">
        <v>2341</v>
      </c>
      <c r="R500" s="28" t="s">
        <v>44</v>
      </c>
      <c r="S500" s="28" t="s">
        <v>44</v>
      </c>
      <c r="T500" s="28" t="s">
        <v>44</v>
      </c>
      <c r="U500" s="28" t="s">
        <v>44</v>
      </c>
      <c r="V500" s="28" t="s">
        <v>3159</v>
      </c>
      <c r="W500" s="28" t="s">
        <v>774</v>
      </c>
      <c r="X500" s="28"/>
      <c r="Y500" s="28"/>
      <c r="Z500" s="28"/>
      <c r="AA500" s="28"/>
    </row>
    <row r="501">
      <c r="A501" s="270" t="s">
        <v>3160</v>
      </c>
      <c r="B501" s="28" t="s">
        <v>36</v>
      </c>
      <c r="C501" s="28" t="s">
        <v>3126</v>
      </c>
      <c r="D501" s="28" t="s">
        <v>44</v>
      </c>
      <c r="E501" s="28" t="s">
        <v>44</v>
      </c>
      <c r="F501" s="28" t="s">
        <v>1612</v>
      </c>
      <c r="G501" s="28" t="s">
        <v>47</v>
      </c>
      <c r="H501" s="28" t="s">
        <v>48</v>
      </c>
      <c r="I501" s="28" t="s">
        <v>485</v>
      </c>
      <c r="J501" s="28" t="s">
        <v>1614</v>
      </c>
      <c r="K501" s="28" t="s">
        <v>1615</v>
      </c>
      <c r="L501" s="28" t="s">
        <v>52</v>
      </c>
      <c r="M501" s="28" t="s">
        <v>52</v>
      </c>
      <c r="N501" s="28" t="s">
        <v>3032</v>
      </c>
      <c r="O501" s="28" t="s">
        <v>44</v>
      </c>
      <c r="P501" s="28" t="s">
        <v>3129</v>
      </c>
      <c r="Q501" s="28" t="s">
        <v>3130</v>
      </c>
      <c r="R501" s="28" t="s">
        <v>44</v>
      </c>
      <c r="S501" s="28" t="s">
        <v>44</v>
      </c>
      <c r="T501" s="28" t="s">
        <v>44</v>
      </c>
      <c r="U501" s="28" t="s">
        <v>44</v>
      </c>
      <c r="V501" s="28" t="s">
        <v>3165</v>
      </c>
      <c r="W501" s="28" t="s">
        <v>774</v>
      </c>
      <c r="X501" s="28"/>
      <c r="Y501" s="28"/>
      <c r="Z501" s="28"/>
      <c r="AA501" s="28"/>
    </row>
    <row r="502">
      <c r="A502" s="270" t="s">
        <v>3166</v>
      </c>
      <c r="B502" s="28" t="s">
        <v>36</v>
      </c>
      <c r="C502" s="28" t="s">
        <v>3131</v>
      </c>
      <c r="D502" s="28" t="s">
        <v>44</v>
      </c>
      <c r="E502" s="28" t="s">
        <v>44</v>
      </c>
      <c r="F502" s="28" t="s">
        <v>1612</v>
      </c>
      <c r="G502" s="28" t="s">
        <v>47</v>
      </c>
      <c r="H502" s="28" t="s">
        <v>48</v>
      </c>
      <c r="I502" s="28" t="s">
        <v>485</v>
      </c>
      <c r="J502" s="28" t="s">
        <v>1614</v>
      </c>
      <c r="K502" s="28" t="s">
        <v>1615</v>
      </c>
      <c r="L502" s="28" t="s">
        <v>52</v>
      </c>
      <c r="M502" s="28" t="s">
        <v>52</v>
      </c>
      <c r="N502" s="28" t="s">
        <v>3032</v>
      </c>
      <c r="O502" s="28" t="s">
        <v>44</v>
      </c>
      <c r="P502" s="28" t="s">
        <v>3134</v>
      </c>
      <c r="Q502" s="28" t="s">
        <v>3135</v>
      </c>
      <c r="R502" s="28" t="s">
        <v>44</v>
      </c>
      <c r="S502" s="28" t="s">
        <v>44</v>
      </c>
      <c r="T502" s="28" t="s">
        <v>44</v>
      </c>
      <c r="U502" s="28" t="s">
        <v>44</v>
      </c>
      <c r="V502" s="28" t="s">
        <v>3171</v>
      </c>
      <c r="W502" s="28" t="s">
        <v>774</v>
      </c>
      <c r="X502" s="28"/>
      <c r="Y502" s="28"/>
      <c r="Z502" s="28"/>
      <c r="AA502" s="28"/>
    </row>
    <row r="503">
      <c r="A503" s="270" t="s">
        <v>3172</v>
      </c>
      <c r="B503" s="28" t="s">
        <v>36</v>
      </c>
      <c r="C503" s="28" t="s">
        <v>3136</v>
      </c>
      <c r="D503" s="28" t="s">
        <v>44</v>
      </c>
      <c r="E503" s="28" t="s">
        <v>44</v>
      </c>
      <c r="F503" s="28" t="s">
        <v>1612</v>
      </c>
      <c r="G503" s="28" t="s">
        <v>47</v>
      </c>
      <c r="H503" s="28" t="s">
        <v>48</v>
      </c>
      <c r="I503" s="28" t="s">
        <v>485</v>
      </c>
      <c r="J503" s="28" t="s">
        <v>1614</v>
      </c>
      <c r="K503" s="28" t="s">
        <v>1615</v>
      </c>
      <c r="L503" s="28" t="s">
        <v>52</v>
      </c>
      <c r="M503" s="28" t="s">
        <v>52</v>
      </c>
      <c r="N503" s="28" t="s">
        <v>3032</v>
      </c>
      <c r="O503" s="28" t="s">
        <v>44</v>
      </c>
      <c r="P503" s="28" t="s">
        <v>3139</v>
      </c>
      <c r="Q503" s="28" t="s">
        <v>3140</v>
      </c>
      <c r="R503" s="28" t="s">
        <v>44</v>
      </c>
      <c r="S503" s="28" t="s">
        <v>44</v>
      </c>
      <c r="T503" s="28" t="s">
        <v>44</v>
      </c>
      <c r="U503" s="28" t="s">
        <v>44</v>
      </c>
      <c r="V503" s="28" t="s">
        <v>3177</v>
      </c>
      <c r="W503" s="28" t="s">
        <v>774</v>
      </c>
      <c r="X503" s="28"/>
      <c r="Y503" s="28"/>
      <c r="Z503" s="28"/>
      <c r="AA503" s="28"/>
    </row>
    <row r="504">
      <c r="A504" s="270" t="s">
        <v>3178</v>
      </c>
      <c r="B504" s="28" t="s">
        <v>36</v>
      </c>
      <c r="C504" s="28" t="s">
        <v>3142</v>
      </c>
      <c r="D504" s="28" t="s">
        <v>44</v>
      </c>
      <c r="E504" s="28" t="s">
        <v>44</v>
      </c>
      <c r="F504" s="28" t="s">
        <v>1612</v>
      </c>
      <c r="G504" s="28" t="s">
        <v>47</v>
      </c>
      <c r="H504" s="28" t="s">
        <v>95</v>
      </c>
      <c r="I504" s="28" t="s">
        <v>485</v>
      </c>
      <c r="J504" s="28" t="s">
        <v>1614</v>
      </c>
      <c r="K504" s="28" t="s">
        <v>1615</v>
      </c>
      <c r="L504" s="28" t="s">
        <v>52</v>
      </c>
      <c r="M504" s="28" t="s">
        <v>52</v>
      </c>
      <c r="N504" s="28" t="s">
        <v>3144</v>
      </c>
      <c r="O504" s="28" t="s">
        <v>44</v>
      </c>
      <c r="P504" s="28" t="s">
        <v>3145</v>
      </c>
      <c r="Q504" s="28" t="s">
        <v>3146</v>
      </c>
      <c r="R504" s="28" t="s">
        <v>44</v>
      </c>
      <c r="S504" s="28" t="s">
        <v>44</v>
      </c>
      <c r="T504" s="28" t="s">
        <v>44</v>
      </c>
      <c r="U504" s="28" t="s">
        <v>44</v>
      </c>
      <c r="V504" s="28" t="s">
        <v>3183</v>
      </c>
      <c r="W504" s="28" t="s">
        <v>774</v>
      </c>
      <c r="X504" s="28"/>
      <c r="Y504" s="28"/>
      <c r="Z504" s="28"/>
      <c r="AA504" s="28"/>
    </row>
    <row r="505">
      <c r="A505" s="270" t="s">
        <v>3184</v>
      </c>
      <c r="B505" s="28" t="s">
        <v>36</v>
      </c>
      <c r="C505" s="28" t="s">
        <v>3148</v>
      </c>
      <c r="D505" s="28" t="s">
        <v>44</v>
      </c>
      <c r="E505" s="28" t="s">
        <v>44</v>
      </c>
      <c r="F505" s="28" t="s">
        <v>1612</v>
      </c>
      <c r="G505" s="28" t="s">
        <v>47</v>
      </c>
      <c r="H505" s="28" t="s">
        <v>91</v>
      </c>
      <c r="I505" s="28" t="s">
        <v>485</v>
      </c>
      <c r="J505" s="28" t="s">
        <v>1614</v>
      </c>
      <c r="K505" s="28" t="s">
        <v>1615</v>
      </c>
      <c r="L505" s="28" t="s">
        <v>52</v>
      </c>
      <c r="M505" s="28" t="s">
        <v>52</v>
      </c>
      <c r="N505" s="28" t="s">
        <v>3150</v>
      </c>
      <c r="O505" s="28" t="s">
        <v>44</v>
      </c>
      <c r="P505" s="28" t="s">
        <v>3151</v>
      </c>
      <c r="Q505" s="28" t="s">
        <v>3152</v>
      </c>
      <c r="R505" s="28" t="s">
        <v>44</v>
      </c>
      <c r="S505" s="28" t="s">
        <v>44</v>
      </c>
      <c r="T505" s="28" t="s">
        <v>44</v>
      </c>
      <c r="U505" s="28" t="s">
        <v>44</v>
      </c>
      <c r="V505" s="28" t="s">
        <v>3188</v>
      </c>
      <c r="W505" s="28" t="s">
        <v>774</v>
      </c>
      <c r="X505" s="28"/>
      <c r="Y505" s="28"/>
      <c r="Z505" s="28"/>
      <c r="AA505" s="28"/>
    </row>
    <row r="506">
      <c r="A506" s="270" t="s">
        <v>3189</v>
      </c>
      <c r="B506" s="28" t="s">
        <v>36</v>
      </c>
      <c r="C506" s="28" t="s">
        <v>3154</v>
      </c>
      <c r="D506" s="28" t="s">
        <v>44</v>
      </c>
      <c r="E506" s="28" t="s">
        <v>44</v>
      </c>
      <c r="F506" s="28" t="s">
        <v>1612</v>
      </c>
      <c r="G506" s="28" t="s">
        <v>47</v>
      </c>
      <c r="H506" s="28" t="s">
        <v>48</v>
      </c>
      <c r="I506" s="28" t="s">
        <v>485</v>
      </c>
      <c r="J506" s="28" t="s">
        <v>1614</v>
      </c>
      <c r="K506" s="28" t="s">
        <v>1615</v>
      </c>
      <c r="L506" s="28" t="s">
        <v>52</v>
      </c>
      <c r="M506" s="28" t="s">
        <v>52</v>
      </c>
      <c r="N506" s="28" t="s">
        <v>3156</v>
      </c>
      <c r="O506" s="28" t="s">
        <v>44</v>
      </c>
      <c r="P506" s="28" t="s">
        <v>3157</v>
      </c>
      <c r="Q506" s="28" t="s">
        <v>3158</v>
      </c>
      <c r="R506" s="28" t="s">
        <v>44</v>
      </c>
      <c r="S506" s="28" t="s">
        <v>44</v>
      </c>
      <c r="T506" s="28" t="s">
        <v>44</v>
      </c>
      <c r="U506" s="28" t="s">
        <v>44</v>
      </c>
      <c r="V506" s="28" t="s">
        <v>3193</v>
      </c>
      <c r="W506" s="28" t="s">
        <v>774</v>
      </c>
      <c r="X506" s="28"/>
      <c r="Y506" s="28"/>
      <c r="Z506" s="28"/>
      <c r="AA506" s="28"/>
    </row>
    <row r="507">
      <c r="A507" s="270" t="s">
        <v>3195</v>
      </c>
      <c r="B507" s="28" t="s">
        <v>36</v>
      </c>
      <c r="C507" s="28" t="s">
        <v>3161</v>
      </c>
      <c r="D507" s="28" t="s">
        <v>44</v>
      </c>
      <c r="E507" s="28" t="s">
        <v>44</v>
      </c>
      <c r="F507" s="28" t="s">
        <v>1612</v>
      </c>
      <c r="G507" s="28" t="s">
        <v>47</v>
      </c>
      <c r="H507" s="28" t="s">
        <v>95</v>
      </c>
      <c r="I507" s="28" t="s">
        <v>485</v>
      </c>
      <c r="J507" s="28" t="s">
        <v>1614</v>
      </c>
      <c r="K507" s="28" t="s">
        <v>1615</v>
      </c>
      <c r="L507" s="28" t="s">
        <v>52</v>
      </c>
      <c r="M507" s="28" t="s">
        <v>52</v>
      </c>
      <c r="N507" s="28" t="s">
        <v>3162</v>
      </c>
      <c r="O507" s="28" t="s">
        <v>44</v>
      </c>
      <c r="P507" s="28" t="s">
        <v>3163</v>
      </c>
      <c r="Q507" s="28" t="s">
        <v>3164</v>
      </c>
      <c r="R507" s="28" t="s">
        <v>44</v>
      </c>
      <c r="S507" s="28" t="s">
        <v>44</v>
      </c>
      <c r="T507" s="28" t="s">
        <v>44</v>
      </c>
      <c r="U507" s="28" t="s">
        <v>44</v>
      </c>
      <c r="V507" s="28" t="s">
        <v>3199</v>
      </c>
      <c r="W507" s="28" t="s">
        <v>774</v>
      </c>
      <c r="X507" s="28"/>
      <c r="Y507" s="28"/>
      <c r="Z507" s="28"/>
      <c r="AA507" s="28"/>
    </row>
    <row r="508">
      <c r="A508" s="270" t="s">
        <v>3201</v>
      </c>
      <c r="B508" s="28" t="s">
        <v>36</v>
      </c>
      <c r="C508" s="28" t="s">
        <v>3167</v>
      </c>
      <c r="D508" s="28" t="s">
        <v>44</v>
      </c>
      <c r="E508" s="28" t="s">
        <v>44</v>
      </c>
      <c r="F508" s="28" t="s">
        <v>1612</v>
      </c>
      <c r="G508" s="28" t="s">
        <v>197</v>
      </c>
      <c r="H508" s="28" t="s">
        <v>91</v>
      </c>
      <c r="I508" s="28" t="s">
        <v>485</v>
      </c>
      <c r="J508" s="28" t="s">
        <v>1614</v>
      </c>
      <c r="K508" s="28" t="s">
        <v>1615</v>
      </c>
      <c r="L508" s="28" t="s">
        <v>52</v>
      </c>
      <c r="M508" s="28" t="s">
        <v>52</v>
      </c>
      <c r="N508" s="28" t="s">
        <v>3168</v>
      </c>
      <c r="O508" s="28" t="s">
        <v>44</v>
      </c>
      <c r="P508" s="28" t="s">
        <v>3169</v>
      </c>
      <c r="Q508" s="28" t="s">
        <v>3170</v>
      </c>
      <c r="R508" s="28" t="s">
        <v>44</v>
      </c>
      <c r="S508" s="28" t="s">
        <v>44</v>
      </c>
      <c r="T508" s="28" t="s">
        <v>44</v>
      </c>
      <c r="U508" s="28" t="s">
        <v>44</v>
      </c>
      <c r="V508" s="28" t="s">
        <v>3204</v>
      </c>
      <c r="W508" s="28" t="s">
        <v>774</v>
      </c>
      <c r="X508" s="28"/>
      <c r="Y508" s="28"/>
      <c r="Z508" s="28"/>
      <c r="AA508" s="28"/>
    </row>
    <row r="509">
      <c r="A509" s="270" t="s">
        <v>3207</v>
      </c>
      <c r="B509" s="28" t="s">
        <v>36</v>
      </c>
      <c r="C509" s="28" t="s">
        <v>3173</v>
      </c>
      <c r="D509" s="28" t="s">
        <v>44</v>
      </c>
      <c r="E509" s="28" t="s">
        <v>44</v>
      </c>
      <c r="F509" s="28" t="s">
        <v>1612</v>
      </c>
      <c r="G509" s="28" t="s">
        <v>47</v>
      </c>
      <c r="H509" s="28" t="s">
        <v>95</v>
      </c>
      <c r="I509" s="28" t="s">
        <v>485</v>
      </c>
      <c r="J509" s="28" t="s">
        <v>1614</v>
      </c>
      <c r="K509" s="28" t="s">
        <v>1615</v>
      </c>
      <c r="L509" s="28" t="s">
        <v>52</v>
      </c>
      <c r="M509" s="28" t="s">
        <v>52</v>
      </c>
      <c r="N509" s="28" t="s">
        <v>3174</v>
      </c>
      <c r="O509" s="28" t="s">
        <v>44</v>
      </c>
      <c r="P509" s="28" t="s">
        <v>3175</v>
      </c>
      <c r="Q509" s="28" t="s">
        <v>3176</v>
      </c>
      <c r="R509" s="28" t="s">
        <v>44</v>
      </c>
      <c r="S509" s="28" t="s">
        <v>44</v>
      </c>
      <c r="T509" s="28" t="s">
        <v>44</v>
      </c>
      <c r="U509" s="28" t="s">
        <v>44</v>
      </c>
      <c r="V509" s="28" t="s">
        <v>3212</v>
      </c>
      <c r="W509" s="28" t="s">
        <v>774</v>
      </c>
      <c r="X509" s="28"/>
      <c r="Y509" s="28"/>
      <c r="Z509" s="28"/>
      <c r="AA509" s="28"/>
    </row>
    <row r="510">
      <c r="A510" s="270" t="s">
        <v>3213</v>
      </c>
      <c r="B510" s="28" t="s">
        <v>36</v>
      </c>
      <c r="C510" s="28" t="s">
        <v>3179</v>
      </c>
      <c r="D510" s="28" t="s">
        <v>44</v>
      </c>
      <c r="E510" s="28" t="s">
        <v>44</v>
      </c>
      <c r="F510" s="28" t="s">
        <v>1612</v>
      </c>
      <c r="G510" s="28" t="s">
        <v>47</v>
      </c>
      <c r="H510" s="28" t="s">
        <v>95</v>
      </c>
      <c r="I510" s="28" t="s">
        <v>485</v>
      </c>
      <c r="J510" s="28" t="s">
        <v>1614</v>
      </c>
      <c r="K510" s="28" t="s">
        <v>1615</v>
      </c>
      <c r="L510" s="28" t="s">
        <v>52</v>
      </c>
      <c r="M510" s="28" t="s">
        <v>52</v>
      </c>
      <c r="N510" s="28" t="s">
        <v>3180</v>
      </c>
      <c r="O510" s="28" t="s">
        <v>44</v>
      </c>
      <c r="P510" s="28" t="s">
        <v>3181</v>
      </c>
      <c r="Q510" s="28" t="s">
        <v>3182</v>
      </c>
      <c r="R510" s="28" t="s">
        <v>44</v>
      </c>
      <c r="S510" s="28" t="s">
        <v>44</v>
      </c>
      <c r="T510" s="28" t="s">
        <v>44</v>
      </c>
      <c r="U510" s="28" t="s">
        <v>44</v>
      </c>
      <c r="V510" s="28" t="s">
        <v>3217</v>
      </c>
      <c r="W510" s="28" t="s">
        <v>774</v>
      </c>
      <c r="X510" s="28"/>
      <c r="Y510" s="28"/>
      <c r="Z510" s="28"/>
      <c r="AA510" s="28"/>
    </row>
    <row r="511">
      <c r="A511" s="270" t="s">
        <v>3218</v>
      </c>
      <c r="B511" s="28" t="s">
        <v>36</v>
      </c>
      <c r="C511" s="28" t="s">
        <v>3185</v>
      </c>
      <c r="D511" s="28" t="s">
        <v>44</v>
      </c>
      <c r="E511" s="28" t="s">
        <v>44</v>
      </c>
      <c r="F511" s="28" t="s">
        <v>1612</v>
      </c>
      <c r="G511" s="28" t="s">
        <v>47</v>
      </c>
      <c r="H511" s="28" t="s">
        <v>95</v>
      </c>
      <c r="I511" s="28" t="s">
        <v>485</v>
      </c>
      <c r="J511" s="28" t="s">
        <v>1614</v>
      </c>
      <c r="K511" s="28" t="s">
        <v>1615</v>
      </c>
      <c r="L511" s="28" t="s">
        <v>52</v>
      </c>
      <c r="M511" s="28" t="s">
        <v>52</v>
      </c>
      <c r="N511" s="28" t="s">
        <v>3168</v>
      </c>
      <c r="O511" s="28" t="s">
        <v>44</v>
      </c>
      <c r="P511" s="28" t="s">
        <v>3186</v>
      </c>
      <c r="Q511" s="28" t="s">
        <v>3187</v>
      </c>
      <c r="R511" s="28" t="s">
        <v>44</v>
      </c>
      <c r="S511" s="28" t="s">
        <v>44</v>
      </c>
      <c r="T511" s="28" t="s">
        <v>44</v>
      </c>
      <c r="U511" s="28" t="s">
        <v>44</v>
      </c>
      <c r="V511" s="28" t="s">
        <v>3221</v>
      </c>
      <c r="W511" s="28" t="s">
        <v>774</v>
      </c>
      <c r="X511" s="28"/>
      <c r="Y511" s="28"/>
      <c r="Z511" s="28"/>
      <c r="AA511" s="28"/>
    </row>
    <row r="512">
      <c r="A512" s="270" t="s">
        <v>3223</v>
      </c>
      <c r="B512" s="28" t="s">
        <v>36</v>
      </c>
      <c r="C512" s="28" t="s">
        <v>3190</v>
      </c>
      <c r="D512" s="28" t="s">
        <v>44</v>
      </c>
      <c r="E512" s="28" t="s">
        <v>44</v>
      </c>
      <c r="F512" s="28" t="s">
        <v>1612</v>
      </c>
      <c r="G512" s="28" t="s">
        <v>47</v>
      </c>
      <c r="H512" s="28" t="s">
        <v>95</v>
      </c>
      <c r="I512" s="28" t="s">
        <v>485</v>
      </c>
      <c r="J512" s="28" t="s">
        <v>1614</v>
      </c>
      <c r="K512" s="28" t="s">
        <v>1615</v>
      </c>
      <c r="L512" s="28" t="s">
        <v>52</v>
      </c>
      <c r="M512" s="28" t="s">
        <v>52</v>
      </c>
      <c r="N512" s="28" t="s">
        <v>3191</v>
      </c>
      <c r="O512" s="28" t="s">
        <v>44</v>
      </c>
      <c r="P512" s="28" t="s">
        <v>3192</v>
      </c>
      <c r="Q512" s="28" t="s">
        <v>3194</v>
      </c>
      <c r="R512" s="28" t="s">
        <v>44</v>
      </c>
      <c r="S512" s="28" t="s">
        <v>44</v>
      </c>
      <c r="T512" s="28" t="s">
        <v>44</v>
      </c>
      <c r="U512" s="28" t="s">
        <v>44</v>
      </c>
      <c r="V512" s="28" t="s">
        <v>3226</v>
      </c>
      <c r="W512" s="28" t="s">
        <v>774</v>
      </c>
      <c r="X512" s="28"/>
      <c r="Y512" s="28"/>
      <c r="Z512" s="28"/>
      <c r="AA512" s="28"/>
    </row>
    <row r="513">
      <c r="A513" s="270" t="s">
        <v>3229</v>
      </c>
      <c r="B513" s="28" t="s">
        <v>36</v>
      </c>
      <c r="C513" s="28" t="s">
        <v>3196</v>
      </c>
      <c r="D513" s="28" t="s">
        <v>44</v>
      </c>
      <c r="E513" s="28" t="s">
        <v>44</v>
      </c>
      <c r="F513" s="28" t="s">
        <v>1612</v>
      </c>
      <c r="G513" s="28" t="s">
        <v>47</v>
      </c>
      <c r="H513" s="28" t="s">
        <v>95</v>
      </c>
      <c r="I513" s="28" t="s">
        <v>485</v>
      </c>
      <c r="J513" s="28" t="s">
        <v>1614</v>
      </c>
      <c r="K513" s="28" t="s">
        <v>1615</v>
      </c>
      <c r="L513" s="28" t="s">
        <v>52</v>
      </c>
      <c r="M513" s="28" t="s">
        <v>52</v>
      </c>
      <c r="N513" s="28" t="s">
        <v>3197</v>
      </c>
      <c r="O513" s="28" t="s">
        <v>44</v>
      </c>
      <c r="P513" s="28" t="s">
        <v>3198</v>
      </c>
      <c r="Q513" s="28" t="s">
        <v>3200</v>
      </c>
      <c r="R513" s="28" t="s">
        <v>44</v>
      </c>
      <c r="S513" s="28" t="s">
        <v>44</v>
      </c>
      <c r="T513" s="28" t="s">
        <v>44</v>
      </c>
      <c r="U513" s="28" t="s">
        <v>44</v>
      </c>
      <c r="V513" s="28" t="s">
        <v>3231</v>
      </c>
      <c r="W513" s="28" t="s">
        <v>774</v>
      </c>
      <c r="X513" s="28"/>
      <c r="Y513" s="28"/>
      <c r="Z513" s="28"/>
      <c r="AA513" s="28"/>
    </row>
    <row r="514">
      <c r="A514" s="270" t="s">
        <v>3232</v>
      </c>
      <c r="B514" s="28" t="s">
        <v>36</v>
      </c>
      <c r="C514" s="28" t="s">
        <v>3202</v>
      </c>
      <c r="D514" s="28" t="s">
        <v>44</v>
      </c>
      <c r="E514" s="28" t="s">
        <v>44</v>
      </c>
      <c r="F514" s="28" t="s">
        <v>1612</v>
      </c>
      <c r="G514" s="28" t="s">
        <v>47</v>
      </c>
      <c r="H514" s="28" t="s">
        <v>95</v>
      </c>
      <c r="I514" s="28" t="s">
        <v>485</v>
      </c>
      <c r="J514" s="28" t="s">
        <v>1614</v>
      </c>
      <c r="K514" s="28" t="s">
        <v>1615</v>
      </c>
      <c r="L514" s="28" t="s">
        <v>52</v>
      </c>
      <c r="M514" s="28" t="s">
        <v>52</v>
      </c>
      <c r="N514" s="28" t="s">
        <v>3203</v>
      </c>
      <c r="O514" s="28" t="s">
        <v>44</v>
      </c>
      <c r="P514" s="28" t="s">
        <v>3205</v>
      </c>
      <c r="Q514" s="28" t="s">
        <v>3206</v>
      </c>
      <c r="R514" s="28" t="s">
        <v>44</v>
      </c>
      <c r="S514" s="28" t="s">
        <v>44</v>
      </c>
      <c r="T514" s="28" t="s">
        <v>44</v>
      </c>
      <c r="U514" s="28" t="s">
        <v>44</v>
      </c>
      <c r="V514" s="28" t="s">
        <v>3235</v>
      </c>
      <c r="W514" s="28" t="s">
        <v>774</v>
      </c>
      <c r="X514" s="28"/>
      <c r="Y514" s="28"/>
      <c r="Z514" s="28"/>
      <c r="AA514" s="28"/>
    </row>
    <row r="515">
      <c r="A515" s="270" t="s">
        <v>3237</v>
      </c>
      <c r="B515" s="28" t="s">
        <v>36</v>
      </c>
      <c r="C515" s="28" t="s">
        <v>3208</v>
      </c>
      <c r="D515" s="28" t="s">
        <v>44</v>
      </c>
      <c r="E515" s="28" t="s">
        <v>44</v>
      </c>
      <c r="F515" s="28" t="s">
        <v>1612</v>
      </c>
      <c r="G515" s="28" t="s">
        <v>47</v>
      </c>
      <c r="H515" s="28" t="s">
        <v>95</v>
      </c>
      <c r="I515" s="28" t="s">
        <v>485</v>
      </c>
      <c r="J515" s="28" t="s">
        <v>1614</v>
      </c>
      <c r="K515" s="28" t="s">
        <v>1615</v>
      </c>
      <c r="L515" s="28" t="s">
        <v>52</v>
      </c>
      <c r="M515" s="28" t="s">
        <v>52</v>
      </c>
      <c r="N515" s="28" t="s">
        <v>3209</v>
      </c>
      <c r="O515" s="28" t="s">
        <v>44</v>
      </c>
      <c r="P515" s="28" t="s">
        <v>3210</v>
      </c>
      <c r="Q515" s="28" t="s">
        <v>3211</v>
      </c>
      <c r="R515" s="28" t="s">
        <v>44</v>
      </c>
      <c r="S515" s="28" t="s">
        <v>44</v>
      </c>
      <c r="T515" s="28" t="s">
        <v>44</v>
      </c>
      <c r="U515" s="28" t="s">
        <v>44</v>
      </c>
      <c r="V515" s="28" t="s">
        <v>3241</v>
      </c>
      <c r="W515" s="28" t="s">
        <v>774</v>
      </c>
      <c r="X515" s="28"/>
      <c r="Y515" s="28"/>
      <c r="Z515" s="28"/>
      <c r="AA515" s="28"/>
    </row>
    <row r="516">
      <c r="A516" s="270" t="s">
        <v>3242</v>
      </c>
      <c r="B516" s="28" t="s">
        <v>36</v>
      </c>
      <c r="C516" s="28" t="s">
        <v>3214</v>
      </c>
      <c r="D516" s="28" t="s">
        <v>44</v>
      </c>
      <c r="E516" s="28" t="s">
        <v>44</v>
      </c>
      <c r="F516" s="28" t="s">
        <v>1612</v>
      </c>
      <c r="G516" s="28" t="s">
        <v>47</v>
      </c>
      <c r="H516" s="28" t="s">
        <v>95</v>
      </c>
      <c r="I516" s="28" t="s">
        <v>485</v>
      </c>
      <c r="J516" s="28" t="s">
        <v>1614</v>
      </c>
      <c r="K516" s="28" t="s">
        <v>1615</v>
      </c>
      <c r="L516" s="28" t="s">
        <v>52</v>
      </c>
      <c r="M516" s="28" t="s">
        <v>52</v>
      </c>
      <c r="N516" s="28" t="s">
        <v>3215</v>
      </c>
      <c r="O516" s="28" t="s">
        <v>44</v>
      </c>
      <c r="P516" s="28" t="s">
        <v>3216</v>
      </c>
      <c r="Q516" s="28" t="s">
        <v>3211</v>
      </c>
      <c r="R516" s="28" t="s">
        <v>44</v>
      </c>
      <c r="S516" s="28" t="s">
        <v>44</v>
      </c>
      <c r="T516" s="28" t="s">
        <v>44</v>
      </c>
      <c r="U516" s="28" t="s">
        <v>44</v>
      </c>
      <c r="V516" s="28" t="s">
        <v>3249</v>
      </c>
      <c r="W516" s="28" t="s">
        <v>774</v>
      </c>
      <c r="X516" s="28"/>
      <c r="Y516" s="28"/>
      <c r="Z516" s="28"/>
      <c r="AA516" s="28"/>
    </row>
    <row r="517">
      <c r="A517" s="270" t="s">
        <v>3250</v>
      </c>
      <c r="B517" s="28" t="s">
        <v>36</v>
      </c>
      <c r="C517" s="28" t="s">
        <v>3219</v>
      </c>
      <c r="D517" s="28" t="s">
        <v>44</v>
      </c>
      <c r="E517" s="28" t="s">
        <v>44</v>
      </c>
      <c r="F517" s="28" t="s">
        <v>1612</v>
      </c>
      <c r="G517" s="28" t="s">
        <v>47</v>
      </c>
      <c r="H517" s="28" t="s">
        <v>48</v>
      </c>
      <c r="I517" s="28" t="s">
        <v>485</v>
      </c>
      <c r="J517" s="28" t="s">
        <v>1614</v>
      </c>
      <c r="K517" s="28" t="s">
        <v>1615</v>
      </c>
      <c r="L517" s="28" t="s">
        <v>52</v>
      </c>
      <c r="M517" s="28" t="s">
        <v>52</v>
      </c>
      <c r="N517" s="28" t="s">
        <v>3032</v>
      </c>
      <c r="O517" s="28" t="s">
        <v>44</v>
      </c>
      <c r="P517" s="28" t="s">
        <v>3220</v>
      </c>
      <c r="Q517" s="28" t="s">
        <v>3222</v>
      </c>
      <c r="R517" s="28" t="s">
        <v>44</v>
      </c>
      <c r="S517" s="28" t="s">
        <v>44</v>
      </c>
      <c r="T517" s="28" t="s">
        <v>44</v>
      </c>
      <c r="U517" s="28" t="s">
        <v>44</v>
      </c>
      <c r="V517" s="28" t="s">
        <v>3254</v>
      </c>
      <c r="W517" s="28" t="s">
        <v>774</v>
      </c>
      <c r="X517" s="28"/>
      <c r="Y517" s="28"/>
      <c r="Z517" s="28"/>
      <c r="AA517" s="28"/>
    </row>
    <row r="518">
      <c r="A518" s="270" t="s">
        <v>3256</v>
      </c>
      <c r="B518" s="28" t="s">
        <v>36</v>
      </c>
      <c r="C518" s="28" t="s">
        <v>3224</v>
      </c>
      <c r="D518" s="28" t="s">
        <v>44</v>
      </c>
      <c r="E518" s="28" t="s">
        <v>44</v>
      </c>
      <c r="F518" s="28" t="s">
        <v>1612</v>
      </c>
      <c r="G518" s="28" t="s">
        <v>47</v>
      </c>
      <c r="H518" s="28" t="s">
        <v>48</v>
      </c>
      <c r="I518" s="28" t="s">
        <v>485</v>
      </c>
      <c r="J518" s="28" t="s">
        <v>3225</v>
      </c>
      <c r="K518" s="28" t="s">
        <v>51</v>
      </c>
      <c r="L518" s="28" t="s">
        <v>52</v>
      </c>
      <c r="M518" s="28" t="s">
        <v>52</v>
      </c>
      <c r="N518" s="28" t="s">
        <v>3227</v>
      </c>
      <c r="O518" s="28" t="s">
        <v>44</v>
      </c>
      <c r="P518" s="28" t="s">
        <v>2503</v>
      </c>
      <c r="Q518" s="28" t="s">
        <v>3228</v>
      </c>
      <c r="R518" s="28" t="s">
        <v>44</v>
      </c>
      <c r="S518" s="28" t="s">
        <v>44</v>
      </c>
      <c r="T518" s="28" t="s">
        <v>44</v>
      </c>
      <c r="U518" s="28" t="s">
        <v>44</v>
      </c>
      <c r="V518" s="28" t="s">
        <v>3259</v>
      </c>
      <c r="W518" s="28" t="s">
        <v>774</v>
      </c>
      <c r="X518" s="28"/>
      <c r="Y518" s="28"/>
      <c r="Z518" s="28"/>
      <c r="AA518" s="28"/>
    </row>
    <row r="519">
      <c r="A519" s="270" t="s">
        <v>3261</v>
      </c>
      <c r="B519" s="28" t="s">
        <v>36</v>
      </c>
      <c r="C519" s="28" t="s">
        <v>3230</v>
      </c>
      <c r="D519" s="28" t="s">
        <v>44</v>
      </c>
      <c r="E519" s="28" t="s">
        <v>44</v>
      </c>
      <c r="F519" s="28" t="s">
        <v>1612</v>
      </c>
      <c r="G519" s="28" t="s">
        <v>47</v>
      </c>
      <c r="H519" s="28" t="s">
        <v>48</v>
      </c>
      <c r="I519" s="28" t="s">
        <v>485</v>
      </c>
      <c r="J519" s="28" t="s">
        <v>3225</v>
      </c>
      <c r="K519" s="28" t="s">
        <v>51</v>
      </c>
      <c r="L519" s="28" t="s">
        <v>52</v>
      </c>
      <c r="M519" s="28" t="s">
        <v>52</v>
      </c>
      <c r="N519" s="28" t="s">
        <v>3227</v>
      </c>
      <c r="O519" s="28" t="s">
        <v>44</v>
      </c>
      <c r="P519" s="28" t="s">
        <v>3233</v>
      </c>
      <c r="Q519" s="28" t="s">
        <v>3234</v>
      </c>
      <c r="R519" s="28" t="s">
        <v>44</v>
      </c>
      <c r="S519" s="28" t="s">
        <v>44</v>
      </c>
      <c r="T519" s="28" t="s">
        <v>44</v>
      </c>
      <c r="U519" s="28" t="s">
        <v>44</v>
      </c>
      <c r="V519" s="28" t="s">
        <v>3264</v>
      </c>
      <c r="W519" s="28" t="s">
        <v>774</v>
      </c>
      <c r="X519" s="28"/>
      <c r="Y519" s="28"/>
      <c r="Z519" s="28"/>
      <c r="AA519" s="28"/>
    </row>
    <row r="520">
      <c r="A520" s="270" t="s">
        <v>3265</v>
      </c>
      <c r="B520" s="28" t="s">
        <v>36</v>
      </c>
      <c r="C520" s="28" t="s">
        <v>3236</v>
      </c>
      <c r="D520" s="28" t="s">
        <v>44</v>
      </c>
      <c r="E520" s="28" t="s">
        <v>44</v>
      </c>
      <c r="F520" s="28" t="s">
        <v>1612</v>
      </c>
      <c r="G520" s="28" t="s">
        <v>47</v>
      </c>
      <c r="H520" s="28" t="s">
        <v>48</v>
      </c>
      <c r="I520" s="28" t="s">
        <v>485</v>
      </c>
      <c r="J520" s="28" t="s">
        <v>3225</v>
      </c>
      <c r="K520" s="28" t="s">
        <v>51</v>
      </c>
      <c r="L520" s="28" t="s">
        <v>52</v>
      </c>
      <c r="M520" s="28" t="s">
        <v>52</v>
      </c>
      <c r="N520" s="28" t="s">
        <v>3238</v>
      </c>
      <c r="O520" s="28" t="s">
        <v>44</v>
      </c>
      <c r="P520" s="28" t="s">
        <v>3239</v>
      </c>
      <c r="Q520" s="28" t="s">
        <v>3240</v>
      </c>
      <c r="R520" s="28" t="s">
        <v>44</v>
      </c>
      <c r="S520" s="28" t="s">
        <v>44</v>
      </c>
      <c r="T520" s="28" t="s">
        <v>44</v>
      </c>
      <c r="U520" s="28" t="s">
        <v>44</v>
      </c>
      <c r="V520" s="28" t="s">
        <v>3266</v>
      </c>
      <c r="W520" s="28" t="s">
        <v>774</v>
      </c>
      <c r="X520" s="28"/>
      <c r="Y520" s="28"/>
      <c r="Z520" s="28"/>
      <c r="AA520" s="28"/>
    </row>
    <row r="521">
      <c r="A521" s="270" t="s">
        <v>3267</v>
      </c>
      <c r="B521" s="28" t="s">
        <v>36</v>
      </c>
      <c r="C521" s="28" t="s">
        <v>3243</v>
      </c>
      <c r="D521" s="28" t="s">
        <v>44</v>
      </c>
      <c r="E521" s="28" t="s">
        <v>44</v>
      </c>
      <c r="F521" s="28" t="s">
        <v>1612</v>
      </c>
      <c r="G521" s="28" t="s">
        <v>47</v>
      </c>
      <c r="H521" s="28" t="s">
        <v>95</v>
      </c>
      <c r="I521" s="28" t="s">
        <v>485</v>
      </c>
      <c r="J521" s="28" t="s">
        <v>3225</v>
      </c>
      <c r="K521" s="28" t="s">
        <v>51</v>
      </c>
      <c r="L521" s="28" t="s">
        <v>52</v>
      </c>
      <c r="M521" s="28" t="s">
        <v>52</v>
      </c>
      <c r="N521" s="28" t="s">
        <v>3238</v>
      </c>
      <c r="O521" s="28" t="s">
        <v>44</v>
      </c>
      <c r="P521" s="28" t="s">
        <v>3245</v>
      </c>
      <c r="Q521" s="28" t="s">
        <v>3272</v>
      </c>
      <c r="R521" s="28" t="s">
        <v>44</v>
      </c>
      <c r="S521" s="28" t="s">
        <v>44</v>
      </c>
      <c r="T521" s="28" t="s">
        <v>44</v>
      </c>
      <c r="U521" s="28" t="s">
        <v>44</v>
      </c>
      <c r="V521" s="28" t="s">
        <v>3273</v>
      </c>
      <c r="W521" s="28" t="s">
        <v>3274</v>
      </c>
      <c r="X521" s="28"/>
      <c r="Y521" s="28"/>
      <c r="Z521" s="28"/>
      <c r="AA521" s="28"/>
    </row>
    <row r="522">
      <c r="A522" s="270" t="s">
        <v>3275</v>
      </c>
      <c r="B522" s="28" t="s">
        <v>36</v>
      </c>
      <c r="C522" s="28" t="s">
        <v>3246</v>
      </c>
      <c r="D522" s="28" t="s">
        <v>44</v>
      </c>
      <c r="E522" s="28" t="s">
        <v>44</v>
      </c>
      <c r="F522" s="28" t="s">
        <v>1612</v>
      </c>
      <c r="G522" s="28" t="s">
        <v>47</v>
      </c>
      <c r="H522" s="28" t="s">
        <v>95</v>
      </c>
      <c r="I522" s="28" t="s">
        <v>485</v>
      </c>
      <c r="J522" s="28" t="s">
        <v>3225</v>
      </c>
      <c r="K522" s="28" t="s">
        <v>51</v>
      </c>
      <c r="L522" s="28" t="s">
        <v>52</v>
      </c>
      <c r="M522" s="28" t="s">
        <v>52</v>
      </c>
      <c r="N522" s="28" t="s">
        <v>3247</v>
      </c>
      <c r="O522" s="28" t="s">
        <v>44</v>
      </c>
      <c r="P522" s="28" t="s">
        <v>3245</v>
      </c>
      <c r="Q522" s="28" t="s">
        <v>3277</v>
      </c>
      <c r="R522" s="28" t="s">
        <v>44</v>
      </c>
      <c r="S522" s="28" t="s">
        <v>44</v>
      </c>
      <c r="T522" s="28" t="s">
        <v>44</v>
      </c>
      <c r="U522" s="28" t="s">
        <v>44</v>
      </c>
      <c r="V522" s="28" t="s">
        <v>3280</v>
      </c>
      <c r="W522" s="28" t="s">
        <v>3274</v>
      </c>
      <c r="X522" s="28"/>
      <c r="Y522" s="28"/>
      <c r="Z522" s="28"/>
      <c r="AA522" s="28"/>
    </row>
    <row r="523">
      <c r="A523" s="270" t="s">
        <v>3281</v>
      </c>
      <c r="B523" s="28" t="s">
        <v>36</v>
      </c>
      <c r="C523" s="28" t="s">
        <v>3251</v>
      </c>
      <c r="D523" s="28" t="s">
        <v>44</v>
      </c>
      <c r="E523" s="28" t="s">
        <v>44</v>
      </c>
      <c r="F523" s="28" t="s">
        <v>1612</v>
      </c>
      <c r="G523" s="28" t="s">
        <v>111</v>
      </c>
      <c r="H523" s="28" t="s">
        <v>91</v>
      </c>
      <c r="I523" s="28" t="s">
        <v>485</v>
      </c>
      <c r="J523" s="28" t="s">
        <v>3225</v>
      </c>
      <c r="K523" s="28" t="s">
        <v>51</v>
      </c>
      <c r="L523" s="28" t="s">
        <v>52</v>
      </c>
      <c r="M523" s="28" t="s">
        <v>52</v>
      </c>
      <c r="N523" s="28" t="s">
        <v>3238</v>
      </c>
      <c r="O523" s="28" t="s">
        <v>44</v>
      </c>
      <c r="P523" s="28" t="s">
        <v>3252</v>
      </c>
      <c r="Q523" s="28" t="s">
        <v>3253</v>
      </c>
      <c r="R523" s="28" t="s">
        <v>44</v>
      </c>
      <c r="S523" s="28" t="s">
        <v>44</v>
      </c>
      <c r="T523" s="28" t="s">
        <v>44</v>
      </c>
      <c r="U523" s="28" t="s">
        <v>44</v>
      </c>
      <c r="V523" s="28" t="s">
        <v>3284</v>
      </c>
      <c r="W523" s="28" t="s">
        <v>774</v>
      </c>
      <c r="X523" s="28"/>
      <c r="Y523" s="28"/>
      <c r="Z523" s="28"/>
      <c r="AA523" s="28"/>
    </row>
    <row r="524">
      <c r="A524" s="270" t="s">
        <v>3287</v>
      </c>
      <c r="B524" s="28" t="s">
        <v>36</v>
      </c>
      <c r="C524" s="28" t="s">
        <v>3255</v>
      </c>
      <c r="D524" s="28" t="s">
        <v>44</v>
      </c>
      <c r="E524" s="28" t="s">
        <v>44</v>
      </c>
      <c r="F524" s="28" t="s">
        <v>1612</v>
      </c>
      <c r="G524" s="28" t="s">
        <v>47</v>
      </c>
      <c r="H524" s="28" t="s">
        <v>48</v>
      </c>
      <c r="I524" s="28" t="s">
        <v>485</v>
      </c>
      <c r="J524" s="28" t="s">
        <v>3225</v>
      </c>
      <c r="K524" s="28" t="s">
        <v>51</v>
      </c>
      <c r="L524" s="28" t="s">
        <v>52</v>
      </c>
      <c r="M524" s="28" t="s">
        <v>52</v>
      </c>
      <c r="N524" s="28" t="s">
        <v>3227</v>
      </c>
      <c r="O524" s="28" t="s">
        <v>44</v>
      </c>
      <c r="P524" s="28" t="s">
        <v>3257</v>
      </c>
      <c r="Q524" s="28" t="s">
        <v>3258</v>
      </c>
      <c r="R524" s="28" t="s">
        <v>44</v>
      </c>
      <c r="S524" s="28" t="s">
        <v>44</v>
      </c>
      <c r="T524" s="28" t="s">
        <v>44</v>
      </c>
      <c r="U524" s="28" t="s">
        <v>44</v>
      </c>
      <c r="V524" s="28" t="s">
        <v>3289</v>
      </c>
      <c r="W524" s="28" t="s">
        <v>774</v>
      </c>
      <c r="X524" s="28"/>
      <c r="Y524" s="28"/>
      <c r="Z524" s="28"/>
      <c r="AA524" s="28"/>
    </row>
    <row r="525">
      <c r="A525" s="270" t="s">
        <v>3292</v>
      </c>
      <c r="B525" s="28" t="s">
        <v>36</v>
      </c>
      <c r="C525" s="28" t="s">
        <v>3260</v>
      </c>
      <c r="D525" s="28" t="s">
        <v>44</v>
      </c>
      <c r="E525" s="28" t="s">
        <v>44</v>
      </c>
      <c r="F525" s="28" t="s">
        <v>1612</v>
      </c>
      <c r="G525" s="28" t="s">
        <v>47</v>
      </c>
      <c r="H525" s="28" t="s">
        <v>48</v>
      </c>
      <c r="I525" s="28" t="s">
        <v>485</v>
      </c>
      <c r="J525" s="28" t="s">
        <v>3225</v>
      </c>
      <c r="K525" s="28" t="s">
        <v>51</v>
      </c>
      <c r="L525" s="28" t="s">
        <v>52</v>
      </c>
      <c r="M525" s="28" t="s">
        <v>52</v>
      </c>
      <c r="N525" s="28" t="s">
        <v>3227</v>
      </c>
      <c r="O525" s="28" t="s">
        <v>44</v>
      </c>
      <c r="P525" s="28" t="s">
        <v>3262</v>
      </c>
      <c r="Q525" s="28" t="s">
        <v>3263</v>
      </c>
      <c r="R525" s="28" t="s">
        <v>44</v>
      </c>
      <c r="S525" s="28" t="s">
        <v>44</v>
      </c>
      <c r="T525" s="28" t="s">
        <v>44</v>
      </c>
      <c r="U525" s="28" t="s">
        <v>44</v>
      </c>
      <c r="V525" s="28" t="s">
        <v>3295</v>
      </c>
      <c r="W525" s="28" t="s">
        <v>774</v>
      </c>
      <c r="X525" s="28"/>
      <c r="Y525" s="28"/>
      <c r="Z525" s="28"/>
      <c r="AA525" s="28"/>
    </row>
    <row r="526">
      <c r="A526" s="270" t="s">
        <v>3296</v>
      </c>
      <c r="B526" s="28" t="s">
        <v>36</v>
      </c>
      <c r="C526" s="28" t="s">
        <v>3268</v>
      </c>
      <c r="D526" s="28" t="s">
        <v>44</v>
      </c>
      <c r="E526" s="28" t="s">
        <v>44</v>
      </c>
      <c r="F526" s="28" t="s">
        <v>1612</v>
      </c>
      <c r="G526" s="28" t="s">
        <v>197</v>
      </c>
      <c r="H526" s="28" t="s">
        <v>112</v>
      </c>
      <c r="I526" s="28" t="s">
        <v>485</v>
      </c>
      <c r="J526" s="28" t="s">
        <v>3225</v>
      </c>
      <c r="K526" s="28" t="s">
        <v>51</v>
      </c>
      <c r="L526" s="28" t="s">
        <v>52</v>
      </c>
      <c r="M526" s="28" t="s">
        <v>52</v>
      </c>
      <c r="N526" s="28" t="s">
        <v>3269</v>
      </c>
      <c r="O526" s="28" t="s">
        <v>44</v>
      </c>
      <c r="P526" s="28" t="s">
        <v>3270</v>
      </c>
      <c r="Q526" s="28" t="s">
        <v>3271</v>
      </c>
      <c r="R526" s="28" t="s">
        <v>44</v>
      </c>
      <c r="S526" s="28" t="s">
        <v>44</v>
      </c>
      <c r="T526" s="28" t="s">
        <v>44</v>
      </c>
      <c r="U526" s="28" t="s">
        <v>44</v>
      </c>
      <c r="V526" s="28" t="s">
        <v>3301</v>
      </c>
      <c r="W526" s="28" t="s">
        <v>774</v>
      </c>
      <c r="X526" s="28"/>
      <c r="Y526" s="28"/>
      <c r="Z526" s="28"/>
      <c r="AA526" s="28"/>
    </row>
    <row r="527">
      <c r="A527" s="270" t="s">
        <v>3302</v>
      </c>
      <c r="B527" s="28" t="s">
        <v>36</v>
      </c>
      <c r="C527" s="28" t="s">
        <v>3276</v>
      </c>
      <c r="D527" s="28" t="s">
        <v>44</v>
      </c>
      <c r="E527" s="28" t="s">
        <v>44</v>
      </c>
      <c r="F527" s="28" t="s">
        <v>1612</v>
      </c>
      <c r="G527" s="28" t="s">
        <v>47</v>
      </c>
      <c r="H527" s="28" t="s">
        <v>95</v>
      </c>
      <c r="I527" s="28" t="s">
        <v>485</v>
      </c>
      <c r="J527" s="28" t="s">
        <v>3225</v>
      </c>
      <c r="K527" s="28" t="s">
        <v>51</v>
      </c>
      <c r="L527" s="28" t="s">
        <v>52</v>
      </c>
      <c r="M527" s="28" t="s">
        <v>52</v>
      </c>
      <c r="N527" s="28" t="s">
        <v>3269</v>
      </c>
      <c r="O527" s="28" t="s">
        <v>44</v>
      </c>
      <c r="P527" s="28" t="s">
        <v>3278</v>
      </c>
      <c r="Q527" s="28" t="s">
        <v>3279</v>
      </c>
      <c r="R527" s="28" t="s">
        <v>44</v>
      </c>
      <c r="S527" s="28" t="s">
        <v>44</v>
      </c>
      <c r="T527" s="28" t="s">
        <v>44</v>
      </c>
      <c r="U527" s="28" t="s">
        <v>44</v>
      </c>
      <c r="V527" s="28" t="s">
        <v>3306</v>
      </c>
      <c r="W527" s="28" t="s">
        <v>774</v>
      </c>
      <c r="X527" s="28"/>
      <c r="Y527" s="28"/>
      <c r="Z527" s="28"/>
      <c r="AA527" s="28"/>
    </row>
    <row r="528">
      <c r="A528" s="270" t="s">
        <v>3307</v>
      </c>
      <c r="B528" s="28" t="s">
        <v>36</v>
      </c>
      <c r="C528" s="28" t="s">
        <v>3282</v>
      </c>
      <c r="D528" s="28" t="s">
        <v>44</v>
      </c>
      <c r="E528" s="28" t="s">
        <v>44</v>
      </c>
      <c r="F528" s="28" t="s">
        <v>1612</v>
      </c>
      <c r="G528" s="28" t="s">
        <v>47</v>
      </c>
      <c r="H528" s="28" t="s">
        <v>95</v>
      </c>
      <c r="I528" s="28" t="s">
        <v>485</v>
      </c>
      <c r="J528" s="28" t="s">
        <v>3225</v>
      </c>
      <c r="K528" s="28" t="s">
        <v>51</v>
      </c>
      <c r="L528" s="28" t="s">
        <v>52</v>
      </c>
      <c r="M528" s="28" t="s">
        <v>52</v>
      </c>
      <c r="N528" s="28" t="s">
        <v>3283</v>
      </c>
      <c r="O528" s="28" t="s">
        <v>44</v>
      </c>
      <c r="P528" s="28" t="s">
        <v>3285</v>
      </c>
      <c r="Q528" s="28" t="s">
        <v>3286</v>
      </c>
      <c r="R528" s="28" t="s">
        <v>44</v>
      </c>
      <c r="S528" s="28" t="s">
        <v>44</v>
      </c>
      <c r="T528" s="28" t="s">
        <v>44</v>
      </c>
      <c r="U528" s="28" t="s">
        <v>44</v>
      </c>
      <c r="V528" s="28" t="s">
        <v>3311</v>
      </c>
      <c r="W528" s="28" t="s">
        <v>774</v>
      </c>
      <c r="X528" s="28"/>
      <c r="Y528" s="28"/>
      <c r="Z528" s="28"/>
      <c r="AA528" s="28"/>
    </row>
    <row r="529">
      <c r="A529" s="270" t="s">
        <v>3313</v>
      </c>
      <c r="B529" s="28" t="s">
        <v>36</v>
      </c>
      <c r="C529" s="28" t="s">
        <v>3288</v>
      </c>
      <c r="D529" s="28" t="s">
        <v>44</v>
      </c>
      <c r="E529" s="28" t="s">
        <v>44</v>
      </c>
      <c r="F529" s="28" t="s">
        <v>1612</v>
      </c>
      <c r="G529" s="28" t="s">
        <v>47</v>
      </c>
      <c r="H529" s="28" t="s">
        <v>95</v>
      </c>
      <c r="I529" s="28" t="s">
        <v>485</v>
      </c>
      <c r="J529" s="28" t="s">
        <v>3225</v>
      </c>
      <c r="K529" s="28" t="s">
        <v>51</v>
      </c>
      <c r="L529" s="28" t="s">
        <v>52</v>
      </c>
      <c r="M529" s="28" t="s">
        <v>52</v>
      </c>
      <c r="N529" s="28" t="s">
        <v>3290</v>
      </c>
      <c r="O529" s="28" t="s">
        <v>44</v>
      </c>
      <c r="P529" s="28" t="s">
        <v>3291</v>
      </c>
      <c r="Q529" s="28" t="s">
        <v>3293</v>
      </c>
      <c r="R529" s="28" t="s">
        <v>44</v>
      </c>
      <c r="S529" s="28" t="s">
        <v>44</v>
      </c>
      <c r="T529" s="28" t="s">
        <v>44</v>
      </c>
      <c r="U529" s="28" t="s">
        <v>44</v>
      </c>
      <c r="V529" s="28" t="s">
        <v>3316</v>
      </c>
      <c r="W529" s="28" t="s">
        <v>774</v>
      </c>
      <c r="X529" s="28"/>
      <c r="Y529" s="28"/>
      <c r="Z529" s="28"/>
      <c r="AA529" s="28"/>
    </row>
    <row r="530">
      <c r="A530" s="270" t="s">
        <v>3318</v>
      </c>
      <c r="B530" s="28" t="s">
        <v>36</v>
      </c>
      <c r="C530" s="28" t="s">
        <v>3294</v>
      </c>
      <c r="D530" s="28" t="s">
        <v>44</v>
      </c>
      <c r="E530" s="28" t="s">
        <v>44</v>
      </c>
      <c r="F530" s="28" t="s">
        <v>1612</v>
      </c>
      <c r="G530" s="28" t="s">
        <v>47</v>
      </c>
      <c r="H530" s="28" t="s">
        <v>95</v>
      </c>
      <c r="I530" s="28" t="s">
        <v>485</v>
      </c>
      <c r="J530" s="28" t="s">
        <v>3225</v>
      </c>
      <c r="K530" s="28" t="s">
        <v>51</v>
      </c>
      <c r="L530" s="28" t="s">
        <v>52</v>
      </c>
      <c r="M530" s="28" t="s">
        <v>52</v>
      </c>
      <c r="N530" s="28" t="s">
        <v>3297</v>
      </c>
      <c r="O530" s="28" t="s">
        <v>44</v>
      </c>
      <c r="P530" s="28" t="s">
        <v>3298</v>
      </c>
      <c r="Q530" s="28" t="s">
        <v>3299</v>
      </c>
      <c r="R530" s="28" t="s">
        <v>44</v>
      </c>
      <c r="S530" s="28" t="s">
        <v>44</v>
      </c>
      <c r="T530" s="28" t="s">
        <v>44</v>
      </c>
      <c r="U530" s="28" t="s">
        <v>44</v>
      </c>
      <c r="V530" s="28" t="s">
        <v>3322</v>
      </c>
      <c r="W530" s="28" t="s">
        <v>774</v>
      </c>
      <c r="X530" s="28"/>
      <c r="Y530" s="28"/>
      <c r="Z530" s="28"/>
      <c r="AA530" s="28"/>
    </row>
    <row r="531">
      <c r="A531" s="270" t="s">
        <v>3324</v>
      </c>
      <c r="B531" s="28" t="s">
        <v>36</v>
      </c>
      <c r="C531" s="28" t="s">
        <v>3300</v>
      </c>
      <c r="D531" s="28" t="s">
        <v>44</v>
      </c>
      <c r="E531" s="28" t="s">
        <v>44</v>
      </c>
      <c r="F531" s="28" t="s">
        <v>1612</v>
      </c>
      <c r="G531" s="28" t="s">
        <v>47</v>
      </c>
      <c r="H531" s="28" t="s">
        <v>48</v>
      </c>
      <c r="I531" s="28" t="s">
        <v>485</v>
      </c>
      <c r="J531" s="28" t="s">
        <v>3225</v>
      </c>
      <c r="K531" s="28" t="s">
        <v>51</v>
      </c>
      <c r="L531" s="28" t="s">
        <v>52</v>
      </c>
      <c r="M531" s="28" t="s">
        <v>52</v>
      </c>
      <c r="N531" s="28" t="s">
        <v>3227</v>
      </c>
      <c r="O531" s="28" t="s">
        <v>44</v>
      </c>
      <c r="P531" s="28" t="s">
        <v>3303</v>
      </c>
      <c r="Q531" s="28" t="s">
        <v>3304</v>
      </c>
      <c r="R531" s="28" t="s">
        <v>44</v>
      </c>
      <c r="S531" s="28" t="s">
        <v>44</v>
      </c>
      <c r="T531" s="28" t="s">
        <v>44</v>
      </c>
      <c r="U531" s="28" t="s">
        <v>44</v>
      </c>
      <c r="V531" s="28" t="s">
        <v>3327</v>
      </c>
      <c r="W531" s="28" t="s">
        <v>774</v>
      </c>
      <c r="X531" s="28"/>
      <c r="Y531" s="28"/>
      <c r="Z531" s="28"/>
      <c r="AA531" s="28"/>
    </row>
    <row r="532">
      <c r="A532" s="270" t="s">
        <v>3329</v>
      </c>
      <c r="B532" s="28" t="s">
        <v>36</v>
      </c>
      <c r="C532" s="28" t="s">
        <v>3305</v>
      </c>
      <c r="D532" s="28" t="s">
        <v>44</v>
      </c>
      <c r="E532" s="28" t="s">
        <v>44</v>
      </c>
      <c r="F532" s="28" t="s">
        <v>1612</v>
      </c>
      <c r="G532" s="28" t="s">
        <v>47</v>
      </c>
      <c r="H532" s="28" t="s">
        <v>48</v>
      </c>
      <c r="I532" s="28" t="s">
        <v>485</v>
      </c>
      <c r="J532" s="28" t="s">
        <v>3225</v>
      </c>
      <c r="K532" s="28" t="s">
        <v>51</v>
      </c>
      <c r="L532" s="28" t="s">
        <v>52</v>
      </c>
      <c r="M532" s="28" t="s">
        <v>52</v>
      </c>
      <c r="N532" s="28" t="s">
        <v>3308</v>
      </c>
      <c r="O532" s="28" t="s">
        <v>44</v>
      </c>
      <c r="P532" s="28" t="s">
        <v>3309</v>
      </c>
      <c r="Q532" s="28" t="s">
        <v>3310</v>
      </c>
      <c r="R532" s="28" t="s">
        <v>44</v>
      </c>
      <c r="S532" s="28" t="s">
        <v>44</v>
      </c>
      <c r="T532" s="28" t="s">
        <v>44</v>
      </c>
      <c r="U532" s="28" t="s">
        <v>44</v>
      </c>
      <c r="V532" s="28" t="s">
        <v>3333</v>
      </c>
      <c r="W532" s="28" t="s">
        <v>774</v>
      </c>
      <c r="X532" s="28"/>
      <c r="Y532" s="28"/>
      <c r="Z532" s="28"/>
      <c r="AA532" s="28"/>
    </row>
    <row r="533">
      <c r="A533" s="270" t="s">
        <v>3334</v>
      </c>
      <c r="B533" s="28" t="s">
        <v>36</v>
      </c>
      <c r="C533" s="28" t="s">
        <v>3312</v>
      </c>
      <c r="D533" s="28" t="s">
        <v>44</v>
      </c>
      <c r="E533" s="28" t="s">
        <v>44</v>
      </c>
      <c r="F533" s="28" t="s">
        <v>1612</v>
      </c>
      <c r="G533" s="28" t="s">
        <v>47</v>
      </c>
      <c r="H533" s="28" t="s">
        <v>95</v>
      </c>
      <c r="I533" s="28" t="s">
        <v>485</v>
      </c>
      <c r="J533" s="28" t="s">
        <v>3225</v>
      </c>
      <c r="K533" s="28" t="s">
        <v>51</v>
      </c>
      <c r="L533" s="28" t="s">
        <v>52</v>
      </c>
      <c r="M533" s="28" t="s">
        <v>52</v>
      </c>
      <c r="N533" s="28" t="s">
        <v>3308</v>
      </c>
      <c r="O533" s="28" t="s">
        <v>44</v>
      </c>
      <c r="P533" s="28" t="s">
        <v>3314</v>
      </c>
      <c r="Q533" s="28" t="s">
        <v>3315</v>
      </c>
      <c r="R533" s="28" t="s">
        <v>44</v>
      </c>
      <c r="S533" s="28" t="s">
        <v>44</v>
      </c>
      <c r="T533" s="28" t="s">
        <v>44</v>
      </c>
      <c r="U533" s="28" t="s">
        <v>44</v>
      </c>
      <c r="V533" s="28" t="s">
        <v>3338</v>
      </c>
      <c r="W533" s="28" t="s">
        <v>774</v>
      </c>
      <c r="X533" s="28"/>
      <c r="Y533" s="28"/>
      <c r="Z533" s="28"/>
      <c r="AA533" s="28"/>
    </row>
    <row r="534">
      <c r="A534" s="270" t="s">
        <v>3339</v>
      </c>
      <c r="B534" s="28" t="s">
        <v>36</v>
      </c>
      <c r="C534" s="28" t="s">
        <v>3317</v>
      </c>
      <c r="D534" s="28" t="s">
        <v>44</v>
      </c>
      <c r="E534" s="28" t="s">
        <v>44</v>
      </c>
      <c r="F534" s="28" t="s">
        <v>1612</v>
      </c>
      <c r="G534" s="28" t="s">
        <v>47</v>
      </c>
      <c r="H534" s="28" t="s">
        <v>48</v>
      </c>
      <c r="I534" s="28" t="s">
        <v>485</v>
      </c>
      <c r="J534" s="28" t="s">
        <v>3225</v>
      </c>
      <c r="K534" s="28" t="s">
        <v>51</v>
      </c>
      <c r="L534" s="28" t="s">
        <v>52</v>
      </c>
      <c r="M534" s="28" t="s">
        <v>52</v>
      </c>
      <c r="N534" s="28" t="s">
        <v>3319</v>
      </c>
      <c r="O534" s="28" t="s">
        <v>44</v>
      </c>
      <c r="P534" s="28" t="s">
        <v>3320</v>
      </c>
      <c r="Q534" s="28" t="s">
        <v>3321</v>
      </c>
      <c r="R534" s="28" t="s">
        <v>44</v>
      </c>
      <c r="S534" s="28" t="s">
        <v>44</v>
      </c>
      <c r="T534" s="28" t="s">
        <v>44</v>
      </c>
      <c r="U534" s="28" t="s">
        <v>44</v>
      </c>
      <c r="V534" s="28" t="s">
        <v>3344</v>
      </c>
      <c r="W534" s="28" t="s">
        <v>774</v>
      </c>
      <c r="X534" s="28"/>
      <c r="Y534" s="28"/>
      <c r="Z534" s="28"/>
      <c r="AA534" s="28"/>
    </row>
    <row r="535">
      <c r="A535" s="270" t="s">
        <v>3345</v>
      </c>
      <c r="B535" s="28" t="s">
        <v>36</v>
      </c>
      <c r="C535" s="28" t="s">
        <v>3323</v>
      </c>
      <c r="D535" s="28" t="s">
        <v>44</v>
      </c>
      <c r="E535" s="28" t="s">
        <v>44</v>
      </c>
      <c r="F535" s="28" t="s">
        <v>1612</v>
      </c>
      <c r="G535" s="28" t="s">
        <v>47</v>
      </c>
      <c r="H535" s="28" t="s">
        <v>48</v>
      </c>
      <c r="I535" s="28" t="s">
        <v>485</v>
      </c>
      <c r="J535" s="28" t="s">
        <v>3225</v>
      </c>
      <c r="K535" s="28" t="s">
        <v>51</v>
      </c>
      <c r="L535" s="28" t="s">
        <v>52</v>
      </c>
      <c r="M535" s="28" t="s">
        <v>52</v>
      </c>
      <c r="N535" s="28" t="s">
        <v>3325</v>
      </c>
      <c r="O535" s="28" t="s">
        <v>44</v>
      </c>
      <c r="P535" s="28" t="s">
        <v>3320</v>
      </c>
      <c r="Q535" s="28" t="s">
        <v>3326</v>
      </c>
      <c r="R535" s="28" t="s">
        <v>44</v>
      </c>
      <c r="S535" s="28" t="s">
        <v>44</v>
      </c>
      <c r="T535" s="28" t="s">
        <v>44</v>
      </c>
      <c r="U535" s="28" t="s">
        <v>44</v>
      </c>
      <c r="V535" s="28" t="s">
        <v>3349</v>
      </c>
      <c r="W535" s="28" t="s">
        <v>774</v>
      </c>
      <c r="X535" s="28"/>
      <c r="Y535" s="28"/>
      <c r="Z535" s="28"/>
      <c r="AA535" s="28"/>
    </row>
    <row r="536">
      <c r="A536" s="270" t="s">
        <v>3350</v>
      </c>
      <c r="B536" s="28" t="s">
        <v>36</v>
      </c>
      <c r="C536" s="28" t="s">
        <v>3328</v>
      </c>
      <c r="D536" s="28" t="s">
        <v>44</v>
      </c>
      <c r="E536" s="28" t="s">
        <v>44</v>
      </c>
      <c r="F536" s="28" t="s">
        <v>1612</v>
      </c>
      <c r="G536" s="28" t="s">
        <v>47</v>
      </c>
      <c r="H536" s="28" t="s">
        <v>95</v>
      </c>
      <c r="I536" s="28" t="s">
        <v>485</v>
      </c>
      <c r="J536" s="28" t="s">
        <v>3225</v>
      </c>
      <c r="K536" s="28" t="s">
        <v>51</v>
      </c>
      <c r="L536" s="28" t="s">
        <v>52</v>
      </c>
      <c r="M536" s="28" t="s">
        <v>52</v>
      </c>
      <c r="N536" s="28" t="s">
        <v>3330</v>
      </c>
      <c r="O536" s="28" t="s">
        <v>44</v>
      </c>
      <c r="P536" s="28" t="s">
        <v>3331</v>
      </c>
      <c r="Q536" s="28" t="s">
        <v>3332</v>
      </c>
      <c r="R536" s="28" t="s">
        <v>44</v>
      </c>
      <c r="S536" s="28" t="s">
        <v>44</v>
      </c>
      <c r="T536" s="28" t="s">
        <v>44</v>
      </c>
      <c r="U536" s="28" t="s">
        <v>44</v>
      </c>
      <c r="V536" s="28" t="s">
        <v>3354</v>
      </c>
      <c r="W536" s="28" t="s">
        <v>774</v>
      </c>
      <c r="X536" s="28"/>
      <c r="Y536" s="28"/>
      <c r="Z536" s="28"/>
      <c r="AA536" s="28"/>
    </row>
    <row r="537">
      <c r="A537" s="270" t="s">
        <v>3355</v>
      </c>
      <c r="B537" s="28" t="s">
        <v>36</v>
      </c>
      <c r="C537" s="28" t="s">
        <v>3335</v>
      </c>
      <c r="D537" s="28" t="s">
        <v>44</v>
      </c>
      <c r="E537" s="28" t="s">
        <v>44</v>
      </c>
      <c r="F537" s="28" t="s">
        <v>1612</v>
      </c>
      <c r="G537" s="28" t="s">
        <v>197</v>
      </c>
      <c r="H537" s="28" t="s">
        <v>91</v>
      </c>
      <c r="I537" s="28" t="s">
        <v>485</v>
      </c>
      <c r="J537" s="28" t="s">
        <v>3225</v>
      </c>
      <c r="K537" s="28" t="s">
        <v>51</v>
      </c>
      <c r="L537" s="28" t="s">
        <v>52</v>
      </c>
      <c r="M537" s="28" t="s">
        <v>52</v>
      </c>
      <c r="N537" s="28" t="s">
        <v>3227</v>
      </c>
      <c r="O537" s="28" t="s">
        <v>44</v>
      </c>
      <c r="P537" s="28" t="s">
        <v>3336</v>
      </c>
      <c r="Q537" s="28" t="s">
        <v>3337</v>
      </c>
      <c r="R537" s="28" t="s">
        <v>44</v>
      </c>
      <c r="S537" s="28" t="s">
        <v>44</v>
      </c>
      <c r="T537" s="28" t="s">
        <v>44</v>
      </c>
      <c r="U537" s="28" t="s">
        <v>44</v>
      </c>
      <c r="V537" s="28" t="s">
        <v>3359</v>
      </c>
      <c r="W537" s="28" t="s">
        <v>774</v>
      </c>
      <c r="X537" s="28"/>
      <c r="Y537" s="28"/>
      <c r="Z537" s="28"/>
      <c r="AA537" s="28"/>
    </row>
    <row r="538">
      <c r="A538" s="270" t="s">
        <v>3361</v>
      </c>
      <c r="B538" s="28" t="s">
        <v>36</v>
      </c>
      <c r="C538" s="28" t="s">
        <v>3340</v>
      </c>
      <c r="D538" s="28" t="s">
        <v>44</v>
      </c>
      <c r="E538" s="28" t="s">
        <v>44</v>
      </c>
      <c r="F538" s="28" t="s">
        <v>1612</v>
      </c>
      <c r="G538" s="28" t="s">
        <v>47</v>
      </c>
      <c r="H538" s="28" t="s">
        <v>48</v>
      </c>
      <c r="I538" s="28" t="s">
        <v>485</v>
      </c>
      <c r="J538" s="28" t="s">
        <v>3225</v>
      </c>
      <c r="K538" s="28" t="s">
        <v>51</v>
      </c>
      <c r="L538" s="28" t="s">
        <v>52</v>
      </c>
      <c r="M538" s="28" t="s">
        <v>52</v>
      </c>
      <c r="N538" s="28" t="s">
        <v>3341</v>
      </c>
      <c r="O538" s="28" t="s">
        <v>44</v>
      </c>
      <c r="P538" s="28" t="s">
        <v>3342</v>
      </c>
      <c r="Q538" s="28" t="s">
        <v>3343</v>
      </c>
      <c r="R538" s="28" t="s">
        <v>44</v>
      </c>
      <c r="S538" s="28" t="s">
        <v>44</v>
      </c>
      <c r="T538" s="28" t="s">
        <v>44</v>
      </c>
      <c r="U538" s="28" t="s">
        <v>44</v>
      </c>
      <c r="V538" s="28" t="s">
        <v>3366</v>
      </c>
      <c r="W538" s="28" t="s">
        <v>774</v>
      </c>
      <c r="X538" s="28"/>
      <c r="Y538" s="28"/>
      <c r="Z538" s="28"/>
      <c r="AA538" s="28"/>
    </row>
    <row r="539">
      <c r="A539" s="270" t="s">
        <v>3367</v>
      </c>
      <c r="B539" s="28" t="s">
        <v>36</v>
      </c>
      <c r="C539" s="28" t="s">
        <v>3346</v>
      </c>
      <c r="D539" s="28" t="s">
        <v>44</v>
      </c>
      <c r="E539" s="28" t="s">
        <v>44</v>
      </c>
      <c r="F539" s="28" t="s">
        <v>1612</v>
      </c>
      <c r="G539" s="28" t="s">
        <v>47</v>
      </c>
      <c r="H539" s="28" t="s">
        <v>48</v>
      </c>
      <c r="I539" s="28" t="s">
        <v>485</v>
      </c>
      <c r="J539" s="28" t="s">
        <v>3225</v>
      </c>
      <c r="K539" s="28" t="s">
        <v>51</v>
      </c>
      <c r="L539" s="28" t="s">
        <v>52</v>
      </c>
      <c r="M539" s="28" t="s">
        <v>52</v>
      </c>
      <c r="N539" s="28" t="s">
        <v>3341</v>
      </c>
      <c r="O539" s="28" t="s">
        <v>44</v>
      </c>
      <c r="P539" s="28" t="s">
        <v>3347</v>
      </c>
      <c r="Q539" s="28" t="s">
        <v>3348</v>
      </c>
      <c r="R539" s="28" t="s">
        <v>44</v>
      </c>
      <c r="S539" s="28" t="s">
        <v>44</v>
      </c>
      <c r="T539" s="28" t="s">
        <v>44</v>
      </c>
      <c r="U539" s="28" t="s">
        <v>44</v>
      </c>
      <c r="V539" s="28" t="s">
        <v>3371</v>
      </c>
      <c r="W539" s="28" t="s">
        <v>774</v>
      </c>
      <c r="X539" s="28"/>
      <c r="Y539" s="28"/>
      <c r="Z539" s="28"/>
      <c r="AA539" s="28"/>
    </row>
    <row r="540">
      <c r="A540" s="270" t="s">
        <v>3373</v>
      </c>
      <c r="B540" s="28" t="s">
        <v>36</v>
      </c>
      <c r="C540" s="28" t="s">
        <v>3351</v>
      </c>
      <c r="D540" s="28" t="s">
        <v>44</v>
      </c>
      <c r="E540" s="28" t="s">
        <v>44</v>
      </c>
      <c r="F540" s="28" t="s">
        <v>1612</v>
      </c>
      <c r="G540" s="28" t="s">
        <v>47</v>
      </c>
      <c r="H540" s="28" t="s">
        <v>48</v>
      </c>
      <c r="I540" s="28" t="s">
        <v>485</v>
      </c>
      <c r="J540" s="28" t="s">
        <v>3225</v>
      </c>
      <c r="K540" s="28" t="s">
        <v>51</v>
      </c>
      <c r="L540" s="28" t="s">
        <v>52</v>
      </c>
      <c r="M540" s="28" t="s">
        <v>52</v>
      </c>
      <c r="N540" s="28" t="s">
        <v>3227</v>
      </c>
      <c r="O540" s="28" t="s">
        <v>44</v>
      </c>
      <c r="P540" s="28" t="s">
        <v>3352</v>
      </c>
      <c r="Q540" s="28" t="s">
        <v>3353</v>
      </c>
      <c r="R540" s="28" t="s">
        <v>44</v>
      </c>
      <c r="S540" s="28" t="s">
        <v>44</v>
      </c>
      <c r="T540" s="28" t="s">
        <v>44</v>
      </c>
      <c r="U540" s="28" t="s">
        <v>44</v>
      </c>
      <c r="V540" s="28" t="s">
        <v>3375</v>
      </c>
      <c r="W540" s="28" t="s">
        <v>774</v>
      </c>
      <c r="X540" s="28"/>
      <c r="Y540" s="28"/>
      <c r="Z540" s="28"/>
      <c r="AA540" s="28"/>
    </row>
    <row r="541">
      <c r="A541" s="270" t="s">
        <v>3378</v>
      </c>
      <c r="B541" s="28" t="s">
        <v>36</v>
      </c>
      <c r="C541" s="28" t="s">
        <v>3356</v>
      </c>
      <c r="D541" s="28" t="s">
        <v>44</v>
      </c>
      <c r="E541" s="28" t="s">
        <v>44</v>
      </c>
      <c r="F541" s="28" t="s">
        <v>1612</v>
      </c>
      <c r="G541" s="28" t="s">
        <v>47</v>
      </c>
      <c r="H541" s="28" t="s">
        <v>48</v>
      </c>
      <c r="I541" s="28" t="s">
        <v>485</v>
      </c>
      <c r="J541" s="28" t="s">
        <v>3225</v>
      </c>
      <c r="K541" s="28" t="s">
        <v>51</v>
      </c>
      <c r="L541" s="28" t="s">
        <v>52</v>
      </c>
      <c r="M541" s="28" t="s">
        <v>52</v>
      </c>
      <c r="N541" s="28" t="s">
        <v>3357</v>
      </c>
      <c r="O541" s="28" t="s">
        <v>44</v>
      </c>
      <c r="P541" s="28" t="s">
        <v>3358</v>
      </c>
      <c r="Q541" s="28" t="s">
        <v>3360</v>
      </c>
      <c r="R541" s="28" t="s">
        <v>44</v>
      </c>
      <c r="S541" s="28" t="s">
        <v>44</v>
      </c>
      <c r="T541" s="28" t="s">
        <v>44</v>
      </c>
      <c r="U541" s="28" t="s">
        <v>44</v>
      </c>
      <c r="V541" s="28" t="s">
        <v>3380</v>
      </c>
      <c r="W541" s="28" t="s">
        <v>774</v>
      </c>
      <c r="X541" s="28"/>
      <c r="Y541" s="28"/>
      <c r="Z541" s="28"/>
      <c r="AA541" s="28"/>
    </row>
    <row r="542">
      <c r="A542" s="270" t="s">
        <v>3382</v>
      </c>
      <c r="B542" s="28" t="s">
        <v>36</v>
      </c>
      <c r="C542" s="28" t="s">
        <v>3362</v>
      </c>
      <c r="D542" s="28" t="s">
        <v>44</v>
      </c>
      <c r="E542" s="28" t="s">
        <v>44</v>
      </c>
      <c r="F542" s="28" t="s">
        <v>1612</v>
      </c>
      <c r="G542" s="28" t="s">
        <v>47</v>
      </c>
      <c r="H542" s="28" t="s">
        <v>48</v>
      </c>
      <c r="I542" s="28" t="s">
        <v>485</v>
      </c>
      <c r="J542" s="28" t="s">
        <v>3225</v>
      </c>
      <c r="K542" s="28" t="s">
        <v>51</v>
      </c>
      <c r="L542" s="28" t="s">
        <v>52</v>
      </c>
      <c r="M542" s="28" t="s">
        <v>52</v>
      </c>
      <c r="N542" s="28" t="s">
        <v>3363</v>
      </c>
      <c r="O542" s="28" t="s">
        <v>44</v>
      </c>
      <c r="P542" s="28" t="s">
        <v>3364</v>
      </c>
      <c r="Q542" s="28" t="s">
        <v>3365</v>
      </c>
      <c r="R542" s="28" t="s">
        <v>44</v>
      </c>
      <c r="S542" s="28" t="s">
        <v>44</v>
      </c>
      <c r="T542" s="28" t="s">
        <v>44</v>
      </c>
      <c r="U542" s="28" t="s">
        <v>44</v>
      </c>
      <c r="V542" s="28" t="s">
        <v>3384</v>
      </c>
      <c r="W542" s="28" t="s">
        <v>774</v>
      </c>
      <c r="X542" s="28"/>
      <c r="Y542" s="28"/>
      <c r="Z542" s="28"/>
      <c r="AA542" s="28"/>
    </row>
    <row r="543">
      <c r="A543" s="270" t="s">
        <v>3385</v>
      </c>
      <c r="B543" s="28" t="s">
        <v>36</v>
      </c>
      <c r="C543" s="28" t="s">
        <v>3368</v>
      </c>
      <c r="D543" s="28" t="s">
        <v>44</v>
      </c>
      <c r="E543" s="28" t="s">
        <v>44</v>
      </c>
      <c r="F543" s="28" t="s">
        <v>1612</v>
      </c>
      <c r="G543" s="28" t="s">
        <v>47</v>
      </c>
      <c r="H543" s="28" t="s">
        <v>48</v>
      </c>
      <c r="I543" s="28" t="s">
        <v>485</v>
      </c>
      <c r="J543" s="28" t="s">
        <v>3225</v>
      </c>
      <c r="K543" s="28" t="s">
        <v>51</v>
      </c>
      <c r="L543" s="28" t="s">
        <v>52</v>
      </c>
      <c r="M543" s="28" t="s">
        <v>52</v>
      </c>
      <c r="N543" s="28" t="s">
        <v>3369</v>
      </c>
      <c r="O543" s="28" t="s">
        <v>44</v>
      </c>
      <c r="P543" s="28" t="s">
        <v>3370</v>
      </c>
      <c r="Q543" s="28" t="s">
        <v>3372</v>
      </c>
      <c r="R543" s="28" t="s">
        <v>44</v>
      </c>
      <c r="S543" s="28" t="s">
        <v>44</v>
      </c>
      <c r="T543" s="28" t="s">
        <v>44</v>
      </c>
      <c r="U543" s="28" t="s">
        <v>44</v>
      </c>
      <c r="V543" s="28" t="s">
        <v>3388</v>
      </c>
      <c r="W543" s="28" t="s">
        <v>774</v>
      </c>
      <c r="X543" s="28"/>
      <c r="Y543" s="28"/>
      <c r="Z543" s="28"/>
      <c r="AA543" s="28"/>
    </row>
    <row r="544">
      <c r="A544" s="270" t="s">
        <v>3389</v>
      </c>
      <c r="B544" s="28" t="s">
        <v>36</v>
      </c>
      <c r="C544" s="28" t="s">
        <v>3374</v>
      </c>
      <c r="D544" s="28" t="s">
        <v>44</v>
      </c>
      <c r="E544" s="28" t="s">
        <v>44</v>
      </c>
      <c r="F544" s="28" t="s">
        <v>1612</v>
      </c>
      <c r="G544" s="28" t="s">
        <v>47</v>
      </c>
      <c r="H544" s="28" t="s">
        <v>95</v>
      </c>
      <c r="I544" s="28" t="s">
        <v>485</v>
      </c>
      <c r="J544" s="28" t="s">
        <v>3225</v>
      </c>
      <c r="K544" s="28" t="s">
        <v>51</v>
      </c>
      <c r="L544" s="28" t="s">
        <v>52</v>
      </c>
      <c r="M544" s="28" t="s">
        <v>52</v>
      </c>
      <c r="N544" s="28" t="s">
        <v>3376</v>
      </c>
      <c r="O544" s="28" t="s">
        <v>44</v>
      </c>
      <c r="P544" s="28" t="s">
        <v>3370</v>
      </c>
      <c r="Q544" s="28" t="s">
        <v>3377</v>
      </c>
      <c r="R544" s="28" t="s">
        <v>44</v>
      </c>
      <c r="S544" s="28" t="s">
        <v>44</v>
      </c>
      <c r="T544" s="28" t="s">
        <v>44</v>
      </c>
      <c r="U544" s="28" t="s">
        <v>44</v>
      </c>
      <c r="V544" s="28" t="s">
        <v>3394</v>
      </c>
      <c r="W544" s="28" t="s">
        <v>774</v>
      </c>
      <c r="X544" s="28"/>
      <c r="Y544" s="28"/>
      <c r="Z544" s="28"/>
      <c r="AA544" s="28"/>
    </row>
    <row r="545">
      <c r="A545" s="270" t="s">
        <v>3395</v>
      </c>
      <c r="B545" s="28" t="s">
        <v>36</v>
      </c>
      <c r="C545" s="28" t="s">
        <v>3379</v>
      </c>
      <c r="D545" s="28" t="s">
        <v>44</v>
      </c>
      <c r="E545" s="28" t="s">
        <v>44</v>
      </c>
      <c r="F545" s="28" t="s">
        <v>1612</v>
      </c>
      <c r="G545" s="28" t="s">
        <v>85</v>
      </c>
      <c r="H545" s="28" t="s">
        <v>86</v>
      </c>
      <c r="I545" s="28" t="s">
        <v>485</v>
      </c>
      <c r="J545" s="28" t="s">
        <v>3225</v>
      </c>
      <c r="K545" s="28" t="s">
        <v>51</v>
      </c>
      <c r="L545" s="28" t="s">
        <v>52</v>
      </c>
      <c r="M545" s="28" t="s">
        <v>52</v>
      </c>
      <c r="N545" s="28" t="s">
        <v>3227</v>
      </c>
      <c r="O545" s="28" t="s">
        <v>44</v>
      </c>
      <c r="P545" s="28" t="s">
        <v>2051</v>
      </c>
      <c r="Q545" s="28" t="s">
        <v>3381</v>
      </c>
      <c r="R545" s="28" t="s">
        <v>44</v>
      </c>
      <c r="S545" s="28" t="s">
        <v>44</v>
      </c>
      <c r="T545" s="28" t="s">
        <v>44</v>
      </c>
      <c r="U545" s="28" t="s">
        <v>44</v>
      </c>
      <c r="V545" s="28" t="s">
        <v>3398</v>
      </c>
      <c r="W545" s="28" t="s">
        <v>774</v>
      </c>
      <c r="X545" s="28"/>
      <c r="Y545" s="28"/>
      <c r="Z545" s="28"/>
      <c r="AA545" s="28"/>
    </row>
    <row r="546">
      <c r="A546" s="270" t="s">
        <v>3399</v>
      </c>
      <c r="B546" s="28" t="s">
        <v>36</v>
      </c>
      <c r="C546" s="28" t="s">
        <v>3383</v>
      </c>
      <c r="D546" s="28" t="s">
        <v>44</v>
      </c>
      <c r="E546" s="28" t="s">
        <v>44</v>
      </c>
      <c r="F546" s="28" t="s">
        <v>1612</v>
      </c>
      <c r="G546" s="28" t="s">
        <v>47</v>
      </c>
      <c r="H546" s="28" t="s">
        <v>48</v>
      </c>
      <c r="I546" s="28" t="s">
        <v>485</v>
      </c>
      <c r="J546" s="28" t="s">
        <v>3225</v>
      </c>
      <c r="K546" s="28" t="s">
        <v>51</v>
      </c>
      <c r="L546" s="28" t="s">
        <v>52</v>
      </c>
      <c r="M546" s="28" t="s">
        <v>52</v>
      </c>
      <c r="N546" s="28" t="s">
        <v>3227</v>
      </c>
      <c r="O546" s="28" t="s">
        <v>44</v>
      </c>
      <c r="P546" s="28" t="s">
        <v>2574</v>
      </c>
      <c r="Q546" s="28" t="s">
        <v>3386</v>
      </c>
      <c r="R546" s="28" t="s">
        <v>44</v>
      </c>
      <c r="S546" s="28" t="s">
        <v>44</v>
      </c>
      <c r="T546" s="28" t="s">
        <v>44</v>
      </c>
      <c r="U546" s="28" t="s">
        <v>44</v>
      </c>
      <c r="V546" s="28" t="s">
        <v>3404</v>
      </c>
      <c r="W546" s="28" t="s">
        <v>3405</v>
      </c>
      <c r="X546" s="28"/>
      <c r="Y546" s="28"/>
      <c r="Z546" s="28"/>
      <c r="AA546" s="28"/>
    </row>
    <row r="547">
      <c r="A547" s="270" t="s">
        <v>3406</v>
      </c>
      <c r="B547" s="28" t="s">
        <v>36</v>
      </c>
      <c r="C547" s="28" t="s">
        <v>3387</v>
      </c>
      <c r="D547" s="28" t="s">
        <v>44</v>
      </c>
      <c r="E547" s="28" t="s">
        <v>44</v>
      </c>
      <c r="F547" s="28" t="s">
        <v>1612</v>
      </c>
      <c r="G547" s="28" t="s">
        <v>47</v>
      </c>
      <c r="H547" s="28" t="s">
        <v>48</v>
      </c>
      <c r="I547" s="28" t="s">
        <v>485</v>
      </c>
      <c r="J547" s="28" t="s">
        <v>3225</v>
      </c>
      <c r="K547" s="28" t="s">
        <v>51</v>
      </c>
      <c r="L547" s="28" t="s">
        <v>52</v>
      </c>
      <c r="M547" s="28" t="s">
        <v>52</v>
      </c>
      <c r="N547" s="28" t="s">
        <v>3390</v>
      </c>
      <c r="O547" s="28" t="s">
        <v>44</v>
      </c>
      <c r="P547" s="28" t="s">
        <v>3391</v>
      </c>
      <c r="Q547" s="28" t="s">
        <v>3392</v>
      </c>
      <c r="R547" s="28" t="s">
        <v>44</v>
      </c>
      <c r="S547" s="28" t="s">
        <v>44</v>
      </c>
      <c r="T547" s="28" t="s">
        <v>44</v>
      </c>
      <c r="U547" s="28" t="s">
        <v>44</v>
      </c>
      <c r="V547" s="28" t="s">
        <v>3408</v>
      </c>
      <c r="W547" s="28" t="s">
        <v>774</v>
      </c>
      <c r="X547" s="28"/>
      <c r="Y547" s="28"/>
      <c r="Z547" s="28"/>
      <c r="AA547" s="28"/>
    </row>
    <row r="548">
      <c r="A548" s="270" t="s">
        <v>3411</v>
      </c>
      <c r="B548" s="28" t="s">
        <v>36</v>
      </c>
      <c r="C548" s="28" t="s">
        <v>3393</v>
      </c>
      <c r="D548" s="28" t="s">
        <v>44</v>
      </c>
      <c r="E548" s="28" t="s">
        <v>44</v>
      </c>
      <c r="F548" s="28" t="s">
        <v>1612</v>
      </c>
      <c r="G548" s="28" t="s">
        <v>47</v>
      </c>
      <c r="H548" s="28" t="s">
        <v>95</v>
      </c>
      <c r="I548" s="28" t="s">
        <v>485</v>
      </c>
      <c r="J548" s="28" t="s">
        <v>3225</v>
      </c>
      <c r="K548" s="28" t="s">
        <v>51</v>
      </c>
      <c r="L548" s="28" t="s">
        <v>52</v>
      </c>
      <c r="M548" s="28" t="s">
        <v>52</v>
      </c>
      <c r="N548" s="28" t="s">
        <v>3396</v>
      </c>
      <c r="O548" s="28" t="s">
        <v>44</v>
      </c>
      <c r="P548" s="28" t="s">
        <v>3336</v>
      </c>
      <c r="Q548" s="28" t="s">
        <v>3397</v>
      </c>
      <c r="R548" s="28" t="s">
        <v>44</v>
      </c>
      <c r="S548" s="28" t="s">
        <v>44</v>
      </c>
      <c r="T548" s="28" t="s">
        <v>44</v>
      </c>
      <c r="U548" s="28" t="s">
        <v>44</v>
      </c>
      <c r="V548" s="28" t="s">
        <v>3413</v>
      </c>
      <c r="W548" s="28" t="s">
        <v>774</v>
      </c>
      <c r="X548" s="28"/>
      <c r="Y548" s="28"/>
      <c r="Z548" s="28"/>
      <c r="AA548" s="28"/>
    </row>
    <row r="549">
      <c r="A549" s="270" t="s">
        <v>3416</v>
      </c>
      <c r="B549" s="28" t="s">
        <v>36</v>
      </c>
      <c r="C549" s="28" t="s">
        <v>3400</v>
      </c>
      <c r="D549" s="28" t="s">
        <v>44</v>
      </c>
      <c r="E549" s="28" t="s">
        <v>44</v>
      </c>
      <c r="F549" s="28" t="s">
        <v>1612</v>
      </c>
      <c r="G549" s="28" t="s">
        <v>197</v>
      </c>
      <c r="H549" s="28" t="s">
        <v>112</v>
      </c>
      <c r="I549" s="28" t="s">
        <v>485</v>
      </c>
      <c r="J549" s="28" t="s">
        <v>3225</v>
      </c>
      <c r="K549" s="28" t="s">
        <v>51</v>
      </c>
      <c r="L549" s="28" t="s">
        <v>52</v>
      </c>
      <c r="M549" s="28" t="s">
        <v>52</v>
      </c>
      <c r="N549" s="28" t="s">
        <v>3401</v>
      </c>
      <c r="O549" s="28" t="s">
        <v>44</v>
      </c>
      <c r="P549" s="28" t="s">
        <v>3402</v>
      </c>
      <c r="Q549" s="28" t="s">
        <v>3403</v>
      </c>
      <c r="R549" s="28" t="s">
        <v>44</v>
      </c>
      <c r="S549" s="28" t="s">
        <v>44</v>
      </c>
      <c r="T549" s="28" t="s">
        <v>44</v>
      </c>
      <c r="U549" s="28" t="s">
        <v>44</v>
      </c>
      <c r="V549" s="28" t="s">
        <v>3418</v>
      </c>
      <c r="W549" s="28" t="s">
        <v>774</v>
      </c>
      <c r="X549" s="28"/>
      <c r="Y549" s="28"/>
      <c r="Z549" s="28"/>
      <c r="AA549" s="28"/>
    </row>
    <row r="550">
      <c r="A550" s="270" t="s">
        <v>3421</v>
      </c>
      <c r="B550" s="28" t="s">
        <v>36</v>
      </c>
      <c r="C550" s="28" t="s">
        <v>3407</v>
      </c>
      <c r="D550" s="28" t="s">
        <v>44</v>
      </c>
      <c r="E550" s="28" t="s">
        <v>44</v>
      </c>
      <c r="F550" s="28" t="s">
        <v>1612</v>
      </c>
      <c r="G550" s="28" t="s">
        <v>47</v>
      </c>
      <c r="H550" s="28" t="s">
        <v>48</v>
      </c>
      <c r="I550" s="28" t="s">
        <v>485</v>
      </c>
      <c r="J550" s="28" t="s">
        <v>1614</v>
      </c>
      <c r="K550" s="28" t="s">
        <v>1615</v>
      </c>
      <c r="L550" s="28" t="s">
        <v>52</v>
      </c>
      <c r="M550" s="28" t="s">
        <v>52</v>
      </c>
      <c r="N550" s="28" t="s">
        <v>1616</v>
      </c>
      <c r="O550" s="28" t="s">
        <v>44</v>
      </c>
      <c r="P550" s="28" t="s">
        <v>3409</v>
      </c>
      <c r="Q550" s="28" t="s">
        <v>3410</v>
      </c>
      <c r="R550" s="28" t="s">
        <v>44</v>
      </c>
      <c r="S550" s="28" t="s">
        <v>44</v>
      </c>
      <c r="T550" s="28" t="s">
        <v>44</v>
      </c>
      <c r="U550" s="28" t="s">
        <v>44</v>
      </c>
      <c r="V550" s="28" t="s">
        <v>3423</v>
      </c>
      <c r="W550" s="28" t="s">
        <v>3425</v>
      </c>
      <c r="X550" s="28"/>
      <c r="Y550" s="28"/>
      <c r="Z550" s="28"/>
      <c r="AA550" s="28"/>
    </row>
    <row r="551">
      <c r="A551" s="270" t="s">
        <v>3428</v>
      </c>
      <c r="B551" s="28" t="s">
        <v>36</v>
      </c>
      <c r="C551" s="28" t="s">
        <v>3412</v>
      </c>
      <c r="D551" s="28" t="s">
        <v>44</v>
      </c>
      <c r="E551" s="28" t="s">
        <v>44</v>
      </c>
      <c r="F551" s="28" t="s">
        <v>1612</v>
      </c>
      <c r="G551" s="28" t="s">
        <v>47</v>
      </c>
      <c r="H551" s="28" t="s">
        <v>48</v>
      </c>
      <c r="I551" s="28" t="s">
        <v>485</v>
      </c>
      <c r="J551" s="28" t="s">
        <v>1614</v>
      </c>
      <c r="K551" s="28" t="s">
        <v>1615</v>
      </c>
      <c r="L551" s="28" t="s">
        <v>52</v>
      </c>
      <c r="M551" s="28" t="s">
        <v>52</v>
      </c>
      <c r="N551" s="28" t="s">
        <v>1616</v>
      </c>
      <c r="O551" s="28" t="s">
        <v>44</v>
      </c>
      <c r="P551" s="28" t="s">
        <v>3414</v>
      </c>
      <c r="Q551" s="28" t="s">
        <v>3415</v>
      </c>
      <c r="R551" s="28" t="s">
        <v>44</v>
      </c>
      <c r="S551" s="28" t="s">
        <v>44</v>
      </c>
      <c r="T551" s="28" t="s">
        <v>44</v>
      </c>
      <c r="U551" s="28" t="s">
        <v>44</v>
      </c>
      <c r="V551" s="28" t="s">
        <v>3430</v>
      </c>
      <c r="W551" s="28" t="s">
        <v>774</v>
      </c>
      <c r="X551" s="28"/>
      <c r="Y551" s="28"/>
      <c r="Z551" s="28"/>
      <c r="AA551" s="28"/>
    </row>
    <row r="552">
      <c r="A552" s="270" t="s">
        <v>3433</v>
      </c>
      <c r="B552" s="28" t="s">
        <v>36</v>
      </c>
      <c r="C552" s="28" t="s">
        <v>3417</v>
      </c>
      <c r="D552" s="28" t="s">
        <v>44</v>
      </c>
      <c r="E552" s="28" t="s">
        <v>44</v>
      </c>
      <c r="F552" s="28" t="s">
        <v>1612</v>
      </c>
      <c r="G552" s="28" t="s">
        <v>111</v>
      </c>
      <c r="H552" s="28" t="s">
        <v>91</v>
      </c>
      <c r="I552" s="28" t="s">
        <v>485</v>
      </c>
      <c r="J552" s="28" t="s">
        <v>1614</v>
      </c>
      <c r="K552" s="28" t="s">
        <v>1615</v>
      </c>
      <c r="L552" s="28" t="s">
        <v>52</v>
      </c>
      <c r="M552" s="28" t="s">
        <v>52</v>
      </c>
      <c r="N552" s="28" t="s">
        <v>1616</v>
      </c>
      <c r="O552" s="28" t="s">
        <v>44</v>
      </c>
      <c r="P552" s="28" t="s">
        <v>3419</v>
      </c>
      <c r="Q552" s="28" t="s">
        <v>3420</v>
      </c>
      <c r="R552" s="28" t="s">
        <v>44</v>
      </c>
      <c r="S552" s="28" t="s">
        <v>44</v>
      </c>
      <c r="T552" s="28" t="s">
        <v>44</v>
      </c>
      <c r="U552" s="28" t="s">
        <v>44</v>
      </c>
      <c r="V552" s="28" t="s">
        <v>3434</v>
      </c>
      <c r="W552" s="28" t="s">
        <v>774</v>
      </c>
      <c r="X552" s="28"/>
      <c r="Y552" s="28"/>
      <c r="Z552" s="28"/>
      <c r="AA552" s="28"/>
    </row>
    <row r="553">
      <c r="A553" s="270" t="s">
        <v>3435</v>
      </c>
      <c r="B553" s="28" t="s">
        <v>36</v>
      </c>
      <c r="C553" s="28" t="s">
        <v>3422</v>
      </c>
      <c r="D553" s="28" t="s">
        <v>44</v>
      </c>
      <c r="E553" s="28" t="s">
        <v>44</v>
      </c>
      <c r="F553" s="28" t="s">
        <v>1612</v>
      </c>
      <c r="G553" s="28" t="s">
        <v>47</v>
      </c>
      <c r="H553" s="28" t="s">
        <v>95</v>
      </c>
      <c r="I553" s="28" t="s">
        <v>485</v>
      </c>
      <c r="J553" s="28" t="s">
        <v>1614</v>
      </c>
      <c r="K553" s="28" t="s">
        <v>1615</v>
      </c>
      <c r="L553" s="28" t="s">
        <v>52</v>
      </c>
      <c r="M553" s="28" t="s">
        <v>52</v>
      </c>
      <c r="N553" s="28" t="s">
        <v>3424</v>
      </c>
      <c r="O553" s="28" t="s">
        <v>44</v>
      </c>
      <c r="P553" s="28" t="s">
        <v>3426</v>
      </c>
      <c r="Q553" s="28" t="s">
        <v>3427</v>
      </c>
      <c r="R553" s="28" t="s">
        <v>44</v>
      </c>
      <c r="S553" s="28" t="s">
        <v>44</v>
      </c>
      <c r="T553" s="28" t="s">
        <v>44</v>
      </c>
      <c r="U553" s="28" t="s">
        <v>44</v>
      </c>
      <c r="V553" s="28" t="s">
        <v>3439</v>
      </c>
      <c r="W553" s="28" t="s">
        <v>774</v>
      </c>
      <c r="X553" s="28"/>
      <c r="Y553" s="28"/>
      <c r="Z553" s="28"/>
      <c r="AA553" s="28"/>
    </row>
    <row r="554">
      <c r="A554" s="270" t="s">
        <v>3440</v>
      </c>
      <c r="B554" s="28" t="s">
        <v>36</v>
      </c>
      <c r="C554" s="28" t="s">
        <v>3429</v>
      </c>
      <c r="D554" s="28" t="s">
        <v>44</v>
      </c>
      <c r="E554" s="28" t="s">
        <v>44</v>
      </c>
      <c r="F554" s="28" t="s">
        <v>1612</v>
      </c>
      <c r="G554" s="28" t="s">
        <v>47</v>
      </c>
      <c r="H554" s="28" t="s">
        <v>48</v>
      </c>
      <c r="I554" s="28" t="s">
        <v>485</v>
      </c>
      <c r="J554" s="28" t="s">
        <v>1614</v>
      </c>
      <c r="K554" s="28" t="s">
        <v>1615</v>
      </c>
      <c r="L554" s="28" t="s">
        <v>52</v>
      </c>
      <c r="M554" s="28" t="s">
        <v>52</v>
      </c>
      <c r="N554" s="28" t="s">
        <v>1616</v>
      </c>
      <c r="O554" s="28" t="s">
        <v>44</v>
      </c>
      <c r="P554" s="28" t="s">
        <v>3431</v>
      </c>
      <c r="Q554" s="28" t="s">
        <v>3432</v>
      </c>
      <c r="R554" s="28" t="s">
        <v>44</v>
      </c>
      <c r="S554" s="28" t="s">
        <v>44</v>
      </c>
      <c r="T554" s="28" t="s">
        <v>44</v>
      </c>
      <c r="U554" s="28" t="s">
        <v>44</v>
      </c>
      <c r="V554" s="28" t="s">
        <v>3444</v>
      </c>
      <c r="W554" s="28" t="s">
        <v>774</v>
      </c>
      <c r="X554" s="28"/>
      <c r="Y554" s="28"/>
      <c r="Z554" s="28"/>
      <c r="AA554" s="28"/>
    </row>
    <row r="555">
      <c r="A555" s="270" t="s">
        <v>3445</v>
      </c>
      <c r="B555" s="28" t="s">
        <v>36</v>
      </c>
      <c r="C555" s="28" t="s">
        <v>3436</v>
      </c>
      <c r="D555" s="28" t="s">
        <v>44</v>
      </c>
      <c r="E555" s="28" t="s">
        <v>44</v>
      </c>
      <c r="F555" s="28" t="s">
        <v>1612</v>
      </c>
      <c r="G555" s="28" t="s">
        <v>111</v>
      </c>
      <c r="H555" s="28" t="s">
        <v>112</v>
      </c>
      <c r="I555" s="28" t="s">
        <v>485</v>
      </c>
      <c r="J555" s="28" t="s">
        <v>1614</v>
      </c>
      <c r="K555" s="28" t="s">
        <v>1615</v>
      </c>
      <c r="L555" s="28" t="s">
        <v>52</v>
      </c>
      <c r="M555" s="28" t="s">
        <v>52</v>
      </c>
      <c r="N555" s="28" t="s">
        <v>3437</v>
      </c>
      <c r="O555" s="28" t="s">
        <v>44</v>
      </c>
      <c r="P555" s="28" t="s">
        <v>1545</v>
      </c>
      <c r="Q555" s="28" t="s">
        <v>3438</v>
      </c>
      <c r="R555" s="28" t="s">
        <v>44</v>
      </c>
      <c r="S555" s="28" t="s">
        <v>44</v>
      </c>
      <c r="T555" s="28" t="s">
        <v>44</v>
      </c>
      <c r="U555" s="28" t="s">
        <v>44</v>
      </c>
      <c r="V555" s="28" t="s">
        <v>3450</v>
      </c>
      <c r="W555" s="28" t="s">
        <v>774</v>
      </c>
      <c r="X555" s="28"/>
      <c r="Y555" s="28"/>
      <c r="Z555" s="28"/>
      <c r="AA555" s="28"/>
    </row>
    <row r="556">
      <c r="A556" s="270" t="s">
        <v>3451</v>
      </c>
      <c r="B556" s="28" t="s">
        <v>36</v>
      </c>
      <c r="C556" s="28" t="s">
        <v>3441</v>
      </c>
      <c r="D556" s="28" t="s">
        <v>44</v>
      </c>
      <c r="E556" s="28" t="s">
        <v>44</v>
      </c>
      <c r="F556" s="28" t="s">
        <v>1612</v>
      </c>
      <c r="G556" s="28" t="s">
        <v>197</v>
      </c>
      <c r="H556" s="28" t="s">
        <v>198</v>
      </c>
      <c r="I556" s="28" t="s">
        <v>485</v>
      </c>
      <c r="J556" s="28" t="s">
        <v>1614</v>
      </c>
      <c r="K556" s="28" t="s">
        <v>1615</v>
      </c>
      <c r="L556" s="28" t="s">
        <v>52</v>
      </c>
      <c r="M556" s="28" t="s">
        <v>52</v>
      </c>
      <c r="N556" s="28" t="s">
        <v>3442</v>
      </c>
      <c r="O556" s="28" t="s">
        <v>44</v>
      </c>
      <c r="P556" s="28" t="s">
        <v>1545</v>
      </c>
      <c r="Q556" s="28" t="s">
        <v>3443</v>
      </c>
      <c r="R556" s="28" t="s">
        <v>44</v>
      </c>
      <c r="S556" s="28" t="s">
        <v>44</v>
      </c>
      <c r="T556" s="28" t="s">
        <v>44</v>
      </c>
      <c r="U556" s="28" t="s">
        <v>44</v>
      </c>
      <c r="V556" s="28" t="s">
        <v>3453</v>
      </c>
      <c r="W556" s="28" t="s">
        <v>3454</v>
      </c>
      <c r="X556" s="28"/>
      <c r="Y556" s="28"/>
      <c r="Z556" s="28"/>
      <c r="AA556" s="28"/>
    </row>
    <row r="557">
      <c r="A557" s="270" t="s">
        <v>3457</v>
      </c>
      <c r="B557" s="28" t="s">
        <v>36</v>
      </c>
      <c r="C557" s="28" t="s">
        <v>3446</v>
      </c>
      <c r="D557" s="28" t="s">
        <v>44</v>
      </c>
      <c r="E557" s="28" t="s">
        <v>44</v>
      </c>
      <c r="F557" s="28" t="s">
        <v>1612</v>
      </c>
      <c r="G557" s="28" t="s">
        <v>47</v>
      </c>
      <c r="H557" s="28" t="s">
        <v>95</v>
      </c>
      <c r="I557" s="28" t="s">
        <v>485</v>
      </c>
      <c r="J557" s="28" t="s">
        <v>1614</v>
      </c>
      <c r="K557" s="28" t="s">
        <v>1615</v>
      </c>
      <c r="L557" s="28" t="s">
        <v>52</v>
      </c>
      <c r="M557" s="28" t="s">
        <v>52</v>
      </c>
      <c r="N557" s="28" t="s">
        <v>3447</v>
      </c>
      <c r="O557" s="28" t="s">
        <v>44</v>
      </c>
      <c r="P557" s="28" t="s">
        <v>3448</v>
      </c>
      <c r="Q557" s="28" t="s">
        <v>3449</v>
      </c>
      <c r="R557" s="28" t="s">
        <v>44</v>
      </c>
      <c r="S557" s="28" t="s">
        <v>44</v>
      </c>
      <c r="T557" s="28" t="s">
        <v>44</v>
      </c>
      <c r="U557" s="28" t="s">
        <v>44</v>
      </c>
      <c r="V557" s="28" t="s">
        <v>3462</v>
      </c>
      <c r="W557" s="28" t="s">
        <v>3464</v>
      </c>
      <c r="X557" s="28"/>
      <c r="Y557" s="28"/>
      <c r="Z557" s="28"/>
      <c r="AA557" s="28"/>
    </row>
    <row r="558">
      <c r="A558" s="270" t="s">
        <v>3466</v>
      </c>
      <c r="B558" s="28" t="s">
        <v>36</v>
      </c>
      <c r="C558" s="28" t="s">
        <v>3452</v>
      </c>
      <c r="D558" s="28" t="s">
        <v>44</v>
      </c>
      <c r="E558" s="28" t="s">
        <v>44</v>
      </c>
      <c r="F558" s="28" t="s">
        <v>1612</v>
      </c>
      <c r="G558" s="28" t="s">
        <v>47</v>
      </c>
      <c r="H558" s="28" t="s">
        <v>95</v>
      </c>
      <c r="I558" s="28" t="s">
        <v>485</v>
      </c>
      <c r="J558" s="28" t="s">
        <v>1614</v>
      </c>
      <c r="K558" s="28" t="s">
        <v>1615</v>
      </c>
      <c r="L558" s="28" t="s">
        <v>52</v>
      </c>
      <c r="M558" s="28" t="s">
        <v>52</v>
      </c>
      <c r="N558" s="28" t="s">
        <v>3437</v>
      </c>
      <c r="O558" s="28" t="s">
        <v>44</v>
      </c>
      <c r="P558" s="28" t="s">
        <v>3455</v>
      </c>
      <c r="Q558" s="28" t="s">
        <v>3456</v>
      </c>
      <c r="R558" s="28" t="s">
        <v>44</v>
      </c>
      <c r="S558" s="28" t="s">
        <v>44</v>
      </c>
      <c r="T558" s="28" t="s">
        <v>44</v>
      </c>
      <c r="U558" s="28" t="s">
        <v>44</v>
      </c>
      <c r="V558" s="28" t="s">
        <v>3468</v>
      </c>
      <c r="W558" s="28" t="s">
        <v>3469</v>
      </c>
      <c r="X558" s="28"/>
      <c r="Y558" s="28"/>
      <c r="Z558" s="28"/>
      <c r="AA558" s="28"/>
    </row>
    <row r="559">
      <c r="A559" s="270" t="s">
        <v>3472</v>
      </c>
      <c r="B559" s="28" t="s">
        <v>36</v>
      </c>
      <c r="C559" s="28" t="s">
        <v>3458</v>
      </c>
      <c r="D559" s="28" t="s">
        <v>44</v>
      </c>
      <c r="E559" s="28" t="s">
        <v>44</v>
      </c>
      <c r="F559" s="28" t="s">
        <v>3459</v>
      </c>
      <c r="G559" s="28" t="s">
        <v>47</v>
      </c>
      <c r="H559" s="28" t="s">
        <v>95</v>
      </c>
      <c r="I559" s="28" t="s">
        <v>485</v>
      </c>
      <c r="J559" s="28" t="s">
        <v>3460</v>
      </c>
      <c r="K559" s="28" t="s">
        <v>1615</v>
      </c>
      <c r="L559" s="28" t="s">
        <v>52</v>
      </c>
      <c r="M559" s="28" t="s">
        <v>52</v>
      </c>
      <c r="N559" s="28" t="s">
        <v>3461</v>
      </c>
      <c r="O559" s="28" t="s">
        <v>44</v>
      </c>
      <c r="P559" s="28" t="s">
        <v>3463</v>
      </c>
      <c r="Q559" s="28" t="s">
        <v>3465</v>
      </c>
      <c r="R559" s="28" t="s">
        <v>44</v>
      </c>
      <c r="S559" s="28" t="s">
        <v>44</v>
      </c>
      <c r="T559" s="28" t="s">
        <v>44</v>
      </c>
      <c r="U559" s="28" t="s">
        <v>44</v>
      </c>
      <c r="V559" s="28" t="s">
        <v>3475</v>
      </c>
      <c r="W559" s="28" t="s">
        <v>3478</v>
      </c>
      <c r="X559" s="28"/>
      <c r="Y559" s="28"/>
      <c r="Z559" s="28"/>
      <c r="AA559" s="28"/>
    </row>
    <row r="560">
      <c r="A560" s="270" t="s">
        <v>3480</v>
      </c>
      <c r="B560" s="28" t="s">
        <v>36</v>
      </c>
      <c r="C560" s="28" t="s">
        <v>3467</v>
      </c>
      <c r="D560" s="28" t="s">
        <v>44</v>
      </c>
      <c r="E560" s="28" t="s">
        <v>44</v>
      </c>
      <c r="F560" s="28" t="s">
        <v>3459</v>
      </c>
      <c r="G560" s="28" t="s">
        <v>47</v>
      </c>
      <c r="H560" s="28" t="s">
        <v>48</v>
      </c>
      <c r="I560" s="28" t="s">
        <v>485</v>
      </c>
      <c r="J560" s="28" t="s">
        <v>3460</v>
      </c>
      <c r="K560" s="28" t="s">
        <v>1615</v>
      </c>
      <c r="L560" s="28" t="s">
        <v>52</v>
      </c>
      <c r="M560" s="28" t="s">
        <v>52</v>
      </c>
      <c r="N560" s="28" t="s">
        <v>3470</v>
      </c>
      <c r="O560" s="28" t="s">
        <v>44</v>
      </c>
      <c r="P560" s="28" t="s">
        <v>3471</v>
      </c>
      <c r="Q560" s="28" t="s">
        <v>3473</v>
      </c>
      <c r="R560" s="28" t="s">
        <v>44</v>
      </c>
      <c r="S560" s="28" t="s">
        <v>44</v>
      </c>
      <c r="T560" s="28" t="s">
        <v>44</v>
      </c>
      <c r="U560" s="28" t="s">
        <v>44</v>
      </c>
      <c r="V560" s="28" t="s">
        <v>3483</v>
      </c>
      <c r="W560" s="28" t="s">
        <v>774</v>
      </c>
      <c r="X560" s="28"/>
      <c r="Y560" s="28"/>
      <c r="Z560" s="28"/>
      <c r="AA560" s="28"/>
    </row>
    <row r="561">
      <c r="A561" s="270" t="s">
        <v>3486</v>
      </c>
      <c r="B561" s="28" t="s">
        <v>36</v>
      </c>
      <c r="C561" s="28" t="s">
        <v>3474</v>
      </c>
      <c r="D561" s="28" t="s">
        <v>44</v>
      </c>
      <c r="E561" s="28" t="s">
        <v>44</v>
      </c>
      <c r="F561" s="28" t="s">
        <v>3459</v>
      </c>
      <c r="G561" s="28" t="s">
        <v>197</v>
      </c>
      <c r="H561" s="28" t="s">
        <v>91</v>
      </c>
      <c r="I561" s="28" t="s">
        <v>485</v>
      </c>
      <c r="J561" s="28" t="s">
        <v>3460</v>
      </c>
      <c r="K561" s="28" t="s">
        <v>1615</v>
      </c>
      <c r="L561" s="28" t="s">
        <v>52</v>
      </c>
      <c r="M561" s="28" t="s">
        <v>52</v>
      </c>
      <c r="N561" s="28" t="s">
        <v>3476</v>
      </c>
      <c r="O561" s="28" t="s">
        <v>44</v>
      </c>
      <c r="P561" s="28" t="s">
        <v>3477</v>
      </c>
      <c r="Q561" s="28" t="s">
        <v>3479</v>
      </c>
      <c r="R561" s="28" t="s">
        <v>44</v>
      </c>
      <c r="S561" s="28" t="s">
        <v>44</v>
      </c>
      <c r="T561" s="28" t="s">
        <v>44</v>
      </c>
      <c r="U561" s="28" t="s">
        <v>44</v>
      </c>
      <c r="V561" s="28" t="s">
        <v>3489</v>
      </c>
      <c r="W561" s="28" t="s">
        <v>774</v>
      </c>
      <c r="X561" s="28"/>
      <c r="Y561" s="28"/>
      <c r="Z561" s="28"/>
      <c r="AA561" s="28"/>
    </row>
    <row r="562">
      <c r="A562" s="270" t="s">
        <v>3492</v>
      </c>
      <c r="B562" s="28" t="s">
        <v>36</v>
      </c>
      <c r="C562" s="28" t="s">
        <v>3481</v>
      </c>
      <c r="D562" s="28" t="s">
        <v>44</v>
      </c>
      <c r="E562" s="28" t="s">
        <v>44</v>
      </c>
      <c r="F562" s="28" t="s">
        <v>3459</v>
      </c>
      <c r="G562" s="28" t="s">
        <v>47</v>
      </c>
      <c r="H562" s="28" t="s">
        <v>48</v>
      </c>
      <c r="I562" s="28" t="s">
        <v>485</v>
      </c>
      <c r="J562" s="28" t="s">
        <v>3460</v>
      </c>
      <c r="K562" s="28" t="s">
        <v>1615</v>
      </c>
      <c r="L562" s="28" t="s">
        <v>52</v>
      </c>
      <c r="M562" s="28" t="s">
        <v>52</v>
      </c>
      <c r="N562" s="28" t="s">
        <v>3482</v>
      </c>
      <c r="O562" s="28" t="s">
        <v>44</v>
      </c>
      <c r="P562" s="28" t="s">
        <v>3484</v>
      </c>
      <c r="Q562" s="28" t="s">
        <v>3485</v>
      </c>
      <c r="R562" s="28" t="s">
        <v>44</v>
      </c>
      <c r="S562" s="28" t="s">
        <v>44</v>
      </c>
      <c r="T562" s="28" t="s">
        <v>44</v>
      </c>
      <c r="U562" s="28" t="s">
        <v>44</v>
      </c>
      <c r="V562" s="28" t="s">
        <v>3495</v>
      </c>
      <c r="W562" s="28" t="s">
        <v>774</v>
      </c>
      <c r="X562" s="28"/>
      <c r="Y562" s="28"/>
      <c r="Z562" s="28"/>
      <c r="AA562" s="28"/>
    </row>
    <row r="563">
      <c r="A563" s="270" t="s">
        <v>3497</v>
      </c>
      <c r="B563" s="28" t="s">
        <v>36</v>
      </c>
      <c r="C563" s="28" t="s">
        <v>3487</v>
      </c>
      <c r="D563" s="28" t="s">
        <v>44</v>
      </c>
      <c r="E563" s="28" t="s">
        <v>44</v>
      </c>
      <c r="F563" s="28" t="s">
        <v>3459</v>
      </c>
      <c r="G563" s="28" t="s">
        <v>47</v>
      </c>
      <c r="H563" s="28" t="s">
        <v>48</v>
      </c>
      <c r="I563" s="28" t="s">
        <v>485</v>
      </c>
      <c r="J563" s="28" t="s">
        <v>3460</v>
      </c>
      <c r="K563" s="28" t="s">
        <v>1615</v>
      </c>
      <c r="L563" s="28" t="s">
        <v>52</v>
      </c>
      <c r="M563" s="28" t="s">
        <v>52</v>
      </c>
      <c r="N563" s="28" t="s">
        <v>3488</v>
      </c>
      <c r="O563" s="28" t="s">
        <v>44</v>
      </c>
      <c r="P563" s="28" t="s">
        <v>3490</v>
      </c>
      <c r="Q563" s="28" t="s">
        <v>3491</v>
      </c>
      <c r="R563" s="28" t="s">
        <v>44</v>
      </c>
      <c r="S563" s="28" t="s">
        <v>44</v>
      </c>
      <c r="T563" s="28" t="s">
        <v>44</v>
      </c>
      <c r="U563" s="28" t="s">
        <v>44</v>
      </c>
      <c r="V563" s="28" t="s">
        <v>3499</v>
      </c>
      <c r="W563" s="28" t="s">
        <v>3500</v>
      </c>
      <c r="X563" s="28"/>
      <c r="Y563" s="28"/>
      <c r="Z563" s="28"/>
      <c r="AA563" s="28"/>
    </row>
    <row r="564">
      <c r="A564" s="270" t="s">
        <v>3503</v>
      </c>
      <c r="B564" s="28" t="s">
        <v>36</v>
      </c>
      <c r="C564" s="28" t="s">
        <v>3493</v>
      </c>
      <c r="D564" s="28" t="s">
        <v>44</v>
      </c>
      <c r="E564" s="28" t="s">
        <v>44</v>
      </c>
      <c r="F564" s="28" t="s">
        <v>3459</v>
      </c>
      <c r="G564" s="28" t="s">
        <v>47</v>
      </c>
      <c r="H564" s="28" t="s">
        <v>48</v>
      </c>
      <c r="I564" s="28" t="s">
        <v>485</v>
      </c>
      <c r="J564" s="28" t="s">
        <v>3460</v>
      </c>
      <c r="K564" s="28" t="s">
        <v>1615</v>
      </c>
      <c r="L564" s="28" t="s">
        <v>52</v>
      </c>
      <c r="M564" s="28" t="s">
        <v>52</v>
      </c>
      <c r="N564" s="28" t="s">
        <v>3494</v>
      </c>
      <c r="O564" s="28" t="s">
        <v>44</v>
      </c>
      <c r="P564" s="28" t="s">
        <v>3496</v>
      </c>
      <c r="Q564" s="28" t="s">
        <v>3491</v>
      </c>
      <c r="R564" s="28" t="s">
        <v>44</v>
      </c>
      <c r="S564" s="28" t="s">
        <v>44</v>
      </c>
      <c r="T564" s="28" t="s">
        <v>44</v>
      </c>
      <c r="U564" s="28" t="s">
        <v>44</v>
      </c>
      <c r="V564" s="28" t="s">
        <v>3506</v>
      </c>
      <c r="W564" s="28" t="s">
        <v>3507</v>
      </c>
      <c r="X564" s="28"/>
      <c r="Y564" s="28"/>
      <c r="Z564" s="28"/>
      <c r="AA564" s="28"/>
    </row>
    <row r="565">
      <c r="A565" s="270" t="s">
        <v>3509</v>
      </c>
      <c r="B565" s="28" t="s">
        <v>36</v>
      </c>
      <c r="C565" s="28" t="s">
        <v>3498</v>
      </c>
      <c r="D565" s="28" t="s">
        <v>44</v>
      </c>
      <c r="E565" s="28" t="s">
        <v>44</v>
      </c>
      <c r="F565" s="28" t="s">
        <v>3459</v>
      </c>
      <c r="G565" s="28" t="s">
        <v>47</v>
      </c>
      <c r="H565" s="28" t="s">
        <v>48</v>
      </c>
      <c r="I565" s="28" t="s">
        <v>485</v>
      </c>
      <c r="J565" s="28" t="s">
        <v>2501</v>
      </c>
      <c r="K565" s="28" t="s">
        <v>51</v>
      </c>
      <c r="L565" s="28" t="s">
        <v>52</v>
      </c>
      <c r="M565" s="28" t="s">
        <v>52</v>
      </c>
      <c r="N565" s="28" t="s">
        <v>3501</v>
      </c>
      <c r="O565" s="28" t="s">
        <v>44</v>
      </c>
      <c r="P565" s="28" t="s">
        <v>3502</v>
      </c>
      <c r="Q565" s="28" t="s">
        <v>3504</v>
      </c>
      <c r="R565" s="28" t="s">
        <v>44</v>
      </c>
      <c r="S565" s="28" t="s">
        <v>44</v>
      </c>
      <c r="T565" s="28" t="s">
        <v>44</v>
      </c>
      <c r="U565" s="28" t="s">
        <v>44</v>
      </c>
      <c r="V565" s="28" t="s">
        <v>3513</v>
      </c>
      <c r="W565" s="28" t="s">
        <v>774</v>
      </c>
      <c r="X565" s="28"/>
      <c r="Y565" s="28"/>
      <c r="Z565" s="28"/>
      <c r="AA565" s="28"/>
    </row>
    <row r="566">
      <c r="A566" s="270" t="s">
        <v>3515</v>
      </c>
      <c r="B566" s="28" t="s">
        <v>36</v>
      </c>
      <c r="C566" s="28" t="s">
        <v>3505</v>
      </c>
      <c r="D566" s="28" t="s">
        <v>44</v>
      </c>
      <c r="E566" s="28" t="s">
        <v>44</v>
      </c>
      <c r="F566" s="28" t="s">
        <v>3459</v>
      </c>
      <c r="G566" s="28" t="s">
        <v>47</v>
      </c>
      <c r="H566" s="28" t="s">
        <v>95</v>
      </c>
      <c r="I566" s="28" t="s">
        <v>485</v>
      </c>
      <c r="J566" s="28" t="s">
        <v>2501</v>
      </c>
      <c r="K566" s="28" t="s">
        <v>51</v>
      </c>
      <c r="L566" s="28" t="s">
        <v>52</v>
      </c>
      <c r="M566" s="28" t="s">
        <v>52</v>
      </c>
      <c r="N566" s="28" t="s">
        <v>3508</v>
      </c>
      <c r="O566" s="28" t="s">
        <v>44</v>
      </c>
      <c r="P566" s="28" t="s">
        <v>3510</v>
      </c>
      <c r="Q566" s="28" t="s">
        <v>3511</v>
      </c>
      <c r="R566" s="28" t="s">
        <v>44</v>
      </c>
      <c r="S566" s="28" t="s">
        <v>44</v>
      </c>
      <c r="T566" s="28" t="s">
        <v>44</v>
      </c>
      <c r="U566" s="28" t="s">
        <v>44</v>
      </c>
      <c r="V566" s="28" t="s">
        <v>3519</v>
      </c>
      <c r="W566" s="28" t="s">
        <v>3520</v>
      </c>
      <c r="X566" s="28"/>
      <c r="Y566" s="28"/>
      <c r="Z566" s="28"/>
      <c r="AA566" s="28"/>
    </row>
    <row r="567">
      <c r="A567" s="270" t="s">
        <v>3521</v>
      </c>
      <c r="B567" s="28" t="s">
        <v>36</v>
      </c>
      <c r="C567" s="28" t="s">
        <v>3512</v>
      </c>
      <c r="D567" s="28" t="s">
        <v>44</v>
      </c>
      <c r="E567" s="28" t="s">
        <v>44</v>
      </c>
      <c r="F567" s="28" t="s">
        <v>3459</v>
      </c>
      <c r="G567" s="28" t="s">
        <v>47</v>
      </c>
      <c r="H567" s="28" t="s">
        <v>48</v>
      </c>
      <c r="I567" s="28" t="s">
        <v>485</v>
      </c>
      <c r="J567" s="28" t="s">
        <v>2501</v>
      </c>
      <c r="K567" s="28" t="s">
        <v>51</v>
      </c>
      <c r="L567" s="28" t="s">
        <v>52</v>
      </c>
      <c r="M567" s="28" t="s">
        <v>52</v>
      </c>
      <c r="N567" s="28" t="s">
        <v>3514</v>
      </c>
      <c r="O567" s="28" t="s">
        <v>44</v>
      </c>
      <c r="P567" s="28" t="s">
        <v>3516</v>
      </c>
      <c r="Q567" s="28" t="s">
        <v>3517</v>
      </c>
      <c r="R567" s="28" t="s">
        <v>44</v>
      </c>
      <c r="S567" s="28" t="s">
        <v>44</v>
      </c>
      <c r="T567" s="28" t="s">
        <v>44</v>
      </c>
      <c r="U567" s="28" t="s">
        <v>44</v>
      </c>
      <c r="V567" s="28" t="s">
        <v>3526</v>
      </c>
      <c r="W567" s="28" t="s">
        <v>774</v>
      </c>
      <c r="X567" s="28"/>
      <c r="Y567" s="28"/>
      <c r="Z567" s="28"/>
      <c r="AA567" s="28"/>
    </row>
    <row r="568">
      <c r="A568" s="270" t="s">
        <v>3527</v>
      </c>
      <c r="B568" s="28" t="s">
        <v>36</v>
      </c>
      <c r="C568" s="28" t="s">
        <v>3518</v>
      </c>
      <c r="D568" s="28" t="s">
        <v>44</v>
      </c>
      <c r="E568" s="28" t="s">
        <v>44</v>
      </c>
      <c r="F568" s="28" t="s">
        <v>3459</v>
      </c>
      <c r="G568" s="28" t="s">
        <v>47</v>
      </c>
      <c r="H568" s="28" t="s">
        <v>48</v>
      </c>
      <c r="I568" s="28" t="s">
        <v>485</v>
      </c>
      <c r="J568" s="28" t="s">
        <v>2501</v>
      </c>
      <c r="K568" s="28" t="s">
        <v>51</v>
      </c>
      <c r="L568" s="28" t="s">
        <v>52</v>
      </c>
      <c r="M568" s="28" t="s">
        <v>52</v>
      </c>
      <c r="N568" s="28" t="s">
        <v>3522</v>
      </c>
      <c r="O568" s="28" t="s">
        <v>44</v>
      </c>
      <c r="P568" s="28" t="s">
        <v>3523</v>
      </c>
      <c r="Q568" s="28" t="s">
        <v>3524</v>
      </c>
      <c r="R568" s="28" t="s">
        <v>44</v>
      </c>
      <c r="S568" s="28" t="s">
        <v>44</v>
      </c>
      <c r="T568" s="28" t="s">
        <v>44</v>
      </c>
      <c r="U568" s="28" t="s">
        <v>44</v>
      </c>
      <c r="V568" s="28" t="s">
        <v>3532</v>
      </c>
      <c r="W568" s="28" t="s">
        <v>3533</v>
      </c>
      <c r="X568" s="28"/>
      <c r="Y568" s="28"/>
      <c r="Z568" s="28"/>
      <c r="AA568" s="28"/>
    </row>
    <row r="569">
      <c r="A569" s="270" t="s">
        <v>3534</v>
      </c>
      <c r="B569" s="28" t="s">
        <v>36</v>
      </c>
      <c r="C569" s="28" t="s">
        <v>3525</v>
      </c>
      <c r="D569" s="28" t="s">
        <v>44</v>
      </c>
      <c r="E569" s="28" t="s">
        <v>44</v>
      </c>
      <c r="F569" s="28" t="s">
        <v>3459</v>
      </c>
      <c r="G569" s="28" t="s">
        <v>47</v>
      </c>
      <c r="H569" s="28" t="s">
        <v>95</v>
      </c>
      <c r="I569" s="28" t="s">
        <v>485</v>
      </c>
      <c r="J569" s="28" t="s">
        <v>2501</v>
      </c>
      <c r="K569" s="28" t="s">
        <v>51</v>
      </c>
      <c r="L569" s="28" t="s">
        <v>52</v>
      </c>
      <c r="M569" s="28" t="s">
        <v>52</v>
      </c>
      <c r="N569" s="28" t="s">
        <v>3528</v>
      </c>
      <c r="O569" s="28" t="s">
        <v>44</v>
      </c>
      <c r="P569" s="28" t="s">
        <v>3529</v>
      </c>
      <c r="Q569" s="28" t="s">
        <v>3530</v>
      </c>
      <c r="R569" s="28" t="s">
        <v>44</v>
      </c>
      <c r="S569" s="28" t="s">
        <v>44</v>
      </c>
      <c r="T569" s="28" t="s">
        <v>44</v>
      </c>
      <c r="U569" s="28" t="s">
        <v>44</v>
      </c>
      <c r="V569" s="28" t="s">
        <v>3538</v>
      </c>
      <c r="W569" s="28" t="s">
        <v>3540</v>
      </c>
      <c r="X569" s="28"/>
      <c r="Y569" s="28"/>
      <c r="Z569" s="28"/>
      <c r="AA569" s="28"/>
    </row>
    <row r="570">
      <c r="A570" s="270" t="s">
        <v>3541</v>
      </c>
      <c r="B570" s="28" t="s">
        <v>36</v>
      </c>
      <c r="C570" s="28" t="s">
        <v>3531</v>
      </c>
      <c r="D570" s="28" t="s">
        <v>44</v>
      </c>
      <c r="E570" s="28" t="s">
        <v>44</v>
      </c>
      <c r="F570" s="28" t="s">
        <v>3459</v>
      </c>
      <c r="G570" s="28" t="s">
        <v>47</v>
      </c>
      <c r="H570" s="28" t="s">
        <v>48</v>
      </c>
      <c r="I570" s="28" t="s">
        <v>485</v>
      </c>
      <c r="J570" s="28" t="s">
        <v>3460</v>
      </c>
      <c r="K570" s="28" t="s">
        <v>1615</v>
      </c>
      <c r="L570" s="28" t="s">
        <v>52</v>
      </c>
      <c r="M570" s="28" t="s">
        <v>52</v>
      </c>
      <c r="N570" s="28" t="s">
        <v>3535</v>
      </c>
      <c r="O570" s="28" t="s">
        <v>44</v>
      </c>
      <c r="P570" s="28" t="s">
        <v>3536</v>
      </c>
      <c r="Q570" s="28" t="s">
        <v>3537</v>
      </c>
      <c r="R570" s="28" t="s">
        <v>44</v>
      </c>
      <c r="S570" s="28" t="s">
        <v>44</v>
      </c>
      <c r="T570" s="28" t="s">
        <v>44</v>
      </c>
      <c r="U570" s="28" t="s">
        <v>44</v>
      </c>
      <c r="V570" s="28" t="s">
        <v>3545</v>
      </c>
      <c r="W570" s="28" t="s">
        <v>774</v>
      </c>
      <c r="X570" s="28"/>
      <c r="Y570" s="28"/>
      <c r="Z570" s="28"/>
      <c r="AA570" s="28"/>
    </row>
    <row r="571">
      <c r="A571" s="270" t="s">
        <v>3547</v>
      </c>
      <c r="B571" s="28" t="s">
        <v>36</v>
      </c>
      <c r="C571" s="28" t="s">
        <v>3539</v>
      </c>
      <c r="D571" s="28" t="s">
        <v>44</v>
      </c>
      <c r="E571" s="28" t="s">
        <v>44</v>
      </c>
      <c r="F571" s="28" t="s">
        <v>3459</v>
      </c>
      <c r="G571" s="28" t="s">
        <v>47</v>
      </c>
      <c r="H571" s="28" t="s">
        <v>95</v>
      </c>
      <c r="I571" s="28" t="s">
        <v>485</v>
      </c>
      <c r="J571" s="28" t="s">
        <v>3460</v>
      </c>
      <c r="K571" s="28" t="s">
        <v>1615</v>
      </c>
      <c r="L571" s="28" t="s">
        <v>52</v>
      </c>
      <c r="M571" s="28" t="s">
        <v>52</v>
      </c>
      <c r="N571" s="28" t="s">
        <v>3542</v>
      </c>
      <c r="O571" s="28" t="s">
        <v>44</v>
      </c>
      <c r="P571" s="28" t="s">
        <v>3543</v>
      </c>
      <c r="Q571" s="28" t="s">
        <v>3544</v>
      </c>
      <c r="R571" s="28" t="s">
        <v>44</v>
      </c>
      <c r="S571" s="28" t="s">
        <v>44</v>
      </c>
      <c r="T571" s="28" t="s">
        <v>44</v>
      </c>
      <c r="U571" s="28" t="s">
        <v>44</v>
      </c>
      <c r="V571" s="28" t="s">
        <v>3551</v>
      </c>
      <c r="W571" s="28" t="s">
        <v>774</v>
      </c>
      <c r="X571" s="28"/>
      <c r="Y571" s="28"/>
      <c r="Z571" s="28"/>
      <c r="AA571" s="28"/>
    </row>
    <row r="572">
      <c r="A572" s="270" t="s">
        <v>3553</v>
      </c>
      <c r="B572" s="28" t="s">
        <v>36</v>
      </c>
      <c r="C572" s="28" t="s">
        <v>3546</v>
      </c>
      <c r="D572" s="28" t="s">
        <v>44</v>
      </c>
      <c r="E572" s="28" t="s">
        <v>44</v>
      </c>
      <c r="F572" s="28" t="s">
        <v>3459</v>
      </c>
      <c r="G572" s="28" t="s">
        <v>47</v>
      </c>
      <c r="H572" s="28" t="s">
        <v>48</v>
      </c>
      <c r="I572" s="28" t="s">
        <v>485</v>
      </c>
      <c r="J572" s="28" t="s">
        <v>3460</v>
      </c>
      <c r="K572" s="28" t="s">
        <v>1615</v>
      </c>
      <c r="L572" s="28" t="s">
        <v>52</v>
      </c>
      <c r="M572" s="28" t="s">
        <v>52</v>
      </c>
      <c r="N572" s="28" t="s">
        <v>3548</v>
      </c>
      <c r="O572" s="28" t="s">
        <v>44</v>
      </c>
      <c r="P572" s="28" t="s">
        <v>3549</v>
      </c>
      <c r="Q572" s="28" t="s">
        <v>3550</v>
      </c>
      <c r="R572" s="28" t="s">
        <v>44</v>
      </c>
      <c r="S572" s="28" t="s">
        <v>44</v>
      </c>
      <c r="T572" s="28" t="s">
        <v>44</v>
      </c>
      <c r="U572" s="28" t="s">
        <v>44</v>
      </c>
      <c r="V572" s="28" t="s">
        <v>3557</v>
      </c>
      <c r="W572" s="28" t="s">
        <v>774</v>
      </c>
      <c r="X572" s="28"/>
      <c r="Y572" s="28"/>
      <c r="Z572" s="28"/>
      <c r="AA572" s="28"/>
    </row>
    <row r="573">
      <c r="A573" s="270" t="s">
        <v>3559</v>
      </c>
      <c r="B573" s="28" t="s">
        <v>36</v>
      </c>
      <c r="C573" s="28" t="s">
        <v>3552</v>
      </c>
      <c r="D573" s="28" t="s">
        <v>44</v>
      </c>
      <c r="E573" s="28" t="s">
        <v>44</v>
      </c>
      <c r="F573" s="28" t="s">
        <v>3459</v>
      </c>
      <c r="G573" s="28" t="s">
        <v>47</v>
      </c>
      <c r="H573" s="28" t="s">
        <v>48</v>
      </c>
      <c r="I573" s="28" t="s">
        <v>485</v>
      </c>
      <c r="J573" s="28" t="s">
        <v>3460</v>
      </c>
      <c r="K573" s="28" t="s">
        <v>1615</v>
      </c>
      <c r="L573" s="28" t="s">
        <v>52</v>
      </c>
      <c r="M573" s="28" t="s">
        <v>52</v>
      </c>
      <c r="N573" s="28" t="s">
        <v>3554</v>
      </c>
      <c r="O573" s="28" t="s">
        <v>44</v>
      </c>
      <c r="P573" s="28" t="s">
        <v>3555</v>
      </c>
      <c r="Q573" s="28" t="s">
        <v>3556</v>
      </c>
      <c r="R573" s="28" t="s">
        <v>44</v>
      </c>
      <c r="S573" s="28" t="s">
        <v>44</v>
      </c>
      <c r="T573" s="28" t="s">
        <v>44</v>
      </c>
      <c r="U573" s="28" t="s">
        <v>44</v>
      </c>
      <c r="V573" s="28" t="s">
        <v>3563</v>
      </c>
      <c r="W573" s="28" t="s">
        <v>774</v>
      </c>
      <c r="X573" s="28"/>
      <c r="Y573" s="28"/>
      <c r="Z573" s="28"/>
      <c r="AA573" s="28"/>
    </row>
    <row r="574">
      <c r="A574" s="270" t="s">
        <v>3564</v>
      </c>
      <c r="B574" s="28" t="s">
        <v>36</v>
      </c>
      <c r="C574" s="28" t="s">
        <v>3558</v>
      </c>
      <c r="D574" s="28" t="s">
        <v>44</v>
      </c>
      <c r="E574" s="28" t="s">
        <v>44</v>
      </c>
      <c r="F574" s="28" t="s">
        <v>3459</v>
      </c>
      <c r="G574" s="28" t="s">
        <v>47</v>
      </c>
      <c r="H574" s="28" t="s">
        <v>95</v>
      </c>
      <c r="I574" s="28" t="s">
        <v>485</v>
      </c>
      <c r="J574" s="28" t="s">
        <v>3460</v>
      </c>
      <c r="K574" s="28" t="s">
        <v>1615</v>
      </c>
      <c r="L574" s="28" t="s">
        <v>52</v>
      </c>
      <c r="M574" s="28" t="s">
        <v>52</v>
      </c>
      <c r="N574" s="28" t="s">
        <v>3560</v>
      </c>
      <c r="O574" s="28" t="s">
        <v>44</v>
      </c>
      <c r="P574" s="28" t="s">
        <v>3561</v>
      </c>
      <c r="Q574" s="28" t="s">
        <v>3562</v>
      </c>
      <c r="R574" s="28" t="s">
        <v>44</v>
      </c>
      <c r="S574" s="28" t="s">
        <v>44</v>
      </c>
      <c r="T574" s="28" t="s">
        <v>44</v>
      </c>
      <c r="U574" s="28" t="s">
        <v>44</v>
      </c>
      <c r="V574" s="28" t="s">
        <v>3569</v>
      </c>
      <c r="W574" s="28" t="s">
        <v>3570</v>
      </c>
      <c r="X574" s="28"/>
      <c r="Y574" s="28"/>
      <c r="Z574" s="28"/>
      <c r="AA574" s="28"/>
    </row>
    <row r="575">
      <c r="A575" s="270" t="s">
        <v>3571</v>
      </c>
      <c r="B575" s="28" t="s">
        <v>36</v>
      </c>
      <c r="C575" s="28" t="s">
        <v>3565</v>
      </c>
      <c r="D575" s="28" t="s">
        <v>44</v>
      </c>
      <c r="E575" s="28" t="s">
        <v>44</v>
      </c>
      <c r="F575" s="28" t="s">
        <v>3459</v>
      </c>
      <c r="G575" s="28" t="s">
        <v>47</v>
      </c>
      <c r="H575" s="28" t="s">
        <v>95</v>
      </c>
      <c r="I575" s="28" t="s">
        <v>485</v>
      </c>
      <c r="J575" s="28" t="s">
        <v>3460</v>
      </c>
      <c r="K575" s="28" t="s">
        <v>1615</v>
      </c>
      <c r="L575" s="28" t="s">
        <v>52</v>
      </c>
      <c r="M575" s="28" t="s">
        <v>52</v>
      </c>
      <c r="N575" s="28" t="s">
        <v>3566</v>
      </c>
      <c r="O575" s="28" t="s">
        <v>44</v>
      </c>
      <c r="P575" s="28" t="s">
        <v>3567</v>
      </c>
      <c r="Q575" s="28" t="s">
        <v>3568</v>
      </c>
      <c r="R575" s="28" t="s">
        <v>44</v>
      </c>
      <c r="S575" s="28" t="s">
        <v>44</v>
      </c>
      <c r="T575" s="28" t="s">
        <v>44</v>
      </c>
      <c r="U575" s="28" t="s">
        <v>44</v>
      </c>
      <c r="V575" s="28" t="s">
        <v>3575</v>
      </c>
      <c r="W575" s="28" t="s">
        <v>774</v>
      </c>
      <c r="X575" s="28"/>
      <c r="Y575" s="28"/>
      <c r="Z575" s="28"/>
      <c r="AA575" s="28"/>
    </row>
    <row r="576">
      <c r="A576" s="270" t="s">
        <v>3576</v>
      </c>
      <c r="B576" s="28" t="s">
        <v>36</v>
      </c>
      <c r="C576" s="28" t="s">
        <v>3572</v>
      </c>
      <c r="D576" s="28" t="s">
        <v>44</v>
      </c>
      <c r="E576" s="28" t="s">
        <v>44</v>
      </c>
      <c r="F576" s="28" t="s">
        <v>3459</v>
      </c>
      <c r="G576" s="28" t="s">
        <v>47</v>
      </c>
      <c r="H576" s="28" t="s">
        <v>48</v>
      </c>
      <c r="I576" s="28" t="s">
        <v>485</v>
      </c>
      <c r="J576" s="28" t="s">
        <v>3460</v>
      </c>
      <c r="K576" s="28" t="s">
        <v>1615</v>
      </c>
      <c r="L576" s="28" t="s">
        <v>52</v>
      </c>
      <c r="M576" s="28" t="s">
        <v>52</v>
      </c>
      <c r="N576" s="28" t="s">
        <v>3573</v>
      </c>
      <c r="O576" s="28" t="s">
        <v>44</v>
      </c>
      <c r="P576" s="28" t="s">
        <v>3574</v>
      </c>
      <c r="Q576" s="28" t="s">
        <v>3556</v>
      </c>
      <c r="R576" s="28" t="s">
        <v>44</v>
      </c>
      <c r="S576" s="28" t="s">
        <v>44</v>
      </c>
      <c r="T576" s="28" t="s">
        <v>44</v>
      </c>
      <c r="U576" s="28" t="s">
        <v>44</v>
      </c>
      <c r="V576" s="28" t="s">
        <v>3581</v>
      </c>
      <c r="W576" s="28" t="s">
        <v>774</v>
      </c>
      <c r="X576" s="28"/>
      <c r="Y576" s="28"/>
      <c r="Z576" s="28"/>
      <c r="AA576" s="28"/>
    </row>
    <row r="577">
      <c r="A577" s="270" t="s">
        <v>3582</v>
      </c>
      <c r="B577" s="28" t="s">
        <v>36</v>
      </c>
      <c r="C577" s="28" t="s">
        <v>3577</v>
      </c>
      <c r="D577" s="28" t="s">
        <v>44</v>
      </c>
      <c r="E577" s="28" t="s">
        <v>44</v>
      </c>
      <c r="F577" s="28" t="s">
        <v>3459</v>
      </c>
      <c r="G577" s="28" t="s">
        <v>47</v>
      </c>
      <c r="H577" s="28" t="s">
        <v>48</v>
      </c>
      <c r="I577" s="28" t="s">
        <v>485</v>
      </c>
      <c r="J577" s="28" t="s">
        <v>3460</v>
      </c>
      <c r="K577" s="28" t="s">
        <v>1615</v>
      </c>
      <c r="L577" s="28" t="s">
        <v>52</v>
      </c>
      <c r="M577" s="28" t="s">
        <v>52</v>
      </c>
      <c r="N577" s="28" t="s">
        <v>3578</v>
      </c>
      <c r="O577" s="28" t="s">
        <v>44</v>
      </c>
      <c r="P577" s="28" t="s">
        <v>3579</v>
      </c>
      <c r="Q577" s="28" t="s">
        <v>3580</v>
      </c>
      <c r="R577" s="28" t="s">
        <v>44</v>
      </c>
      <c r="S577" s="28" t="s">
        <v>44</v>
      </c>
      <c r="T577" s="28" t="s">
        <v>44</v>
      </c>
      <c r="U577" s="28" t="s">
        <v>44</v>
      </c>
      <c r="V577" s="28" t="s">
        <v>3587</v>
      </c>
      <c r="W577" s="28" t="s">
        <v>774</v>
      </c>
      <c r="X577" s="28"/>
      <c r="Y577" s="28"/>
      <c r="Z577" s="28"/>
      <c r="AA577" s="28"/>
    </row>
    <row r="578">
      <c r="A578" s="270" t="s">
        <v>3588</v>
      </c>
      <c r="B578" s="28" t="s">
        <v>36</v>
      </c>
      <c r="C578" s="28" t="s">
        <v>3583</v>
      </c>
      <c r="D578" s="28" t="s">
        <v>44</v>
      </c>
      <c r="E578" s="28" t="s">
        <v>44</v>
      </c>
      <c r="F578" s="28" t="s">
        <v>3459</v>
      </c>
      <c r="G578" s="28" t="s">
        <v>47</v>
      </c>
      <c r="H578" s="28" t="s">
        <v>95</v>
      </c>
      <c r="I578" s="28" t="s">
        <v>485</v>
      </c>
      <c r="J578" s="28" t="s">
        <v>3460</v>
      </c>
      <c r="K578" s="28" t="s">
        <v>1615</v>
      </c>
      <c r="L578" s="28" t="s">
        <v>52</v>
      </c>
      <c r="M578" s="28" t="s">
        <v>52</v>
      </c>
      <c r="N578" s="28" t="s">
        <v>3584</v>
      </c>
      <c r="O578" s="28" t="s">
        <v>44</v>
      </c>
      <c r="P578" s="28" t="s">
        <v>3585</v>
      </c>
      <c r="Q578" s="28" t="s">
        <v>3586</v>
      </c>
      <c r="R578" s="28" t="s">
        <v>44</v>
      </c>
      <c r="S578" s="28" t="s">
        <v>44</v>
      </c>
      <c r="T578" s="28" t="s">
        <v>44</v>
      </c>
      <c r="U578" s="28" t="s">
        <v>44</v>
      </c>
      <c r="V578" s="28" t="s">
        <v>3593</v>
      </c>
      <c r="W578" s="28" t="s">
        <v>774</v>
      </c>
      <c r="X578" s="28"/>
      <c r="Y578" s="28"/>
      <c r="Z578" s="28"/>
      <c r="AA578" s="28"/>
    </row>
    <row r="579">
      <c r="A579" s="270" t="s">
        <v>3594</v>
      </c>
      <c r="B579" s="28" t="s">
        <v>36</v>
      </c>
      <c r="C579" s="28" t="s">
        <v>3589</v>
      </c>
      <c r="D579" s="28" t="s">
        <v>44</v>
      </c>
      <c r="E579" s="28" t="s">
        <v>44</v>
      </c>
      <c r="F579" s="28" t="s">
        <v>3459</v>
      </c>
      <c r="G579" s="28" t="s">
        <v>197</v>
      </c>
      <c r="H579" s="28" t="s">
        <v>112</v>
      </c>
      <c r="I579" s="28" t="s">
        <v>485</v>
      </c>
      <c r="J579" s="28" t="s">
        <v>3460</v>
      </c>
      <c r="K579" s="28" t="s">
        <v>1615</v>
      </c>
      <c r="L579" s="28" t="s">
        <v>52</v>
      </c>
      <c r="M579" s="28" t="s">
        <v>52</v>
      </c>
      <c r="N579" s="28" t="s">
        <v>3590</v>
      </c>
      <c r="O579" s="28" t="s">
        <v>44</v>
      </c>
      <c r="P579" s="28" t="s">
        <v>3591</v>
      </c>
      <c r="Q579" s="28" t="s">
        <v>3592</v>
      </c>
      <c r="R579" s="28" t="s">
        <v>44</v>
      </c>
      <c r="S579" s="28" t="s">
        <v>44</v>
      </c>
      <c r="T579" s="28" t="s">
        <v>44</v>
      </c>
      <c r="U579" s="28" t="s">
        <v>44</v>
      </c>
      <c r="V579" s="28" t="s">
        <v>3599</v>
      </c>
      <c r="W579" s="28" t="s">
        <v>774</v>
      </c>
      <c r="X579" s="28"/>
      <c r="Y579" s="28"/>
      <c r="Z579" s="28"/>
      <c r="AA579" s="28"/>
    </row>
    <row r="580">
      <c r="A580" s="270" t="s">
        <v>3600</v>
      </c>
      <c r="B580" s="28" t="s">
        <v>36</v>
      </c>
      <c r="C580" s="28" t="s">
        <v>3595</v>
      </c>
      <c r="D580" s="28" t="s">
        <v>44</v>
      </c>
      <c r="E580" s="28" t="s">
        <v>44</v>
      </c>
      <c r="F580" s="28" t="s">
        <v>3459</v>
      </c>
      <c r="G580" s="28" t="s">
        <v>47</v>
      </c>
      <c r="H580" s="28" t="s">
        <v>95</v>
      </c>
      <c r="I580" s="28" t="s">
        <v>485</v>
      </c>
      <c r="J580" s="28" t="s">
        <v>3460</v>
      </c>
      <c r="K580" s="28" t="s">
        <v>1615</v>
      </c>
      <c r="L580" s="28" t="s">
        <v>52</v>
      </c>
      <c r="M580" s="28" t="s">
        <v>52</v>
      </c>
      <c r="N580" s="28" t="s">
        <v>3596</v>
      </c>
      <c r="O580" s="28" t="s">
        <v>44</v>
      </c>
      <c r="P580" s="28" t="s">
        <v>3597</v>
      </c>
      <c r="Q580" s="28" t="s">
        <v>3598</v>
      </c>
      <c r="R580" s="28" t="s">
        <v>44</v>
      </c>
      <c r="S580" s="28" t="s">
        <v>44</v>
      </c>
      <c r="T580" s="28" t="s">
        <v>44</v>
      </c>
      <c r="U580" s="28" t="s">
        <v>44</v>
      </c>
      <c r="V580" s="28" t="s">
        <v>3604</v>
      </c>
      <c r="W580" s="28" t="s">
        <v>3606</v>
      </c>
      <c r="X580" s="28"/>
      <c r="Y580" s="28"/>
      <c r="Z580" s="28"/>
      <c r="AA580" s="28"/>
    </row>
    <row r="581">
      <c r="A581" s="270" t="s">
        <v>3607</v>
      </c>
      <c r="B581" s="28" t="s">
        <v>36</v>
      </c>
      <c r="C581" s="28" t="s">
        <v>3601</v>
      </c>
      <c r="D581" s="28" t="s">
        <v>44</v>
      </c>
      <c r="E581" s="28" t="s">
        <v>44</v>
      </c>
      <c r="F581" s="28" t="s">
        <v>3459</v>
      </c>
      <c r="G581" s="28" t="s">
        <v>47</v>
      </c>
      <c r="H581" s="28" t="s">
        <v>95</v>
      </c>
      <c r="I581" s="28" t="s">
        <v>485</v>
      </c>
      <c r="J581" s="28" t="s">
        <v>3460</v>
      </c>
      <c r="K581" s="28" t="s">
        <v>1615</v>
      </c>
      <c r="L581" s="28" t="s">
        <v>52</v>
      </c>
      <c r="M581" s="28" t="s">
        <v>52</v>
      </c>
      <c r="N581" s="28" t="s">
        <v>3602</v>
      </c>
      <c r="O581" s="28" t="s">
        <v>44</v>
      </c>
      <c r="P581" s="28" t="s">
        <v>3603</v>
      </c>
      <c r="Q581" s="28" t="s">
        <v>3605</v>
      </c>
      <c r="R581" s="28" t="s">
        <v>44</v>
      </c>
      <c r="S581" s="28" t="s">
        <v>44</v>
      </c>
      <c r="T581" s="28" t="s">
        <v>44</v>
      </c>
      <c r="U581" s="28" t="s">
        <v>44</v>
      </c>
      <c r="V581" s="28" t="s">
        <v>3611</v>
      </c>
      <c r="W581" s="28" t="s">
        <v>3613</v>
      </c>
      <c r="X581" s="28"/>
      <c r="Y581" s="28"/>
      <c r="Z581" s="28"/>
      <c r="AA581" s="28"/>
    </row>
    <row r="582">
      <c r="A582" s="270" t="s">
        <v>3614</v>
      </c>
      <c r="B582" s="28" t="s">
        <v>36</v>
      </c>
      <c r="C582" s="28" t="s">
        <v>3608</v>
      </c>
      <c r="D582" s="28" t="s">
        <v>44</v>
      </c>
      <c r="E582" s="28" t="s">
        <v>44</v>
      </c>
      <c r="F582" s="28" t="s">
        <v>3459</v>
      </c>
      <c r="G582" s="28" t="s">
        <v>47</v>
      </c>
      <c r="H582" s="28" t="s">
        <v>95</v>
      </c>
      <c r="I582" s="28" t="s">
        <v>485</v>
      </c>
      <c r="J582" s="28" t="s">
        <v>3460</v>
      </c>
      <c r="K582" s="28" t="s">
        <v>1615</v>
      </c>
      <c r="L582" s="28" t="s">
        <v>52</v>
      </c>
      <c r="M582" s="28" t="s">
        <v>52</v>
      </c>
      <c r="N582" s="28" t="s">
        <v>3609</v>
      </c>
      <c r="O582" s="28" t="s">
        <v>44</v>
      </c>
      <c r="P582" s="28" t="s">
        <v>3610</v>
      </c>
      <c r="Q582" s="28" t="s">
        <v>3612</v>
      </c>
      <c r="R582" s="28" t="s">
        <v>44</v>
      </c>
      <c r="S582" s="28" t="s">
        <v>44</v>
      </c>
      <c r="T582" s="28" t="s">
        <v>44</v>
      </c>
      <c r="U582" s="28" t="s">
        <v>44</v>
      </c>
      <c r="V582" s="28" t="s">
        <v>3618</v>
      </c>
      <c r="W582" s="28" t="s">
        <v>774</v>
      </c>
      <c r="X582" s="28"/>
      <c r="Y582" s="28"/>
      <c r="Z582" s="28"/>
      <c r="AA582" s="28"/>
    </row>
    <row r="583">
      <c r="A583" s="270" t="s">
        <v>3620</v>
      </c>
      <c r="B583" s="28" t="s">
        <v>36</v>
      </c>
      <c r="C583" s="28" t="s">
        <v>3615</v>
      </c>
      <c r="D583" s="28" t="s">
        <v>44</v>
      </c>
      <c r="E583" s="28" t="s">
        <v>44</v>
      </c>
      <c r="F583" s="28" t="s">
        <v>3459</v>
      </c>
      <c r="G583" s="28" t="s">
        <v>47</v>
      </c>
      <c r="H583" s="28" t="s">
        <v>95</v>
      </c>
      <c r="I583" s="28" t="s">
        <v>485</v>
      </c>
      <c r="J583" s="28" t="s">
        <v>3460</v>
      </c>
      <c r="K583" s="28" t="s">
        <v>1615</v>
      </c>
      <c r="L583" s="28" t="s">
        <v>52</v>
      </c>
      <c r="M583" s="28" t="s">
        <v>52</v>
      </c>
      <c r="N583" s="28" t="s">
        <v>3616</v>
      </c>
      <c r="O583" s="28" t="s">
        <v>44</v>
      </c>
      <c r="P583" s="28" t="s">
        <v>3617</v>
      </c>
      <c r="Q583" s="28" t="s">
        <v>3619</v>
      </c>
      <c r="R583" s="28" t="s">
        <v>44</v>
      </c>
      <c r="S583" s="28" t="s">
        <v>44</v>
      </c>
      <c r="T583" s="28" t="s">
        <v>44</v>
      </c>
      <c r="U583" s="28" t="s">
        <v>44</v>
      </c>
      <c r="V583" s="28" t="s">
        <v>3623</v>
      </c>
      <c r="W583" s="28" t="s">
        <v>774</v>
      </c>
      <c r="X583" s="28"/>
      <c r="Y583" s="28"/>
      <c r="Z583" s="28"/>
      <c r="AA583" s="28"/>
    </row>
    <row r="584">
      <c r="A584" s="270" t="s">
        <v>3625</v>
      </c>
      <c r="B584" s="28" t="s">
        <v>36</v>
      </c>
      <c r="C584" s="28" t="s">
        <v>3621</v>
      </c>
      <c r="D584" s="28" t="s">
        <v>44</v>
      </c>
      <c r="E584" s="28" t="s">
        <v>44</v>
      </c>
      <c r="F584" s="28" t="s">
        <v>3459</v>
      </c>
      <c r="G584" s="28" t="s">
        <v>47</v>
      </c>
      <c r="H584" s="28" t="s">
        <v>48</v>
      </c>
      <c r="I584" s="28" t="s">
        <v>485</v>
      </c>
      <c r="J584" s="28" t="s">
        <v>3460</v>
      </c>
      <c r="K584" s="28" t="s">
        <v>1615</v>
      </c>
      <c r="L584" s="28" t="s">
        <v>52</v>
      </c>
      <c r="M584" s="28" t="s">
        <v>52</v>
      </c>
      <c r="N584" s="28" t="s">
        <v>3622</v>
      </c>
      <c r="O584" s="28" t="s">
        <v>44</v>
      </c>
      <c r="P584" s="28" t="s">
        <v>3549</v>
      </c>
      <c r="Q584" s="28" t="s">
        <v>3624</v>
      </c>
      <c r="R584" s="28" t="s">
        <v>44</v>
      </c>
      <c r="S584" s="28" t="s">
        <v>44</v>
      </c>
      <c r="T584" s="28" t="s">
        <v>44</v>
      </c>
      <c r="U584" s="28" t="s">
        <v>44</v>
      </c>
      <c r="V584" s="28" t="s">
        <v>3627</v>
      </c>
      <c r="W584" s="28" t="s">
        <v>774</v>
      </c>
      <c r="X584" s="28"/>
      <c r="Y584" s="28"/>
      <c r="Z584" s="28"/>
      <c r="AA584" s="28"/>
    </row>
    <row r="585">
      <c r="A585" s="270" t="s">
        <v>3631</v>
      </c>
      <c r="B585" s="28" t="s">
        <v>36</v>
      </c>
      <c r="C585" s="28" t="s">
        <v>3626</v>
      </c>
      <c r="D585" s="28" t="s">
        <v>44</v>
      </c>
      <c r="E585" s="28" t="s">
        <v>44</v>
      </c>
      <c r="F585" s="28" t="s">
        <v>3459</v>
      </c>
      <c r="G585" s="28" t="s">
        <v>197</v>
      </c>
      <c r="H585" s="28" t="s">
        <v>112</v>
      </c>
      <c r="I585" s="28" t="s">
        <v>485</v>
      </c>
      <c r="J585" s="28" t="s">
        <v>3460</v>
      </c>
      <c r="K585" s="28" t="s">
        <v>1615</v>
      </c>
      <c r="L585" s="28" t="s">
        <v>52</v>
      </c>
      <c r="M585" s="28" t="s">
        <v>52</v>
      </c>
      <c r="N585" s="28" t="s">
        <v>3628</v>
      </c>
      <c r="O585" s="28" t="s">
        <v>44</v>
      </c>
      <c r="P585" s="28" t="s">
        <v>3629</v>
      </c>
      <c r="Q585" s="28" t="s">
        <v>3630</v>
      </c>
      <c r="R585" s="28" t="s">
        <v>44</v>
      </c>
      <c r="S585" s="28" t="s">
        <v>44</v>
      </c>
      <c r="T585" s="28" t="s">
        <v>44</v>
      </c>
      <c r="U585" s="28" t="s">
        <v>44</v>
      </c>
      <c r="V585" s="28" t="s">
        <v>3633</v>
      </c>
      <c r="W585" s="28" t="s">
        <v>3635</v>
      </c>
      <c r="X585" s="28"/>
      <c r="Y585" s="28"/>
      <c r="Z585" s="28"/>
      <c r="AA585" s="28"/>
    </row>
    <row r="586">
      <c r="A586" s="270" t="s">
        <v>3638</v>
      </c>
      <c r="B586" s="28" t="s">
        <v>36</v>
      </c>
      <c r="C586" s="28" t="s">
        <v>3632</v>
      </c>
      <c r="D586" s="28" t="s">
        <v>44</v>
      </c>
      <c r="E586" s="28" t="s">
        <v>44</v>
      </c>
      <c r="F586" s="28" t="s">
        <v>3459</v>
      </c>
      <c r="G586" s="28" t="s">
        <v>47</v>
      </c>
      <c r="H586" s="28" t="s">
        <v>48</v>
      </c>
      <c r="I586" s="28" t="s">
        <v>485</v>
      </c>
      <c r="J586" s="28" t="s">
        <v>3460</v>
      </c>
      <c r="K586" s="28" t="s">
        <v>1615</v>
      </c>
      <c r="L586" s="28" t="s">
        <v>52</v>
      </c>
      <c r="M586" s="28" t="s">
        <v>52</v>
      </c>
      <c r="N586" s="28" t="s">
        <v>3634</v>
      </c>
      <c r="O586" s="28" t="s">
        <v>44</v>
      </c>
      <c r="P586" s="28" t="s">
        <v>3636</v>
      </c>
      <c r="Q586" s="28" t="s">
        <v>3637</v>
      </c>
      <c r="R586" s="28" t="s">
        <v>44</v>
      </c>
      <c r="S586" s="28" t="s">
        <v>44</v>
      </c>
      <c r="T586" s="28" t="s">
        <v>44</v>
      </c>
      <c r="U586" s="28" t="s">
        <v>44</v>
      </c>
      <c r="V586" s="28" t="s">
        <v>3640</v>
      </c>
      <c r="W586" s="28" t="s">
        <v>3642</v>
      </c>
      <c r="X586" s="28"/>
      <c r="Y586" s="28"/>
      <c r="Z586" s="28"/>
      <c r="AA586" s="28"/>
    </row>
    <row r="587">
      <c r="A587" s="270" t="s">
        <v>3645</v>
      </c>
      <c r="B587" s="28" t="s">
        <v>36</v>
      </c>
      <c r="C587" s="28" t="s">
        <v>3639</v>
      </c>
      <c r="D587" s="28" t="s">
        <v>44</v>
      </c>
      <c r="E587" s="28" t="s">
        <v>44</v>
      </c>
      <c r="F587" s="28" t="s">
        <v>3459</v>
      </c>
      <c r="G587" s="28" t="s">
        <v>47</v>
      </c>
      <c r="H587" s="28" t="s">
        <v>95</v>
      </c>
      <c r="I587" s="28" t="s">
        <v>485</v>
      </c>
      <c r="J587" s="28" t="s">
        <v>2501</v>
      </c>
      <c r="K587" s="28" t="s">
        <v>51</v>
      </c>
      <c r="L587" s="28" t="s">
        <v>52</v>
      </c>
      <c r="M587" s="28" t="s">
        <v>52</v>
      </c>
      <c r="N587" s="28" t="s">
        <v>3641</v>
      </c>
      <c r="O587" s="28" t="s">
        <v>44</v>
      </c>
      <c r="P587" s="28" t="s">
        <v>3643</v>
      </c>
      <c r="Q587" s="28" t="s">
        <v>3644</v>
      </c>
      <c r="R587" s="28" t="s">
        <v>44</v>
      </c>
      <c r="S587" s="28" t="s">
        <v>44</v>
      </c>
      <c r="T587" s="28" t="s">
        <v>44</v>
      </c>
      <c r="U587" s="28" t="s">
        <v>44</v>
      </c>
      <c r="V587" s="28" t="s">
        <v>3647</v>
      </c>
      <c r="W587" s="28" t="s">
        <v>3648</v>
      </c>
      <c r="X587" s="28"/>
      <c r="Y587" s="28"/>
      <c r="Z587" s="28"/>
      <c r="AA587" s="28"/>
    </row>
    <row r="588">
      <c r="A588" s="270" t="s">
        <v>3651</v>
      </c>
      <c r="B588" s="28" t="s">
        <v>36</v>
      </c>
      <c r="C588" s="28" t="s">
        <v>3646</v>
      </c>
      <c r="D588" s="28" t="s">
        <v>44</v>
      </c>
      <c r="E588" s="28" t="s">
        <v>44</v>
      </c>
      <c r="F588" s="28" t="s">
        <v>3459</v>
      </c>
      <c r="G588" s="28" t="s">
        <v>47</v>
      </c>
      <c r="H588" s="28" t="s">
        <v>95</v>
      </c>
      <c r="I588" s="28" t="s">
        <v>485</v>
      </c>
      <c r="J588" s="28" t="s">
        <v>2501</v>
      </c>
      <c r="K588" s="28" t="s">
        <v>51</v>
      </c>
      <c r="L588" s="28" t="s">
        <v>52</v>
      </c>
      <c r="M588" s="28" t="s">
        <v>52</v>
      </c>
      <c r="N588" s="28" t="s">
        <v>3649</v>
      </c>
      <c r="O588" s="28" t="s">
        <v>44</v>
      </c>
      <c r="P588" s="28" t="s">
        <v>3650</v>
      </c>
      <c r="Q588" s="28" t="s">
        <v>3652</v>
      </c>
      <c r="R588" s="28" t="s">
        <v>44</v>
      </c>
      <c r="S588" s="28" t="s">
        <v>44</v>
      </c>
      <c r="T588" s="28" t="s">
        <v>44</v>
      </c>
      <c r="U588" s="28" t="s">
        <v>44</v>
      </c>
      <c r="V588" s="28" t="s">
        <v>3654</v>
      </c>
      <c r="W588" s="28" t="s">
        <v>3655</v>
      </c>
      <c r="X588" s="28"/>
      <c r="Y588" s="28"/>
      <c r="Z588" s="28"/>
      <c r="AA588" s="28"/>
    </row>
    <row r="589">
      <c r="A589" s="270" t="s">
        <v>3657</v>
      </c>
      <c r="B589" s="28" t="s">
        <v>36</v>
      </c>
      <c r="C589" s="28" t="s">
        <v>3653</v>
      </c>
      <c r="D589" s="28" t="s">
        <v>44</v>
      </c>
      <c r="E589" s="28" t="s">
        <v>44</v>
      </c>
      <c r="F589" s="28" t="s">
        <v>3459</v>
      </c>
      <c r="G589" s="28" t="s">
        <v>47</v>
      </c>
      <c r="H589" s="28" t="s">
        <v>48</v>
      </c>
      <c r="I589" s="28" t="s">
        <v>485</v>
      </c>
      <c r="J589" s="28" t="s">
        <v>2501</v>
      </c>
      <c r="K589" s="28" t="s">
        <v>51</v>
      </c>
      <c r="L589" s="28" t="s">
        <v>52</v>
      </c>
      <c r="M589" s="28" t="s">
        <v>52</v>
      </c>
      <c r="N589" s="28" t="s">
        <v>3656</v>
      </c>
      <c r="O589" s="28" t="s">
        <v>44</v>
      </c>
      <c r="P589" s="28" t="s">
        <v>2560</v>
      </c>
      <c r="Q589" s="28" t="s">
        <v>3658</v>
      </c>
      <c r="R589" s="28" t="s">
        <v>44</v>
      </c>
      <c r="S589" s="28" t="s">
        <v>44</v>
      </c>
      <c r="T589" s="28" t="s">
        <v>44</v>
      </c>
      <c r="U589" s="28" t="s">
        <v>44</v>
      </c>
      <c r="V589" s="28" t="s">
        <v>3660</v>
      </c>
      <c r="W589" s="28" t="s">
        <v>774</v>
      </c>
      <c r="X589" s="28"/>
      <c r="Y589" s="28"/>
      <c r="Z589" s="28"/>
      <c r="AA589" s="28"/>
    </row>
    <row r="590">
      <c r="A590" s="270" t="s">
        <v>3661</v>
      </c>
      <c r="B590" s="28" t="s">
        <v>36</v>
      </c>
      <c r="C590" s="28" t="s">
        <v>3659</v>
      </c>
      <c r="D590" s="28" t="s">
        <v>44</v>
      </c>
      <c r="E590" s="28" t="s">
        <v>44</v>
      </c>
      <c r="F590" s="28" t="s">
        <v>3459</v>
      </c>
      <c r="G590" s="28" t="s">
        <v>47</v>
      </c>
      <c r="H590" s="28" t="s">
        <v>95</v>
      </c>
      <c r="I590" s="28" t="s">
        <v>485</v>
      </c>
      <c r="J590" s="28" t="s">
        <v>2501</v>
      </c>
      <c r="K590" s="28" t="s">
        <v>51</v>
      </c>
      <c r="L590" s="28" t="s">
        <v>52</v>
      </c>
      <c r="M590" s="28" t="s">
        <v>52</v>
      </c>
      <c r="N590" s="28" t="s">
        <v>3662</v>
      </c>
      <c r="O590" s="28" t="s">
        <v>44</v>
      </c>
      <c r="P590" s="28" t="s">
        <v>3663</v>
      </c>
      <c r="Q590" s="28" t="s">
        <v>3664</v>
      </c>
      <c r="R590" s="28" t="s">
        <v>44</v>
      </c>
      <c r="S590" s="28" t="s">
        <v>44</v>
      </c>
      <c r="T590" s="28" t="s">
        <v>44</v>
      </c>
      <c r="U590" s="28" t="s">
        <v>44</v>
      </c>
      <c r="V590" s="28" t="s">
        <v>3666</v>
      </c>
      <c r="W590" s="28" t="s">
        <v>3667</v>
      </c>
      <c r="X590" s="28"/>
      <c r="Y590" s="28"/>
      <c r="Z590" s="28"/>
      <c r="AA590" s="28"/>
    </row>
    <row r="591">
      <c r="A591" s="270" t="s">
        <v>3668</v>
      </c>
      <c r="B591" s="28" t="s">
        <v>36</v>
      </c>
      <c r="C591" s="28" t="s">
        <v>3665</v>
      </c>
      <c r="D591" s="28" t="s">
        <v>44</v>
      </c>
      <c r="E591" s="28" t="s">
        <v>44</v>
      </c>
      <c r="F591" s="28" t="s">
        <v>3459</v>
      </c>
      <c r="G591" s="28" t="s">
        <v>47</v>
      </c>
      <c r="H591" s="28" t="s">
        <v>95</v>
      </c>
      <c r="I591" s="28" t="s">
        <v>485</v>
      </c>
      <c r="J591" s="28" t="s">
        <v>3460</v>
      </c>
      <c r="K591" s="28" t="s">
        <v>1615</v>
      </c>
      <c r="L591" s="28" t="s">
        <v>52</v>
      </c>
      <c r="M591" s="28" t="s">
        <v>52</v>
      </c>
      <c r="N591" s="28" t="s">
        <v>3669</v>
      </c>
      <c r="O591" s="28" t="s">
        <v>44</v>
      </c>
      <c r="P591" s="28" t="s">
        <v>3670</v>
      </c>
      <c r="Q591" s="28" t="s">
        <v>3671</v>
      </c>
      <c r="R591" s="28" t="s">
        <v>44</v>
      </c>
      <c r="S591" s="28" t="s">
        <v>44</v>
      </c>
      <c r="T591" s="28" t="s">
        <v>44</v>
      </c>
      <c r="U591" s="28" t="s">
        <v>44</v>
      </c>
      <c r="V591" s="28" t="s">
        <v>3673</v>
      </c>
      <c r="W591" s="28" t="s">
        <v>774</v>
      </c>
      <c r="X591" s="28"/>
      <c r="Y591" s="28"/>
      <c r="Z591" s="28"/>
      <c r="AA591" s="28"/>
    </row>
    <row r="592">
      <c r="A592" s="270" t="s">
        <v>3674</v>
      </c>
      <c r="B592" s="28" t="s">
        <v>36</v>
      </c>
      <c r="C592" s="28" t="s">
        <v>3672</v>
      </c>
      <c r="D592" s="28" t="s">
        <v>44</v>
      </c>
      <c r="E592" s="28" t="s">
        <v>44</v>
      </c>
      <c r="F592" s="28" t="s">
        <v>3459</v>
      </c>
      <c r="G592" s="28" t="s">
        <v>47</v>
      </c>
      <c r="H592" s="28" t="s">
        <v>48</v>
      </c>
      <c r="I592" s="28" t="s">
        <v>485</v>
      </c>
      <c r="J592" s="28" t="s">
        <v>3460</v>
      </c>
      <c r="K592" s="28" t="s">
        <v>1615</v>
      </c>
      <c r="L592" s="28" t="s">
        <v>52</v>
      </c>
      <c r="M592" s="28" t="s">
        <v>52</v>
      </c>
      <c r="N592" s="28" t="s">
        <v>3675</v>
      </c>
      <c r="O592" s="28" t="s">
        <v>44</v>
      </c>
      <c r="P592" s="28" t="s">
        <v>3676</v>
      </c>
      <c r="Q592" s="28" t="s">
        <v>3677</v>
      </c>
      <c r="R592" s="28" t="s">
        <v>44</v>
      </c>
      <c r="S592" s="28" t="s">
        <v>44</v>
      </c>
      <c r="T592" s="28" t="s">
        <v>44</v>
      </c>
      <c r="U592" s="28" t="s">
        <v>44</v>
      </c>
      <c r="V592" s="28" t="s">
        <v>3678</v>
      </c>
      <c r="W592" s="28" t="s">
        <v>774</v>
      </c>
      <c r="X592" s="28"/>
      <c r="Y592" s="28"/>
      <c r="Z592" s="28"/>
      <c r="AA592" s="28"/>
    </row>
    <row r="593">
      <c r="A593" s="270" t="s">
        <v>3680</v>
      </c>
      <c r="B593" s="28" t="s">
        <v>36</v>
      </c>
      <c r="C593" s="28" t="s">
        <v>3679</v>
      </c>
      <c r="D593" s="28" t="s">
        <v>44</v>
      </c>
      <c r="E593" s="28" t="s">
        <v>44</v>
      </c>
      <c r="F593" s="28" t="s">
        <v>3459</v>
      </c>
      <c r="G593" s="28" t="s">
        <v>47</v>
      </c>
      <c r="H593" s="28" t="s">
        <v>95</v>
      </c>
      <c r="I593" s="28" t="s">
        <v>485</v>
      </c>
      <c r="J593" s="28" t="s">
        <v>3460</v>
      </c>
      <c r="K593" s="28" t="s">
        <v>1615</v>
      </c>
      <c r="L593" s="28" t="s">
        <v>52</v>
      </c>
      <c r="M593" s="28" t="s">
        <v>52</v>
      </c>
      <c r="N593" s="28" t="s">
        <v>3681</v>
      </c>
      <c r="O593" s="28" t="s">
        <v>44</v>
      </c>
      <c r="P593" s="28" t="s">
        <v>3682</v>
      </c>
      <c r="Q593" s="28" t="s">
        <v>3683</v>
      </c>
      <c r="R593" s="28" t="s">
        <v>44</v>
      </c>
      <c r="S593" s="28" t="s">
        <v>44</v>
      </c>
      <c r="T593" s="28" t="s">
        <v>44</v>
      </c>
      <c r="U593" s="28" t="s">
        <v>44</v>
      </c>
      <c r="V593" s="28" t="s">
        <v>3684</v>
      </c>
      <c r="W593" s="28" t="s">
        <v>774</v>
      </c>
      <c r="X593" s="28"/>
      <c r="Y593" s="28"/>
      <c r="Z593" s="28"/>
      <c r="AA593" s="28"/>
    </row>
    <row r="594">
      <c r="A594" s="270" t="s">
        <v>3686</v>
      </c>
      <c r="B594" s="28" t="s">
        <v>36</v>
      </c>
      <c r="C594" s="28" t="s">
        <v>3685</v>
      </c>
      <c r="D594" s="28" t="s">
        <v>44</v>
      </c>
      <c r="E594" s="28" t="s">
        <v>44</v>
      </c>
      <c r="F594" s="28" t="s">
        <v>3459</v>
      </c>
      <c r="G594" s="28" t="s">
        <v>47</v>
      </c>
      <c r="H594" s="28" t="s">
        <v>95</v>
      </c>
      <c r="I594" s="28" t="s">
        <v>485</v>
      </c>
      <c r="J594" s="28" t="s">
        <v>3460</v>
      </c>
      <c r="K594" s="28" t="s">
        <v>1615</v>
      </c>
      <c r="L594" s="28" t="s">
        <v>52</v>
      </c>
      <c r="M594" s="28" t="s">
        <v>52</v>
      </c>
      <c r="N594" s="28" t="s">
        <v>3687</v>
      </c>
      <c r="O594" s="28" t="s">
        <v>44</v>
      </c>
      <c r="P594" s="28" t="s">
        <v>3688</v>
      </c>
      <c r="Q594" s="28" t="s">
        <v>3689</v>
      </c>
      <c r="R594" s="28" t="s">
        <v>44</v>
      </c>
      <c r="S594" s="28" t="s">
        <v>44</v>
      </c>
      <c r="T594" s="28" t="s">
        <v>44</v>
      </c>
      <c r="U594" s="28" t="s">
        <v>44</v>
      </c>
      <c r="V594" s="28" t="s">
        <v>3690</v>
      </c>
      <c r="W594" s="28" t="s">
        <v>774</v>
      </c>
      <c r="X594" s="28"/>
      <c r="Y594" s="28"/>
      <c r="Z594" s="28"/>
      <c r="AA594" s="28"/>
    </row>
    <row r="595">
      <c r="A595" s="270" t="s">
        <v>3692</v>
      </c>
      <c r="B595" s="28" t="s">
        <v>36</v>
      </c>
      <c r="C595" s="28" t="s">
        <v>3691</v>
      </c>
      <c r="D595" s="28" t="s">
        <v>44</v>
      </c>
      <c r="E595" s="28" t="s">
        <v>44</v>
      </c>
      <c r="F595" s="28" t="s">
        <v>3459</v>
      </c>
      <c r="G595" s="28" t="s">
        <v>47</v>
      </c>
      <c r="H595" s="28" t="s">
        <v>48</v>
      </c>
      <c r="I595" s="28" t="s">
        <v>485</v>
      </c>
      <c r="J595" s="28" t="s">
        <v>3460</v>
      </c>
      <c r="K595" s="28" t="s">
        <v>1615</v>
      </c>
      <c r="L595" s="28" t="s">
        <v>52</v>
      </c>
      <c r="M595" s="28" t="s">
        <v>52</v>
      </c>
      <c r="N595" s="28" t="s">
        <v>3693</v>
      </c>
      <c r="O595" s="28" t="s">
        <v>44</v>
      </c>
      <c r="P595" s="28" t="s">
        <v>3549</v>
      </c>
      <c r="Q595" s="28" t="s">
        <v>3694</v>
      </c>
      <c r="R595" s="28" t="s">
        <v>44</v>
      </c>
      <c r="S595" s="28" t="s">
        <v>44</v>
      </c>
      <c r="T595" s="28" t="s">
        <v>44</v>
      </c>
      <c r="U595" s="28" t="s">
        <v>44</v>
      </c>
      <c r="V595" s="28" t="s">
        <v>3695</v>
      </c>
      <c r="W595" s="28" t="s">
        <v>3697</v>
      </c>
      <c r="X595" s="28"/>
      <c r="Y595" s="28"/>
      <c r="Z595" s="28"/>
      <c r="AA595" s="28"/>
    </row>
    <row r="596">
      <c r="A596" s="270" t="s">
        <v>3698</v>
      </c>
      <c r="B596" s="28" t="s">
        <v>36</v>
      </c>
      <c r="C596" s="28" t="s">
        <v>3696</v>
      </c>
      <c r="D596" s="28" t="s">
        <v>44</v>
      </c>
      <c r="E596" s="28" t="s">
        <v>44</v>
      </c>
      <c r="F596" s="28" t="s">
        <v>3459</v>
      </c>
      <c r="G596" s="28" t="s">
        <v>47</v>
      </c>
      <c r="H596" s="28" t="s">
        <v>95</v>
      </c>
      <c r="I596" s="28" t="s">
        <v>485</v>
      </c>
      <c r="J596" s="28" t="s">
        <v>3460</v>
      </c>
      <c r="K596" s="28" t="s">
        <v>1615</v>
      </c>
      <c r="L596" s="28" t="s">
        <v>52</v>
      </c>
      <c r="M596" s="28" t="s">
        <v>52</v>
      </c>
      <c r="N596" s="28" t="s">
        <v>3476</v>
      </c>
      <c r="O596" s="28" t="s">
        <v>44</v>
      </c>
      <c r="P596" s="28" t="s">
        <v>3699</v>
      </c>
      <c r="Q596" s="28" t="s">
        <v>3700</v>
      </c>
      <c r="R596" s="28" t="s">
        <v>44</v>
      </c>
      <c r="S596" s="28" t="s">
        <v>44</v>
      </c>
      <c r="T596" s="28" t="s">
        <v>44</v>
      </c>
      <c r="U596" s="28" t="s">
        <v>44</v>
      </c>
      <c r="V596" s="28" t="s">
        <v>3701</v>
      </c>
      <c r="W596" s="28" t="s">
        <v>3702</v>
      </c>
      <c r="X596" s="28"/>
      <c r="Y596" s="28"/>
      <c r="Z596" s="28"/>
      <c r="AA596" s="28"/>
    </row>
    <row r="597">
      <c r="A597" s="270" t="s">
        <v>3704</v>
      </c>
      <c r="B597" s="28" t="s">
        <v>36</v>
      </c>
      <c r="C597" s="28" t="s">
        <v>3703</v>
      </c>
      <c r="D597" s="28" t="s">
        <v>44</v>
      </c>
      <c r="E597" s="28" t="s">
        <v>44</v>
      </c>
      <c r="F597" s="28" t="s">
        <v>3459</v>
      </c>
      <c r="G597" s="28" t="s">
        <v>47</v>
      </c>
      <c r="H597" s="28" t="s">
        <v>95</v>
      </c>
      <c r="I597" s="28" t="s">
        <v>485</v>
      </c>
      <c r="J597" s="28" t="s">
        <v>3460</v>
      </c>
      <c r="K597" s="28" t="s">
        <v>1615</v>
      </c>
      <c r="L597" s="28" t="s">
        <v>52</v>
      </c>
      <c r="M597" s="28" t="s">
        <v>52</v>
      </c>
      <c r="N597" s="28" t="s">
        <v>3705</v>
      </c>
      <c r="O597" s="28" t="s">
        <v>44</v>
      </c>
      <c r="P597" s="28" t="s">
        <v>3706</v>
      </c>
      <c r="Q597" s="28" t="s">
        <v>3707</v>
      </c>
      <c r="R597" s="28" t="s">
        <v>44</v>
      </c>
      <c r="S597" s="28" t="s">
        <v>44</v>
      </c>
      <c r="T597" s="28" t="s">
        <v>44</v>
      </c>
      <c r="U597" s="28" t="s">
        <v>44</v>
      </c>
      <c r="V597" s="28" t="s">
        <v>3708</v>
      </c>
      <c r="W597" s="28" t="s">
        <v>774</v>
      </c>
      <c r="X597" s="28"/>
      <c r="Y597" s="28"/>
      <c r="Z597" s="28"/>
      <c r="AA597" s="28"/>
    </row>
    <row r="598">
      <c r="A598" s="270" t="s">
        <v>3710</v>
      </c>
      <c r="B598" s="28" t="s">
        <v>36</v>
      </c>
      <c r="C598" s="28" t="s">
        <v>3709</v>
      </c>
      <c r="D598" s="28" t="s">
        <v>44</v>
      </c>
      <c r="E598" s="28" t="s">
        <v>44</v>
      </c>
      <c r="F598" s="28" t="s">
        <v>3459</v>
      </c>
      <c r="G598" s="28" t="s">
        <v>47</v>
      </c>
      <c r="H598" s="28" t="s">
        <v>95</v>
      </c>
      <c r="I598" s="28" t="s">
        <v>485</v>
      </c>
      <c r="J598" s="28" t="s">
        <v>3460</v>
      </c>
      <c r="K598" s="28" t="s">
        <v>1615</v>
      </c>
      <c r="L598" s="28" t="s">
        <v>52</v>
      </c>
      <c r="M598" s="28" t="s">
        <v>52</v>
      </c>
      <c r="N598" s="28" t="s">
        <v>3711</v>
      </c>
      <c r="O598" s="28" t="s">
        <v>44</v>
      </c>
      <c r="P598" s="28" t="s">
        <v>3712</v>
      </c>
      <c r="Q598" s="28" t="s">
        <v>3713</v>
      </c>
      <c r="R598" s="28" t="s">
        <v>44</v>
      </c>
      <c r="S598" s="28" t="s">
        <v>44</v>
      </c>
      <c r="T598" s="28" t="s">
        <v>44</v>
      </c>
      <c r="U598" s="28" t="s">
        <v>44</v>
      </c>
      <c r="V598" s="28" t="s">
        <v>3714</v>
      </c>
      <c r="W598" s="28" t="s">
        <v>774</v>
      </c>
      <c r="X598" s="28"/>
      <c r="Y598" s="28"/>
      <c r="Z598" s="28"/>
      <c r="AA598" s="28"/>
    </row>
    <row r="599">
      <c r="A599" s="270" t="s">
        <v>3716</v>
      </c>
      <c r="B599" s="28" t="s">
        <v>36</v>
      </c>
      <c r="C599" s="28" t="s">
        <v>3715</v>
      </c>
      <c r="D599" s="28" t="s">
        <v>44</v>
      </c>
      <c r="E599" s="28" t="s">
        <v>44</v>
      </c>
      <c r="F599" s="28" t="s">
        <v>3459</v>
      </c>
      <c r="G599" s="28" t="s">
        <v>197</v>
      </c>
      <c r="H599" s="28" t="s">
        <v>112</v>
      </c>
      <c r="I599" s="28" t="s">
        <v>485</v>
      </c>
      <c r="J599" s="28" t="s">
        <v>3460</v>
      </c>
      <c r="K599" s="28" t="s">
        <v>1615</v>
      </c>
      <c r="L599" s="28" t="s">
        <v>52</v>
      </c>
      <c r="M599" s="28" t="s">
        <v>52</v>
      </c>
      <c r="N599" s="28" t="s">
        <v>3717</v>
      </c>
      <c r="O599" s="28" t="s">
        <v>44</v>
      </c>
      <c r="P599" s="28" t="s">
        <v>3718</v>
      </c>
      <c r="Q599" s="28" t="s">
        <v>3719</v>
      </c>
      <c r="R599" s="28" t="s">
        <v>44</v>
      </c>
      <c r="S599" s="28" t="s">
        <v>44</v>
      </c>
      <c r="T599" s="28" t="s">
        <v>44</v>
      </c>
      <c r="U599" s="28" t="s">
        <v>44</v>
      </c>
      <c r="V599" s="28" t="s">
        <v>3720</v>
      </c>
      <c r="W599" s="28" t="s">
        <v>774</v>
      </c>
      <c r="X599" s="28"/>
      <c r="Y599" s="28"/>
      <c r="Z599" s="28"/>
      <c r="AA599" s="28"/>
    </row>
    <row r="600">
      <c r="A600" s="270" t="s">
        <v>3721</v>
      </c>
      <c r="B600" s="28" t="s">
        <v>36</v>
      </c>
      <c r="C600" s="28" t="s">
        <v>3722</v>
      </c>
      <c r="D600" s="28" t="s">
        <v>44</v>
      </c>
      <c r="E600" s="28" t="s">
        <v>44</v>
      </c>
      <c r="F600" s="28" t="s">
        <v>3459</v>
      </c>
      <c r="G600" s="28" t="s">
        <v>47</v>
      </c>
      <c r="H600" s="28" t="s">
        <v>48</v>
      </c>
      <c r="I600" s="28" t="s">
        <v>485</v>
      </c>
      <c r="J600" s="28" t="s">
        <v>3460</v>
      </c>
      <c r="K600" s="28" t="s">
        <v>1615</v>
      </c>
      <c r="L600" s="28" t="s">
        <v>52</v>
      </c>
      <c r="M600" s="28" t="s">
        <v>52</v>
      </c>
      <c r="N600" s="28" t="s">
        <v>3723</v>
      </c>
      <c r="O600" s="28" t="s">
        <v>44</v>
      </c>
      <c r="P600" s="28" t="s">
        <v>3724</v>
      </c>
      <c r="Q600" s="28" t="s">
        <v>3725</v>
      </c>
      <c r="R600" s="28" t="s">
        <v>44</v>
      </c>
      <c r="S600" s="28" t="s">
        <v>44</v>
      </c>
      <c r="T600" s="28" t="s">
        <v>44</v>
      </c>
      <c r="U600" s="28" t="s">
        <v>44</v>
      </c>
      <c r="V600" s="28" t="s">
        <v>3726</v>
      </c>
      <c r="W600" s="28" t="s">
        <v>3727</v>
      </c>
      <c r="X600" s="28"/>
      <c r="Y600" s="28"/>
      <c r="Z600" s="28"/>
      <c r="AA600" s="28"/>
    </row>
    <row r="601">
      <c r="A601" s="270" t="s">
        <v>3728</v>
      </c>
      <c r="B601" s="28" t="s">
        <v>36</v>
      </c>
      <c r="C601" s="28" t="s">
        <v>3729</v>
      </c>
      <c r="D601" s="28" t="s">
        <v>44</v>
      </c>
      <c r="E601" s="28" t="s">
        <v>44</v>
      </c>
      <c r="F601" s="28" t="s">
        <v>3459</v>
      </c>
      <c r="G601" s="28" t="s">
        <v>47</v>
      </c>
      <c r="H601" s="28" t="s">
        <v>95</v>
      </c>
      <c r="I601" s="28" t="s">
        <v>485</v>
      </c>
      <c r="J601" s="28" t="s">
        <v>3460</v>
      </c>
      <c r="K601" s="28" t="s">
        <v>1615</v>
      </c>
      <c r="L601" s="28" t="s">
        <v>52</v>
      </c>
      <c r="M601" s="28" t="s">
        <v>52</v>
      </c>
      <c r="N601" s="28" t="s">
        <v>3730</v>
      </c>
      <c r="O601" s="28" t="s">
        <v>44</v>
      </c>
      <c r="P601" s="28" t="s">
        <v>3731</v>
      </c>
      <c r="Q601" s="28" t="s">
        <v>3732</v>
      </c>
      <c r="R601" s="28" t="s">
        <v>44</v>
      </c>
      <c r="S601" s="28" t="s">
        <v>44</v>
      </c>
      <c r="T601" s="28" t="s">
        <v>44</v>
      </c>
      <c r="U601" s="28" t="s">
        <v>44</v>
      </c>
      <c r="V601" s="28" t="s">
        <v>3733</v>
      </c>
      <c r="W601" s="28" t="s">
        <v>3734</v>
      </c>
      <c r="X601" s="28"/>
      <c r="Y601" s="28"/>
      <c r="Z601" s="28"/>
      <c r="AA601" s="28"/>
    </row>
    <row r="602">
      <c r="A602" s="270" t="s">
        <v>3735</v>
      </c>
      <c r="B602" s="28" t="s">
        <v>36</v>
      </c>
      <c r="C602" s="28" t="s">
        <v>3736</v>
      </c>
      <c r="D602" s="28" t="s">
        <v>44</v>
      </c>
      <c r="E602" s="28" t="s">
        <v>44</v>
      </c>
      <c r="F602" s="28" t="s">
        <v>3459</v>
      </c>
      <c r="G602" s="28" t="s">
        <v>47</v>
      </c>
      <c r="H602" s="28" t="s">
        <v>95</v>
      </c>
      <c r="I602" s="28" t="s">
        <v>485</v>
      </c>
      <c r="J602" s="28" t="s">
        <v>3460</v>
      </c>
      <c r="K602" s="28" t="s">
        <v>1615</v>
      </c>
      <c r="L602" s="28" t="s">
        <v>52</v>
      </c>
      <c r="M602" s="28" t="s">
        <v>52</v>
      </c>
      <c r="N602" s="28" t="s">
        <v>3737</v>
      </c>
      <c r="O602" s="28" t="s">
        <v>44</v>
      </c>
      <c r="P602" s="28" t="s">
        <v>3738</v>
      </c>
      <c r="Q602" s="28" t="s">
        <v>3739</v>
      </c>
      <c r="R602" s="28" t="s">
        <v>44</v>
      </c>
      <c r="S602" s="28" t="s">
        <v>44</v>
      </c>
      <c r="T602" s="28" t="s">
        <v>44</v>
      </c>
      <c r="U602" s="28" t="s">
        <v>44</v>
      </c>
      <c r="V602" s="28" t="s">
        <v>3740</v>
      </c>
      <c r="W602" s="28" t="s">
        <v>3741</v>
      </c>
      <c r="X602" s="28"/>
      <c r="Y602" s="28"/>
      <c r="Z602" s="28"/>
      <c r="AA602" s="28"/>
    </row>
    <row r="603">
      <c r="A603" s="270" t="s">
        <v>3742</v>
      </c>
      <c r="B603" s="28" t="s">
        <v>36</v>
      </c>
      <c r="C603" s="28" t="s">
        <v>3743</v>
      </c>
      <c r="D603" s="28" t="s">
        <v>44</v>
      </c>
      <c r="E603" s="28" t="s">
        <v>44</v>
      </c>
      <c r="F603" s="28" t="s">
        <v>3459</v>
      </c>
      <c r="G603" s="28" t="s">
        <v>85</v>
      </c>
      <c r="H603" s="28" t="s">
        <v>86</v>
      </c>
      <c r="I603" s="28" t="s">
        <v>485</v>
      </c>
      <c r="J603" s="28" t="s">
        <v>2501</v>
      </c>
      <c r="K603" s="28" t="s">
        <v>51</v>
      </c>
      <c r="L603" s="28" t="s">
        <v>52</v>
      </c>
      <c r="M603" s="28" t="s">
        <v>52</v>
      </c>
      <c r="N603" s="28" t="s">
        <v>3744</v>
      </c>
      <c r="O603" s="28" t="s">
        <v>44</v>
      </c>
      <c r="P603" s="28" t="s">
        <v>3745</v>
      </c>
      <c r="Q603" s="28" t="s">
        <v>3746</v>
      </c>
      <c r="R603" s="28" t="s">
        <v>44</v>
      </c>
      <c r="S603" s="28" t="s">
        <v>44</v>
      </c>
      <c r="T603" s="28" t="s">
        <v>44</v>
      </c>
      <c r="U603" s="28" t="s">
        <v>44</v>
      </c>
      <c r="V603" s="28" t="s">
        <v>3747</v>
      </c>
      <c r="W603" s="28" t="s">
        <v>3748</v>
      </c>
      <c r="X603" s="28"/>
      <c r="Y603" s="28"/>
      <c r="Z603" s="28"/>
      <c r="AA603" s="28"/>
    </row>
    <row r="604">
      <c r="A604" s="270" t="s">
        <v>3749</v>
      </c>
      <c r="B604" s="28" t="s">
        <v>36</v>
      </c>
      <c r="C604" s="28" t="s">
        <v>3750</v>
      </c>
      <c r="D604" s="28" t="s">
        <v>44</v>
      </c>
      <c r="E604" s="28" t="s">
        <v>44</v>
      </c>
      <c r="F604" s="28" t="s">
        <v>3751</v>
      </c>
      <c r="G604" s="28" t="s">
        <v>47</v>
      </c>
      <c r="H604" s="28" t="s">
        <v>48</v>
      </c>
      <c r="I604" s="28" t="s">
        <v>485</v>
      </c>
      <c r="J604" s="28" t="s">
        <v>3752</v>
      </c>
      <c r="K604" s="28" t="s">
        <v>3753</v>
      </c>
      <c r="L604" s="28" t="s">
        <v>52</v>
      </c>
      <c r="M604" s="28" t="s">
        <v>52</v>
      </c>
      <c r="N604" s="28" t="s">
        <v>3754</v>
      </c>
      <c r="O604" s="28" t="s">
        <v>44</v>
      </c>
      <c r="P604" s="28" t="s">
        <v>934</v>
      </c>
      <c r="Q604" s="28" t="s">
        <v>3755</v>
      </c>
      <c r="R604" s="28" t="s">
        <v>44</v>
      </c>
      <c r="S604" s="28" t="s">
        <v>44</v>
      </c>
      <c r="T604" s="28" t="s">
        <v>44</v>
      </c>
      <c r="U604" s="28" t="s">
        <v>44</v>
      </c>
      <c r="V604" s="28" t="s">
        <v>3756</v>
      </c>
      <c r="W604" s="28" t="s">
        <v>774</v>
      </c>
      <c r="X604" s="28"/>
      <c r="Y604" s="28"/>
      <c r="Z604" s="28"/>
      <c r="AA604" s="28"/>
    </row>
    <row r="605">
      <c r="A605" s="270" t="s">
        <v>3757</v>
      </c>
      <c r="B605" s="28" t="s">
        <v>36</v>
      </c>
      <c r="C605" s="28" t="s">
        <v>3758</v>
      </c>
      <c r="D605" s="28" t="s">
        <v>44</v>
      </c>
      <c r="E605" s="28" t="s">
        <v>44</v>
      </c>
      <c r="F605" s="28" t="s">
        <v>3751</v>
      </c>
      <c r="G605" s="28" t="s">
        <v>47</v>
      </c>
      <c r="H605" s="28" t="s">
        <v>48</v>
      </c>
      <c r="I605" s="28" t="s">
        <v>485</v>
      </c>
      <c r="J605" s="28" t="s">
        <v>3752</v>
      </c>
      <c r="K605" s="28" t="s">
        <v>3753</v>
      </c>
      <c r="L605" s="28" t="s">
        <v>52</v>
      </c>
      <c r="M605" s="28" t="s">
        <v>52</v>
      </c>
      <c r="N605" s="28" t="s">
        <v>3754</v>
      </c>
      <c r="O605" s="28" t="s">
        <v>44</v>
      </c>
      <c r="P605" s="28" t="s">
        <v>1637</v>
      </c>
      <c r="Q605" s="28" t="s">
        <v>3759</v>
      </c>
      <c r="R605" s="28" t="s">
        <v>44</v>
      </c>
      <c r="S605" s="28" t="s">
        <v>44</v>
      </c>
      <c r="T605" s="28" t="s">
        <v>44</v>
      </c>
      <c r="U605" s="28" t="s">
        <v>44</v>
      </c>
      <c r="V605" s="28" t="s">
        <v>3760</v>
      </c>
      <c r="W605" s="28" t="s">
        <v>3761</v>
      </c>
      <c r="X605" s="28"/>
      <c r="Y605" s="28"/>
      <c r="Z605" s="28"/>
      <c r="AA605" s="28"/>
    </row>
    <row r="606">
      <c r="A606" s="270" t="s">
        <v>3762</v>
      </c>
      <c r="B606" s="28" t="s">
        <v>36</v>
      </c>
      <c r="C606" s="28" t="s">
        <v>3763</v>
      </c>
      <c r="D606" s="28" t="s">
        <v>44</v>
      </c>
      <c r="E606" s="28" t="s">
        <v>44</v>
      </c>
      <c r="F606" s="28" t="s">
        <v>3751</v>
      </c>
      <c r="G606" s="28" t="s">
        <v>47</v>
      </c>
      <c r="H606" s="28" t="s">
        <v>48</v>
      </c>
      <c r="I606" s="28" t="s">
        <v>485</v>
      </c>
      <c r="J606" s="28" t="s">
        <v>3752</v>
      </c>
      <c r="K606" s="28" t="s">
        <v>3753</v>
      </c>
      <c r="L606" s="28" t="s">
        <v>52</v>
      </c>
      <c r="M606" s="28" t="s">
        <v>52</v>
      </c>
      <c r="N606" s="28" t="s">
        <v>3754</v>
      </c>
      <c r="O606" s="28" t="s">
        <v>44</v>
      </c>
      <c r="P606" s="28" t="s">
        <v>3764</v>
      </c>
      <c r="Q606" s="28" t="s">
        <v>3765</v>
      </c>
      <c r="R606" s="28" t="s">
        <v>44</v>
      </c>
      <c r="S606" s="28" t="s">
        <v>44</v>
      </c>
      <c r="T606" s="28" t="s">
        <v>44</v>
      </c>
      <c r="U606" s="28" t="s">
        <v>44</v>
      </c>
      <c r="V606" s="28" t="s">
        <v>3766</v>
      </c>
      <c r="W606" s="28" t="s">
        <v>3767</v>
      </c>
      <c r="X606" s="28"/>
      <c r="Y606" s="28"/>
      <c r="Z606" s="28"/>
      <c r="AA606" s="28"/>
    </row>
    <row r="607">
      <c r="A607" s="270" t="s">
        <v>3768</v>
      </c>
      <c r="B607" s="28" t="s">
        <v>36</v>
      </c>
      <c r="C607" s="28" t="s">
        <v>3769</v>
      </c>
      <c r="D607" s="28" t="s">
        <v>44</v>
      </c>
      <c r="E607" s="28" t="s">
        <v>44</v>
      </c>
      <c r="F607" s="28" t="s">
        <v>3751</v>
      </c>
      <c r="G607" s="28" t="s">
        <v>197</v>
      </c>
      <c r="H607" s="28" t="s">
        <v>95</v>
      </c>
      <c r="I607" s="28" t="s">
        <v>485</v>
      </c>
      <c r="J607" s="28" t="s">
        <v>3752</v>
      </c>
      <c r="K607" s="28" t="s">
        <v>3753</v>
      </c>
      <c r="L607" s="28" t="s">
        <v>52</v>
      </c>
      <c r="M607" s="28" t="s">
        <v>52</v>
      </c>
      <c r="N607" s="28" t="s">
        <v>3754</v>
      </c>
      <c r="O607" s="28" t="s">
        <v>44</v>
      </c>
      <c r="P607" s="28" t="s">
        <v>3770</v>
      </c>
      <c r="Q607" s="28" t="s">
        <v>3771</v>
      </c>
      <c r="R607" s="28" t="s">
        <v>44</v>
      </c>
      <c r="S607" s="28" t="s">
        <v>44</v>
      </c>
      <c r="T607" s="28" t="s">
        <v>44</v>
      </c>
      <c r="U607" s="28" t="s">
        <v>44</v>
      </c>
      <c r="V607" s="28" t="s">
        <v>3772</v>
      </c>
      <c r="W607" s="28" t="s">
        <v>3773</v>
      </c>
      <c r="X607" s="28"/>
      <c r="Y607" s="28"/>
      <c r="Z607" s="28"/>
      <c r="AA607" s="28"/>
    </row>
    <row r="608">
      <c r="A608" s="270" t="s">
        <v>3774</v>
      </c>
      <c r="B608" s="28" t="s">
        <v>36</v>
      </c>
      <c r="C608" s="28" t="s">
        <v>3775</v>
      </c>
      <c r="D608" s="28" t="s">
        <v>44</v>
      </c>
      <c r="E608" s="28" t="s">
        <v>44</v>
      </c>
      <c r="F608" s="28" t="s">
        <v>3751</v>
      </c>
      <c r="G608" s="28" t="s">
        <v>47</v>
      </c>
      <c r="H608" s="28" t="s">
        <v>48</v>
      </c>
      <c r="I608" s="28" t="s">
        <v>485</v>
      </c>
      <c r="J608" s="28" t="s">
        <v>3752</v>
      </c>
      <c r="K608" s="28" t="s">
        <v>3753</v>
      </c>
      <c r="L608" s="28" t="s">
        <v>52</v>
      </c>
      <c r="M608" s="28" t="s">
        <v>52</v>
      </c>
      <c r="N608" s="28" t="s">
        <v>3754</v>
      </c>
      <c r="O608" s="28" t="s">
        <v>44</v>
      </c>
      <c r="P608" s="28" t="s">
        <v>3776</v>
      </c>
      <c r="Q608" s="28" t="s">
        <v>3777</v>
      </c>
      <c r="R608" s="28" t="s">
        <v>44</v>
      </c>
      <c r="S608" s="28" t="s">
        <v>44</v>
      </c>
      <c r="T608" s="28" t="s">
        <v>44</v>
      </c>
      <c r="U608" s="28" t="s">
        <v>44</v>
      </c>
      <c r="V608" s="28" t="s">
        <v>3778</v>
      </c>
      <c r="W608" s="28" t="s">
        <v>774</v>
      </c>
      <c r="X608" s="28"/>
      <c r="Y608" s="28"/>
      <c r="Z608" s="28"/>
      <c r="AA608" s="28"/>
    </row>
    <row r="609">
      <c r="A609" s="270" t="s">
        <v>3779</v>
      </c>
      <c r="B609" s="28" t="s">
        <v>36</v>
      </c>
      <c r="C609" s="28" t="s">
        <v>3780</v>
      </c>
      <c r="D609" s="28" t="s">
        <v>44</v>
      </c>
      <c r="E609" s="28" t="s">
        <v>44</v>
      </c>
      <c r="F609" s="28" t="s">
        <v>3751</v>
      </c>
      <c r="G609" s="28" t="s">
        <v>47</v>
      </c>
      <c r="H609" s="28" t="s">
        <v>48</v>
      </c>
      <c r="I609" s="28" t="s">
        <v>485</v>
      </c>
      <c r="J609" s="28" t="s">
        <v>3752</v>
      </c>
      <c r="K609" s="28" t="s">
        <v>3753</v>
      </c>
      <c r="L609" s="28" t="s">
        <v>52</v>
      </c>
      <c r="M609" s="28" t="s">
        <v>52</v>
      </c>
      <c r="N609" s="28" t="s">
        <v>3754</v>
      </c>
      <c r="O609" s="28" t="s">
        <v>44</v>
      </c>
      <c r="P609" s="28" t="s">
        <v>3781</v>
      </c>
      <c r="Q609" s="28" t="s">
        <v>3782</v>
      </c>
      <c r="R609" s="28" t="s">
        <v>44</v>
      </c>
      <c r="S609" s="28" t="s">
        <v>44</v>
      </c>
      <c r="T609" s="28" t="s">
        <v>44</v>
      </c>
      <c r="U609" s="28" t="s">
        <v>44</v>
      </c>
      <c r="V609" s="28" t="s">
        <v>3783</v>
      </c>
      <c r="W609" s="28" t="s">
        <v>3784</v>
      </c>
      <c r="X609" s="28"/>
      <c r="Y609" s="28"/>
      <c r="Z609" s="28"/>
      <c r="AA609" s="28"/>
    </row>
    <row r="610">
      <c r="A610" s="270" t="s">
        <v>3785</v>
      </c>
      <c r="B610" s="28" t="s">
        <v>36</v>
      </c>
      <c r="C610" s="28" t="s">
        <v>3786</v>
      </c>
      <c r="D610" s="28" t="s">
        <v>44</v>
      </c>
      <c r="E610" s="28" t="s">
        <v>44</v>
      </c>
      <c r="F610" s="28" t="s">
        <v>3751</v>
      </c>
      <c r="G610" s="28" t="s">
        <v>47</v>
      </c>
      <c r="H610" s="28" t="s">
        <v>48</v>
      </c>
      <c r="I610" s="28" t="s">
        <v>485</v>
      </c>
      <c r="J610" s="28" t="s">
        <v>3752</v>
      </c>
      <c r="K610" s="28" t="s">
        <v>3753</v>
      </c>
      <c r="L610" s="28" t="s">
        <v>52</v>
      </c>
      <c r="M610" s="28" t="s">
        <v>52</v>
      </c>
      <c r="N610" s="28" t="s">
        <v>3754</v>
      </c>
      <c r="O610" s="28" t="s">
        <v>44</v>
      </c>
      <c r="P610" s="28" t="s">
        <v>3787</v>
      </c>
      <c r="Q610" s="28" t="s">
        <v>3788</v>
      </c>
      <c r="R610" s="28" t="s">
        <v>44</v>
      </c>
      <c r="S610" s="28" t="s">
        <v>44</v>
      </c>
      <c r="T610" s="28" t="s">
        <v>44</v>
      </c>
      <c r="U610" s="28" t="s">
        <v>44</v>
      </c>
      <c r="V610" s="28" t="s">
        <v>3789</v>
      </c>
      <c r="W610" s="28" t="s">
        <v>774</v>
      </c>
      <c r="X610" s="28"/>
      <c r="Y610" s="28"/>
      <c r="Z610" s="28"/>
      <c r="AA610" s="28"/>
    </row>
    <row r="611">
      <c r="A611" s="270" t="s">
        <v>3790</v>
      </c>
      <c r="B611" s="28" t="s">
        <v>36</v>
      </c>
      <c r="C611" s="28" t="s">
        <v>3791</v>
      </c>
      <c r="D611" s="28" t="s">
        <v>44</v>
      </c>
      <c r="E611" s="28" t="s">
        <v>44</v>
      </c>
      <c r="F611" s="28" t="s">
        <v>3751</v>
      </c>
      <c r="G611" s="28" t="s">
        <v>47</v>
      </c>
      <c r="H611" s="28" t="s">
        <v>48</v>
      </c>
      <c r="I611" s="28" t="s">
        <v>485</v>
      </c>
      <c r="J611" s="28" t="s">
        <v>3752</v>
      </c>
      <c r="K611" s="28" t="s">
        <v>3753</v>
      </c>
      <c r="L611" s="28" t="s">
        <v>52</v>
      </c>
      <c r="M611" s="28" t="s">
        <v>52</v>
      </c>
      <c r="N611" s="28" t="s">
        <v>3754</v>
      </c>
      <c r="O611" s="28" t="s">
        <v>44</v>
      </c>
      <c r="P611" s="28" t="s">
        <v>3792</v>
      </c>
      <c r="Q611" s="28" t="s">
        <v>3793</v>
      </c>
      <c r="R611" s="28" t="s">
        <v>44</v>
      </c>
      <c r="S611" s="28" t="s">
        <v>44</v>
      </c>
      <c r="T611" s="28" t="s">
        <v>44</v>
      </c>
      <c r="U611" s="28" t="s">
        <v>44</v>
      </c>
      <c r="V611" s="28" t="s">
        <v>3794</v>
      </c>
      <c r="W611" s="28" t="s">
        <v>774</v>
      </c>
      <c r="X611" s="28"/>
      <c r="Y611" s="28"/>
      <c r="Z611" s="28"/>
      <c r="AA611" s="28"/>
    </row>
    <row r="612">
      <c r="A612" s="270" t="s">
        <v>3795</v>
      </c>
      <c r="B612" s="28" t="s">
        <v>36</v>
      </c>
      <c r="C612" s="28" t="s">
        <v>3796</v>
      </c>
      <c r="D612" s="28" t="s">
        <v>44</v>
      </c>
      <c r="E612" s="28" t="s">
        <v>44</v>
      </c>
      <c r="F612" s="28" t="s">
        <v>3751</v>
      </c>
      <c r="G612" s="28" t="s">
        <v>47</v>
      </c>
      <c r="H612" s="28" t="s">
        <v>48</v>
      </c>
      <c r="I612" s="28" t="s">
        <v>485</v>
      </c>
      <c r="J612" s="28" t="s">
        <v>3752</v>
      </c>
      <c r="K612" s="28" t="s">
        <v>3753</v>
      </c>
      <c r="L612" s="28" t="s">
        <v>52</v>
      </c>
      <c r="M612" s="28" t="s">
        <v>52</v>
      </c>
      <c r="N612" s="28" t="s">
        <v>3797</v>
      </c>
      <c r="O612" s="28" t="s">
        <v>44</v>
      </c>
      <c r="P612" s="28" t="s">
        <v>3798</v>
      </c>
      <c r="Q612" s="28" t="s">
        <v>3799</v>
      </c>
      <c r="R612" s="28" t="s">
        <v>44</v>
      </c>
      <c r="S612" s="28" t="s">
        <v>44</v>
      </c>
      <c r="T612" s="28" t="s">
        <v>44</v>
      </c>
      <c r="U612" s="28" t="s">
        <v>44</v>
      </c>
      <c r="V612" s="28" t="s">
        <v>3800</v>
      </c>
      <c r="W612" s="28" t="s">
        <v>3801</v>
      </c>
      <c r="X612" s="28"/>
      <c r="Y612" s="28"/>
      <c r="Z612" s="28"/>
      <c r="AA612" s="28"/>
    </row>
    <row r="613">
      <c r="A613" s="270" t="s">
        <v>3802</v>
      </c>
      <c r="B613" s="28" t="s">
        <v>36</v>
      </c>
      <c r="C613" s="28" t="s">
        <v>3803</v>
      </c>
      <c r="D613" s="28" t="s">
        <v>44</v>
      </c>
      <c r="E613" s="28" t="s">
        <v>44</v>
      </c>
      <c r="F613" s="28" t="s">
        <v>3751</v>
      </c>
      <c r="G613" s="28" t="s">
        <v>47</v>
      </c>
      <c r="H613" s="28" t="s">
        <v>48</v>
      </c>
      <c r="I613" s="28" t="s">
        <v>485</v>
      </c>
      <c r="J613" s="28" t="s">
        <v>3752</v>
      </c>
      <c r="K613" s="28" t="s">
        <v>3753</v>
      </c>
      <c r="L613" s="28" t="s">
        <v>52</v>
      </c>
      <c r="M613" s="28" t="s">
        <v>52</v>
      </c>
      <c r="N613" s="28" t="s">
        <v>3754</v>
      </c>
      <c r="O613" s="28" t="s">
        <v>44</v>
      </c>
      <c r="P613" s="28" t="s">
        <v>3804</v>
      </c>
      <c r="Q613" s="28" t="s">
        <v>3805</v>
      </c>
      <c r="R613" s="28" t="s">
        <v>44</v>
      </c>
      <c r="S613" s="28" t="s">
        <v>44</v>
      </c>
      <c r="T613" s="28" t="s">
        <v>44</v>
      </c>
      <c r="U613" s="28" t="s">
        <v>44</v>
      </c>
      <c r="V613" s="28" t="s">
        <v>3806</v>
      </c>
      <c r="W613" s="28" t="s">
        <v>774</v>
      </c>
      <c r="X613" s="28"/>
      <c r="Y613" s="28"/>
      <c r="Z613" s="28"/>
      <c r="AA613" s="28"/>
    </row>
    <row r="614">
      <c r="A614" s="270" t="s">
        <v>3807</v>
      </c>
      <c r="B614" s="28" t="s">
        <v>36</v>
      </c>
      <c r="C614" s="28" t="s">
        <v>3808</v>
      </c>
      <c r="D614" s="28" t="s">
        <v>44</v>
      </c>
      <c r="E614" s="28" t="s">
        <v>44</v>
      </c>
      <c r="F614" s="28" t="s">
        <v>3751</v>
      </c>
      <c r="G614" s="28" t="s">
        <v>47</v>
      </c>
      <c r="H614" s="28" t="s">
        <v>95</v>
      </c>
      <c r="I614" s="28" t="s">
        <v>485</v>
      </c>
      <c r="J614" s="28" t="s">
        <v>3752</v>
      </c>
      <c r="K614" s="28" t="s">
        <v>3753</v>
      </c>
      <c r="L614" s="28" t="s">
        <v>52</v>
      </c>
      <c r="M614" s="28" t="s">
        <v>52</v>
      </c>
      <c r="N614" s="28" t="s">
        <v>3809</v>
      </c>
      <c r="O614" s="28" t="s">
        <v>44</v>
      </c>
      <c r="P614" s="28" t="s">
        <v>3810</v>
      </c>
      <c r="Q614" s="28" t="s">
        <v>3811</v>
      </c>
      <c r="R614" s="28" t="s">
        <v>44</v>
      </c>
      <c r="S614" s="28" t="s">
        <v>44</v>
      </c>
      <c r="T614" s="28" t="s">
        <v>44</v>
      </c>
      <c r="U614" s="28" t="s">
        <v>44</v>
      </c>
      <c r="V614" s="28" t="s">
        <v>3812</v>
      </c>
      <c r="W614" s="28" t="s">
        <v>774</v>
      </c>
      <c r="X614" s="28"/>
      <c r="Y614" s="28"/>
      <c r="Z614" s="28"/>
      <c r="AA614" s="28"/>
    </row>
    <row r="615">
      <c r="A615" s="270" t="s">
        <v>3813</v>
      </c>
      <c r="B615" s="28" t="s">
        <v>36</v>
      </c>
      <c r="C615" s="28" t="s">
        <v>3814</v>
      </c>
      <c r="D615" s="28" t="s">
        <v>44</v>
      </c>
      <c r="E615" s="28" t="s">
        <v>44</v>
      </c>
      <c r="F615" s="28" t="s">
        <v>3751</v>
      </c>
      <c r="G615" s="28" t="s">
        <v>47</v>
      </c>
      <c r="H615" s="28" t="s">
        <v>48</v>
      </c>
      <c r="I615" s="28" t="s">
        <v>485</v>
      </c>
      <c r="J615" s="28" t="s">
        <v>3752</v>
      </c>
      <c r="K615" s="28" t="s">
        <v>3753</v>
      </c>
      <c r="L615" s="28" t="s">
        <v>52</v>
      </c>
      <c r="M615" s="28" t="s">
        <v>52</v>
      </c>
      <c r="N615" s="28" t="s">
        <v>3754</v>
      </c>
      <c r="O615" s="28" t="s">
        <v>44</v>
      </c>
      <c r="P615" s="28" t="s">
        <v>3815</v>
      </c>
      <c r="Q615" s="28" t="s">
        <v>3816</v>
      </c>
      <c r="R615" s="28" t="s">
        <v>44</v>
      </c>
      <c r="S615" s="28" t="s">
        <v>44</v>
      </c>
      <c r="T615" s="28" t="s">
        <v>44</v>
      </c>
      <c r="U615" s="28" t="s">
        <v>44</v>
      </c>
      <c r="V615" s="28" t="s">
        <v>3817</v>
      </c>
      <c r="W615" s="28" t="s">
        <v>774</v>
      </c>
      <c r="X615" s="28"/>
      <c r="Y615" s="28"/>
      <c r="Z615" s="28"/>
      <c r="AA615" s="28"/>
    </row>
    <row r="616">
      <c r="A616" s="270" t="s">
        <v>3818</v>
      </c>
      <c r="B616" s="28" t="s">
        <v>36</v>
      </c>
      <c r="C616" s="28" t="s">
        <v>3819</v>
      </c>
      <c r="D616" s="28" t="s">
        <v>44</v>
      </c>
      <c r="E616" s="28" t="s">
        <v>44</v>
      </c>
      <c r="F616" s="28" t="s">
        <v>3751</v>
      </c>
      <c r="G616" s="28" t="s">
        <v>47</v>
      </c>
      <c r="H616" s="28" t="s">
        <v>48</v>
      </c>
      <c r="I616" s="28" t="s">
        <v>485</v>
      </c>
      <c r="J616" s="28" t="s">
        <v>3752</v>
      </c>
      <c r="K616" s="28" t="s">
        <v>3753</v>
      </c>
      <c r="L616" s="28" t="s">
        <v>52</v>
      </c>
      <c r="M616" s="28" t="s">
        <v>52</v>
      </c>
      <c r="N616" s="28" t="s">
        <v>3754</v>
      </c>
      <c r="O616" s="28" t="s">
        <v>44</v>
      </c>
      <c r="P616" s="28" t="s">
        <v>3820</v>
      </c>
      <c r="Q616" s="28" t="s">
        <v>3793</v>
      </c>
      <c r="R616" s="28" t="s">
        <v>44</v>
      </c>
      <c r="S616" s="28" t="s">
        <v>44</v>
      </c>
      <c r="T616" s="28" t="s">
        <v>44</v>
      </c>
      <c r="U616" s="28" t="s">
        <v>44</v>
      </c>
      <c r="V616" s="28" t="s">
        <v>3821</v>
      </c>
      <c r="W616" s="28" t="s">
        <v>774</v>
      </c>
      <c r="X616" s="28"/>
      <c r="Y616" s="28"/>
      <c r="Z616" s="28"/>
      <c r="AA616" s="28"/>
    </row>
    <row r="617">
      <c r="A617" s="270" t="s">
        <v>3822</v>
      </c>
      <c r="B617" s="28" t="s">
        <v>36</v>
      </c>
      <c r="C617" s="28" t="s">
        <v>3823</v>
      </c>
      <c r="D617" s="28" t="s">
        <v>44</v>
      </c>
      <c r="E617" s="28" t="s">
        <v>44</v>
      </c>
      <c r="F617" s="28" t="s">
        <v>3751</v>
      </c>
      <c r="G617" s="28" t="s">
        <v>47</v>
      </c>
      <c r="H617" s="28" t="s">
        <v>48</v>
      </c>
      <c r="I617" s="28" t="s">
        <v>485</v>
      </c>
      <c r="J617" s="28" t="s">
        <v>3752</v>
      </c>
      <c r="K617" s="28" t="s">
        <v>3753</v>
      </c>
      <c r="L617" s="28" t="s">
        <v>52</v>
      </c>
      <c r="M617" s="28" t="s">
        <v>52</v>
      </c>
      <c r="N617" s="28" t="s">
        <v>3797</v>
      </c>
      <c r="O617" s="28" t="s">
        <v>44</v>
      </c>
      <c r="P617" s="28" t="s">
        <v>3824</v>
      </c>
      <c r="Q617" s="28" t="s">
        <v>3799</v>
      </c>
      <c r="R617" s="28" t="s">
        <v>44</v>
      </c>
      <c r="S617" s="28" t="s">
        <v>44</v>
      </c>
      <c r="T617" s="28" t="s">
        <v>44</v>
      </c>
      <c r="U617" s="28" t="s">
        <v>44</v>
      </c>
      <c r="V617" s="28" t="s">
        <v>3825</v>
      </c>
      <c r="W617" s="28" t="s">
        <v>3801</v>
      </c>
      <c r="X617" s="28"/>
      <c r="Y617" s="28"/>
      <c r="Z617" s="28"/>
      <c r="AA617" s="28"/>
    </row>
    <row r="618">
      <c r="A618" s="270" t="s">
        <v>3826</v>
      </c>
      <c r="B618" s="28" t="s">
        <v>36</v>
      </c>
      <c r="C618" s="28" t="s">
        <v>3827</v>
      </c>
      <c r="D618" s="28" t="s">
        <v>44</v>
      </c>
      <c r="E618" s="28" t="s">
        <v>44</v>
      </c>
      <c r="F618" s="28" t="s">
        <v>3751</v>
      </c>
      <c r="G618" s="28" t="s">
        <v>47</v>
      </c>
      <c r="H618" s="28" t="s">
        <v>95</v>
      </c>
      <c r="I618" s="28" t="s">
        <v>485</v>
      </c>
      <c r="J618" s="28" t="s">
        <v>3752</v>
      </c>
      <c r="K618" s="28" t="s">
        <v>3753</v>
      </c>
      <c r="L618" s="28" t="s">
        <v>52</v>
      </c>
      <c r="M618" s="28" t="s">
        <v>52</v>
      </c>
      <c r="N618" s="28" t="s">
        <v>3809</v>
      </c>
      <c r="O618" s="28" t="s">
        <v>44</v>
      </c>
      <c r="P618" s="28" t="s">
        <v>3828</v>
      </c>
      <c r="Q618" s="28" t="s">
        <v>3829</v>
      </c>
      <c r="R618" s="28" t="s">
        <v>44</v>
      </c>
      <c r="S618" s="28" t="s">
        <v>44</v>
      </c>
      <c r="T618" s="28" t="s">
        <v>44</v>
      </c>
      <c r="U618" s="28" t="s">
        <v>44</v>
      </c>
      <c r="V618" s="28" t="s">
        <v>3830</v>
      </c>
      <c r="W618" s="28" t="s">
        <v>774</v>
      </c>
      <c r="X618" s="28"/>
      <c r="Y618" s="28"/>
      <c r="Z618" s="28"/>
      <c r="AA618" s="28"/>
    </row>
    <row r="619">
      <c r="A619" s="270" t="s">
        <v>3831</v>
      </c>
      <c r="B619" s="28" t="s">
        <v>36</v>
      </c>
      <c r="C619" s="28" t="s">
        <v>3832</v>
      </c>
      <c r="D619" s="28" t="s">
        <v>44</v>
      </c>
      <c r="E619" s="28" t="s">
        <v>44</v>
      </c>
      <c r="F619" s="28" t="s">
        <v>3751</v>
      </c>
      <c r="G619" s="28" t="s">
        <v>47</v>
      </c>
      <c r="H619" s="28" t="s">
        <v>95</v>
      </c>
      <c r="I619" s="28" t="s">
        <v>485</v>
      </c>
      <c r="J619" s="28" t="s">
        <v>3752</v>
      </c>
      <c r="K619" s="28" t="s">
        <v>3753</v>
      </c>
      <c r="L619" s="28" t="s">
        <v>52</v>
      </c>
      <c r="M619" s="28" t="s">
        <v>52</v>
      </c>
      <c r="N619" s="28" t="s">
        <v>3833</v>
      </c>
      <c r="O619" s="28" t="s">
        <v>44</v>
      </c>
      <c r="P619" s="28" t="s">
        <v>3834</v>
      </c>
      <c r="Q619" s="28" t="s">
        <v>3835</v>
      </c>
      <c r="R619" s="28" t="s">
        <v>44</v>
      </c>
      <c r="S619" s="28" t="s">
        <v>44</v>
      </c>
      <c r="T619" s="28" t="s">
        <v>44</v>
      </c>
      <c r="U619" s="28" t="s">
        <v>44</v>
      </c>
      <c r="V619" s="28" t="s">
        <v>3836</v>
      </c>
      <c r="W619" s="28" t="s">
        <v>774</v>
      </c>
      <c r="X619" s="28"/>
      <c r="Y619" s="28"/>
      <c r="Z619" s="28"/>
      <c r="AA619" s="28"/>
    </row>
    <row r="620">
      <c r="A620" s="270" t="s">
        <v>3837</v>
      </c>
      <c r="B620" s="28" t="s">
        <v>36</v>
      </c>
      <c r="C620" s="28" t="s">
        <v>3838</v>
      </c>
      <c r="D620" s="28" t="s">
        <v>44</v>
      </c>
      <c r="E620" s="28" t="s">
        <v>44</v>
      </c>
      <c r="F620" s="28" t="s">
        <v>3751</v>
      </c>
      <c r="G620" s="28" t="s">
        <v>197</v>
      </c>
      <c r="H620" s="28" t="s">
        <v>95</v>
      </c>
      <c r="I620" s="28" t="s">
        <v>485</v>
      </c>
      <c r="J620" s="28" t="s">
        <v>3752</v>
      </c>
      <c r="K620" s="28" t="s">
        <v>3753</v>
      </c>
      <c r="L620" s="28" t="s">
        <v>52</v>
      </c>
      <c r="M620" s="28" t="s">
        <v>52</v>
      </c>
      <c r="N620" s="28" t="s">
        <v>3754</v>
      </c>
      <c r="O620" s="28" t="s">
        <v>44</v>
      </c>
      <c r="P620" s="28" t="s">
        <v>3839</v>
      </c>
      <c r="Q620" s="28" t="s">
        <v>3840</v>
      </c>
      <c r="R620" s="28" t="s">
        <v>44</v>
      </c>
      <c r="S620" s="28" t="s">
        <v>44</v>
      </c>
      <c r="T620" s="28" t="s">
        <v>44</v>
      </c>
      <c r="U620" s="28" t="s">
        <v>44</v>
      </c>
      <c r="V620" s="28" t="s">
        <v>3841</v>
      </c>
      <c r="W620" s="28" t="s">
        <v>774</v>
      </c>
      <c r="X620" s="28"/>
      <c r="Y620" s="28"/>
      <c r="Z620" s="28"/>
      <c r="AA620" s="28"/>
    </row>
    <row r="621">
      <c r="A621" s="270" t="s">
        <v>3842</v>
      </c>
      <c r="B621" s="28" t="s">
        <v>36</v>
      </c>
      <c r="C621" s="28" t="s">
        <v>3843</v>
      </c>
      <c r="D621" s="28" t="s">
        <v>44</v>
      </c>
      <c r="E621" s="28" t="s">
        <v>44</v>
      </c>
      <c r="F621" s="28" t="s">
        <v>3751</v>
      </c>
      <c r="G621" s="28" t="s">
        <v>47</v>
      </c>
      <c r="H621" s="28" t="s">
        <v>95</v>
      </c>
      <c r="I621" s="28" t="s">
        <v>485</v>
      </c>
      <c r="J621" s="28" t="s">
        <v>3752</v>
      </c>
      <c r="K621" s="28" t="s">
        <v>3753</v>
      </c>
      <c r="L621" s="28" t="s">
        <v>52</v>
      </c>
      <c r="M621" s="28" t="s">
        <v>52</v>
      </c>
      <c r="N621" s="28" t="s">
        <v>3754</v>
      </c>
      <c r="O621" s="28" t="s">
        <v>44</v>
      </c>
      <c r="P621" s="28" t="s">
        <v>3844</v>
      </c>
      <c r="Q621" s="28" t="s">
        <v>3845</v>
      </c>
      <c r="R621" s="28" t="s">
        <v>44</v>
      </c>
      <c r="S621" s="28" t="s">
        <v>44</v>
      </c>
      <c r="T621" s="28" t="s">
        <v>44</v>
      </c>
      <c r="U621" s="28" t="s">
        <v>44</v>
      </c>
      <c r="V621" s="28" t="s">
        <v>3846</v>
      </c>
      <c r="W621" s="28" t="s">
        <v>774</v>
      </c>
      <c r="X621" s="28"/>
      <c r="Y621" s="28"/>
      <c r="Z621" s="28"/>
      <c r="AA621" s="28"/>
    </row>
    <row r="622">
      <c r="A622" s="270" t="s">
        <v>3847</v>
      </c>
      <c r="B622" s="28" t="s">
        <v>36</v>
      </c>
      <c r="C622" s="28" t="s">
        <v>3848</v>
      </c>
      <c r="D622" s="28" t="s">
        <v>44</v>
      </c>
      <c r="E622" s="28" t="s">
        <v>44</v>
      </c>
      <c r="F622" s="28" t="s">
        <v>3751</v>
      </c>
      <c r="G622" s="28" t="s">
        <v>47</v>
      </c>
      <c r="H622" s="28" t="s">
        <v>95</v>
      </c>
      <c r="I622" s="28" t="s">
        <v>485</v>
      </c>
      <c r="J622" s="28" t="s">
        <v>3752</v>
      </c>
      <c r="K622" s="28" t="s">
        <v>3753</v>
      </c>
      <c r="L622" s="28" t="s">
        <v>52</v>
      </c>
      <c r="M622" s="28" t="s">
        <v>52</v>
      </c>
      <c r="N622" s="28" t="s">
        <v>3754</v>
      </c>
      <c r="O622" s="28" t="s">
        <v>44</v>
      </c>
      <c r="P622" s="28" t="s">
        <v>3849</v>
      </c>
      <c r="Q622" s="28" t="s">
        <v>3850</v>
      </c>
      <c r="R622" s="28" t="s">
        <v>44</v>
      </c>
      <c r="S622" s="28" t="s">
        <v>44</v>
      </c>
      <c r="T622" s="28" t="s">
        <v>44</v>
      </c>
      <c r="U622" s="28" t="s">
        <v>44</v>
      </c>
      <c r="V622" s="28" t="s">
        <v>3851</v>
      </c>
      <c r="W622" s="28" t="s">
        <v>774</v>
      </c>
      <c r="X622" s="28"/>
      <c r="Y622" s="28"/>
      <c r="Z622" s="28"/>
      <c r="AA622" s="28"/>
    </row>
    <row r="623">
      <c r="A623" s="270" t="s">
        <v>3852</v>
      </c>
      <c r="B623" s="28" t="s">
        <v>36</v>
      </c>
      <c r="C623" s="28" t="s">
        <v>3853</v>
      </c>
      <c r="D623" s="28" t="s">
        <v>44</v>
      </c>
      <c r="E623" s="28" t="s">
        <v>44</v>
      </c>
      <c r="F623" s="28" t="s">
        <v>3751</v>
      </c>
      <c r="G623" s="28" t="s">
        <v>47</v>
      </c>
      <c r="H623" s="28" t="s">
        <v>95</v>
      </c>
      <c r="I623" s="28" t="s">
        <v>485</v>
      </c>
      <c r="J623" s="28" t="s">
        <v>3752</v>
      </c>
      <c r="K623" s="28" t="s">
        <v>3753</v>
      </c>
      <c r="L623" s="28" t="s">
        <v>52</v>
      </c>
      <c r="M623" s="28" t="s">
        <v>52</v>
      </c>
      <c r="N623" s="28" t="s">
        <v>3754</v>
      </c>
      <c r="O623" s="28" t="s">
        <v>44</v>
      </c>
      <c r="P623" s="28" t="s">
        <v>3854</v>
      </c>
      <c r="Q623" s="28" t="s">
        <v>3855</v>
      </c>
      <c r="R623" s="28" t="s">
        <v>44</v>
      </c>
      <c r="S623" s="28" t="s">
        <v>44</v>
      </c>
      <c r="T623" s="28" t="s">
        <v>44</v>
      </c>
      <c r="U623" s="28" t="s">
        <v>44</v>
      </c>
      <c r="V623" s="28" t="s">
        <v>3856</v>
      </c>
      <c r="W623" s="28" t="s">
        <v>774</v>
      </c>
      <c r="X623" s="28"/>
      <c r="Y623" s="28"/>
      <c r="Z623" s="28"/>
      <c r="AA623" s="28"/>
    </row>
    <row r="624">
      <c r="A624" s="270" t="s">
        <v>3857</v>
      </c>
      <c r="B624" s="28" t="s">
        <v>36</v>
      </c>
      <c r="C624" s="28" t="s">
        <v>3858</v>
      </c>
      <c r="D624" s="28" t="s">
        <v>44</v>
      </c>
      <c r="E624" s="28" t="s">
        <v>44</v>
      </c>
      <c r="F624" s="28" t="s">
        <v>3751</v>
      </c>
      <c r="G624" s="28" t="s">
        <v>47</v>
      </c>
      <c r="H624" s="28" t="s">
        <v>95</v>
      </c>
      <c r="I624" s="28" t="s">
        <v>485</v>
      </c>
      <c r="J624" s="28" t="s">
        <v>3752</v>
      </c>
      <c r="K624" s="28" t="s">
        <v>3753</v>
      </c>
      <c r="L624" s="28" t="s">
        <v>52</v>
      </c>
      <c r="M624" s="28" t="s">
        <v>52</v>
      </c>
      <c r="N624" s="28" t="s">
        <v>3754</v>
      </c>
      <c r="O624" s="28" t="s">
        <v>44</v>
      </c>
      <c r="P624" s="28" t="s">
        <v>3859</v>
      </c>
      <c r="Q624" s="28" t="s">
        <v>3860</v>
      </c>
      <c r="R624" s="28" t="s">
        <v>44</v>
      </c>
      <c r="S624" s="28" t="s">
        <v>44</v>
      </c>
      <c r="T624" s="28" t="s">
        <v>44</v>
      </c>
      <c r="U624" s="28" t="s">
        <v>44</v>
      </c>
      <c r="V624" s="28" t="s">
        <v>3861</v>
      </c>
      <c r="W624" s="28" t="s">
        <v>774</v>
      </c>
      <c r="X624" s="28"/>
      <c r="Y624" s="28"/>
      <c r="Z624" s="28"/>
      <c r="AA624" s="28"/>
    </row>
    <row r="625">
      <c r="A625" s="270" t="s">
        <v>3862</v>
      </c>
      <c r="B625" s="28" t="s">
        <v>36</v>
      </c>
      <c r="C625" s="28" t="s">
        <v>3863</v>
      </c>
      <c r="D625" s="28" t="s">
        <v>44</v>
      </c>
      <c r="E625" s="28" t="s">
        <v>44</v>
      </c>
      <c r="F625" s="28" t="s">
        <v>3751</v>
      </c>
      <c r="G625" s="28" t="s">
        <v>47</v>
      </c>
      <c r="H625" s="28" t="s">
        <v>48</v>
      </c>
      <c r="I625" s="28" t="s">
        <v>485</v>
      </c>
      <c r="J625" s="28" t="s">
        <v>3752</v>
      </c>
      <c r="K625" s="28" t="s">
        <v>3753</v>
      </c>
      <c r="L625" s="28" t="s">
        <v>52</v>
      </c>
      <c r="M625" s="28" t="s">
        <v>52</v>
      </c>
      <c r="N625" s="28" t="s">
        <v>3797</v>
      </c>
      <c r="O625" s="28" t="s">
        <v>44</v>
      </c>
      <c r="P625" s="28" t="s">
        <v>3864</v>
      </c>
      <c r="Q625" s="28" t="s">
        <v>3865</v>
      </c>
      <c r="R625" s="28" t="s">
        <v>44</v>
      </c>
      <c r="S625" s="28" t="s">
        <v>44</v>
      </c>
      <c r="T625" s="28" t="s">
        <v>44</v>
      </c>
      <c r="U625" s="28" t="s">
        <v>44</v>
      </c>
      <c r="V625" s="28" t="s">
        <v>3866</v>
      </c>
      <c r="W625" s="28" t="s">
        <v>3867</v>
      </c>
      <c r="X625" s="28"/>
      <c r="Y625" s="28"/>
      <c r="Z625" s="28"/>
      <c r="AA625" s="28"/>
    </row>
    <row r="626">
      <c r="A626" s="270" t="s">
        <v>3868</v>
      </c>
      <c r="B626" s="28" t="s">
        <v>36</v>
      </c>
      <c r="C626" s="28" t="s">
        <v>3869</v>
      </c>
      <c r="D626" s="28" t="s">
        <v>44</v>
      </c>
      <c r="E626" s="28" t="s">
        <v>44</v>
      </c>
      <c r="F626" s="28" t="s">
        <v>3751</v>
      </c>
      <c r="G626" s="28" t="s">
        <v>47</v>
      </c>
      <c r="H626" s="28" t="s">
        <v>48</v>
      </c>
      <c r="I626" s="28" t="s">
        <v>485</v>
      </c>
      <c r="J626" s="28" t="s">
        <v>3752</v>
      </c>
      <c r="K626" s="28" t="s">
        <v>3753</v>
      </c>
      <c r="L626" s="28" t="s">
        <v>52</v>
      </c>
      <c r="M626" s="28" t="s">
        <v>52</v>
      </c>
      <c r="N626" s="28" t="s">
        <v>3797</v>
      </c>
      <c r="O626" s="28" t="s">
        <v>44</v>
      </c>
      <c r="P626" s="28" t="s">
        <v>3870</v>
      </c>
      <c r="Q626" s="28" t="s">
        <v>3871</v>
      </c>
      <c r="R626" s="28" t="s">
        <v>44</v>
      </c>
      <c r="S626" s="28" t="s">
        <v>44</v>
      </c>
      <c r="T626" s="28" t="s">
        <v>44</v>
      </c>
      <c r="U626" s="28" t="s">
        <v>44</v>
      </c>
      <c r="V626" s="28" t="s">
        <v>3872</v>
      </c>
      <c r="W626" s="28" t="s">
        <v>3867</v>
      </c>
      <c r="X626" s="28"/>
      <c r="Y626" s="28"/>
      <c r="Z626" s="28"/>
      <c r="AA626" s="28"/>
    </row>
    <row r="627">
      <c r="A627" s="270" t="s">
        <v>3873</v>
      </c>
      <c r="B627" s="28" t="s">
        <v>36</v>
      </c>
      <c r="C627" s="28" t="s">
        <v>3874</v>
      </c>
      <c r="D627" s="28" t="s">
        <v>44</v>
      </c>
      <c r="E627" s="28" t="s">
        <v>44</v>
      </c>
      <c r="F627" s="28" t="s">
        <v>3751</v>
      </c>
      <c r="G627" s="28" t="s">
        <v>47</v>
      </c>
      <c r="H627" s="28" t="s">
        <v>48</v>
      </c>
      <c r="I627" s="28" t="s">
        <v>485</v>
      </c>
      <c r="J627" s="28" t="s">
        <v>3752</v>
      </c>
      <c r="K627" s="28" t="s">
        <v>3753</v>
      </c>
      <c r="L627" s="28" t="s">
        <v>52</v>
      </c>
      <c r="M627" s="28" t="s">
        <v>52</v>
      </c>
      <c r="N627" s="28" t="s">
        <v>3797</v>
      </c>
      <c r="O627" s="28" t="s">
        <v>44</v>
      </c>
      <c r="P627" s="28" t="s">
        <v>3875</v>
      </c>
      <c r="Q627" s="28" t="s">
        <v>3876</v>
      </c>
      <c r="R627" s="28" t="s">
        <v>44</v>
      </c>
      <c r="S627" s="28" t="s">
        <v>44</v>
      </c>
      <c r="T627" s="28" t="s">
        <v>44</v>
      </c>
      <c r="U627" s="28" t="s">
        <v>44</v>
      </c>
      <c r="V627" s="28" t="s">
        <v>3877</v>
      </c>
      <c r="W627" s="28" t="s">
        <v>3878</v>
      </c>
      <c r="X627" s="28"/>
      <c r="Y627" s="28"/>
      <c r="Z627" s="28"/>
      <c r="AA627" s="28"/>
    </row>
    <row r="628">
      <c r="A628" s="270" t="s">
        <v>3879</v>
      </c>
      <c r="B628" s="28" t="s">
        <v>36</v>
      </c>
      <c r="C628" s="28" t="s">
        <v>3880</v>
      </c>
      <c r="D628" s="28" t="s">
        <v>44</v>
      </c>
      <c r="E628" s="28" t="s">
        <v>44</v>
      </c>
      <c r="F628" s="28" t="s">
        <v>3751</v>
      </c>
      <c r="G628" s="28" t="s">
        <v>47</v>
      </c>
      <c r="H628" s="28" t="s">
        <v>48</v>
      </c>
      <c r="I628" s="28" t="s">
        <v>485</v>
      </c>
      <c r="J628" s="28" t="s">
        <v>3752</v>
      </c>
      <c r="K628" s="28" t="s">
        <v>3753</v>
      </c>
      <c r="L628" s="28" t="s">
        <v>52</v>
      </c>
      <c r="M628" s="28" t="s">
        <v>52</v>
      </c>
      <c r="N628" s="28" t="s">
        <v>3797</v>
      </c>
      <c r="O628" s="28" t="s">
        <v>44</v>
      </c>
      <c r="P628" s="28" t="s">
        <v>3881</v>
      </c>
      <c r="Q628" s="28" t="s">
        <v>3882</v>
      </c>
      <c r="R628" s="28" t="s">
        <v>44</v>
      </c>
      <c r="S628" s="28" t="s">
        <v>44</v>
      </c>
      <c r="T628" s="28" t="s">
        <v>44</v>
      </c>
      <c r="U628" s="28" t="s">
        <v>44</v>
      </c>
      <c r="V628" s="28" t="s">
        <v>3883</v>
      </c>
      <c r="W628" s="28" t="s">
        <v>3884</v>
      </c>
      <c r="X628" s="28"/>
      <c r="Y628" s="28"/>
      <c r="Z628" s="28"/>
      <c r="AA628" s="28"/>
    </row>
    <row r="629">
      <c r="A629" s="270" t="s">
        <v>3885</v>
      </c>
      <c r="B629" s="28" t="s">
        <v>36</v>
      </c>
      <c r="C629" s="28" t="s">
        <v>3886</v>
      </c>
      <c r="D629" s="28" t="s">
        <v>44</v>
      </c>
      <c r="E629" s="28" t="s">
        <v>44</v>
      </c>
      <c r="F629" s="28" t="s">
        <v>3751</v>
      </c>
      <c r="G629" s="28" t="s">
        <v>47</v>
      </c>
      <c r="H629" s="28" t="s">
        <v>48</v>
      </c>
      <c r="I629" s="28" t="s">
        <v>485</v>
      </c>
      <c r="J629" s="28" t="s">
        <v>3752</v>
      </c>
      <c r="K629" s="28" t="s">
        <v>3753</v>
      </c>
      <c r="L629" s="28" t="s">
        <v>52</v>
      </c>
      <c r="M629" s="28" t="s">
        <v>52</v>
      </c>
      <c r="N629" s="28" t="s">
        <v>3754</v>
      </c>
      <c r="O629" s="28" t="s">
        <v>44</v>
      </c>
      <c r="P629" s="28" t="s">
        <v>3409</v>
      </c>
      <c r="Q629" s="28" t="s">
        <v>3887</v>
      </c>
      <c r="R629" s="28" t="s">
        <v>44</v>
      </c>
      <c r="S629" s="28" t="s">
        <v>44</v>
      </c>
      <c r="T629" s="28" t="s">
        <v>44</v>
      </c>
      <c r="U629" s="28" t="s">
        <v>44</v>
      </c>
      <c r="V629" s="28" t="s">
        <v>3888</v>
      </c>
      <c r="W629" s="28" t="s">
        <v>3889</v>
      </c>
      <c r="X629" s="28"/>
      <c r="Y629" s="28"/>
      <c r="Z629" s="28"/>
      <c r="AA629" s="28"/>
    </row>
    <row r="630">
      <c r="A630" s="270" t="s">
        <v>3890</v>
      </c>
      <c r="B630" s="28" t="s">
        <v>36</v>
      </c>
      <c r="C630" s="28" t="s">
        <v>3891</v>
      </c>
      <c r="D630" s="28" t="s">
        <v>44</v>
      </c>
      <c r="E630" s="28" t="s">
        <v>44</v>
      </c>
      <c r="F630" s="28" t="s">
        <v>3751</v>
      </c>
      <c r="G630" s="28" t="s">
        <v>47</v>
      </c>
      <c r="H630" s="28" t="s">
        <v>95</v>
      </c>
      <c r="I630" s="28" t="s">
        <v>485</v>
      </c>
      <c r="J630" s="28" t="s">
        <v>3752</v>
      </c>
      <c r="K630" s="28" t="s">
        <v>3753</v>
      </c>
      <c r="L630" s="28" t="s">
        <v>52</v>
      </c>
      <c r="M630" s="28" t="s">
        <v>52</v>
      </c>
      <c r="N630" s="28" t="s">
        <v>3892</v>
      </c>
      <c r="O630" s="28" t="s">
        <v>44</v>
      </c>
      <c r="P630" s="28" t="s">
        <v>3893</v>
      </c>
      <c r="Q630" s="28" t="s">
        <v>3894</v>
      </c>
      <c r="R630" s="28" t="s">
        <v>44</v>
      </c>
      <c r="S630" s="28" t="s">
        <v>44</v>
      </c>
      <c r="T630" s="28" t="s">
        <v>44</v>
      </c>
      <c r="U630" s="28" t="s">
        <v>44</v>
      </c>
      <c r="V630" s="28" t="s">
        <v>3895</v>
      </c>
      <c r="W630" s="28" t="s">
        <v>3896</v>
      </c>
      <c r="X630" s="28"/>
      <c r="Y630" s="28"/>
      <c r="Z630" s="28"/>
      <c r="AA630" s="28"/>
    </row>
    <row r="631">
      <c r="A631" s="270" t="s">
        <v>3897</v>
      </c>
      <c r="B631" s="28" t="s">
        <v>36</v>
      </c>
      <c r="C631" s="28" t="s">
        <v>3898</v>
      </c>
      <c r="D631" s="28" t="s">
        <v>44</v>
      </c>
      <c r="E631" s="28" t="s">
        <v>44</v>
      </c>
      <c r="F631" s="28" t="s">
        <v>3751</v>
      </c>
      <c r="G631" s="28" t="s">
        <v>85</v>
      </c>
      <c r="H631" s="28" t="s">
        <v>86</v>
      </c>
      <c r="I631" s="28" t="s">
        <v>485</v>
      </c>
      <c r="J631" s="28" t="s">
        <v>3752</v>
      </c>
      <c r="K631" s="28" t="s">
        <v>3753</v>
      </c>
      <c r="L631" s="28" t="s">
        <v>52</v>
      </c>
      <c r="M631" s="28" t="s">
        <v>52</v>
      </c>
      <c r="N631" s="28" t="s">
        <v>3754</v>
      </c>
      <c r="O631" s="28" t="s">
        <v>44</v>
      </c>
      <c r="P631" s="28" t="s">
        <v>3419</v>
      </c>
      <c r="Q631" s="28" t="s">
        <v>3899</v>
      </c>
      <c r="R631" s="28" t="s">
        <v>44</v>
      </c>
      <c r="S631" s="28" t="s">
        <v>44</v>
      </c>
      <c r="T631" s="28" t="s">
        <v>44</v>
      </c>
      <c r="U631" s="28" t="s">
        <v>44</v>
      </c>
      <c r="V631" s="28" t="s">
        <v>3900</v>
      </c>
      <c r="W631" s="28" t="s">
        <v>3901</v>
      </c>
      <c r="X631" s="28"/>
      <c r="Y631" s="28"/>
      <c r="Z631" s="28"/>
      <c r="AA631" s="28"/>
    </row>
    <row r="632">
      <c r="A632" s="270" t="s">
        <v>3902</v>
      </c>
      <c r="B632" s="28" t="s">
        <v>36</v>
      </c>
      <c r="C632" s="28" t="s">
        <v>3903</v>
      </c>
      <c r="D632" s="28" t="s">
        <v>44</v>
      </c>
      <c r="E632" s="28" t="s">
        <v>44</v>
      </c>
      <c r="F632" s="28" t="s">
        <v>3751</v>
      </c>
      <c r="G632" s="28" t="s">
        <v>47</v>
      </c>
      <c r="H632" s="28" t="s">
        <v>91</v>
      </c>
      <c r="I632" s="28" t="s">
        <v>485</v>
      </c>
      <c r="J632" s="28" t="s">
        <v>3752</v>
      </c>
      <c r="K632" s="28" t="s">
        <v>3753</v>
      </c>
      <c r="L632" s="28" t="s">
        <v>52</v>
      </c>
      <c r="M632" s="28" t="s">
        <v>52</v>
      </c>
      <c r="N632" s="28" t="s">
        <v>3754</v>
      </c>
      <c r="O632" s="28" t="s">
        <v>44</v>
      </c>
      <c r="P632" s="28" t="s">
        <v>3904</v>
      </c>
      <c r="Q632" s="28" t="s">
        <v>3905</v>
      </c>
      <c r="R632" s="28" t="s">
        <v>44</v>
      </c>
      <c r="S632" s="28" t="s">
        <v>44</v>
      </c>
      <c r="T632" s="28" t="s">
        <v>44</v>
      </c>
      <c r="U632" s="28" t="s">
        <v>44</v>
      </c>
      <c r="V632" s="28" t="s">
        <v>3906</v>
      </c>
      <c r="W632" s="28" t="s">
        <v>3907</v>
      </c>
      <c r="X632" s="28"/>
      <c r="Y632" s="28"/>
      <c r="Z632" s="28"/>
      <c r="AA632" s="28"/>
    </row>
    <row r="633">
      <c r="A633" s="270" t="s">
        <v>3908</v>
      </c>
      <c r="B633" s="28" t="s">
        <v>36</v>
      </c>
      <c r="C633" s="28" t="s">
        <v>3909</v>
      </c>
      <c r="D633" s="28" t="s">
        <v>44</v>
      </c>
      <c r="E633" s="28" t="s">
        <v>44</v>
      </c>
      <c r="F633" s="28" t="s">
        <v>3910</v>
      </c>
      <c r="G633" s="28" t="s">
        <v>47</v>
      </c>
      <c r="H633" s="28" t="s">
        <v>48</v>
      </c>
      <c r="I633" s="28" t="s">
        <v>485</v>
      </c>
      <c r="J633" s="28" t="s">
        <v>3911</v>
      </c>
      <c r="K633" s="28" t="s">
        <v>51</v>
      </c>
      <c r="L633" s="28" t="s">
        <v>52</v>
      </c>
      <c r="M633" s="28" t="s">
        <v>52</v>
      </c>
      <c r="N633" s="28" t="s">
        <v>3912</v>
      </c>
      <c r="O633" s="28" t="s">
        <v>44</v>
      </c>
      <c r="P633" s="28" t="s">
        <v>934</v>
      </c>
      <c r="Q633" s="28" t="s">
        <v>3913</v>
      </c>
      <c r="R633" s="28" t="s">
        <v>44</v>
      </c>
      <c r="S633" s="28" t="s">
        <v>44</v>
      </c>
      <c r="T633" s="28" t="s">
        <v>44</v>
      </c>
      <c r="U633" s="28" t="s">
        <v>44</v>
      </c>
      <c r="V633" s="28" t="s">
        <v>3914</v>
      </c>
      <c r="W633" s="28" t="s">
        <v>774</v>
      </c>
      <c r="X633" s="28"/>
      <c r="Y633" s="28"/>
      <c r="Z633" s="28"/>
      <c r="AA633" s="28"/>
    </row>
    <row r="634">
      <c r="A634" s="270" t="s">
        <v>3915</v>
      </c>
      <c r="B634" s="28" t="s">
        <v>36</v>
      </c>
      <c r="C634" s="28" t="s">
        <v>3916</v>
      </c>
      <c r="D634" s="28" t="s">
        <v>44</v>
      </c>
      <c r="E634" s="28" t="s">
        <v>44</v>
      </c>
      <c r="F634" s="28" t="s">
        <v>3910</v>
      </c>
      <c r="G634" s="28" t="s">
        <v>47</v>
      </c>
      <c r="H634" s="28" t="s">
        <v>48</v>
      </c>
      <c r="I634" s="28" t="s">
        <v>485</v>
      </c>
      <c r="J634" s="28" t="s">
        <v>3911</v>
      </c>
      <c r="K634" s="28" t="s">
        <v>51</v>
      </c>
      <c r="L634" s="28" t="s">
        <v>52</v>
      </c>
      <c r="M634" s="28" t="s">
        <v>52</v>
      </c>
      <c r="N634" s="28" t="s">
        <v>3912</v>
      </c>
      <c r="O634" s="28" t="s">
        <v>44</v>
      </c>
      <c r="P634" s="28" t="s">
        <v>3917</v>
      </c>
      <c r="Q634" s="28" t="s">
        <v>3918</v>
      </c>
      <c r="R634" s="28" t="s">
        <v>44</v>
      </c>
      <c r="S634" s="28" t="s">
        <v>44</v>
      </c>
      <c r="T634" s="28" t="s">
        <v>44</v>
      </c>
      <c r="U634" s="28" t="s">
        <v>44</v>
      </c>
      <c r="V634" s="28" t="s">
        <v>3919</v>
      </c>
      <c r="W634" s="28" t="s">
        <v>774</v>
      </c>
      <c r="X634" s="28"/>
      <c r="Y634" s="28"/>
      <c r="Z634" s="28"/>
      <c r="AA634" s="28"/>
    </row>
    <row r="635">
      <c r="A635" s="270" t="s">
        <v>3920</v>
      </c>
      <c r="B635" s="28" t="s">
        <v>36</v>
      </c>
      <c r="C635" s="28" t="s">
        <v>3921</v>
      </c>
      <c r="D635" s="28" t="s">
        <v>44</v>
      </c>
      <c r="E635" s="28" t="s">
        <v>44</v>
      </c>
      <c r="F635" s="28" t="s">
        <v>3910</v>
      </c>
      <c r="G635" s="28" t="s">
        <v>47</v>
      </c>
      <c r="H635" s="28" t="s">
        <v>48</v>
      </c>
      <c r="I635" s="28" t="s">
        <v>485</v>
      </c>
      <c r="J635" s="28" t="s">
        <v>3911</v>
      </c>
      <c r="K635" s="28" t="s">
        <v>51</v>
      </c>
      <c r="L635" s="28" t="s">
        <v>52</v>
      </c>
      <c r="M635" s="28" t="s">
        <v>52</v>
      </c>
      <c r="N635" s="28" t="s">
        <v>3912</v>
      </c>
      <c r="O635" s="28" t="s">
        <v>44</v>
      </c>
      <c r="P635" s="28" t="s">
        <v>1002</v>
      </c>
      <c r="Q635" s="28" t="s">
        <v>3922</v>
      </c>
      <c r="R635" s="28" t="s">
        <v>44</v>
      </c>
      <c r="S635" s="28" t="s">
        <v>44</v>
      </c>
      <c r="T635" s="28" t="s">
        <v>44</v>
      </c>
      <c r="U635" s="28" t="s">
        <v>44</v>
      </c>
      <c r="V635" s="28" t="s">
        <v>3923</v>
      </c>
      <c r="W635" s="28" t="s">
        <v>3924</v>
      </c>
      <c r="X635" s="28"/>
      <c r="Y635" s="28"/>
      <c r="Z635" s="28"/>
      <c r="AA635" s="28"/>
    </row>
    <row r="636">
      <c r="A636" s="270" t="s">
        <v>3925</v>
      </c>
      <c r="B636" s="28" t="s">
        <v>36</v>
      </c>
      <c r="C636" s="28" t="s">
        <v>3926</v>
      </c>
      <c r="D636" s="28" t="s">
        <v>44</v>
      </c>
      <c r="E636" s="28" t="s">
        <v>44</v>
      </c>
      <c r="F636" s="28" t="s">
        <v>3910</v>
      </c>
      <c r="G636" s="28" t="s">
        <v>47</v>
      </c>
      <c r="H636" s="28" t="s">
        <v>48</v>
      </c>
      <c r="I636" s="28" t="s">
        <v>485</v>
      </c>
      <c r="J636" s="28" t="s">
        <v>3911</v>
      </c>
      <c r="K636" s="28" t="s">
        <v>51</v>
      </c>
      <c r="L636" s="28" t="s">
        <v>52</v>
      </c>
      <c r="M636" s="28" t="s">
        <v>52</v>
      </c>
      <c r="N636" s="28" t="s">
        <v>3912</v>
      </c>
      <c r="O636" s="28" t="s">
        <v>44</v>
      </c>
      <c r="P636" s="28" t="s">
        <v>1009</v>
      </c>
      <c r="Q636" s="28" t="s">
        <v>1648</v>
      </c>
      <c r="R636" s="28" t="s">
        <v>44</v>
      </c>
      <c r="S636" s="28" t="s">
        <v>44</v>
      </c>
      <c r="T636" s="28" t="s">
        <v>44</v>
      </c>
      <c r="U636" s="28" t="s">
        <v>44</v>
      </c>
      <c r="V636" s="28" t="s">
        <v>3927</v>
      </c>
      <c r="W636" s="28" t="s">
        <v>3928</v>
      </c>
      <c r="X636" s="28"/>
      <c r="Y636" s="28"/>
      <c r="Z636" s="28"/>
      <c r="AA636" s="28"/>
    </row>
    <row r="637">
      <c r="A637" s="270" t="s">
        <v>3929</v>
      </c>
      <c r="B637" s="28" t="s">
        <v>36</v>
      </c>
      <c r="C637" s="28" t="s">
        <v>3930</v>
      </c>
      <c r="D637" s="28" t="s">
        <v>44</v>
      </c>
      <c r="E637" s="28" t="s">
        <v>44</v>
      </c>
      <c r="F637" s="28" t="s">
        <v>3910</v>
      </c>
      <c r="G637" s="28" t="s">
        <v>47</v>
      </c>
      <c r="H637" s="28" t="s">
        <v>48</v>
      </c>
      <c r="I637" s="28" t="s">
        <v>485</v>
      </c>
      <c r="J637" s="28" t="s">
        <v>3911</v>
      </c>
      <c r="K637" s="28" t="s">
        <v>51</v>
      </c>
      <c r="L637" s="28" t="s">
        <v>52</v>
      </c>
      <c r="M637" s="28" t="s">
        <v>52</v>
      </c>
      <c r="N637" s="28" t="s">
        <v>3912</v>
      </c>
      <c r="O637" s="28" t="s">
        <v>44</v>
      </c>
      <c r="P637" s="28" t="s">
        <v>3931</v>
      </c>
      <c r="Q637" s="28" t="s">
        <v>3932</v>
      </c>
      <c r="R637" s="28" t="s">
        <v>44</v>
      </c>
      <c r="S637" s="28" t="s">
        <v>44</v>
      </c>
      <c r="T637" s="28" t="s">
        <v>44</v>
      </c>
      <c r="U637" s="28" t="s">
        <v>44</v>
      </c>
      <c r="V637" s="28" t="s">
        <v>3933</v>
      </c>
      <c r="W637" s="28" t="s">
        <v>3934</v>
      </c>
      <c r="X637" s="28"/>
      <c r="Y637" s="28"/>
      <c r="Z637" s="28"/>
      <c r="AA637" s="28"/>
    </row>
    <row r="638">
      <c r="A638" s="270" t="s">
        <v>3935</v>
      </c>
      <c r="B638" s="28" t="s">
        <v>36</v>
      </c>
      <c r="C638" s="28" t="s">
        <v>3936</v>
      </c>
      <c r="D638" s="28" t="s">
        <v>44</v>
      </c>
      <c r="E638" s="28" t="s">
        <v>44</v>
      </c>
      <c r="F638" s="28" t="s">
        <v>3910</v>
      </c>
      <c r="G638" s="28" t="s">
        <v>47</v>
      </c>
      <c r="H638" s="28" t="s">
        <v>48</v>
      </c>
      <c r="I638" s="28" t="s">
        <v>485</v>
      </c>
      <c r="J638" s="28" t="s">
        <v>3911</v>
      </c>
      <c r="K638" s="28" t="s">
        <v>51</v>
      </c>
      <c r="L638" s="28" t="s">
        <v>52</v>
      </c>
      <c r="M638" s="28" t="s">
        <v>52</v>
      </c>
      <c r="N638" s="28" t="s">
        <v>3912</v>
      </c>
      <c r="O638" s="28" t="s">
        <v>44</v>
      </c>
      <c r="P638" s="28" t="s">
        <v>3937</v>
      </c>
      <c r="Q638" s="28" t="s">
        <v>3938</v>
      </c>
      <c r="R638" s="28" t="s">
        <v>44</v>
      </c>
      <c r="S638" s="28" t="s">
        <v>44</v>
      </c>
      <c r="T638" s="28" t="s">
        <v>44</v>
      </c>
      <c r="U638" s="28" t="s">
        <v>44</v>
      </c>
      <c r="V638" s="28" t="s">
        <v>3939</v>
      </c>
      <c r="W638" s="28" t="s">
        <v>774</v>
      </c>
      <c r="X638" s="28"/>
      <c r="Y638" s="28"/>
      <c r="Z638" s="28"/>
      <c r="AA638" s="28"/>
    </row>
    <row r="639">
      <c r="A639" s="270" t="s">
        <v>3940</v>
      </c>
      <c r="B639" s="28" t="s">
        <v>36</v>
      </c>
      <c r="C639" s="28" t="s">
        <v>3941</v>
      </c>
      <c r="D639" s="28" t="s">
        <v>44</v>
      </c>
      <c r="E639" s="28" t="s">
        <v>44</v>
      </c>
      <c r="F639" s="28" t="s">
        <v>3910</v>
      </c>
      <c r="G639" s="28" t="s">
        <v>47</v>
      </c>
      <c r="H639" s="28" t="s">
        <v>91</v>
      </c>
      <c r="I639" s="28" t="s">
        <v>485</v>
      </c>
      <c r="J639" s="28" t="s">
        <v>3911</v>
      </c>
      <c r="K639" s="28" t="s">
        <v>51</v>
      </c>
      <c r="L639" s="28" t="s">
        <v>52</v>
      </c>
      <c r="M639" s="28" t="s">
        <v>52</v>
      </c>
      <c r="N639" s="28" t="s">
        <v>3912</v>
      </c>
      <c r="O639" s="28" t="s">
        <v>44</v>
      </c>
      <c r="P639" s="28" t="s">
        <v>3904</v>
      </c>
      <c r="Q639" s="28" t="s">
        <v>3905</v>
      </c>
      <c r="R639" s="28" t="s">
        <v>44</v>
      </c>
      <c r="S639" s="28" t="s">
        <v>44</v>
      </c>
      <c r="T639" s="28" t="s">
        <v>44</v>
      </c>
      <c r="U639" s="28" t="s">
        <v>44</v>
      </c>
      <c r="V639" s="28" t="s">
        <v>3942</v>
      </c>
      <c r="W639" s="28" t="s">
        <v>3943</v>
      </c>
      <c r="X639" s="28"/>
      <c r="Y639" s="28"/>
      <c r="Z639" s="28"/>
      <c r="AA639" s="28"/>
    </row>
    <row r="640">
      <c r="A640" s="270" t="s">
        <v>3944</v>
      </c>
      <c r="B640" s="28" t="s">
        <v>36</v>
      </c>
      <c r="C640" s="28" t="s">
        <v>3945</v>
      </c>
      <c r="D640" s="28" t="s">
        <v>44</v>
      </c>
      <c r="E640" s="28" t="s">
        <v>44</v>
      </c>
      <c r="F640" s="28" t="s">
        <v>3910</v>
      </c>
      <c r="G640" s="28" t="s">
        <v>47</v>
      </c>
      <c r="H640" s="28" t="s">
        <v>48</v>
      </c>
      <c r="I640" s="28" t="s">
        <v>485</v>
      </c>
      <c r="J640" s="28" t="s">
        <v>3911</v>
      </c>
      <c r="K640" s="28" t="s">
        <v>51</v>
      </c>
      <c r="L640" s="28" t="s">
        <v>52</v>
      </c>
      <c r="M640" s="28" t="s">
        <v>52</v>
      </c>
      <c r="N640" s="28" t="s">
        <v>3912</v>
      </c>
      <c r="O640" s="28" t="s">
        <v>44</v>
      </c>
      <c r="P640" s="28" t="s">
        <v>3946</v>
      </c>
      <c r="Q640" s="28" t="s">
        <v>3947</v>
      </c>
      <c r="R640" s="28" t="s">
        <v>44</v>
      </c>
      <c r="S640" s="28" t="s">
        <v>44</v>
      </c>
      <c r="T640" s="28" t="s">
        <v>44</v>
      </c>
      <c r="U640" s="28" t="s">
        <v>44</v>
      </c>
      <c r="V640" s="28" t="s">
        <v>3948</v>
      </c>
      <c r="W640" s="28" t="s">
        <v>774</v>
      </c>
      <c r="X640" s="28"/>
      <c r="Y640" s="28"/>
      <c r="Z640" s="28"/>
      <c r="AA640" s="28"/>
    </row>
    <row r="641">
      <c r="A641" s="270" t="s">
        <v>3949</v>
      </c>
      <c r="B641" s="28" t="s">
        <v>36</v>
      </c>
      <c r="C641" s="28" t="s">
        <v>3950</v>
      </c>
      <c r="D641" s="28" t="s">
        <v>44</v>
      </c>
      <c r="E641" s="28" t="s">
        <v>44</v>
      </c>
      <c r="F641" s="28" t="s">
        <v>3910</v>
      </c>
      <c r="G641" s="28" t="s">
        <v>47</v>
      </c>
      <c r="H641" s="28" t="s">
        <v>95</v>
      </c>
      <c r="I641" s="28" t="s">
        <v>485</v>
      </c>
      <c r="J641" s="28" t="s">
        <v>3911</v>
      </c>
      <c r="K641" s="28" t="s">
        <v>51</v>
      </c>
      <c r="L641" s="28" t="s">
        <v>52</v>
      </c>
      <c r="M641" s="28" t="s">
        <v>52</v>
      </c>
      <c r="N641" s="28" t="s">
        <v>3912</v>
      </c>
      <c r="O641" s="28" t="s">
        <v>44</v>
      </c>
      <c r="P641" s="28" t="s">
        <v>3951</v>
      </c>
      <c r="Q641" s="28" t="s">
        <v>3952</v>
      </c>
      <c r="R641" s="28" t="s">
        <v>44</v>
      </c>
      <c r="S641" s="28" t="s">
        <v>44</v>
      </c>
      <c r="T641" s="28" t="s">
        <v>44</v>
      </c>
      <c r="U641" s="28" t="s">
        <v>44</v>
      </c>
      <c r="V641" s="28" t="s">
        <v>3953</v>
      </c>
      <c r="W641" s="28" t="s">
        <v>3954</v>
      </c>
      <c r="X641" s="28"/>
      <c r="Y641" s="28"/>
      <c r="Z641" s="28"/>
      <c r="AA641" s="28"/>
    </row>
    <row r="642">
      <c r="A642" s="270" t="s">
        <v>3955</v>
      </c>
      <c r="B642" s="28" t="s">
        <v>36</v>
      </c>
      <c r="C642" s="28" t="s">
        <v>3956</v>
      </c>
      <c r="D642" s="28" t="s">
        <v>44</v>
      </c>
      <c r="E642" s="28" t="s">
        <v>44</v>
      </c>
      <c r="F642" s="28" t="s">
        <v>3910</v>
      </c>
      <c r="G642" s="28" t="s">
        <v>47</v>
      </c>
      <c r="H642" s="28" t="s">
        <v>48</v>
      </c>
      <c r="I642" s="28" t="s">
        <v>485</v>
      </c>
      <c r="J642" s="28" t="s">
        <v>3911</v>
      </c>
      <c r="K642" s="28" t="s">
        <v>51</v>
      </c>
      <c r="L642" s="28" t="s">
        <v>52</v>
      </c>
      <c r="M642" s="28" t="s">
        <v>52</v>
      </c>
      <c r="N642" s="28" t="s">
        <v>3912</v>
      </c>
      <c r="O642" s="28" t="s">
        <v>44</v>
      </c>
      <c r="P642" s="28" t="s">
        <v>3957</v>
      </c>
      <c r="Q642" s="28" t="s">
        <v>3958</v>
      </c>
      <c r="R642" s="28" t="s">
        <v>44</v>
      </c>
      <c r="S642" s="28" t="s">
        <v>44</v>
      </c>
      <c r="T642" s="28" t="s">
        <v>44</v>
      </c>
      <c r="U642" s="28" t="s">
        <v>44</v>
      </c>
      <c r="V642" s="28" t="s">
        <v>3959</v>
      </c>
      <c r="W642" s="28" t="s">
        <v>3960</v>
      </c>
      <c r="X642" s="28"/>
      <c r="Y642" s="28"/>
      <c r="Z642" s="28"/>
      <c r="AA642" s="28"/>
    </row>
    <row r="643">
      <c r="A643" s="270" t="s">
        <v>3961</v>
      </c>
      <c r="B643" s="28" t="s">
        <v>36</v>
      </c>
      <c r="C643" s="28" t="s">
        <v>3962</v>
      </c>
      <c r="D643" s="28" t="s">
        <v>44</v>
      </c>
      <c r="E643" s="28" t="s">
        <v>44</v>
      </c>
      <c r="F643" s="28" t="s">
        <v>3910</v>
      </c>
      <c r="G643" s="28" t="s">
        <v>47</v>
      </c>
      <c r="H643" s="28" t="s">
        <v>48</v>
      </c>
      <c r="I643" s="28" t="s">
        <v>485</v>
      </c>
      <c r="J643" s="28" t="s">
        <v>3911</v>
      </c>
      <c r="K643" s="28" t="s">
        <v>51</v>
      </c>
      <c r="L643" s="28" t="s">
        <v>52</v>
      </c>
      <c r="M643" s="28" t="s">
        <v>52</v>
      </c>
      <c r="N643" s="28" t="s">
        <v>3912</v>
      </c>
      <c r="O643" s="28" t="s">
        <v>44</v>
      </c>
      <c r="P643" s="28" t="s">
        <v>3963</v>
      </c>
      <c r="Q643" s="28" t="s">
        <v>3964</v>
      </c>
      <c r="R643" s="28" t="s">
        <v>44</v>
      </c>
      <c r="S643" s="28" t="s">
        <v>44</v>
      </c>
      <c r="T643" s="28" t="s">
        <v>44</v>
      </c>
      <c r="U643" s="28" t="s">
        <v>44</v>
      </c>
      <c r="V643" s="28" t="s">
        <v>3965</v>
      </c>
      <c r="W643" s="28" t="s">
        <v>774</v>
      </c>
      <c r="X643" s="28"/>
      <c r="Y643" s="28"/>
      <c r="Z643" s="28"/>
      <c r="AA643" s="28"/>
    </row>
    <row r="644">
      <c r="A644" s="270" t="s">
        <v>3966</v>
      </c>
      <c r="B644" s="28" t="s">
        <v>36</v>
      </c>
      <c r="C644" s="28" t="s">
        <v>3967</v>
      </c>
      <c r="D644" s="28" t="s">
        <v>44</v>
      </c>
      <c r="E644" s="28" t="s">
        <v>44</v>
      </c>
      <c r="F644" s="28" t="s">
        <v>3910</v>
      </c>
      <c r="G644" s="28" t="s">
        <v>111</v>
      </c>
      <c r="H644" s="28" t="s">
        <v>91</v>
      </c>
      <c r="I644" s="28" t="s">
        <v>485</v>
      </c>
      <c r="J644" s="28" t="s">
        <v>3911</v>
      </c>
      <c r="K644" s="28" t="s">
        <v>51</v>
      </c>
      <c r="L644" s="28" t="s">
        <v>52</v>
      </c>
      <c r="M644" s="28" t="s">
        <v>52</v>
      </c>
      <c r="N644" s="28" t="s">
        <v>3912</v>
      </c>
      <c r="O644" s="28" t="s">
        <v>44</v>
      </c>
      <c r="P644" s="28" t="s">
        <v>3893</v>
      </c>
      <c r="Q644" s="28" t="s">
        <v>1400</v>
      </c>
      <c r="R644" s="28" t="s">
        <v>44</v>
      </c>
      <c r="S644" s="28" t="s">
        <v>44</v>
      </c>
      <c r="T644" s="28" t="s">
        <v>44</v>
      </c>
      <c r="U644" s="28" t="s">
        <v>44</v>
      </c>
      <c r="V644" s="28" t="s">
        <v>3968</v>
      </c>
      <c r="W644" s="28" t="s">
        <v>3969</v>
      </c>
      <c r="X644" s="28"/>
      <c r="Y644" s="28"/>
      <c r="Z644" s="28"/>
      <c r="AA644" s="28"/>
    </row>
    <row r="645">
      <c r="A645" s="270" t="s">
        <v>3970</v>
      </c>
      <c r="B645" s="28" t="s">
        <v>36</v>
      </c>
      <c r="C645" s="28" t="s">
        <v>3971</v>
      </c>
      <c r="D645" s="28" t="s">
        <v>44</v>
      </c>
      <c r="E645" s="28" t="s">
        <v>44</v>
      </c>
      <c r="F645" s="28" t="s">
        <v>3910</v>
      </c>
      <c r="G645" s="28" t="s">
        <v>47</v>
      </c>
      <c r="H645" s="28" t="s">
        <v>48</v>
      </c>
      <c r="I645" s="28" t="s">
        <v>485</v>
      </c>
      <c r="J645" s="28" t="s">
        <v>3911</v>
      </c>
      <c r="K645" s="28" t="s">
        <v>51</v>
      </c>
      <c r="L645" s="28" t="s">
        <v>52</v>
      </c>
      <c r="M645" s="28" t="s">
        <v>52</v>
      </c>
      <c r="N645" s="28" t="s">
        <v>3912</v>
      </c>
      <c r="O645" s="28" t="s">
        <v>44</v>
      </c>
      <c r="P645" s="28" t="s">
        <v>3972</v>
      </c>
      <c r="Q645" s="28" t="s">
        <v>3973</v>
      </c>
      <c r="R645" s="28" t="s">
        <v>44</v>
      </c>
      <c r="S645" s="28" t="s">
        <v>44</v>
      </c>
      <c r="T645" s="28" t="s">
        <v>44</v>
      </c>
      <c r="U645" s="28" t="s">
        <v>44</v>
      </c>
      <c r="V645" s="28" t="s">
        <v>3974</v>
      </c>
      <c r="W645" s="28" t="s">
        <v>774</v>
      </c>
      <c r="X645" s="28"/>
      <c r="Y645" s="28"/>
      <c r="Z645" s="28"/>
      <c r="AA645" s="28"/>
    </row>
    <row r="646">
      <c r="A646" s="270" t="s">
        <v>3975</v>
      </c>
      <c r="B646" s="28" t="s">
        <v>36</v>
      </c>
      <c r="C646" s="28" t="s">
        <v>3976</v>
      </c>
      <c r="D646" s="28" t="s">
        <v>44</v>
      </c>
      <c r="E646" s="28" t="s">
        <v>44</v>
      </c>
      <c r="F646" s="28" t="s">
        <v>3910</v>
      </c>
      <c r="G646" s="28" t="s">
        <v>111</v>
      </c>
      <c r="H646" s="28" t="s">
        <v>91</v>
      </c>
      <c r="I646" s="28" t="s">
        <v>485</v>
      </c>
      <c r="J646" s="28" t="s">
        <v>3911</v>
      </c>
      <c r="K646" s="28" t="s">
        <v>51</v>
      </c>
      <c r="L646" s="28" t="s">
        <v>52</v>
      </c>
      <c r="M646" s="28" t="s">
        <v>52</v>
      </c>
      <c r="N646" s="28" t="s">
        <v>3912</v>
      </c>
      <c r="O646" s="28" t="s">
        <v>44</v>
      </c>
      <c r="P646" s="28" t="s">
        <v>3977</v>
      </c>
      <c r="Q646" s="28" t="s">
        <v>1407</v>
      </c>
      <c r="R646" s="28" t="s">
        <v>44</v>
      </c>
      <c r="S646" s="28" t="s">
        <v>44</v>
      </c>
      <c r="T646" s="28" t="s">
        <v>44</v>
      </c>
      <c r="U646" s="28" t="s">
        <v>44</v>
      </c>
      <c r="V646" s="28" t="s">
        <v>3978</v>
      </c>
      <c r="W646" s="28" t="s">
        <v>3979</v>
      </c>
      <c r="X646" s="28"/>
      <c r="Y646" s="28"/>
      <c r="Z646" s="28"/>
      <c r="AA646" s="28"/>
    </row>
    <row r="647">
      <c r="A647" s="270" t="s">
        <v>3980</v>
      </c>
      <c r="B647" s="28" t="s">
        <v>36</v>
      </c>
      <c r="C647" s="28" t="s">
        <v>3981</v>
      </c>
      <c r="D647" s="28" t="s">
        <v>44</v>
      </c>
      <c r="E647" s="28" t="s">
        <v>44</v>
      </c>
      <c r="F647" s="28" t="s">
        <v>3910</v>
      </c>
      <c r="G647" s="28" t="s">
        <v>47</v>
      </c>
      <c r="H647" s="28" t="s">
        <v>48</v>
      </c>
      <c r="I647" s="28" t="s">
        <v>485</v>
      </c>
      <c r="J647" s="28" t="s">
        <v>3911</v>
      </c>
      <c r="K647" s="28" t="s">
        <v>51</v>
      </c>
      <c r="L647" s="28" t="s">
        <v>52</v>
      </c>
      <c r="M647" s="28" t="s">
        <v>52</v>
      </c>
      <c r="N647" s="28" t="s">
        <v>3912</v>
      </c>
      <c r="O647" s="28" t="s">
        <v>44</v>
      </c>
      <c r="P647" s="28" t="s">
        <v>3982</v>
      </c>
      <c r="Q647" s="28" t="s">
        <v>3983</v>
      </c>
      <c r="R647" s="28" t="s">
        <v>44</v>
      </c>
      <c r="S647" s="28" t="s">
        <v>44</v>
      </c>
      <c r="T647" s="28" t="s">
        <v>44</v>
      </c>
      <c r="U647" s="28" t="s">
        <v>44</v>
      </c>
      <c r="V647" s="28" t="s">
        <v>3984</v>
      </c>
      <c r="W647" s="28" t="s">
        <v>774</v>
      </c>
      <c r="X647" s="28"/>
      <c r="Y647" s="28"/>
      <c r="Z647" s="28"/>
      <c r="AA647" s="28"/>
    </row>
    <row r="648">
      <c r="A648" s="270" t="s">
        <v>3985</v>
      </c>
      <c r="B648" s="28" t="s">
        <v>36</v>
      </c>
      <c r="C648" s="28" t="s">
        <v>3986</v>
      </c>
      <c r="D648" s="28" t="s">
        <v>44</v>
      </c>
      <c r="E648" s="28" t="s">
        <v>44</v>
      </c>
      <c r="F648" s="28" t="s">
        <v>3910</v>
      </c>
      <c r="G648" s="28" t="s">
        <v>47</v>
      </c>
      <c r="H648" s="28" t="s">
        <v>48</v>
      </c>
      <c r="I648" s="28" t="s">
        <v>485</v>
      </c>
      <c r="J648" s="28" t="s">
        <v>3911</v>
      </c>
      <c r="K648" s="28" t="s">
        <v>51</v>
      </c>
      <c r="L648" s="28" t="s">
        <v>52</v>
      </c>
      <c r="M648" s="28" t="s">
        <v>52</v>
      </c>
      <c r="N648" s="28" t="s">
        <v>3912</v>
      </c>
      <c r="O648" s="28" t="s">
        <v>44</v>
      </c>
      <c r="P648" s="28" t="s">
        <v>3987</v>
      </c>
      <c r="Q648" s="28" t="s">
        <v>3988</v>
      </c>
      <c r="R648" s="28" t="s">
        <v>44</v>
      </c>
      <c r="S648" s="28" t="s">
        <v>44</v>
      </c>
      <c r="T648" s="28" t="s">
        <v>44</v>
      </c>
      <c r="U648" s="28" t="s">
        <v>44</v>
      </c>
      <c r="V648" s="28" t="s">
        <v>3989</v>
      </c>
      <c r="W648" s="28" t="s">
        <v>774</v>
      </c>
      <c r="X648" s="28"/>
      <c r="Y648" s="28"/>
      <c r="Z648" s="28"/>
      <c r="AA648" s="28"/>
    </row>
    <row r="649">
      <c r="A649" s="270" t="s">
        <v>3990</v>
      </c>
      <c r="B649" s="28" t="s">
        <v>36</v>
      </c>
      <c r="C649" s="28" t="s">
        <v>3991</v>
      </c>
      <c r="D649" s="28" t="s">
        <v>44</v>
      </c>
      <c r="E649" s="28" t="s">
        <v>44</v>
      </c>
      <c r="F649" s="28" t="s">
        <v>3910</v>
      </c>
      <c r="G649" s="28" t="s">
        <v>47</v>
      </c>
      <c r="H649" s="28" t="s">
        <v>91</v>
      </c>
      <c r="I649" s="28" t="s">
        <v>485</v>
      </c>
      <c r="J649" s="28" t="s">
        <v>3911</v>
      </c>
      <c r="K649" s="28" t="s">
        <v>51</v>
      </c>
      <c r="L649" s="28" t="s">
        <v>52</v>
      </c>
      <c r="M649" s="28" t="s">
        <v>52</v>
      </c>
      <c r="N649" s="28" t="s">
        <v>3912</v>
      </c>
      <c r="O649" s="28" t="s">
        <v>44</v>
      </c>
      <c r="P649" s="28" t="s">
        <v>3992</v>
      </c>
      <c r="Q649" s="28" t="s">
        <v>3993</v>
      </c>
      <c r="R649" s="28" t="s">
        <v>44</v>
      </c>
      <c r="S649" s="28" t="s">
        <v>44</v>
      </c>
      <c r="T649" s="28" t="s">
        <v>44</v>
      </c>
      <c r="U649" s="28" t="s">
        <v>44</v>
      </c>
      <c r="V649" s="28" t="s">
        <v>3994</v>
      </c>
      <c r="W649" s="28" t="s">
        <v>3995</v>
      </c>
      <c r="X649" s="28"/>
      <c r="Y649" s="28"/>
      <c r="Z649" s="28"/>
      <c r="AA649" s="28"/>
    </row>
    <row r="650">
      <c r="A650" s="270" t="s">
        <v>3996</v>
      </c>
      <c r="B650" s="28" t="s">
        <v>36</v>
      </c>
      <c r="C650" s="28" t="s">
        <v>3997</v>
      </c>
      <c r="D650" s="28" t="s">
        <v>44</v>
      </c>
      <c r="E650" s="28" t="s">
        <v>44</v>
      </c>
      <c r="F650" s="28" t="s">
        <v>3910</v>
      </c>
      <c r="G650" s="28" t="s">
        <v>47</v>
      </c>
      <c r="H650" s="28" t="s">
        <v>48</v>
      </c>
      <c r="I650" s="28" t="s">
        <v>485</v>
      </c>
      <c r="J650" s="28" t="s">
        <v>3911</v>
      </c>
      <c r="K650" s="28" t="s">
        <v>51</v>
      </c>
      <c r="L650" s="28" t="s">
        <v>52</v>
      </c>
      <c r="M650" s="28" t="s">
        <v>52</v>
      </c>
      <c r="N650" s="28" t="s">
        <v>3912</v>
      </c>
      <c r="O650" s="28" t="s">
        <v>44</v>
      </c>
      <c r="P650" s="28" t="s">
        <v>3998</v>
      </c>
      <c r="Q650" s="28" t="s">
        <v>3999</v>
      </c>
      <c r="R650" s="28" t="s">
        <v>44</v>
      </c>
      <c r="S650" s="28" t="s">
        <v>44</v>
      </c>
      <c r="T650" s="28" t="s">
        <v>44</v>
      </c>
      <c r="U650" s="28" t="s">
        <v>44</v>
      </c>
      <c r="V650" s="28" t="s">
        <v>4000</v>
      </c>
      <c r="W650" s="28" t="s">
        <v>774</v>
      </c>
      <c r="X650" s="28"/>
      <c r="Y650" s="28"/>
      <c r="Z650" s="28"/>
      <c r="AA650" s="28"/>
    </row>
    <row r="651">
      <c r="A651" s="270" t="s">
        <v>4001</v>
      </c>
      <c r="B651" s="28" t="s">
        <v>36</v>
      </c>
      <c r="C651" s="28" t="s">
        <v>4002</v>
      </c>
      <c r="D651" s="28" t="s">
        <v>44</v>
      </c>
      <c r="E651" s="28" t="s">
        <v>44</v>
      </c>
      <c r="F651" s="28" t="s">
        <v>3910</v>
      </c>
      <c r="G651" s="28" t="s">
        <v>47</v>
      </c>
      <c r="H651" s="28" t="s">
        <v>95</v>
      </c>
      <c r="I651" s="28" t="s">
        <v>485</v>
      </c>
      <c r="J651" s="28" t="s">
        <v>3911</v>
      </c>
      <c r="K651" s="28" t="s">
        <v>51</v>
      </c>
      <c r="L651" s="28" t="s">
        <v>52</v>
      </c>
      <c r="M651" s="28" t="s">
        <v>52</v>
      </c>
      <c r="N651" s="28" t="s">
        <v>4003</v>
      </c>
      <c r="O651" s="28" t="s">
        <v>44</v>
      </c>
      <c r="P651" s="28" t="s">
        <v>4004</v>
      </c>
      <c r="Q651" s="28" t="s">
        <v>4005</v>
      </c>
      <c r="R651" s="28" t="s">
        <v>44</v>
      </c>
      <c r="S651" s="28" t="s">
        <v>44</v>
      </c>
      <c r="T651" s="28" t="s">
        <v>44</v>
      </c>
      <c r="U651" s="28" t="s">
        <v>44</v>
      </c>
      <c r="V651" s="28" t="s">
        <v>4006</v>
      </c>
      <c r="W651" s="28" t="s">
        <v>4007</v>
      </c>
      <c r="X651" s="28"/>
      <c r="Y651" s="28"/>
      <c r="Z651" s="28"/>
      <c r="AA651" s="28"/>
    </row>
    <row r="652">
      <c r="A652" s="270" t="s">
        <v>4008</v>
      </c>
      <c r="B652" s="28" t="s">
        <v>36</v>
      </c>
      <c r="C652" s="28" t="s">
        <v>4009</v>
      </c>
      <c r="D652" s="28" t="s">
        <v>44</v>
      </c>
      <c r="E652" s="28" t="s">
        <v>44</v>
      </c>
      <c r="F652" s="28" t="s">
        <v>3910</v>
      </c>
      <c r="G652" s="28" t="s">
        <v>47</v>
      </c>
      <c r="H652" s="28" t="s">
        <v>48</v>
      </c>
      <c r="I652" s="28" t="s">
        <v>485</v>
      </c>
      <c r="J652" s="28" t="s">
        <v>3911</v>
      </c>
      <c r="K652" s="28" t="s">
        <v>51</v>
      </c>
      <c r="L652" s="28" t="s">
        <v>52</v>
      </c>
      <c r="M652" s="28" t="s">
        <v>52</v>
      </c>
      <c r="N652" s="28" t="s">
        <v>3912</v>
      </c>
      <c r="O652" s="28" t="s">
        <v>44</v>
      </c>
      <c r="P652" s="28" t="s">
        <v>4010</v>
      </c>
      <c r="Q652" s="28" t="s">
        <v>4011</v>
      </c>
      <c r="R652" s="28" t="s">
        <v>44</v>
      </c>
      <c r="S652" s="28" t="s">
        <v>44</v>
      </c>
      <c r="T652" s="28" t="s">
        <v>44</v>
      </c>
      <c r="U652" s="28" t="s">
        <v>44</v>
      </c>
      <c r="V652" s="28" t="s">
        <v>4012</v>
      </c>
      <c r="W652" s="28" t="s">
        <v>774</v>
      </c>
      <c r="X652" s="28"/>
      <c r="Y652" s="28"/>
      <c r="Z652" s="28"/>
      <c r="AA652" s="28"/>
    </row>
    <row r="653">
      <c r="A653" s="270" t="s">
        <v>4013</v>
      </c>
      <c r="B653" s="28" t="s">
        <v>36</v>
      </c>
      <c r="C653" s="28" t="s">
        <v>4014</v>
      </c>
      <c r="D653" s="28" t="s">
        <v>44</v>
      </c>
      <c r="E653" s="28" t="s">
        <v>44</v>
      </c>
      <c r="F653" s="28" t="s">
        <v>3910</v>
      </c>
      <c r="G653" s="28" t="s">
        <v>47</v>
      </c>
      <c r="H653" s="28" t="s">
        <v>48</v>
      </c>
      <c r="I653" s="28" t="s">
        <v>485</v>
      </c>
      <c r="J653" s="28" t="s">
        <v>3911</v>
      </c>
      <c r="K653" s="28" t="s">
        <v>51</v>
      </c>
      <c r="L653" s="28" t="s">
        <v>52</v>
      </c>
      <c r="M653" s="28" t="s">
        <v>52</v>
      </c>
      <c r="N653" s="28" t="s">
        <v>3912</v>
      </c>
      <c r="O653" s="28" t="s">
        <v>44</v>
      </c>
      <c r="P653" s="28" t="s">
        <v>4015</v>
      </c>
      <c r="Q653" s="28" t="s">
        <v>4016</v>
      </c>
      <c r="R653" s="28" t="s">
        <v>44</v>
      </c>
      <c r="S653" s="28" t="s">
        <v>44</v>
      </c>
      <c r="T653" s="28" t="s">
        <v>44</v>
      </c>
      <c r="U653" s="28" t="s">
        <v>44</v>
      </c>
      <c r="V653" s="28" t="s">
        <v>4017</v>
      </c>
      <c r="W653" s="28" t="s">
        <v>774</v>
      </c>
      <c r="X653" s="28"/>
      <c r="Y653" s="28"/>
      <c r="Z653" s="28"/>
      <c r="AA653" s="28"/>
    </row>
    <row r="654">
      <c r="A654" s="270" t="s">
        <v>4018</v>
      </c>
      <c r="B654" s="28" t="s">
        <v>36</v>
      </c>
      <c r="C654" s="28" t="s">
        <v>4019</v>
      </c>
      <c r="D654" s="28" t="s">
        <v>44</v>
      </c>
      <c r="E654" s="28" t="s">
        <v>44</v>
      </c>
      <c r="F654" s="28" t="s">
        <v>3910</v>
      </c>
      <c r="G654" s="28" t="s">
        <v>47</v>
      </c>
      <c r="H654" s="28" t="s">
        <v>95</v>
      </c>
      <c r="I654" s="28" t="s">
        <v>485</v>
      </c>
      <c r="J654" s="28" t="s">
        <v>3911</v>
      </c>
      <c r="K654" s="28" t="s">
        <v>51</v>
      </c>
      <c r="L654" s="28" t="s">
        <v>52</v>
      </c>
      <c r="M654" s="28" t="s">
        <v>52</v>
      </c>
      <c r="N654" s="28" t="s">
        <v>4003</v>
      </c>
      <c r="O654" s="28" t="s">
        <v>44</v>
      </c>
      <c r="P654" s="28" t="s">
        <v>4020</v>
      </c>
      <c r="Q654" s="28" t="s">
        <v>4021</v>
      </c>
      <c r="R654" s="28" t="s">
        <v>44</v>
      </c>
      <c r="S654" s="28" t="s">
        <v>44</v>
      </c>
      <c r="T654" s="28" t="s">
        <v>44</v>
      </c>
      <c r="U654" s="28" t="s">
        <v>44</v>
      </c>
      <c r="V654" s="28" t="s">
        <v>4022</v>
      </c>
      <c r="W654" s="28" t="s">
        <v>4023</v>
      </c>
      <c r="X654" s="28"/>
      <c r="Y654" s="28"/>
      <c r="Z654" s="28"/>
      <c r="AA654" s="28"/>
    </row>
    <row r="655">
      <c r="A655" s="270" t="s">
        <v>4024</v>
      </c>
      <c r="B655" s="28" t="s">
        <v>36</v>
      </c>
      <c r="C655" s="28" t="s">
        <v>4025</v>
      </c>
      <c r="D655" s="28" t="s">
        <v>44</v>
      </c>
      <c r="E655" s="28" t="s">
        <v>44</v>
      </c>
      <c r="F655" s="28" t="s">
        <v>3910</v>
      </c>
      <c r="G655" s="28" t="s">
        <v>47</v>
      </c>
      <c r="H655" s="28" t="s">
        <v>48</v>
      </c>
      <c r="I655" s="28" t="s">
        <v>485</v>
      </c>
      <c r="J655" s="28" t="s">
        <v>3911</v>
      </c>
      <c r="K655" s="28" t="s">
        <v>51</v>
      </c>
      <c r="L655" s="28" t="s">
        <v>52</v>
      </c>
      <c r="M655" s="28" t="s">
        <v>52</v>
      </c>
      <c r="N655" s="28" t="s">
        <v>3912</v>
      </c>
      <c r="O655" s="28" t="s">
        <v>44</v>
      </c>
      <c r="P655" s="28" t="s">
        <v>4026</v>
      </c>
      <c r="Q655" s="28" t="s">
        <v>4027</v>
      </c>
      <c r="R655" s="28" t="s">
        <v>44</v>
      </c>
      <c r="S655" s="28" t="s">
        <v>44</v>
      </c>
      <c r="T655" s="28" t="s">
        <v>44</v>
      </c>
      <c r="U655" s="28" t="s">
        <v>44</v>
      </c>
      <c r="V655" s="28" t="s">
        <v>4028</v>
      </c>
      <c r="W655" s="28" t="s">
        <v>774</v>
      </c>
      <c r="X655" s="28"/>
      <c r="Y655" s="28"/>
      <c r="Z655" s="28"/>
      <c r="AA655" s="28"/>
    </row>
    <row r="656">
      <c r="A656" s="270" t="s">
        <v>4029</v>
      </c>
      <c r="B656" s="28" t="s">
        <v>36</v>
      </c>
      <c r="C656" s="28" t="s">
        <v>4030</v>
      </c>
      <c r="D656" s="28" t="s">
        <v>44</v>
      </c>
      <c r="E656" s="28" t="s">
        <v>44</v>
      </c>
      <c r="F656" s="28" t="s">
        <v>3910</v>
      </c>
      <c r="G656" s="28" t="s">
        <v>47</v>
      </c>
      <c r="H656" s="28" t="s">
        <v>48</v>
      </c>
      <c r="I656" s="28" t="s">
        <v>485</v>
      </c>
      <c r="J656" s="28" t="s">
        <v>3911</v>
      </c>
      <c r="K656" s="28" t="s">
        <v>51</v>
      </c>
      <c r="L656" s="28" t="s">
        <v>52</v>
      </c>
      <c r="M656" s="28" t="s">
        <v>52</v>
      </c>
      <c r="N656" s="28" t="s">
        <v>4031</v>
      </c>
      <c r="O656" s="28" t="s">
        <v>44</v>
      </c>
      <c r="P656" s="28" t="s">
        <v>4032</v>
      </c>
      <c r="Q656" s="28" t="s">
        <v>4033</v>
      </c>
      <c r="R656" s="28" t="s">
        <v>44</v>
      </c>
      <c r="S656" s="28" t="s">
        <v>44</v>
      </c>
      <c r="T656" s="28" t="s">
        <v>44</v>
      </c>
      <c r="U656" s="28" t="s">
        <v>44</v>
      </c>
      <c r="V656" s="28" t="s">
        <v>4034</v>
      </c>
      <c r="W656" s="28" t="s">
        <v>4035</v>
      </c>
      <c r="X656" s="28"/>
      <c r="Y656" s="28"/>
      <c r="Z656" s="28"/>
      <c r="AA656" s="28"/>
    </row>
    <row r="657">
      <c r="A657" s="270" t="s">
        <v>4036</v>
      </c>
      <c r="B657" s="28" t="s">
        <v>36</v>
      </c>
      <c r="C657" s="28" t="s">
        <v>4037</v>
      </c>
      <c r="D657" s="28" t="s">
        <v>44</v>
      </c>
      <c r="E657" s="28" t="s">
        <v>44</v>
      </c>
      <c r="F657" s="28" t="s">
        <v>3910</v>
      </c>
      <c r="G657" s="28" t="s">
        <v>47</v>
      </c>
      <c r="H657" s="28" t="s">
        <v>48</v>
      </c>
      <c r="I657" s="28" t="s">
        <v>485</v>
      </c>
      <c r="J657" s="28" t="s">
        <v>3911</v>
      </c>
      <c r="K657" s="28" t="s">
        <v>51</v>
      </c>
      <c r="L657" s="28" t="s">
        <v>52</v>
      </c>
      <c r="M657" s="28" t="s">
        <v>52</v>
      </c>
      <c r="N657" s="28" t="s">
        <v>3912</v>
      </c>
      <c r="O657" s="28" t="s">
        <v>44</v>
      </c>
      <c r="P657" s="28" t="s">
        <v>4038</v>
      </c>
      <c r="Q657" s="28" t="s">
        <v>4039</v>
      </c>
      <c r="R657" s="28" t="s">
        <v>44</v>
      </c>
      <c r="S657" s="28" t="s">
        <v>44</v>
      </c>
      <c r="T657" s="28" t="s">
        <v>44</v>
      </c>
      <c r="U657" s="28" t="s">
        <v>44</v>
      </c>
      <c r="V657" s="28" t="s">
        <v>4040</v>
      </c>
      <c r="W657" s="28" t="s">
        <v>774</v>
      </c>
      <c r="X657" s="28"/>
      <c r="Y657" s="28"/>
      <c r="Z657" s="28"/>
      <c r="AA657" s="28"/>
    </row>
    <row r="658">
      <c r="A658" s="270" t="s">
        <v>4041</v>
      </c>
      <c r="B658" s="28" t="s">
        <v>36</v>
      </c>
      <c r="C658" s="28" t="s">
        <v>4042</v>
      </c>
      <c r="D658" s="28" t="s">
        <v>44</v>
      </c>
      <c r="E658" s="28" t="s">
        <v>44</v>
      </c>
      <c r="F658" s="28" t="s">
        <v>3910</v>
      </c>
      <c r="G658" s="28" t="s">
        <v>47</v>
      </c>
      <c r="H658" s="28" t="s">
        <v>48</v>
      </c>
      <c r="I658" s="28" t="s">
        <v>485</v>
      </c>
      <c r="J658" s="28" t="s">
        <v>3911</v>
      </c>
      <c r="K658" s="28" t="s">
        <v>51</v>
      </c>
      <c r="L658" s="28" t="s">
        <v>52</v>
      </c>
      <c r="M658" s="28" t="s">
        <v>52</v>
      </c>
      <c r="N658" s="28" t="s">
        <v>4043</v>
      </c>
      <c r="O658" s="28" t="s">
        <v>44</v>
      </c>
      <c r="P658" s="28" t="s">
        <v>4044</v>
      </c>
      <c r="Q658" s="28" t="s">
        <v>4045</v>
      </c>
      <c r="R658" s="28" t="s">
        <v>44</v>
      </c>
      <c r="S658" s="28" t="s">
        <v>44</v>
      </c>
      <c r="T658" s="28" t="s">
        <v>44</v>
      </c>
      <c r="U658" s="28" t="s">
        <v>44</v>
      </c>
      <c r="V658" s="28" t="s">
        <v>4046</v>
      </c>
      <c r="W658" s="28" t="s">
        <v>4047</v>
      </c>
      <c r="X658" s="28"/>
      <c r="Y658" s="28"/>
      <c r="Z658" s="28"/>
      <c r="AA658" s="28"/>
    </row>
    <row r="659">
      <c r="A659" s="270" t="s">
        <v>4048</v>
      </c>
      <c r="B659" s="28" t="s">
        <v>36</v>
      </c>
      <c r="C659" s="28" t="s">
        <v>4049</v>
      </c>
      <c r="D659" s="28" t="s">
        <v>44</v>
      </c>
      <c r="E659" s="28" t="s">
        <v>44</v>
      </c>
      <c r="F659" s="28" t="s">
        <v>3910</v>
      </c>
      <c r="G659" s="28" t="s">
        <v>47</v>
      </c>
      <c r="H659" s="28" t="s">
        <v>48</v>
      </c>
      <c r="I659" s="28" t="s">
        <v>485</v>
      </c>
      <c r="J659" s="28" t="s">
        <v>3911</v>
      </c>
      <c r="K659" s="28" t="s">
        <v>51</v>
      </c>
      <c r="L659" s="28" t="s">
        <v>52</v>
      </c>
      <c r="M659" s="28" t="s">
        <v>52</v>
      </c>
      <c r="N659" s="28" t="s">
        <v>3912</v>
      </c>
      <c r="O659" s="28" t="s">
        <v>44</v>
      </c>
      <c r="P659" s="28" t="s">
        <v>4050</v>
      </c>
      <c r="Q659" s="28" t="s">
        <v>4051</v>
      </c>
      <c r="R659" s="28" t="s">
        <v>44</v>
      </c>
      <c r="S659" s="28" t="s">
        <v>44</v>
      </c>
      <c r="T659" s="28" t="s">
        <v>44</v>
      </c>
      <c r="U659" s="28" t="s">
        <v>44</v>
      </c>
      <c r="V659" s="28" t="s">
        <v>4052</v>
      </c>
      <c r="W659" s="28" t="s">
        <v>774</v>
      </c>
      <c r="X659" s="28"/>
      <c r="Y659" s="28"/>
      <c r="Z659" s="28"/>
      <c r="AA659" s="28"/>
    </row>
    <row r="660">
      <c r="A660" s="270" t="s">
        <v>4053</v>
      </c>
      <c r="B660" s="28" t="s">
        <v>36</v>
      </c>
      <c r="C660" s="28" t="s">
        <v>4054</v>
      </c>
      <c r="D660" s="28" t="s">
        <v>44</v>
      </c>
      <c r="E660" s="28" t="s">
        <v>44</v>
      </c>
      <c r="F660" s="28" t="s">
        <v>3910</v>
      </c>
      <c r="G660" s="28" t="s">
        <v>47</v>
      </c>
      <c r="H660" s="28" t="s">
        <v>48</v>
      </c>
      <c r="I660" s="28" t="s">
        <v>485</v>
      </c>
      <c r="J660" s="28" t="s">
        <v>3911</v>
      </c>
      <c r="K660" s="28" t="s">
        <v>51</v>
      </c>
      <c r="L660" s="28" t="s">
        <v>52</v>
      </c>
      <c r="M660" s="28" t="s">
        <v>52</v>
      </c>
      <c r="N660" s="28" t="s">
        <v>4003</v>
      </c>
      <c r="O660" s="28" t="s">
        <v>44</v>
      </c>
      <c r="P660" s="28" t="s">
        <v>4055</v>
      </c>
      <c r="Q660" s="28" t="s">
        <v>4045</v>
      </c>
      <c r="R660" s="28" t="s">
        <v>44</v>
      </c>
      <c r="S660" s="28" t="s">
        <v>44</v>
      </c>
      <c r="T660" s="28" t="s">
        <v>44</v>
      </c>
      <c r="U660" s="28" t="s">
        <v>44</v>
      </c>
      <c r="V660" s="28" t="s">
        <v>4056</v>
      </c>
      <c r="W660" s="28" t="s">
        <v>4057</v>
      </c>
      <c r="X660" s="28"/>
      <c r="Y660" s="28"/>
      <c r="Z660" s="28"/>
      <c r="AA660" s="28"/>
    </row>
    <row r="661">
      <c r="A661" s="270" t="s">
        <v>4058</v>
      </c>
      <c r="B661" s="28" t="s">
        <v>36</v>
      </c>
      <c r="C661" s="28" t="s">
        <v>4059</v>
      </c>
      <c r="D661" s="28" t="s">
        <v>44</v>
      </c>
      <c r="E661" s="28" t="s">
        <v>44</v>
      </c>
      <c r="F661" s="28" t="s">
        <v>3910</v>
      </c>
      <c r="G661" s="28" t="s">
        <v>47</v>
      </c>
      <c r="H661" s="28" t="s">
        <v>48</v>
      </c>
      <c r="I661" s="28" t="s">
        <v>485</v>
      </c>
      <c r="J661" s="28" t="s">
        <v>3911</v>
      </c>
      <c r="K661" s="28" t="s">
        <v>51</v>
      </c>
      <c r="L661" s="28" t="s">
        <v>52</v>
      </c>
      <c r="M661" s="28" t="s">
        <v>52</v>
      </c>
      <c r="N661" s="28" t="s">
        <v>3912</v>
      </c>
      <c r="O661" s="28" t="s">
        <v>44</v>
      </c>
      <c r="P661" s="28" t="s">
        <v>4060</v>
      </c>
      <c r="Q661" s="28" t="s">
        <v>4061</v>
      </c>
      <c r="R661" s="28" t="s">
        <v>44</v>
      </c>
      <c r="S661" s="28" t="s">
        <v>44</v>
      </c>
      <c r="T661" s="28" t="s">
        <v>44</v>
      </c>
      <c r="U661" s="28" t="s">
        <v>44</v>
      </c>
      <c r="V661" s="28" t="s">
        <v>4062</v>
      </c>
      <c r="W661" s="28" t="s">
        <v>774</v>
      </c>
      <c r="X661" s="28"/>
      <c r="Y661" s="28"/>
      <c r="Z661" s="28"/>
      <c r="AA661" s="28"/>
    </row>
    <row r="662">
      <c r="A662" s="270" t="s">
        <v>4063</v>
      </c>
      <c r="B662" s="28" t="s">
        <v>36</v>
      </c>
      <c r="C662" s="28" t="s">
        <v>4064</v>
      </c>
      <c r="D662" s="28" t="s">
        <v>44</v>
      </c>
      <c r="E662" s="28" t="s">
        <v>44</v>
      </c>
      <c r="F662" s="28" t="s">
        <v>3910</v>
      </c>
      <c r="G662" s="28" t="s">
        <v>47</v>
      </c>
      <c r="H662" s="28" t="s">
        <v>48</v>
      </c>
      <c r="I662" s="28" t="s">
        <v>485</v>
      </c>
      <c r="J662" s="28" t="s">
        <v>3911</v>
      </c>
      <c r="K662" s="28" t="s">
        <v>51</v>
      </c>
      <c r="L662" s="28" t="s">
        <v>52</v>
      </c>
      <c r="M662" s="28" t="s">
        <v>52</v>
      </c>
      <c r="N662" s="28" t="s">
        <v>3912</v>
      </c>
      <c r="O662" s="28" t="s">
        <v>44</v>
      </c>
      <c r="P662" s="28" t="s">
        <v>4065</v>
      </c>
      <c r="Q662" s="28" t="s">
        <v>4066</v>
      </c>
      <c r="R662" s="28" t="s">
        <v>44</v>
      </c>
      <c r="S662" s="28" t="s">
        <v>44</v>
      </c>
      <c r="T662" s="28" t="s">
        <v>44</v>
      </c>
      <c r="U662" s="28" t="s">
        <v>44</v>
      </c>
      <c r="V662" s="28" t="s">
        <v>4067</v>
      </c>
      <c r="W662" s="28" t="s">
        <v>774</v>
      </c>
      <c r="X662" s="28"/>
      <c r="Y662" s="28"/>
      <c r="Z662" s="28"/>
      <c r="AA662" s="28"/>
    </row>
    <row r="663">
      <c r="A663" s="270" t="s">
        <v>4068</v>
      </c>
      <c r="B663" s="28" t="s">
        <v>36</v>
      </c>
      <c r="C663" s="28" t="s">
        <v>4069</v>
      </c>
      <c r="D663" s="28" t="s">
        <v>44</v>
      </c>
      <c r="E663" s="28" t="s">
        <v>44</v>
      </c>
      <c r="F663" s="28" t="s">
        <v>3910</v>
      </c>
      <c r="G663" s="28" t="s">
        <v>197</v>
      </c>
      <c r="H663" s="28" t="s">
        <v>48</v>
      </c>
      <c r="I663" s="28" t="s">
        <v>485</v>
      </c>
      <c r="J663" s="28" t="s">
        <v>3911</v>
      </c>
      <c r="K663" s="28" t="s">
        <v>51</v>
      </c>
      <c r="L663" s="28" t="s">
        <v>52</v>
      </c>
      <c r="M663" s="28" t="s">
        <v>52</v>
      </c>
      <c r="N663" s="28" t="s">
        <v>4070</v>
      </c>
      <c r="O663" s="28" t="s">
        <v>44</v>
      </c>
      <c r="P663" s="28" t="s">
        <v>4071</v>
      </c>
      <c r="Q663" s="28" t="s">
        <v>4072</v>
      </c>
      <c r="R663" s="28" t="s">
        <v>44</v>
      </c>
      <c r="S663" s="28" t="s">
        <v>44</v>
      </c>
      <c r="T663" s="28" t="s">
        <v>44</v>
      </c>
      <c r="U663" s="28" t="s">
        <v>44</v>
      </c>
      <c r="V663" s="28" t="s">
        <v>4073</v>
      </c>
      <c r="W663" s="28" t="s">
        <v>774</v>
      </c>
      <c r="X663" s="28"/>
      <c r="Y663" s="28"/>
      <c r="Z663" s="28"/>
      <c r="AA663" s="28"/>
    </row>
    <row r="664">
      <c r="A664" s="270" t="s">
        <v>4074</v>
      </c>
      <c r="B664" s="28" t="s">
        <v>36</v>
      </c>
      <c r="C664" s="28" t="s">
        <v>4075</v>
      </c>
      <c r="D664" s="28" t="s">
        <v>44</v>
      </c>
      <c r="E664" s="28" t="s">
        <v>44</v>
      </c>
      <c r="F664" s="28" t="s">
        <v>3910</v>
      </c>
      <c r="G664" s="28" t="s">
        <v>47</v>
      </c>
      <c r="H664" s="28" t="s">
        <v>48</v>
      </c>
      <c r="I664" s="28" t="s">
        <v>485</v>
      </c>
      <c r="J664" s="28" t="s">
        <v>3911</v>
      </c>
      <c r="K664" s="28" t="s">
        <v>51</v>
      </c>
      <c r="L664" s="28" t="s">
        <v>52</v>
      </c>
      <c r="M664" s="28" t="s">
        <v>52</v>
      </c>
      <c r="N664" s="28" t="s">
        <v>4076</v>
      </c>
      <c r="O664" s="28" t="s">
        <v>44</v>
      </c>
      <c r="P664" s="28" t="s">
        <v>4077</v>
      </c>
      <c r="Q664" s="28" t="s">
        <v>4078</v>
      </c>
      <c r="R664" s="28" t="s">
        <v>44</v>
      </c>
      <c r="S664" s="28" t="s">
        <v>44</v>
      </c>
      <c r="T664" s="28" t="s">
        <v>44</v>
      </c>
      <c r="U664" s="28" t="s">
        <v>44</v>
      </c>
      <c r="V664" s="28" t="s">
        <v>4079</v>
      </c>
      <c r="W664" s="28" t="s">
        <v>774</v>
      </c>
      <c r="X664" s="28"/>
      <c r="Y664" s="28"/>
      <c r="Z664" s="28"/>
      <c r="AA664" s="28"/>
    </row>
    <row r="665">
      <c r="A665" s="270" t="s">
        <v>4080</v>
      </c>
      <c r="B665" s="28" t="s">
        <v>36</v>
      </c>
      <c r="C665" s="28" t="s">
        <v>4081</v>
      </c>
      <c r="D665" s="28" t="s">
        <v>44</v>
      </c>
      <c r="E665" s="28" t="s">
        <v>44</v>
      </c>
      <c r="F665" s="28" t="s">
        <v>3910</v>
      </c>
      <c r="G665" s="28" t="s">
        <v>197</v>
      </c>
      <c r="H665" s="28" t="s">
        <v>91</v>
      </c>
      <c r="I665" s="28" t="s">
        <v>485</v>
      </c>
      <c r="J665" s="28" t="s">
        <v>3911</v>
      </c>
      <c r="K665" s="28" t="s">
        <v>51</v>
      </c>
      <c r="L665" s="28" t="s">
        <v>52</v>
      </c>
      <c r="M665" s="28" t="s">
        <v>52</v>
      </c>
      <c r="N665" s="28" t="s">
        <v>3912</v>
      </c>
      <c r="O665" s="28" t="s">
        <v>44</v>
      </c>
      <c r="P665" s="28" t="s">
        <v>4082</v>
      </c>
      <c r="Q665" s="28" t="s">
        <v>4083</v>
      </c>
      <c r="R665" s="28" t="s">
        <v>44</v>
      </c>
      <c r="S665" s="28" t="s">
        <v>44</v>
      </c>
      <c r="T665" s="28" t="s">
        <v>44</v>
      </c>
      <c r="U665" s="28" t="s">
        <v>44</v>
      </c>
      <c r="V665" s="28" t="s">
        <v>4084</v>
      </c>
      <c r="W665" s="28" t="s">
        <v>4085</v>
      </c>
      <c r="X665" s="28"/>
      <c r="Y665" s="28"/>
      <c r="Z665" s="28"/>
      <c r="AA665" s="28"/>
    </row>
    <row r="666">
      <c r="A666" s="270" t="s">
        <v>4086</v>
      </c>
      <c r="B666" s="28" t="s">
        <v>36</v>
      </c>
      <c r="C666" s="28" t="s">
        <v>4087</v>
      </c>
      <c r="D666" s="28" t="s">
        <v>44</v>
      </c>
      <c r="E666" s="28" t="s">
        <v>44</v>
      </c>
      <c r="F666" s="28" t="s">
        <v>3910</v>
      </c>
      <c r="G666" s="28" t="s">
        <v>47</v>
      </c>
      <c r="H666" s="28" t="s">
        <v>95</v>
      </c>
      <c r="I666" s="28" t="s">
        <v>485</v>
      </c>
      <c r="J666" s="28" t="s">
        <v>3911</v>
      </c>
      <c r="K666" s="28" t="s">
        <v>51</v>
      </c>
      <c r="L666" s="28" t="s">
        <v>52</v>
      </c>
      <c r="M666" s="28" t="s">
        <v>52</v>
      </c>
      <c r="N666" s="28" t="s">
        <v>3912</v>
      </c>
      <c r="O666" s="28" t="s">
        <v>44</v>
      </c>
      <c r="P666" s="28" t="s">
        <v>4088</v>
      </c>
      <c r="Q666" s="28" t="s">
        <v>4089</v>
      </c>
      <c r="R666" s="28" t="s">
        <v>44</v>
      </c>
      <c r="S666" s="28" t="s">
        <v>44</v>
      </c>
      <c r="T666" s="28" t="s">
        <v>44</v>
      </c>
      <c r="U666" s="28" t="s">
        <v>44</v>
      </c>
      <c r="V666" s="28" t="s">
        <v>4090</v>
      </c>
      <c r="W666" s="28" t="s">
        <v>774</v>
      </c>
      <c r="X666" s="28"/>
      <c r="Y666" s="28"/>
      <c r="Z666" s="28"/>
      <c r="AA666" s="28"/>
    </row>
    <row r="667">
      <c r="A667" s="270" t="s">
        <v>4091</v>
      </c>
      <c r="B667" s="28" t="s">
        <v>36</v>
      </c>
      <c r="C667" s="28" t="s">
        <v>4092</v>
      </c>
      <c r="D667" s="28" t="s">
        <v>44</v>
      </c>
      <c r="E667" s="28" t="s">
        <v>44</v>
      </c>
      <c r="F667" s="28" t="s">
        <v>3910</v>
      </c>
      <c r="G667" s="28" t="s">
        <v>47</v>
      </c>
      <c r="H667" s="28" t="s">
        <v>48</v>
      </c>
      <c r="I667" s="28" t="s">
        <v>485</v>
      </c>
      <c r="J667" s="28" t="s">
        <v>3911</v>
      </c>
      <c r="K667" s="28" t="s">
        <v>51</v>
      </c>
      <c r="L667" s="28" t="s">
        <v>52</v>
      </c>
      <c r="M667" s="28" t="s">
        <v>52</v>
      </c>
      <c r="N667" s="28" t="s">
        <v>4093</v>
      </c>
      <c r="O667" s="28" t="s">
        <v>44</v>
      </c>
      <c r="P667" s="28" t="s">
        <v>4094</v>
      </c>
      <c r="Q667" s="28" t="s">
        <v>4095</v>
      </c>
      <c r="R667" s="28" t="s">
        <v>44</v>
      </c>
      <c r="S667" s="28" t="s">
        <v>44</v>
      </c>
      <c r="T667" s="28" t="s">
        <v>44</v>
      </c>
      <c r="U667" s="28" t="s">
        <v>44</v>
      </c>
      <c r="V667" s="28" t="s">
        <v>4096</v>
      </c>
      <c r="W667" s="28" t="s">
        <v>4097</v>
      </c>
      <c r="X667" s="28"/>
      <c r="Y667" s="28"/>
      <c r="Z667" s="28"/>
      <c r="AA667" s="28"/>
    </row>
    <row r="668">
      <c r="A668" s="270" t="s">
        <v>4098</v>
      </c>
      <c r="B668" s="28" t="s">
        <v>36</v>
      </c>
      <c r="C668" s="28" t="s">
        <v>4099</v>
      </c>
      <c r="D668" s="28" t="s">
        <v>44</v>
      </c>
      <c r="E668" s="28" t="s">
        <v>44</v>
      </c>
      <c r="F668" s="28" t="s">
        <v>3910</v>
      </c>
      <c r="G668" s="28" t="s">
        <v>47</v>
      </c>
      <c r="H668" s="28" t="s">
        <v>91</v>
      </c>
      <c r="I668" s="28" t="s">
        <v>485</v>
      </c>
      <c r="J668" s="28" t="s">
        <v>3911</v>
      </c>
      <c r="K668" s="28" t="s">
        <v>51</v>
      </c>
      <c r="L668" s="28" t="s">
        <v>52</v>
      </c>
      <c r="M668" s="28" t="s">
        <v>52</v>
      </c>
      <c r="N668" s="28" t="s">
        <v>4093</v>
      </c>
      <c r="O668" s="28" t="s">
        <v>44</v>
      </c>
      <c r="P668" s="28" t="s">
        <v>4100</v>
      </c>
      <c r="Q668" s="28" t="s">
        <v>4101</v>
      </c>
      <c r="R668" s="28" t="s">
        <v>44</v>
      </c>
      <c r="S668" s="28" t="s">
        <v>44</v>
      </c>
      <c r="T668" s="28" t="s">
        <v>44</v>
      </c>
      <c r="U668" s="28" t="s">
        <v>44</v>
      </c>
      <c r="V668" s="28" t="s">
        <v>4102</v>
      </c>
      <c r="W668" s="28" t="s">
        <v>4103</v>
      </c>
      <c r="X668" s="28"/>
      <c r="Y668" s="28"/>
      <c r="Z668" s="28"/>
      <c r="AA668" s="28"/>
    </row>
    <row r="669">
      <c r="A669" s="270" t="s">
        <v>4104</v>
      </c>
      <c r="B669" s="28" t="s">
        <v>36</v>
      </c>
      <c r="C669" s="28" t="s">
        <v>4105</v>
      </c>
      <c r="D669" s="28" t="s">
        <v>44</v>
      </c>
      <c r="E669" s="28" t="s">
        <v>44</v>
      </c>
      <c r="F669" s="28" t="s">
        <v>3910</v>
      </c>
      <c r="G669" s="28" t="s">
        <v>47</v>
      </c>
      <c r="H669" s="28" t="s">
        <v>91</v>
      </c>
      <c r="I669" s="28" t="s">
        <v>485</v>
      </c>
      <c r="J669" s="28" t="s">
        <v>3911</v>
      </c>
      <c r="K669" s="28" t="s">
        <v>51</v>
      </c>
      <c r="L669" s="28" t="s">
        <v>52</v>
      </c>
      <c r="M669" s="28" t="s">
        <v>52</v>
      </c>
      <c r="N669" s="28" t="s">
        <v>4093</v>
      </c>
      <c r="O669" s="28" t="s">
        <v>44</v>
      </c>
      <c r="P669" s="28" t="s">
        <v>4106</v>
      </c>
      <c r="Q669" s="28" t="s">
        <v>4107</v>
      </c>
      <c r="R669" s="28" t="s">
        <v>44</v>
      </c>
      <c r="S669" s="28" t="s">
        <v>44</v>
      </c>
      <c r="T669" s="28" t="s">
        <v>44</v>
      </c>
      <c r="U669" s="28" t="s">
        <v>44</v>
      </c>
      <c r="V669" s="28" t="s">
        <v>4108</v>
      </c>
      <c r="W669" s="28" t="s">
        <v>4109</v>
      </c>
      <c r="X669" s="28"/>
      <c r="Y669" s="28"/>
      <c r="Z669" s="28"/>
      <c r="AA669" s="28"/>
    </row>
    <row r="670">
      <c r="A670" s="270" t="s">
        <v>4110</v>
      </c>
      <c r="B670" s="28" t="s">
        <v>36</v>
      </c>
      <c r="C670" s="28" t="s">
        <v>4111</v>
      </c>
      <c r="D670" s="28" t="s">
        <v>44</v>
      </c>
      <c r="E670" s="28" t="s">
        <v>44</v>
      </c>
      <c r="F670" s="28" t="s">
        <v>3910</v>
      </c>
      <c r="G670" s="28" t="s">
        <v>47</v>
      </c>
      <c r="H670" s="28" t="s">
        <v>48</v>
      </c>
      <c r="I670" s="28" t="s">
        <v>485</v>
      </c>
      <c r="J670" s="28" t="s">
        <v>3911</v>
      </c>
      <c r="K670" s="28" t="s">
        <v>51</v>
      </c>
      <c r="L670" s="28" t="s">
        <v>52</v>
      </c>
      <c r="M670" s="28" t="s">
        <v>52</v>
      </c>
      <c r="N670" s="28" t="s">
        <v>4093</v>
      </c>
      <c r="O670" s="28" t="s">
        <v>44</v>
      </c>
      <c r="P670" s="28" t="s">
        <v>4112</v>
      </c>
      <c r="Q670" s="28" t="s">
        <v>4113</v>
      </c>
      <c r="R670" s="28" t="s">
        <v>44</v>
      </c>
      <c r="S670" s="28" t="s">
        <v>44</v>
      </c>
      <c r="T670" s="28" t="s">
        <v>44</v>
      </c>
      <c r="U670" s="28" t="s">
        <v>44</v>
      </c>
      <c r="V670" s="28" t="s">
        <v>4114</v>
      </c>
      <c r="W670" s="28" t="s">
        <v>774</v>
      </c>
      <c r="X670" s="28"/>
      <c r="Y670" s="28"/>
      <c r="Z670" s="28"/>
      <c r="AA670" s="28"/>
    </row>
    <row r="671">
      <c r="A671" s="270" t="s">
        <v>4115</v>
      </c>
      <c r="B671" s="28" t="s">
        <v>36</v>
      </c>
      <c r="C671" s="28" t="s">
        <v>4116</v>
      </c>
      <c r="D671" s="28" t="s">
        <v>44</v>
      </c>
      <c r="E671" s="28" t="s">
        <v>44</v>
      </c>
      <c r="F671" s="28" t="s">
        <v>3910</v>
      </c>
      <c r="G671" s="28" t="s">
        <v>47</v>
      </c>
      <c r="H671" s="28" t="s">
        <v>95</v>
      </c>
      <c r="I671" s="28" t="s">
        <v>485</v>
      </c>
      <c r="J671" s="28" t="s">
        <v>3911</v>
      </c>
      <c r="K671" s="28" t="s">
        <v>51</v>
      </c>
      <c r="L671" s="28" t="s">
        <v>52</v>
      </c>
      <c r="M671" s="28" t="s">
        <v>52</v>
      </c>
      <c r="N671" s="28" t="s">
        <v>4093</v>
      </c>
      <c r="O671" s="28" t="s">
        <v>44</v>
      </c>
      <c r="P671" s="28" t="s">
        <v>4117</v>
      </c>
      <c r="Q671" s="28" t="s">
        <v>4118</v>
      </c>
      <c r="R671" s="28" t="s">
        <v>44</v>
      </c>
      <c r="S671" s="28" t="s">
        <v>44</v>
      </c>
      <c r="T671" s="28" t="s">
        <v>44</v>
      </c>
      <c r="U671" s="28" t="s">
        <v>44</v>
      </c>
      <c r="V671" s="28" t="s">
        <v>4119</v>
      </c>
      <c r="W671" s="28" t="s">
        <v>4120</v>
      </c>
      <c r="X671" s="28"/>
      <c r="Y671" s="28"/>
      <c r="Z671" s="28"/>
      <c r="AA671" s="28"/>
    </row>
    <row r="672">
      <c r="A672" s="270" t="s">
        <v>4121</v>
      </c>
      <c r="B672" s="28" t="s">
        <v>36</v>
      </c>
      <c r="C672" s="28" t="s">
        <v>4122</v>
      </c>
      <c r="D672" s="28" t="s">
        <v>44</v>
      </c>
      <c r="E672" s="28" t="s">
        <v>44</v>
      </c>
      <c r="F672" s="28" t="s">
        <v>3910</v>
      </c>
      <c r="G672" s="28" t="s">
        <v>47</v>
      </c>
      <c r="H672" s="28" t="s">
        <v>48</v>
      </c>
      <c r="I672" s="28" t="s">
        <v>485</v>
      </c>
      <c r="J672" s="28" t="s">
        <v>3911</v>
      </c>
      <c r="K672" s="28" t="s">
        <v>51</v>
      </c>
      <c r="L672" s="28" t="s">
        <v>52</v>
      </c>
      <c r="M672" s="28" t="s">
        <v>52</v>
      </c>
      <c r="N672" s="28" t="s">
        <v>4093</v>
      </c>
      <c r="O672" s="28" t="s">
        <v>44</v>
      </c>
      <c r="P672" s="28" t="s">
        <v>4123</v>
      </c>
      <c r="Q672" s="28" t="s">
        <v>4124</v>
      </c>
      <c r="R672" s="28" t="s">
        <v>44</v>
      </c>
      <c r="S672" s="28" t="s">
        <v>44</v>
      </c>
      <c r="T672" s="28" t="s">
        <v>44</v>
      </c>
      <c r="U672" s="28" t="s">
        <v>44</v>
      </c>
      <c r="V672" s="28" t="s">
        <v>4125</v>
      </c>
      <c r="W672" s="28" t="s">
        <v>774</v>
      </c>
      <c r="X672" s="28"/>
      <c r="Y672" s="28"/>
      <c r="Z672" s="28"/>
      <c r="AA672" s="28"/>
    </row>
    <row r="673">
      <c r="A673" s="270" t="s">
        <v>4126</v>
      </c>
      <c r="B673" s="28" t="s">
        <v>36</v>
      </c>
      <c r="C673" s="28" t="s">
        <v>4127</v>
      </c>
      <c r="D673" s="28" t="s">
        <v>44</v>
      </c>
      <c r="E673" s="28" t="s">
        <v>44</v>
      </c>
      <c r="F673" s="28" t="s">
        <v>3910</v>
      </c>
      <c r="G673" s="28" t="s">
        <v>47</v>
      </c>
      <c r="H673" s="28" t="s">
        <v>48</v>
      </c>
      <c r="I673" s="28" t="s">
        <v>485</v>
      </c>
      <c r="J673" s="28" t="s">
        <v>3911</v>
      </c>
      <c r="K673" s="28" t="s">
        <v>51</v>
      </c>
      <c r="L673" s="28" t="s">
        <v>52</v>
      </c>
      <c r="M673" s="28" t="s">
        <v>52</v>
      </c>
      <c r="N673" s="28" t="s">
        <v>4128</v>
      </c>
      <c r="O673" s="28" t="s">
        <v>44</v>
      </c>
      <c r="P673" s="28" t="s">
        <v>4129</v>
      </c>
      <c r="Q673" s="28" t="s">
        <v>4130</v>
      </c>
      <c r="R673" s="28" t="s">
        <v>44</v>
      </c>
      <c r="S673" s="28" t="s">
        <v>44</v>
      </c>
      <c r="T673" s="28" t="s">
        <v>44</v>
      </c>
      <c r="U673" s="28" t="s">
        <v>44</v>
      </c>
      <c r="V673" s="28" t="s">
        <v>4131</v>
      </c>
      <c r="W673" s="28" t="s">
        <v>774</v>
      </c>
      <c r="X673" s="28"/>
      <c r="Y673" s="28"/>
      <c r="Z673" s="28"/>
      <c r="AA673" s="28"/>
    </row>
    <row r="674">
      <c r="A674" s="270" t="s">
        <v>4132</v>
      </c>
      <c r="B674" s="28" t="s">
        <v>36</v>
      </c>
      <c r="C674" s="28" t="s">
        <v>4133</v>
      </c>
      <c r="D674" s="28" t="s">
        <v>44</v>
      </c>
      <c r="E674" s="28" t="s">
        <v>44</v>
      </c>
      <c r="F674" s="28" t="s">
        <v>3910</v>
      </c>
      <c r="G674" s="28" t="s">
        <v>47</v>
      </c>
      <c r="H674" s="28" t="s">
        <v>48</v>
      </c>
      <c r="I674" s="28" t="s">
        <v>485</v>
      </c>
      <c r="J674" s="28" t="s">
        <v>3911</v>
      </c>
      <c r="K674" s="28" t="s">
        <v>51</v>
      </c>
      <c r="L674" s="28" t="s">
        <v>52</v>
      </c>
      <c r="M674" s="28" t="s">
        <v>52</v>
      </c>
      <c r="N674" s="28" t="s">
        <v>4134</v>
      </c>
      <c r="O674" s="28" t="s">
        <v>44</v>
      </c>
      <c r="P674" s="28" t="s">
        <v>4129</v>
      </c>
      <c r="Q674" s="28" t="s">
        <v>4135</v>
      </c>
      <c r="R674" s="28" t="s">
        <v>44</v>
      </c>
      <c r="S674" s="28" t="s">
        <v>44</v>
      </c>
      <c r="T674" s="28" t="s">
        <v>44</v>
      </c>
      <c r="U674" s="28" t="s">
        <v>44</v>
      </c>
      <c r="V674" s="28" t="s">
        <v>4136</v>
      </c>
      <c r="W674" s="28" t="s">
        <v>774</v>
      </c>
      <c r="X674" s="28"/>
      <c r="Y674" s="28"/>
      <c r="Z674" s="28"/>
      <c r="AA674" s="28"/>
    </row>
    <row r="675">
      <c r="A675" s="270" t="s">
        <v>4137</v>
      </c>
      <c r="B675" s="28" t="s">
        <v>36</v>
      </c>
      <c r="C675" s="28" t="s">
        <v>4138</v>
      </c>
      <c r="D675" s="28" t="s">
        <v>44</v>
      </c>
      <c r="E675" s="28" t="s">
        <v>44</v>
      </c>
      <c r="F675" s="28" t="s">
        <v>3910</v>
      </c>
      <c r="G675" s="28" t="s">
        <v>47</v>
      </c>
      <c r="H675" s="28" t="s">
        <v>48</v>
      </c>
      <c r="I675" s="28" t="s">
        <v>485</v>
      </c>
      <c r="J675" s="28" t="s">
        <v>3911</v>
      </c>
      <c r="K675" s="28" t="s">
        <v>51</v>
      </c>
      <c r="L675" s="28" t="s">
        <v>52</v>
      </c>
      <c r="M675" s="28" t="s">
        <v>52</v>
      </c>
      <c r="N675" s="28" t="s">
        <v>4139</v>
      </c>
      <c r="O675" s="28" t="s">
        <v>44</v>
      </c>
      <c r="P675" s="28" t="s">
        <v>4129</v>
      </c>
      <c r="Q675" s="28" t="s">
        <v>4140</v>
      </c>
      <c r="R675" s="28" t="s">
        <v>44</v>
      </c>
      <c r="S675" s="28" t="s">
        <v>44</v>
      </c>
      <c r="T675" s="28" t="s">
        <v>44</v>
      </c>
      <c r="U675" s="28" t="s">
        <v>44</v>
      </c>
      <c r="V675" s="28" t="s">
        <v>4141</v>
      </c>
      <c r="W675" s="28" t="s">
        <v>774</v>
      </c>
      <c r="X675" s="28"/>
      <c r="Y675" s="28"/>
      <c r="Z675" s="28"/>
      <c r="AA675" s="28"/>
    </row>
    <row r="676">
      <c r="A676" s="270" t="s">
        <v>4142</v>
      </c>
      <c r="B676" s="28" t="s">
        <v>36</v>
      </c>
      <c r="C676" s="28" t="s">
        <v>4143</v>
      </c>
      <c r="D676" s="28" t="s">
        <v>44</v>
      </c>
      <c r="E676" s="28" t="s">
        <v>44</v>
      </c>
      <c r="F676" s="28" t="s">
        <v>3910</v>
      </c>
      <c r="G676" s="28" t="s">
        <v>47</v>
      </c>
      <c r="H676" s="28" t="s">
        <v>48</v>
      </c>
      <c r="I676" s="28" t="s">
        <v>485</v>
      </c>
      <c r="J676" s="28" t="s">
        <v>3911</v>
      </c>
      <c r="K676" s="28" t="s">
        <v>51</v>
      </c>
      <c r="L676" s="28" t="s">
        <v>52</v>
      </c>
      <c r="M676" s="28" t="s">
        <v>52</v>
      </c>
      <c r="N676" s="28" t="s">
        <v>4144</v>
      </c>
      <c r="O676" s="28" t="s">
        <v>44</v>
      </c>
      <c r="P676" s="28" t="s">
        <v>4129</v>
      </c>
      <c r="Q676" s="28" t="s">
        <v>4145</v>
      </c>
      <c r="R676" s="28" t="s">
        <v>44</v>
      </c>
      <c r="S676" s="28" t="s">
        <v>44</v>
      </c>
      <c r="T676" s="28" t="s">
        <v>44</v>
      </c>
      <c r="U676" s="28" t="s">
        <v>44</v>
      </c>
      <c r="V676" s="28" t="s">
        <v>4146</v>
      </c>
      <c r="W676" s="28" t="s">
        <v>774</v>
      </c>
      <c r="X676" s="28"/>
      <c r="Y676" s="28"/>
      <c r="Z676" s="28"/>
      <c r="AA676" s="28"/>
    </row>
    <row r="677">
      <c r="A677" s="270" t="s">
        <v>4147</v>
      </c>
      <c r="B677" s="28" t="s">
        <v>36</v>
      </c>
      <c r="C677" s="28" t="s">
        <v>4148</v>
      </c>
      <c r="D677" s="28" t="s">
        <v>44</v>
      </c>
      <c r="E677" s="28" t="s">
        <v>44</v>
      </c>
      <c r="F677" s="28" t="s">
        <v>3910</v>
      </c>
      <c r="G677" s="28" t="s">
        <v>47</v>
      </c>
      <c r="H677" s="28" t="s">
        <v>48</v>
      </c>
      <c r="I677" s="28" t="s">
        <v>485</v>
      </c>
      <c r="J677" s="28" t="s">
        <v>3911</v>
      </c>
      <c r="K677" s="28" t="s">
        <v>51</v>
      </c>
      <c r="L677" s="28" t="s">
        <v>52</v>
      </c>
      <c r="M677" s="28" t="s">
        <v>52</v>
      </c>
      <c r="N677" s="28" t="s">
        <v>4149</v>
      </c>
      <c r="O677" s="28" t="s">
        <v>44</v>
      </c>
      <c r="P677" s="28" t="s">
        <v>4150</v>
      </c>
      <c r="Q677" s="28" t="s">
        <v>4151</v>
      </c>
      <c r="R677" s="28" t="s">
        <v>44</v>
      </c>
      <c r="S677" s="28" t="s">
        <v>44</v>
      </c>
      <c r="T677" s="28" t="s">
        <v>44</v>
      </c>
      <c r="U677" s="28" t="s">
        <v>44</v>
      </c>
      <c r="V677" s="28" t="s">
        <v>4152</v>
      </c>
      <c r="W677" s="28" t="s">
        <v>774</v>
      </c>
      <c r="X677" s="28"/>
      <c r="Y677" s="28"/>
      <c r="Z677" s="28"/>
      <c r="AA677" s="28"/>
    </row>
    <row r="678">
      <c r="A678" s="270" t="s">
        <v>4153</v>
      </c>
      <c r="B678" s="28" t="s">
        <v>36</v>
      </c>
      <c r="C678" s="28" t="s">
        <v>4154</v>
      </c>
      <c r="D678" s="28" t="s">
        <v>44</v>
      </c>
      <c r="E678" s="28" t="s">
        <v>44</v>
      </c>
      <c r="F678" s="28" t="s">
        <v>3910</v>
      </c>
      <c r="G678" s="28" t="s">
        <v>47</v>
      </c>
      <c r="H678" s="28" t="s">
        <v>48</v>
      </c>
      <c r="I678" s="28" t="s">
        <v>485</v>
      </c>
      <c r="J678" s="28" t="s">
        <v>3911</v>
      </c>
      <c r="K678" s="28" t="s">
        <v>51</v>
      </c>
      <c r="L678" s="28" t="s">
        <v>52</v>
      </c>
      <c r="M678" s="28" t="s">
        <v>52</v>
      </c>
      <c r="N678" s="28" t="s">
        <v>4093</v>
      </c>
      <c r="O678" s="28" t="s">
        <v>44</v>
      </c>
      <c r="P678" s="28" t="s">
        <v>4155</v>
      </c>
      <c r="Q678" s="28" t="s">
        <v>4156</v>
      </c>
      <c r="R678" s="28" t="s">
        <v>44</v>
      </c>
      <c r="S678" s="28" t="s">
        <v>44</v>
      </c>
      <c r="T678" s="28" t="s">
        <v>44</v>
      </c>
      <c r="U678" s="28" t="s">
        <v>44</v>
      </c>
      <c r="V678" s="28" t="s">
        <v>4157</v>
      </c>
      <c r="W678" s="28" t="s">
        <v>4158</v>
      </c>
      <c r="X678" s="28"/>
      <c r="Y678" s="28"/>
      <c r="Z678" s="28"/>
      <c r="AA678" s="28"/>
    </row>
    <row r="679">
      <c r="A679" s="270" t="s">
        <v>4159</v>
      </c>
      <c r="B679" s="28" t="s">
        <v>36</v>
      </c>
      <c r="C679" s="28" t="s">
        <v>4160</v>
      </c>
      <c r="D679" s="28" t="s">
        <v>44</v>
      </c>
      <c r="E679" s="28" t="s">
        <v>44</v>
      </c>
      <c r="F679" s="28" t="s">
        <v>3910</v>
      </c>
      <c r="G679" s="28" t="s">
        <v>47</v>
      </c>
      <c r="H679" s="28" t="s">
        <v>48</v>
      </c>
      <c r="I679" s="28" t="s">
        <v>485</v>
      </c>
      <c r="J679" s="28" t="s">
        <v>3911</v>
      </c>
      <c r="K679" s="28" t="s">
        <v>51</v>
      </c>
      <c r="L679" s="28" t="s">
        <v>52</v>
      </c>
      <c r="M679" s="28" t="s">
        <v>52</v>
      </c>
      <c r="N679" s="28" t="s">
        <v>4093</v>
      </c>
      <c r="O679" s="28" t="s">
        <v>44</v>
      </c>
      <c r="P679" s="28" t="s">
        <v>4161</v>
      </c>
      <c r="Q679" s="28" t="s">
        <v>4162</v>
      </c>
      <c r="R679" s="28" t="s">
        <v>44</v>
      </c>
      <c r="S679" s="28" t="s">
        <v>44</v>
      </c>
      <c r="T679" s="28" t="s">
        <v>44</v>
      </c>
      <c r="U679" s="28" t="s">
        <v>44</v>
      </c>
      <c r="V679" s="28" t="s">
        <v>4163</v>
      </c>
      <c r="W679" s="28" t="s">
        <v>774</v>
      </c>
      <c r="X679" s="28"/>
      <c r="Y679" s="28"/>
      <c r="Z679" s="28"/>
      <c r="AA679" s="28"/>
    </row>
    <row r="680">
      <c r="A680" s="270" t="s">
        <v>4164</v>
      </c>
      <c r="B680" s="28" t="s">
        <v>36</v>
      </c>
      <c r="C680" s="28" t="s">
        <v>4165</v>
      </c>
      <c r="D680" s="28" t="s">
        <v>44</v>
      </c>
      <c r="E680" s="28" t="s">
        <v>44</v>
      </c>
      <c r="F680" s="28" t="s">
        <v>3910</v>
      </c>
      <c r="G680" s="28" t="s">
        <v>85</v>
      </c>
      <c r="H680" s="28" t="s">
        <v>86</v>
      </c>
      <c r="I680" s="28" t="s">
        <v>485</v>
      </c>
      <c r="J680" s="28" t="s">
        <v>3911</v>
      </c>
      <c r="K680" s="28" t="s">
        <v>51</v>
      </c>
      <c r="L680" s="28" t="s">
        <v>52</v>
      </c>
      <c r="M680" s="28" t="s">
        <v>52</v>
      </c>
      <c r="N680" s="28" t="s">
        <v>4166</v>
      </c>
      <c r="O680" s="28" t="s">
        <v>44</v>
      </c>
      <c r="P680" s="28" t="s">
        <v>4167</v>
      </c>
      <c r="Q680" s="28" t="s">
        <v>4168</v>
      </c>
      <c r="R680" s="28" t="s">
        <v>44</v>
      </c>
      <c r="S680" s="28" t="s">
        <v>44</v>
      </c>
      <c r="T680" s="28" t="s">
        <v>44</v>
      </c>
      <c r="U680" s="28" t="s">
        <v>44</v>
      </c>
      <c r="V680" s="28" t="s">
        <v>4169</v>
      </c>
      <c r="W680" s="28" t="s">
        <v>774</v>
      </c>
      <c r="X680" s="28"/>
      <c r="Y680" s="28"/>
      <c r="Z680" s="28"/>
      <c r="AA680" s="28"/>
    </row>
    <row r="681">
      <c r="A681" s="270" t="s">
        <v>4170</v>
      </c>
      <c r="B681" s="28" t="s">
        <v>36</v>
      </c>
      <c r="C681" s="28" t="s">
        <v>4171</v>
      </c>
      <c r="D681" s="28" t="s">
        <v>44</v>
      </c>
      <c r="E681" s="28" t="s">
        <v>44</v>
      </c>
      <c r="F681" s="28" t="s">
        <v>3910</v>
      </c>
      <c r="G681" s="28" t="s">
        <v>47</v>
      </c>
      <c r="H681" s="28" t="s">
        <v>48</v>
      </c>
      <c r="I681" s="28" t="s">
        <v>485</v>
      </c>
      <c r="J681" s="28" t="s">
        <v>3911</v>
      </c>
      <c r="K681" s="28" t="s">
        <v>51</v>
      </c>
      <c r="L681" s="28" t="s">
        <v>52</v>
      </c>
      <c r="M681" s="28" t="s">
        <v>52</v>
      </c>
      <c r="N681" s="28" t="s">
        <v>4093</v>
      </c>
      <c r="O681" s="28" t="s">
        <v>44</v>
      </c>
      <c r="P681" s="28" t="s">
        <v>4172</v>
      </c>
      <c r="Q681" s="28" t="s">
        <v>4173</v>
      </c>
      <c r="R681" s="28" t="s">
        <v>44</v>
      </c>
      <c r="S681" s="28" t="s">
        <v>44</v>
      </c>
      <c r="T681" s="28" t="s">
        <v>44</v>
      </c>
      <c r="U681" s="28" t="s">
        <v>44</v>
      </c>
      <c r="V681" s="28" t="s">
        <v>4174</v>
      </c>
      <c r="W681" s="28" t="s">
        <v>774</v>
      </c>
      <c r="X681" s="28"/>
      <c r="Y681" s="28"/>
      <c r="Z681" s="28"/>
      <c r="AA681" s="28"/>
    </row>
    <row r="682">
      <c r="A682" s="270" t="s">
        <v>4175</v>
      </c>
      <c r="B682" s="28" t="s">
        <v>36</v>
      </c>
      <c r="C682" s="28" t="s">
        <v>4176</v>
      </c>
      <c r="D682" s="28" t="s">
        <v>44</v>
      </c>
      <c r="E682" s="28" t="s">
        <v>44</v>
      </c>
      <c r="F682" s="28" t="s">
        <v>3910</v>
      </c>
      <c r="G682" s="28" t="s">
        <v>47</v>
      </c>
      <c r="H682" s="28" t="s">
        <v>95</v>
      </c>
      <c r="I682" s="28" t="s">
        <v>485</v>
      </c>
      <c r="J682" s="28" t="s">
        <v>3911</v>
      </c>
      <c r="K682" s="28" t="s">
        <v>51</v>
      </c>
      <c r="L682" s="28" t="s">
        <v>52</v>
      </c>
      <c r="M682" s="28" t="s">
        <v>52</v>
      </c>
      <c r="N682" s="28" t="s">
        <v>4177</v>
      </c>
      <c r="O682" s="28" t="s">
        <v>44</v>
      </c>
      <c r="P682" s="28" t="s">
        <v>4178</v>
      </c>
      <c r="Q682" s="28" t="s">
        <v>4179</v>
      </c>
      <c r="R682" s="28" t="s">
        <v>44</v>
      </c>
      <c r="S682" s="28" t="s">
        <v>44</v>
      </c>
      <c r="T682" s="28" t="s">
        <v>44</v>
      </c>
      <c r="U682" s="28" t="s">
        <v>44</v>
      </c>
      <c r="V682" s="28" t="s">
        <v>4180</v>
      </c>
      <c r="W682" s="28" t="s">
        <v>4181</v>
      </c>
      <c r="X682" s="28"/>
      <c r="Y682" s="28"/>
      <c r="Z682" s="28"/>
      <c r="AA682" s="28"/>
    </row>
    <row r="683">
      <c r="A683" s="270" t="s">
        <v>4182</v>
      </c>
      <c r="B683" s="28" t="s">
        <v>36</v>
      </c>
      <c r="C683" s="28" t="s">
        <v>4183</v>
      </c>
      <c r="D683" s="28" t="s">
        <v>44</v>
      </c>
      <c r="E683" s="28" t="s">
        <v>44</v>
      </c>
      <c r="F683" s="28" t="s">
        <v>3910</v>
      </c>
      <c r="G683" s="28" t="s">
        <v>47</v>
      </c>
      <c r="H683" s="28" t="s">
        <v>48</v>
      </c>
      <c r="I683" s="28" t="s">
        <v>485</v>
      </c>
      <c r="J683" s="28" t="s">
        <v>3911</v>
      </c>
      <c r="K683" s="28" t="s">
        <v>51</v>
      </c>
      <c r="L683" s="28" t="s">
        <v>52</v>
      </c>
      <c r="M683" s="28" t="s">
        <v>52</v>
      </c>
      <c r="N683" s="28" t="s">
        <v>4093</v>
      </c>
      <c r="O683" s="28" t="s">
        <v>44</v>
      </c>
      <c r="P683" s="28" t="s">
        <v>4184</v>
      </c>
      <c r="Q683" s="28" t="s">
        <v>4185</v>
      </c>
      <c r="R683" s="28" t="s">
        <v>44</v>
      </c>
      <c r="S683" s="28" t="s">
        <v>44</v>
      </c>
      <c r="T683" s="28" t="s">
        <v>44</v>
      </c>
      <c r="U683" s="28" t="s">
        <v>44</v>
      </c>
      <c r="V683" s="28" t="s">
        <v>4186</v>
      </c>
      <c r="W683" s="28" t="s">
        <v>774</v>
      </c>
      <c r="X683" s="28"/>
      <c r="Y683" s="28"/>
      <c r="Z683" s="28"/>
      <c r="AA683" s="28"/>
    </row>
    <row r="684">
      <c r="A684" s="270" t="s">
        <v>4187</v>
      </c>
      <c r="B684" s="28" t="s">
        <v>36</v>
      </c>
      <c r="C684" s="28" t="s">
        <v>4188</v>
      </c>
      <c r="D684" s="28" t="s">
        <v>44</v>
      </c>
      <c r="E684" s="28" t="s">
        <v>44</v>
      </c>
      <c r="F684" s="28" t="s">
        <v>3910</v>
      </c>
      <c r="G684" s="28" t="s">
        <v>47</v>
      </c>
      <c r="H684" s="28" t="s">
        <v>95</v>
      </c>
      <c r="I684" s="28" t="s">
        <v>485</v>
      </c>
      <c r="J684" s="28" t="s">
        <v>3911</v>
      </c>
      <c r="K684" s="28" t="s">
        <v>51</v>
      </c>
      <c r="L684" s="28" t="s">
        <v>52</v>
      </c>
      <c r="M684" s="28" t="s">
        <v>52</v>
      </c>
      <c r="N684" s="28" t="s">
        <v>4189</v>
      </c>
      <c r="O684" s="28" t="s">
        <v>44</v>
      </c>
      <c r="P684" s="28" t="s">
        <v>4190</v>
      </c>
      <c r="Q684" s="28" t="s">
        <v>4191</v>
      </c>
      <c r="R684" s="28" t="s">
        <v>44</v>
      </c>
      <c r="S684" s="28" t="s">
        <v>44</v>
      </c>
      <c r="T684" s="28" t="s">
        <v>44</v>
      </c>
      <c r="U684" s="28" t="s">
        <v>44</v>
      </c>
      <c r="V684" s="28" t="s">
        <v>4192</v>
      </c>
      <c r="W684" s="28" t="s">
        <v>4193</v>
      </c>
      <c r="X684" s="28"/>
      <c r="Y684" s="28"/>
      <c r="Z684" s="28"/>
      <c r="AA684" s="28"/>
    </row>
    <row r="685">
      <c r="A685" s="270" t="s">
        <v>4194</v>
      </c>
      <c r="B685" s="28" t="s">
        <v>36</v>
      </c>
      <c r="C685" s="28" t="s">
        <v>4195</v>
      </c>
      <c r="D685" s="28" t="s">
        <v>44</v>
      </c>
      <c r="E685" s="28" t="s">
        <v>44</v>
      </c>
      <c r="F685" s="28" t="s">
        <v>3910</v>
      </c>
      <c r="G685" s="28" t="s">
        <v>47</v>
      </c>
      <c r="H685" s="28" t="s">
        <v>48</v>
      </c>
      <c r="I685" s="28" t="s">
        <v>485</v>
      </c>
      <c r="J685" s="28" t="s">
        <v>3911</v>
      </c>
      <c r="K685" s="28" t="s">
        <v>51</v>
      </c>
      <c r="L685" s="28" t="s">
        <v>52</v>
      </c>
      <c r="M685" s="28" t="s">
        <v>52</v>
      </c>
      <c r="N685" s="28" t="s">
        <v>4093</v>
      </c>
      <c r="O685" s="28" t="s">
        <v>44</v>
      </c>
      <c r="P685" s="28" t="s">
        <v>4196</v>
      </c>
      <c r="Q685" s="28" t="s">
        <v>4197</v>
      </c>
      <c r="R685" s="28" t="s">
        <v>44</v>
      </c>
      <c r="S685" s="28" t="s">
        <v>44</v>
      </c>
      <c r="T685" s="28" t="s">
        <v>44</v>
      </c>
      <c r="U685" s="28" t="s">
        <v>44</v>
      </c>
      <c r="V685" s="28" t="s">
        <v>4198</v>
      </c>
      <c r="W685" s="28" t="s">
        <v>774</v>
      </c>
      <c r="X685" s="28"/>
      <c r="Y685" s="28"/>
      <c r="Z685" s="28"/>
      <c r="AA685" s="28"/>
    </row>
    <row r="686">
      <c r="A686" s="270" t="s">
        <v>4199</v>
      </c>
      <c r="B686" s="28" t="s">
        <v>36</v>
      </c>
      <c r="C686" s="28" t="s">
        <v>4200</v>
      </c>
      <c r="D686" s="28" t="s">
        <v>44</v>
      </c>
      <c r="E686" s="28" t="s">
        <v>44</v>
      </c>
      <c r="F686" s="28" t="s">
        <v>3910</v>
      </c>
      <c r="G686" s="28" t="s">
        <v>47</v>
      </c>
      <c r="H686" s="28" t="s">
        <v>48</v>
      </c>
      <c r="I686" s="28" t="s">
        <v>485</v>
      </c>
      <c r="J686" s="28" t="s">
        <v>3911</v>
      </c>
      <c r="K686" s="28" t="s">
        <v>51</v>
      </c>
      <c r="L686" s="28" t="s">
        <v>52</v>
      </c>
      <c r="M686" s="28" t="s">
        <v>52</v>
      </c>
      <c r="N686" s="28" t="s">
        <v>4189</v>
      </c>
      <c r="O686" s="28" t="s">
        <v>44</v>
      </c>
      <c r="P686" s="28" t="s">
        <v>4201</v>
      </c>
      <c r="Q686" s="28" t="s">
        <v>4202</v>
      </c>
      <c r="R686" s="28" t="s">
        <v>44</v>
      </c>
      <c r="S686" s="28" t="s">
        <v>44</v>
      </c>
      <c r="T686" s="28" t="s">
        <v>44</v>
      </c>
      <c r="U686" s="28" t="s">
        <v>44</v>
      </c>
      <c r="V686" s="28" t="s">
        <v>4203</v>
      </c>
      <c r="W686" s="28" t="s">
        <v>4204</v>
      </c>
      <c r="X686" s="28"/>
      <c r="Y686" s="28"/>
      <c r="Z686" s="28"/>
      <c r="AA686" s="28"/>
    </row>
    <row r="687">
      <c r="A687" s="270" t="s">
        <v>4205</v>
      </c>
      <c r="B687" s="28" t="s">
        <v>36</v>
      </c>
      <c r="C687" s="28" t="s">
        <v>4206</v>
      </c>
      <c r="D687" s="28" t="s">
        <v>44</v>
      </c>
      <c r="E687" s="28" t="s">
        <v>44</v>
      </c>
      <c r="F687" s="28" t="s">
        <v>3910</v>
      </c>
      <c r="G687" s="28" t="s">
        <v>47</v>
      </c>
      <c r="H687" s="28" t="s">
        <v>48</v>
      </c>
      <c r="I687" s="28" t="s">
        <v>485</v>
      </c>
      <c r="J687" s="28" t="s">
        <v>3911</v>
      </c>
      <c r="K687" s="28" t="s">
        <v>51</v>
      </c>
      <c r="L687" s="28" t="s">
        <v>52</v>
      </c>
      <c r="M687" s="28" t="s">
        <v>52</v>
      </c>
      <c r="N687" s="28" t="s">
        <v>4093</v>
      </c>
      <c r="O687" s="28" t="s">
        <v>44</v>
      </c>
      <c r="P687" s="28" t="s">
        <v>4207</v>
      </c>
      <c r="Q687" s="28" t="s">
        <v>4208</v>
      </c>
      <c r="R687" s="28" t="s">
        <v>44</v>
      </c>
      <c r="S687" s="28" t="s">
        <v>44</v>
      </c>
      <c r="T687" s="28" t="s">
        <v>44</v>
      </c>
      <c r="U687" s="28" t="s">
        <v>44</v>
      </c>
      <c r="V687" s="28" t="s">
        <v>4209</v>
      </c>
      <c r="W687" s="28" t="s">
        <v>774</v>
      </c>
      <c r="X687" s="28"/>
      <c r="Y687" s="28"/>
      <c r="Z687" s="28"/>
      <c r="AA687" s="28"/>
    </row>
    <row r="688">
      <c r="A688" s="270" t="s">
        <v>4210</v>
      </c>
      <c r="B688" s="28" t="s">
        <v>36</v>
      </c>
      <c r="C688" s="28" t="s">
        <v>4211</v>
      </c>
      <c r="D688" s="28" t="s">
        <v>44</v>
      </c>
      <c r="E688" s="28" t="s">
        <v>44</v>
      </c>
      <c r="F688" s="28" t="s">
        <v>3910</v>
      </c>
      <c r="G688" s="28" t="s">
        <v>47</v>
      </c>
      <c r="H688" s="28" t="s">
        <v>48</v>
      </c>
      <c r="I688" s="28" t="s">
        <v>485</v>
      </c>
      <c r="J688" s="28" t="s">
        <v>3911</v>
      </c>
      <c r="K688" s="28" t="s">
        <v>51</v>
      </c>
      <c r="L688" s="28" t="s">
        <v>52</v>
      </c>
      <c r="M688" s="28" t="s">
        <v>52</v>
      </c>
      <c r="N688" s="28" t="s">
        <v>4212</v>
      </c>
      <c r="O688" s="28" t="s">
        <v>44</v>
      </c>
      <c r="P688" s="28" t="s">
        <v>4213</v>
      </c>
      <c r="Q688" s="28" t="s">
        <v>4214</v>
      </c>
      <c r="R688" s="28" t="s">
        <v>44</v>
      </c>
      <c r="S688" s="28" t="s">
        <v>44</v>
      </c>
      <c r="T688" s="28" t="s">
        <v>44</v>
      </c>
      <c r="U688" s="28" t="s">
        <v>44</v>
      </c>
      <c r="V688" s="28" t="s">
        <v>4215</v>
      </c>
      <c r="W688" s="28" t="s">
        <v>774</v>
      </c>
      <c r="X688" s="28"/>
      <c r="Y688" s="28"/>
      <c r="Z688" s="28"/>
      <c r="AA688" s="28"/>
    </row>
    <row r="689">
      <c r="A689" s="270" t="s">
        <v>4216</v>
      </c>
      <c r="B689" s="28" t="s">
        <v>36</v>
      </c>
      <c r="C689" s="28" t="s">
        <v>4217</v>
      </c>
      <c r="D689" s="28" t="s">
        <v>44</v>
      </c>
      <c r="E689" s="28" t="s">
        <v>44</v>
      </c>
      <c r="F689" s="28" t="s">
        <v>3910</v>
      </c>
      <c r="G689" s="28" t="s">
        <v>47</v>
      </c>
      <c r="H689" s="28" t="s">
        <v>48</v>
      </c>
      <c r="I689" s="28" t="s">
        <v>485</v>
      </c>
      <c r="J689" s="28" t="s">
        <v>3911</v>
      </c>
      <c r="K689" s="28" t="s">
        <v>51</v>
      </c>
      <c r="L689" s="28" t="s">
        <v>52</v>
      </c>
      <c r="M689" s="28" t="s">
        <v>52</v>
      </c>
      <c r="N689" s="28" t="s">
        <v>4218</v>
      </c>
      <c r="O689" s="28" t="s">
        <v>44</v>
      </c>
      <c r="P689" s="28" t="s">
        <v>4219</v>
      </c>
      <c r="Q689" s="28" t="s">
        <v>4220</v>
      </c>
      <c r="R689" s="28" t="s">
        <v>44</v>
      </c>
      <c r="S689" s="28" t="s">
        <v>44</v>
      </c>
      <c r="T689" s="28" t="s">
        <v>44</v>
      </c>
      <c r="U689" s="28" t="s">
        <v>44</v>
      </c>
      <c r="V689" s="28" t="s">
        <v>4221</v>
      </c>
      <c r="W689" s="28" t="s">
        <v>4222</v>
      </c>
      <c r="X689" s="28"/>
      <c r="Y689" s="28"/>
      <c r="Z689" s="28"/>
      <c r="AA689" s="28"/>
    </row>
    <row r="690">
      <c r="A690" s="270" t="s">
        <v>4223</v>
      </c>
      <c r="B690" s="28" t="s">
        <v>36</v>
      </c>
      <c r="C690" s="28" t="s">
        <v>4224</v>
      </c>
      <c r="D690" s="28" t="s">
        <v>44</v>
      </c>
      <c r="E690" s="28" t="s">
        <v>44</v>
      </c>
      <c r="F690" s="28" t="s">
        <v>3910</v>
      </c>
      <c r="G690" s="28" t="s">
        <v>47</v>
      </c>
      <c r="H690" s="28" t="s">
        <v>95</v>
      </c>
      <c r="I690" s="28" t="s">
        <v>485</v>
      </c>
      <c r="J690" s="28" t="s">
        <v>3911</v>
      </c>
      <c r="K690" s="28" t="s">
        <v>51</v>
      </c>
      <c r="L690" s="28" t="s">
        <v>52</v>
      </c>
      <c r="M690" s="28" t="s">
        <v>52</v>
      </c>
      <c r="N690" s="28" t="s">
        <v>4225</v>
      </c>
      <c r="O690" s="28" t="s">
        <v>44</v>
      </c>
      <c r="P690" s="28" t="s">
        <v>4226</v>
      </c>
      <c r="Q690" s="28" t="s">
        <v>4227</v>
      </c>
      <c r="R690" s="28" t="s">
        <v>44</v>
      </c>
      <c r="S690" s="28" t="s">
        <v>44</v>
      </c>
      <c r="T690" s="28" t="s">
        <v>44</v>
      </c>
      <c r="U690" s="28" t="s">
        <v>44</v>
      </c>
      <c r="V690" s="28" t="s">
        <v>4228</v>
      </c>
      <c r="W690" s="28" t="s">
        <v>774</v>
      </c>
      <c r="X690" s="28"/>
      <c r="Y690" s="28"/>
      <c r="Z690" s="28"/>
      <c r="AA690" s="28"/>
    </row>
    <row r="691">
      <c r="A691" s="270" t="s">
        <v>4229</v>
      </c>
      <c r="B691" s="28" t="s">
        <v>36</v>
      </c>
      <c r="C691" s="28" t="s">
        <v>4230</v>
      </c>
      <c r="D691" s="28" t="s">
        <v>44</v>
      </c>
      <c r="E691" s="28" t="s">
        <v>44</v>
      </c>
      <c r="F691" s="28" t="s">
        <v>3910</v>
      </c>
      <c r="G691" s="28" t="s">
        <v>47</v>
      </c>
      <c r="H691" s="28" t="s">
        <v>95</v>
      </c>
      <c r="I691" s="28" t="s">
        <v>485</v>
      </c>
      <c r="J691" s="28" t="s">
        <v>3911</v>
      </c>
      <c r="K691" s="28" t="s">
        <v>51</v>
      </c>
      <c r="L691" s="28" t="s">
        <v>52</v>
      </c>
      <c r="M691" s="28" t="s">
        <v>52</v>
      </c>
      <c r="N691" s="28" t="s">
        <v>4225</v>
      </c>
      <c r="O691" s="28" t="s">
        <v>44</v>
      </c>
      <c r="P691" s="28" t="s">
        <v>4231</v>
      </c>
      <c r="Q691" s="28" t="s">
        <v>4232</v>
      </c>
      <c r="R691" s="28" t="s">
        <v>44</v>
      </c>
      <c r="S691" s="28" t="s">
        <v>44</v>
      </c>
      <c r="T691" s="28" t="s">
        <v>44</v>
      </c>
      <c r="U691" s="28" t="s">
        <v>44</v>
      </c>
      <c r="V691" s="28" t="s">
        <v>4233</v>
      </c>
      <c r="W691" s="28" t="s">
        <v>774</v>
      </c>
      <c r="X691" s="28"/>
      <c r="Y691" s="28"/>
      <c r="Z691" s="28"/>
      <c r="AA691" s="28"/>
    </row>
    <row r="692">
      <c r="A692" s="270" t="s">
        <v>4234</v>
      </c>
      <c r="B692" s="28" t="s">
        <v>36</v>
      </c>
      <c r="C692" s="28" t="s">
        <v>4235</v>
      </c>
      <c r="D692" s="28" t="s">
        <v>44</v>
      </c>
      <c r="E692" s="28" t="s">
        <v>44</v>
      </c>
      <c r="F692" s="28" t="s">
        <v>3910</v>
      </c>
      <c r="G692" s="28" t="s">
        <v>47</v>
      </c>
      <c r="H692" s="28" t="s">
        <v>48</v>
      </c>
      <c r="I692" s="28" t="s">
        <v>485</v>
      </c>
      <c r="J692" s="28" t="s">
        <v>3911</v>
      </c>
      <c r="K692" s="28" t="s">
        <v>51</v>
      </c>
      <c r="L692" s="28" t="s">
        <v>52</v>
      </c>
      <c r="M692" s="28" t="s">
        <v>52</v>
      </c>
      <c r="N692" s="28" t="s">
        <v>4236</v>
      </c>
      <c r="O692" s="28" t="s">
        <v>44</v>
      </c>
      <c r="P692" s="28" t="s">
        <v>4237</v>
      </c>
      <c r="Q692" s="28" t="s">
        <v>4238</v>
      </c>
      <c r="R692" s="28" t="s">
        <v>44</v>
      </c>
      <c r="S692" s="28" t="s">
        <v>44</v>
      </c>
      <c r="T692" s="28" t="s">
        <v>44</v>
      </c>
      <c r="U692" s="28" t="s">
        <v>44</v>
      </c>
      <c r="V692" s="28" t="s">
        <v>4239</v>
      </c>
      <c r="W692" s="28" t="s">
        <v>774</v>
      </c>
      <c r="X692" s="28"/>
      <c r="Y692" s="28"/>
      <c r="Z692" s="28"/>
      <c r="AA692" s="28"/>
    </row>
    <row r="693">
      <c r="A693" s="270" t="s">
        <v>4240</v>
      </c>
      <c r="B693" s="28" t="s">
        <v>36</v>
      </c>
      <c r="C693" s="28" t="s">
        <v>4241</v>
      </c>
      <c r="D693" s="28" t="s">
        <v>44</v>
      </c>
      <c r="E693" s="28" t="s">
        <v>44</v>
      </c>
      <c r="F693" s="28" t="s">
        <v>3910</v>
      </c>
      <c r="G693" s="28" t="s">
        <v>47</v>
      </c>
      <c r="H693" s="28" t="s">
        <v>95</v>
      </c>
      <c r="I693" s="28" t="s">
        <v>485</v>
      </c>
      <c r="J693" s="28" t="s">
        <v>3911</v>
      </c>
      <c r="K693" s="28" t="s">
        <v>51</v>
      </c>
      <c r="L693" s="28" t="s">
        <v>52</v>
      </c>
      <c r="M693" s="28" t="s">
        <v>52</v>
      </c>
      <c r="N693" s="28" t="s">
        <v>4242</v>
      </c>
      <c r="O693" s="28" t="s">
        <v>44</v>
      </c>
      <c r="P693" s="28" t="s">
        <v>4237</v>
      </c>
      <c r="Q693" s="28" t="s">
        <v>4243</v>
      </c>
      <c r="R693" s="28" t="s">
        <v>44</v>
      </c>
      <c r="S693" s="28" t="s">
        <v>44</v>
      </c>
      <c r="T693" s="28" t="s">
        <v>44</v>
      </c>
      <c r="U693" s="28" t="s">
        <v>44</v>
      </c>
      <c r="V693" s="28" t="s">
        <v>4244</v>
      </c>
      <c r="W693" s="28" t="s">
        <v>774</v>
      </c>
      <c r="X693" s="28"/>
      <c r="Y693" s="28"/>
      <c r="Z693" s="28"/>
      <c r="AA693" s="28"/>
    </row>
    <row r="694">
      <c r="A694" s="270" t="s">
        <v>4245</v>
      </c>
      <c r="B694" s="28" t="s">
        <v>36</v>
      </c>
      <c r="C694" s="28" t="s">
        <v>4246</v>
      </c>
      <c r="D694" s="28" t="s">
        <v>44</v>
      </c>
      <c r="E694" s="28" t="s">
        <v>44</v>
      </c>
      <c r="F694" s="28" t="s">
        <v>3910</v>
      </c>
      <c r="G694" s="28" t="s">
        <v>47</v>
      </c>
      <c r="H694" s="28" t="s">
        <v>48</v>
      </c>
      <c r="I694" s="28" t="s">
        <v>485</v>
      </c>
      <c r="J694" s="28" t="s">
        <v>3911</v>
      </c>
      <c r="K694" s="28" t="s">
        <v>51</v>
      </c>
      <c r="L694" s="28" t="s">
        <v>52</v>
      </c>
      <c r="M694" s="28" t="s">
        <v>52</v>
      </c>
      <c r="N694" s="28" t="s">
        <v>4247</v>
      </c>
      <c r="O694" s="28" t="s">
        <v>44</v>
      </c>
      <c r="P694" s="28" t="s">
        <v>4219</v>
      </c>
      <c r="Q694" s="28" t="s">
        <v>4248</v>
      </c>
      <c r="R694" s="28" t="s">
        <v>44</v>
      </c>
      <c r="S694" s="28" t="s">
        <v>44</v>
      </c>
      <c r="T694" s="28" t="s">
        <v>44</v>
      </c>
      <c r="U694" s="28" t="s">
        <v>44</v>
      </c>
      <c r="V694" s="28" t="s">
        <v>4249</v>
      </c>
      <c r="W694" s="28" t="s">
        <v>4250</v>
      </c>
      <c r="X694" s="28"/>
      <c r="Y694" s="28"/>
      <c r="Z694" s="28"/>
      <c r="AA694" s="28"/>
    </row>
    <row r="695">
      <c r="A695" s="270" t="s">
        <v>4251</v>
      </c>
      <c r="B695" s="28" t="s">
        <v>36</v>
      </c>
      <c r="C695" s="28" t="s">
        <v>4252</v>
      </c>
      <c r="D695" s="28" t="s">
        <v>44</v>
      </c>
      <c r="E695" s="28" t="s">
        <v>44</v>
      </c>
      <c r="F695" s="28" t="s">
        <v>3910</v>
      </c>
      <c r="G695" s="28" t="s">
        <v>47</v>
      </c>
      <c r="H695" s="28" t="s">
        <v>95</v>
      </c>
      <c r="I695" s="28" t="s">
        <v>485</v>
      </c>
      <c r="J695" s="28" t="s">
        <v>3911</v>
      </c>
      <c r="K695" s="28" t="s">
        <v>51</v>
      </c>
      <c r="L695" s="28" t="s">
        <v>52</v>
      </c>
      <c r="M695" s="28" t="s">
        <v>52</v>
      </c>
      <c r="N695" s="28" t="s">
        <v>4253</v>
      </c>
      <c r="O695" s="28" t="s">
        <v>44</v>
      </c>
      <c r="P695" s="28" t="s">
        <v>4219</v>
      </c>
      <c r="Q695" s="28" t="s">
        <v>4254</v>
      </c>
      <c r="R695" s="28" t="s">
        <v>44</v>
      </c>
      <c r="S695" s="28" t="s">
        <v>44</v>
      </c>
      <c r="T695" s="28" t="s">
        <v>44</v>
      </c>
      <c r="U695" s="28" t="s">
        <v>44</v>
      </c>
      <c r="V695" s="28" t="s">
        <v>4255</v>
      </c>
      <c r="W695" s="28" t="s">
        <v>774</v>
      </c>
      <c r="X695" s="28"/>
      <c r="Y695" s="28"/>
      <c r="Z695" s="28"/>
      <c r="AA695" s="28"/>
    </row>
    <row r="696">
      <c r="A696" s="270" t="s">
        <v>4256</v>
      </c>
      <c r="B696" s="28" t="s">
        <v>36</v>
      </c>
      <c r="C696" s="28" t="s">
        <v>4257</v>
      </c>
      <c r="D696" s="28" t="s">
        <v>44</v>
      </c>
      <c r="E696" s="28" t="s">
        <v>44</v>
      </c>
      <c r="F696" s="28" t="s">
        <v>3910</v>
      </c>
      <c r="G696" s="28" t="s">
        <v>47</v>
      </c>
      <c r="H696" s="28" t="s">
        <v>48</v>
      </c>
      <c r="I696" s="28" t="s">
        <v>485</v>
      </c>
      <c r="J696" s="28" t="s">
        <v>3911</v>
      </c>
      <c r="K696" s="28" t="s">
        <v>51</v>
      </c>
      <c r="L696" s="28" t="s">
        <v>52</v>
      </c>
      <c r="M696" s="28" t="s">
        <v>52</v>
      </c>
      <c r="N696" s="28" t="s">
        <v>4258</v>
      </c>
      <c r="O696" s="28" t="s">
        <v>44</v>
      </c>
      <c r="P696" s="28" t="s">
        <v>4219</v>
      </c>
      <c r="Q696" s="28" t="s">
        <v>4259</v>
      </c>
      <c r="R696" s="28" t="s">
        <v>44</v>
      </c>
      <c r="S696" s="28" t="s">
        <v>44</v>
      </c>
      <c r="T696" s="28" t="s">
        <v>44</v>
      </c>
      <c r="U696" s="28" t="s">
        <v>44</v>
      </c>
      <c r="V696" s="28" t="s">
        <v>4260</v>
      </c>
      <c r="W696" s="28" t="s">
        <v>774</v>
      </c>
      <c r="X696" s="28"/>
      <c r="Y696" s="28"/>
      <c r="Z696" s="28"/>
      <c r="AA696" s="28"/>
    </row>
    <row r="697">
      <c r="A697" s="270" t="s">
        <v>4261</v>
      </c>
      <c r="B697" s="28" t="s">
        <v>36</v>
      </c>
      <c r="C697" s="28" t="s">
        <v>4262</v>
      </c>
      <c r="D697" s="28" t="s">
        <v>44</v>
      </c>
      <c r="E697" s="28" t="s">
        <v>44</v>
      </c>
      <c r="F697" s="28" t="s">
        <v>3910</v>
      </c>
      <c r="G697" s="28" t="s">
        <v>47</v>
      </c>
      <c r="H697" s="28" t="s">
        <v>95</v>
      </c>
      <c r="I697" s="28" t="s">
        <v>485</v>
      </c>
      <c r="J697" s="28" t="s">
        <v>3911</v>
      </c>
      <c r="K697" s="28" t="s">
        <v>51</v>
      </c>
      <c r="L697" s="28" t="s">
        <v>52</v>
      </c>
      <c r="M697" s="28" t="s">
        <v>52</v>
      </c>
      <c r="N697" s="28" t="s">
        <v>4263</v>
      </c>
      <c r="O697" s="28" t="s">
        <v>44</v>
      </c>
      <c r="P697" s="28" t="s">
        <v>4264</v>
      </c>
      <c r="Q697" s="28" t="s">
        <v>4265</v>
      </c>
      <c r="R697" s="28" t="s">
        <v>44</v>
      </c>
      <c r="S697" s="28" t="s">
        <v>44</v>
      </c>
      <c r="T697" s="28" t="s">
        <v>44</v>
      </c>
      <c r="U697" s="28" t="s">
        <v>44</v>
      </c>
      <c r="V697" s="28" t="s">
        <v>4266</v>
      </c>
      <c r="W697" s="28" t="s">
        <v>4267</v>
      </c>
      <c r="X697" s="28"/>
      <c r="Y697" s="28"/>
      <c r="Z697" s="28"/>
      <c r="AA697" s="28"/>
    </row>
    <row r="698">
      <c r="A698" s="270" t="s">
        <v>4268</v>
      </c>
      <c r="B698" s="28" t="s">
        <v>36</v>
      </c>
      <c r="C698" s="28" t="s">
        <v>4269</v>
      </c>
      <c r="D698" s="28" t="s">
        <v>44</v>
      </c>
      <c r="E698" s="28" t="s">
        <v>44</v>
      </c>
      <c r="F698" s="28" t="s">
        <v>3910</v>
      </c>
      <c r="G698" s="28" t="s">
        <v>47</v>
      </c>
      <c r="H698" s="28" t="s">
        <v>95</v>
      </c>
      <c r="I698" s="28" t="s">
        <v>485</v>
      </c>
      <c r="J698" s="28" t="s">
        <v>3911</v>
      </c>
      <c r="K698" s="28" t="s">
        <v>51</v>
      </c>
      <c r="L698" s="28" t="s">
        <v>52</v>
      </c>
      <c r="M698" s="28" t="s">
        <v>52</v>
      </c>
      <c r="N698" s="28" t="s">
        <v>4263</v>
      </c>
      <c r="O698" s="28" t="s">
        <v>44</v>
      </c>
      <c r="P698" s="28" t="s">
        <v>4270</v>
      </c>
      <c r="Q698" s="28" t="s">
        <v>4271</v>
      </c>
      <c r="R698" s="28" t="s">
        <v>44</v>
      </c>
      <c r="S698" s="28" t="s">
        <v>44</v>
      </c>
      <c r="T698" s="28" t="s">
        <v>44</v>
      </c>
      <c r="U698" s="28" t="s">
        <v>44</v>
      </c>
      <c r="V698" s="28" t="s">
        <v>4272</v>
      </c>
      <c r="W698" s="28" t="s">
        <v>774</v>
      </c>
      <c r="X698" s="28"/>
      <c r="Y698" s="28"/>
      <c r="Z698" s="28"/>
      <c r="AA698" s="28"/>
    </row>
    <row r="699">
      <c r="A699" s="270" t="s">
        <v>4273</v>
      </c>
      <c r="B699" s="28" t="s">
        <v>36</v>
      </c>
      <c r="C699" s="28" t="s">
        <v>4274</v>
      </c>
      <c r="D699" s="28" t="s">
        <v>44</v>
      </c>
      <c r="E699" s="28" t="s">
        <v>44</v>
      </c>
      <c r="F699" s="28" t="s">
        <v>3910</v>
      </c>
      <c r="G699" s="28" t="s">
        <v>47</v>
      </c>
      <c r="H699" s="28" t="s">
        <v>95</v>
      </c>
      <c r="I699" s="28" t="s">
        <v>485</v>
      </c>
      <c r="J699" s="28" t="s">
        <v>3911</v>
      </c>
      <c r="K699" s="28" t="s">
        <v>51</v>
      </c>
      <c r="L699" s="28" t="s">
        <v>52</v>
      </c>
      <c r="M699" s="28" t="s">
        <v>52</v>
      </c>
      <c r="N699" s="28" t="s">
        <v>4275</v>
      </c>
      <c r="O699" s="28" t="s">
        <v>44</v>
      </c>
      <c r="P699" s="28" t="s">
        <v>4219</v>
      </c>
      <c r="Q699" s="28" t="s">
        <v>4276</v>
      </c>
      <c r="R699" s="28" t="s">
        <v>44</v>
      </c>
      <c r="S699" s="28" t="s">
        <v>44</v>
      </c>
      <c r="T699" s="28" t="s">
        <v>44</v>
      </c>
      <c r="U699" s="28" t="s">
        <v>44</v>
      </c>
      <c r="V699" s="28" t="s">
        <v>4277</v>
      </c>
      <c r="W699" s="28" t="s">
        <v>774</v>
      </c>
      <c r="X699" s="28"/>
      <c r="Y699" s="28"/>
      <c r="Z699" s="28"/>
      <c r="AA699" s="28"/>
    </row>
    <row r="700">
      <c r="A700" s="270" t="s">
        <v>4278</v>
      </c>
      <c r="B700" s="28" t="s">
        <v>36</v>
      </c>
      <c r="C700" s="28" t="s">
        <v>4279</v>
      </c>
      <c r="D700" s="28" t="s">
        <v>44</v>
      </c>
      <c r="E700" s="28" t="s">
        <v>44</v>
      </c>
      <c r="F700" s="28" t="s">
        <v>3910</v>
      </c>
      <c r="G700" s="28" t="s">
        <v>47</v>
      </c>
      <c r="H700" s="28" t="s">
        <v>48</v>
      </c>
      <c r="I700" s="28" t="s">
        <v>485</v>
      </c>
      <c r="J700" s="28" t="s">
        <v>3911</v>
      </c>
      <c r="K700" s="28" t="s">
        <v>51</v>
      </c>
      <c r="L700" s="28" t="s">
        <v>52</v>
      </c>
      <c r="M700" s="28" t="s">
        <v>52</v>
      </c>
      <c r="N700" s="28" t="s">
        <v>4280</v>
      </c>
      <c r="O700" s="28" t="s">
        <v>44</v>
      </c>
      <c r="P700" s="28" t="s">
        <v>4219</v>
      </c>
      <c r="Q700" s="28" t="s">
        <v>4281</v>
      </c>
      <c r="R700" s="28" t="s">
        <v>44</v>
      </c>
      <c r="S700" s="28" t="s">
        <v>44</v>
      </c>
      <c r="T700" s="28" t="s">
        <v>44</v>
      </c>
      <c r="U700" s="28" t="s">
        <v>44</v>
      </c>
      <c r="V700" s="28" t="s">
        <v>4282</v>
      </c>
      <c r="W700" s="28" t="s">
        <v>774</v>
      </c>
      <c r="X700" s="28"/>
      <c r="Y700" s="28"/>
      <c r="Z700" s="28"/>
      <c r="AA700" s="28"/>
    </row>
    <row r="701">
      <c r="A701" s="270" t="s">
        <v>4283</v>
      </c>
      <c r="B701" s="28" t="s">
        <v>36</v>
      </c>
      <c r="C701" s="28" t="s">
        <v>4284</v>
      </c>
      <c r="D701" s="28" t="s">
        <v>44</v>
      </c>
      <c r="E701" s="28" t="s">
        <v>44</v>
      </c>
      <c r="F701" s="28" t="s">
        <v>3910</v>
      </c>
      <c r="G701" s="28" t="s">
        <v>47</v>
      </c>
      <c r="H701" s="28" t="s">
        <v>95</v>
      </c>
      <c r="I701" s="28" t="s">
        <v>485</v>
      </c>
      <c r="J701" s="28" t="s">
        <v>3911</v>
      </c>
      <c r="K701" s="28" t="s">
        <v>51</v>
      </c>
      <c r="L701" s="28" t="s">
        <v>52</v>
      </c>
      <c r="M701" s="28" t="s">
        <v>52</v>
      </c>
      <c r="N701" s="28" t="s">
        <v>4285</v>
      </c>
      <c r="O701" s="28" t="s">
        <v>44</v>
      </c>
      <c r="P701" s="28" t="s">
        <v>4286</v>
      </c>
      <c r="Q701" s="28" t="s">
        <v>4287</v>
      </c>
      <c r="R701" s="28" t="s">
        <v>44</v>
      </c>
      <c r="S701" s="28" t="s">
        <v>44</v>
      </c>
      <c r="T701" s="28" t="s">
        <v>44</v>
      </c>
      <c r="U701" s="28" t="s">
        <v>44</v>
      </c>
      <c r="V701" s="28" t="s">
        <v>4288</v>
      </c>
      <c r="W701" s="28" t="s">
        <v>774</v>
      </c>
      <c r="X701" s="28"/>
      <c r="Y701" s="28"/>
      <c r="Z701" s="28"/>
      <c r="AA701" s="28"/>
    </row>
    <row r="702">
      <c r="A702" s="270" t="s">
        <v>4289</v>
      </c>
      <c r="B702" s="28" t="s">
        <v>36</v>
      </c>
      <c r="C702" s="28" t="s">
        <v>4290</v>
      </c>
      <c r="D702" s="28" t="s">
        <v>44</v>
      </c>
      <c r="E702" s="28" t="s">
        <v>44</v>
      </c>
      <c r="F702" s="28" t="s">
        <v>3910</v>
      </c>
      <c r="G702" s="28" t="s">
        <v>47</v>
      </c>
      <c r="H702" s="28" t="s">
        <v>48</v>
      </c>
      <c r="I702" s="28" t="s">
        <v>485</v>
      </c>
      <c r="J702" s="28" t="s">
        <v>3911</v>
      </c>
      <c r="K702" s="28" t="s">
        <v>51</v>
      </c>
      <c r="L702" s="28" t="s">
        <v>52</v>
      </c>
      <c r="M702" s="28" t="s">
        <v>52</v>
      </c>
      <c r="N702" s="28" t="s">
        <v>4280</v>
      </c>
      <c r="O702" s="28" t="s">
        <v>44</v>
      </c>
      <c r="P702" s="28" t="s">
        <v>4291</v>
      </c>
      <c r="Q702" s="28" t="s">
        <v>4292</v>
      </c>
      <c r="R702" s="28" t="s">
        <v>44</v>
      </c>
      <c r="S702" s="28" t="s">
        <v>44</v>
      </c>
      <c r="T702" s="28" t="s">
        <v>44</v>
      </c>
      <c r="U702" s="28" t="s">
        <v>44</v>
      </c>
      <c r="V702" s="28" t="s">
        <v>4293</v>
      </c>
      <c r="W702" s="28" t="s">
        <v>774</v>
      </c>
      <c r="X702" s="28"/>
      <c r="Y702" s="28"/>
      <c r="Z702" s="28"/>
      <c r="AA702" s="28"/>
    </row>
    <row r="703">
      <c r="A703" s="270" t="s">
        <v>4294</v>
      </c>
      <c r="B703" s="28" t="s">
        <v>36</v>
      </c>
      <c r="C703" s="28" t="s">
        <v>4295</v>
      </c>
      <c r="D703" s="28" t="s">
        <v>44</v>
      </c>
      <c r="E703" s="28" t="s">
        <v>44</v>
      </c>
      <c r="F703" s="28" t="s">
        <v>3910</v>
      </c>
      <c r="G703" s="28" t="s">
        <v>47</v>
      </c>
      <c r="H703" s="28" t="s">
        <v>48</v>
      </c>
      <c r="I703" s="28" t="s">
        <v>485</v>
      </c>
      <c r="J703" s="28" t="s">
        <v>3911</v>
      </c>
      <c r="K703" s="28" t="s">
        <v>51</v>
      </c>
      <c r="L703" s="28" t="s">
        <v>52</v>
      </c>
      <c r="M703" s="28" t="s">
        <v>52</v>
      </c>
      <c r="N703" s="28" t="s">
        <v>4296</v>
      </c>
      <c r="O703" s="28" t="s">
        <v>44</v>
      </c>
      <c r="P703" s="28" t="s">
        <v>4297</v>
      </c>
      <c r="Q703" s="28" t="s">
        <v>4298</v>
      </c>
      <c r="R703" s="28" t="s">
        <v>44</v>
      </c>
      <c r="S703" s="28" t="s">
        <v>44</v>
      </c>
      <c r="T703" s="28" t="s">
        <v>44</v>
      </c>
      <c r="U703" s="28" t="s">
        <v>44</v>
      </c>
      <c r="V703" s="28" t="s">
        <v>4299</v>
      </c>
      <c r="W703" s="28" t="s">
        <v>774</v>
      </c>
      <c r="X703" s="28"/>
      <c r="Y703" s="28"/>
      <c r="Z703" s="28"/>
      <c r="AA703" s="28"/>
    </row>
    <row r="704">
      <c r="A704" s="270" t="s">
        <v>4300</v>
      </c>
      <c r="B704" s="28" t="s">
        <v>36</v>
      </c>
      <c r="C704" s="28" t="s">
        <v>4301</v>
      </c>
      <c r="D704" s="28" t="s">
        <v>44</v>
      </c>
      <c r="E704" s="28" t="s">
        <v>44</v>
      </c>
      <c r="F704" s="28" t="s">
        <v>3910</v>
      </c>
      <c r="G704" s="28" t="s">
        <v>47</v>
      </c>
      <c r="H704" s="28" t="s">
        <v>48</v>
      </c>
      <c r="I704" s="28" t="s">
        <v>485</v>
      </c>
      <c r="J704" s="28" t="s">
        <v>3911</v>
      </c>
      <c r="K704" s="28" t="s">
        <v>51</v>
      </c>
      <c r="L704" s="28" t="s">
        <v>52</v>
      </c>
      <c r="M704" s="28" t="s">
        <v>52</v>
      </c>
      <c r="N704" s="28" t="s">
        <v>4302</v>
      </c>
      <c r="O704" s="28" t="s">
        <v>44</v>
      </c>
      <c r="P704" s="28" t="s">
        <v>4297</v>
      </c>
      <c r="Q704" s="28" t="s">
        <v>4303</v>
      </c>
      <c r="R704" s="28" t="s">
        <v>44</v>
      </c>
      <c r="S704" s="28" t="s">
        <v>44</v>
      </c>
      <c r="T704" s="28" t="s">
        <v>44</v>
      </c>
      <c r="U704" s="28" t="s">
        <v>44</v>
      </c>
      <c r="V704" s="28" t="s">
        <v>4304</v>
      </c>
      <c r="W704" s="28" t="s">
        <v>774</v>
      </c>
      <c r="X704" s="28"/>
      <c r="Y704" s="28"/>
      <c r="Z704" s="28"/>
      <c r="AA704" s="28"/>
    </row>
    <row r="705">
      <c r="A705" s="270" t="s">
        <v>4305</v>
      </c>
      <c r="B705" s="28" t="s">
        <v>36</v>
      </c>
      <c r="C705" s="28" t="s">
        <v>4306</v>
      </c>
      <c r="D705" s="28" t="s">
        <v>44</v>
      </c>
      <c r="E705" s="28" t="s">
        <v>44</v>
      </c>
      <c r="F705" s="28" t="s">
        <v>3910</v>
      </c>
      <c r="G705" s="28" t="s">
        <v>47</v>
      </c>
      <c r="H705" s="28" t="s">
        <v>48</v>
      </c>
      <c r="I705" s="28" t="s">
        <v>485</v>
      </c>
      <c r="J705" s="28" t="s">
        <v>3911</v>
      </c>
      <c r="K705" s="28" t="s">
        <v>51</v>
      </c>
      <c r="L705" s="28" t="s">
        <v>52</v>
      </c>
      <c r="M705" s="28" t="s">
        <v>52</v>
      </c>
      <c r="N705" s="28" t="s">
        <v>4093</v>
      </c>
      <c r="O705" s="28" t="s">
        <v>44</v>
      </c>
      <c r="P705" s="28" t="s">
        <v>4307</v>
      </c>
      <c r="Q705" s="28" t="s">
        <v>4308</v>
      </c>
      <c r="R705" s="28" t="s">
        <v>44</v>
      </c>
      <c r="S705" s="28" t="s">
        <v>44</v>
      </c>
      <c r="T705" s="28" t="s">
        <v>44</v>
      </c>
      <c r="U705" s="28" t="s">
        <v>44</v>
      </c>
      <c r="V705" s="28" t="s">
        <v>4309</v>
      </c>
      <c r="W705" s="28" t="s">
        <v>774</v>
      </c>
      <c r="X705" s="28"/>
      <c r="Y705" s="28"/>
      <c r="Z705" s="28"/>
      <c r="AA705" s="28"/>
    </row>
    <row r="706">
      <c r="A706" s="270" t="s">
        <v>4310</v>
      </c>
      <c r="B706" s="28" t="s">
        <v>36</v>
      </c>
      <c r="C706" s="28" t="s">
        <v>4311</v>
      </c>
      <c r="D706" s="28" t="s">
        <v>44</v>
      </c>
      <c r="E706" s="28" t="s">
        <v>44</v>
      </c>
      <c r="F706" s="28" t="s">
        <v>3910</v>
      </c>
      <c r="G706" s="28" t="s">
        <v>47</v>
      </c>
      <c r="H706" s="28" t="s">
        <v>95</v>
      </c>
      <c r="I706" s="28" t="s">
        <v>485</v>
      </c>
      <c r="J706" s="28" t="s">
        <v>3911</v>
      </c>
      <c r="K706" s="28" t="s">
        <v>51</v>
      </c>
      <c r="L706" s="28" t="s">
        <v>52</v>
      </c>
      <c r="M706" s="28" t="s">
        <v>52</v>
      </c>
      <c r="N706" s="28" t="s">
        <v>4189</v>
      </c>
      <c r="O706" s="28" t="s">
        <v>44</v>
      </c>
      <c r="P706" s="28" t="s">
        <v>4312</v>
      </c>
      <c r="Q706" s="28" t="s">
        <v>4313</v>
      </c>
      <c r="R706" s="28" t="s">
        <v>44</v>
      </c>
      <c r="S706" s="28" t="s">
        <v>44</v>
      </c>
      <c r="T706" s="28" t="s">
        <v>44</v>
      </c>
      <c r="U706" s="28" t="s">
        <v>44</v>
      </c>
      <c r="V706" s="28" t="s">
        <v>4314</v>
      </c>
      <c r="W706" s="28" t="s">
        <v>4315</v>
      </c>
      <c r="X706" s="28"/>
      <c r="Y706" s="28"/>
      <c r="Z706" s="28"/>
      <c r="AA706" s="28"/>
    </row>
    <row r="707">
      <c r="A707" s="270" t="s">
        <v>4316</v>
      </c>
      <c r="B707" s="28" t="s">
        <v>36</v>
      </c>
      <c r="C707" s="28" t="s">
        <v>4317</v>
      </c>
      <c r="D707" s="28" t="s">
        <v>44</v>
      </c>
      <c r="E707" s="28" t="s">
        <v>44</v>
      </c>
      <c r="F707" s="28" t="s">
        <v>3910</v>
      </c>
      <c r="G707" s="28" t="s">
        <v>47</v>
      </c>
      <c r="H707" s="28" t="s">
        <v>95</v>
      </c>
      <c r="I707" s="28" t="s">
        <v>485</v>
      </c>
      <c r="J707" s="28" t="s">
        <v>3911</v>
      </c>
      <c r="K707" s="28" t="s">
        <v>51</v>
      </c>
      <c r="L707" s="28" t="s">
        <v>52</v>
      </c>
      <c r="M707" s="28" t="s">
        <v>52</v>
      </c>
      <c r="N707" s="28" t="s">
        <v>4318</v>
      </c>
      <c r="O707" s="28" t="s">
        <v>44</v>
      </c>
      <c r="P707" s="28" t="s">
        <v>4319</v>
      </c>
      <c r="Q707" s="28" t="s">
        <v>4320</v>
      </c>
      <c r="R707" s="28" t="s">
        <v>44</v>
      </c>
      <c r="S707" s="28" t="s">
        <v>44</v>
      </c>
      <c r="T707" s="28" t="s">
        <v>44</v>
      </c>
      <c r="U707" s="28" t="s">
        <v>44</v>
      </c>
      <c r="V707" s="28" t="s">
        <v>4321</v>
      </c>
      <c r="W707" s="28" t="s">
        <v>4322</v>
      </c>
      <c r="X707" s="28"/>
      <c r="Y707" s="28"/>
      <c r="Z707" s="28"/>
      <c r="AA707" s="28"/>
    </row>
    <row r="708">
      <c r="A708" s="270" t="s">
        <v>4323</v>
      </c>
      <c r="B708" s="28" t="s">
        <v>36</v>
      </c>
      <c r="C708" s="28" t="s">
        <v>4324</v>
      </c>
      <c r="D708" s="28" t="s">
        <v>44</v>
      </c>
      <c r="E708" s="28" t="s">
        <v>44</v>
      </c>
      <c r="F708" s="28" t="s">
        <v>3910</v>
      </c>
      <c r="G708" s="28" t="s">
        <v>47</v>
      </c>
      <c r="H708" s="28" t="s">
        <v>95</v>
      </c>
      <c r="I708" s="28" t="s">
        <v>485</v>
      </c>
      <c r="J708" s="28" t="s">
        <v>3911</v>
      </c>
      <c r="K708" s="28" t="s">
        <v>51</v>
      </c>
      <c r="L708" s="28" t="s">
        <v>52</v>
      </c>
      <c r="M708" s="28" t="s">
        <v>52</v>
      </c>
      <c r="N708" s="28" t="s">
        <v>4189</v>
      </c>
      <c r="O708" s="28" t="s">
        <v>44</v>
      </c>
      <c r="P708" s="28" t="s">
        <v>4325</v>
      </c>
      <c r="Q708" s="28" t="s">
        <v>4326</v>
      </c>
      <c r="R708" s="28" t="s">
        <v>44</v>
      </c>
      <c r="S708" s="28" t="s">
        <v>44</v>
      </c>
      <c r="T708" s="28" t="s">
        <v>44</v>
      </c>
      <c r="U708" s="28" t="s">
        <v>44</v>
      </c>
      <c r="V708" s="28" t="s">
        <v>4327</v>
      </c>
      <c r="W708" s="28" t="s">
        <v>4328</v>
      </c>
      <c r="X708" s="28"/>
      <c r="Y708" s="28"/>
      <c r="Z708" s="28"/>
      <c r="AA708" s="28"/>
    </row>
    <row r="709">
      <c r="A709" s="270" t="s">
        <v>4329</v>
      </c>
      <c r="B709" s="28" t="s">
        <v>36</v>
      </c>
      <c r="C709" s="28" t="s">
        <v>4330</v>
      </c>
      <c r="D709" s="28" t="s">
        <v>44</v>
      </c>
      <c r="E709" s="28" t="s">
        <v>44</v>
      </c>
      <c r="F709" s="28" t="s">
        <v>4331</v>
      </c>
      <c r="G709" s="28" t="s">
        <v>47</v>
      </c>
      <c r="H709" s="28" t="s">
        <v>48</v>
      </c>
      <c r="I709" s="28" t="s">
        <v>485</v>
      </c>
      <c r="J709" s="28" t="s">
        <v>4332</v>
      </c>
      <c r="K709" s="28" t="s">
        <v>51</v>
      </c>
      <c r="L709" s="28" t="s">
        <v>52</v>
      </c>
      <c r="M709" s="28" t="s">
        <v>52</v>
      </c>
      <c r="N709" s="28" t="s">
        <v>4333</v>
      </c>
      <c r="O709" s="28" t="s">
        <v>44</v>
      </c>
      <c r="P709" s="28" t="s">
        <v>934</v>
      </c>
      <c r="Q709" s="28" t="s">
        <v>3913</v>
      </c>
      <c r="R709" s="28" t="s">
        <v>44</v>
      </c>
      <c r="S709" s="28" t="s">
        <v>44</v>
      </c>
      <c r="T709" s="28" t="s">
        <v>44</v>
      </c>
      <c r="U709" s="28" t="s">
        <v>44</v>
      </c>
      <c r="V709" s="28" t="s">
        <v>4334</v>
      </c>
      <c r="W709" s="28" t="s">
        <v>774</v>
      </c>
      <c r="X709" s="28"/>
      <c r="Y709" s="28"/>
      <c r="Z709" s="28"/>
      <c r="AA709" s="28"/>
    </row>
    <row r="710">
      <c r="A710" s="270" t="s">
        <v>4335</v>
      </c>
      <c r="B710" s="28" t="s">
        <v>36</v>
      </c>
      <c r="C710" s="28" t="s">
        <v>4336</v>
      </c>
      <c r="D710" s="28" t="s">
        <v>44</v>
      </c>
      <c r="E710" s="28" t="s">
        <v>44</v>
      </c>
      <c r="F710" s="28" t="s">
        <v>4331</v>
      </c>
      <c r="G710" s="28" t="s">
        <v>47</v>
      </c>
      <c r="H710" s="28" t="s">
        <v>48</v>
      </c>
      <c r="I710" s="28" t="s">
        <v>485</v>
      </c>
      <c r="J710" s="28" t="s">
        <v>4332</v>
      </c>
      <c r="K710" s="28" t="s">
        <v>51</v>
      </c>
      <c r="L710" s="28" t="s">
        <v>52</v>
      </c>
      <c r="M710" s="28" t="s">
        <v>52</v>
      </c>
      <c r="N710" s="28" t="s">
        <v>4333</v>
      </c>
      <c r="O710" s="28" t="s">
        <v>44</v>
      </c>
      <c r="P710" s="28" t="s">
        <v>3917</v>
      </c>
      <c r="Q710" s="28" t="s">
        <v>4337</v>
      </c>
      <c r="R710" s="28" t="s">
        <v>44</v>
      </c>
      <c r="S710" s="28" t="s">
        <v>44</v>
      </c>
      <c r="T710" s="28" t="s">
        <v>44</v>
      </c>
      <c r="U710" s="28" t="s">
        <v>44</v>
      </c>
      <c r="V710" s="28" t="s">
        <v>4338</v>
      </c>
      <c r="W710" s="28" t="s">
        <v>774</v>
      </c>
      <c r="X710" s="28"/>
      <c r="Y710" s="28"/>
      <c r="Z710" s="28"/>
      <c r="AA710" s="28"/>
    </row>
    <row r="711">
      <c r="A711" s="270" t="s">
        <v>4339</v>
      </c>
      <c r="B711" s="28" t="s">
        <v>36</v>
      </c>
      <c r="C711" s="28" t="s">
        <v>4340</v>
      </c>
      <c r="D711" s="28" t="s">
        <v>44</v>
      </c>
      <c r="E711" s="28" t="s">
        <v>44</v>
      </c>
      <c r="F711" s="28" t="s">
        <v>4331</v>
      </c>
      <c r="G711" s="28" t="s">
        <v>47</v>
      </c>
      <c r="H711" s="28" t="s">
        <v>48</v>
      </c>
      <c r="I711" s="28" t="s">
        <v>485</v>
      </c>
      <c r="J711" s="28" t="s">
        <v>4332</v>
      </c>
      <c r="K711" s="28" t="s">
        <v>51</v>
      </c>
      <c r="L711" s="28" t="s">
        <v>52</v>
      </c>
      <c r="M711" s="28" t="s">
        <v>52</v>
      </c>
      <c r="N711" s="28" t="s">
        <v>4333</v>
      </c>
      <c r="O711" s="28" t="s">
        <v>44</v>
      </c>
      <c r="P711" s="28" t="s">
        <v>1002</v>
      </c>
      <c r="Q711" s="28" t="s">
        <v>3922</v>
      </c>
      <c r="R711" s="28" t="s">
        <v>44</v>
      </c>
      <c r="S711" s="28" t="s">
        <v>44</v>
      </c>
      <c r="T711" s="28" t="s">
        <v>44</v>
      </c>
      <c r="U711" s="28" t="s">
        <v>44</v>
      </c>
      <c r="V711" s="28" t="s">
        <v>4341</v>
      </c>
      <c r="W711" s="28" t="s">
        <v>4342</v>
      </c>
      <c r="X711" s="28"/>
      <c r="Y711" s="28"/>
      <c r="Z711" s="28"/>
      <c r="AA711" s="28"/>
    </row>
    <row r="712">
      <c r="A712" s="270" t="s">
        <v>4343</v>
      </c>
      <c r="B712" s="28" t="s">
        <v>36</v>
      </c>
      <c r="C712" s="28" t="s">
        <v>4344</v>
      </c>
      <c r="D712" s="28" t="s">
        <v>44</v>
      </c>
      <c r="E712" s="28" t="s">
        <v>44</v>
      </c>
      <c r="F712" s="28" t="s">
        <v>4331</v>
      </c>
      <c r="G712" s="28" t="s">
        <v>47</v>
      </c>
      <c r="H712" s="28" t="s">
        <v>48</v>
      </c>
      <c r="I712" s="28" t="s">
        <v>485</v>
      </c>
      <c r="J712" s="28" t="s">
        <v>4332</v>
      </c>
      <c r="K712" s="28" t="s">
        <v>51</v>
      </c>
      <c r="L712" s="28" t="s">
        <v>52</v>
      </c>
      <c r="M712" s="28" t="s">
        <v>52</v>
      </c>
      <c r="N712" s="28" t="s">
        <v>4333</v>
      </c>
      <c r="O712" s="28" t="s">
        <v>44</v>
      </c>
      <c r="P712" s="28" t="s">
        <v>1009</v>
      </c>
      <c r="Q712" s="28" t="s">
        <v>1648</v>
      </c>
      <c r="R712" s="28" t="s">
        <v>44</v>
      </c>
      <c r="S712" s="28" t="s">
        <v>44</v>
      </c>
      <c r="T712" s="28" t="s">
        <v>44</v>
      </c>
      <c r="U712" s="28" t="s">
        <v>44</v>
      </c>
      <c r="V712" s="28" t="s">
        <v>4345</v>
      </c>
      <c r="W712" s="28" t="s">
        <v>1945</v>
      </c>
      <c r="X712" s="28"/>
      <c r="Y712" s="28"/>
      <c r="Z712" s="28"/>
      <c r="AA712" s="28"/>
    </row>
    <row r="713">
      <c r="A713" s="270" t="s">
        <v>4346</v>
      </c>
      <c r="B713" s="28" t="s">
        <v>36</v>
      </c>
      <c r="C713" s="28" t="s">
        <v>4347</v>
      </c>
      <c r="D713" s="28" t="s">
        <v>44</v>
      </c>
      <c r="E713" s="28" t="s">
        <v>44</v>
      </c>
      <c r="F713" s="28" t="s">
        <v>4331</v>
      </c>
      <c r="G713" s="28" t="s">
        <v>47</v>
      </c>
      <c r="H713" s="28" t="s">
        <v>48</v>
      </c>
      <c r="I713" s="28" t="s">
        <v>485</v>
      </c>
      <c r="J713" s="28" t="s">
        <v>4332</v>
      </c>
      <c r="K713" s="28" t="s">
        <v>51</v>
      </c>
      <c r="L713" s="28" t="s">
        <v>52</v>
      </c>
      <c r="M713" s="28" t="s">
        <v>52</v>
      </c>
      <c r="N713" s="28" t="s">
        <v>4333</v>
      </c>
      <c r="O713" s="28" t="s">
        <v>44</v>
      </c>
      <c r="P713" s="28" t="s">
        <v>1637</v>
      </c>
      <c r="Q713" s="28" t="s">
        <v>4348</v>
      </c>
      <c r="R713" s="28" t="s">
        <v>44</v>
      </c>
      <c r="S713" s="28" t="s">
        <v>44</v>
      </c>
      <c r="T713" s="28" t="s">
        <v>44</v>
      </c>
      <c r="U713" s="28" t="s">
        <v>44</v>
      </c>
      <c r="V713" s="28" t="s">
        <v>4349</v>
      </c>
      <c r="W713" s="28" t="s">
        <v>4350</v>
      </c>
      <c r="X713" s="28"/>
      <c r="Y713" s="28"/>
      <c r="Z713" s="28"/>
      <c r="AA713" s="28"/>
    </row>
    <row r="714">
      <c r="A714" s="270" t="s">
        <v>4351</v>
      </c>
      <c r="B714" s="28" t="s">
        <v>36</v>
      </c>
      <c r="C714" s="28" t="s">
        <v>4352</v>
      </c>
      <c r="D714" s="28" t="s">
        <v>44</v>
      </c>
      <c r="E714" s="28" t="s">
        <v>44</v>
      </c>
      <c r="F714" s="28" t="s">
        <v>4331</v>
      </c>
      <c r="G714" s="28" t="s">
        <v>47</v>
      </c>
      <c r="H714" s="28" t="s">
        <v>48</v>
      </c>
      <c r="I714" s="28" t="s">
        <v>485</v>
      </c>
      <c r="J714" s="28" t="s">
        <v>4332</v>
      </c>
      <c r="K714" s="28" t="s">
        <v>51</v>
      </c>
      <c r="L714" s="28" t="s">
        <v>52</v>
      </c>
      <c r="M714" s="28" t="s">
        <v>52</v>
      </c>
      <c r="N714" s="28" t="s">
        <v>4333</v>
      </c>
      <c r="O714" s="28" t="s">
        <v>44</v>
      </c>
      <c r="P714" s="28" t="s">
        <v>4353</v>
      </c>
      <c r="Q714" s="28" t="s">
        <v>4354</v>
      </c>
      <c r="R714" s="28" t="s">
        <v>44</v>
      </c>
      <c r="S714" s="28" t="s">
        <v>44</v>
      </c>
      <c r="T714" s="28" t="s">
        <v>44</v>
      </c>
      <c r="U714" s="28" t="s">
        <v>44</v>
      </c>
      <c r="V714" s="28" t="s">
        <v>4355</v>
      </c>
      <c r="W714" s="28" t="s">
        <v>4356</v>
      </c>
      <c r="X714" s="28"/>
      <c r="Y714" s="28"/>
      <c r="Z714" s="28"/>
      <c r="AA714" s="28"/>
    </row>
    <row r="715">
      <c r="A715" s="270" t="s">
        <v>4357</v>
      </c>
      <c r="B715" s="28" t="s">
        <v>36</v>
      </c>
      <c r="C715" s="28" t="s">
        <v>4358</v>
      </c>
      <c r="D715" s="28" t="s">
        <v>44</v>
      </c>
      <c r="E715" s="28" t="s">
        <v>44</v>
      </c>
      <c r="F715" s="28" t="s">
        <v>4331</v>
      </c>
      <c r="G715" s="28" t="s">
        <v>47</v>
      </c>
      <c r="H715" s="28" t="s">
        <v>48</v>
      </c>
      <c r="I715" s="28" t="s">
        <v>485</v>
      </c>
      <c r="J715" s="28" t="s">
        <v>4332</v>
      </c>
      <c r="K715" s="28" t="s">
        <v>51</v>
      </c>
      <c r="L715" s="28" t="s">
        <v>52</v>
      </c>
      <c r="M715" s="28" t="s">
        <v>52</v>
      </c>
      <c r="N715" s="28" t="s">
        <v>4333</v>
      </c>
      <c r="O715" s="28" t="s">
        <v>44</v>
      </c>
      <c r="P715" s="28" t="s">
        <v>4359</v>
      </c>
      <c r="Q715" s="28" t="s">
        <v>4360</v>
      </c>
      <c r="R715" s="28" t="s">
        <v>44</v>
      </c>
      <c r="S715" s="28" t="s">
        <v>44</v>
      </c>
      <c r="T715" s="28" t="s">
        <v>44</v>
      </c>
      <c r="U715" s="28" t="s">
        <v>44</v>
      </c>
      <c r="V715" s="28" t="s">
        <v>4361</v>
      </c>
      <c r="W715" s="28" t="s">
        <v>4362</v>
      </c>
      <c r="X715" s="28"/>
      <c r="Y715" s="28"/>
      <c r="Z715" s="28"/>
      <c r="AA715" s="28"/>
    </row>
    <row r="716">
      <c r="A716" s="270" t="s">
        <v>4363</v>
      </c>
      <c r="B716" s="28" t="s">
        <v>36</v>
      </c>
      <c r="C716" s="28" t="s">
        <v>4364</v>
      </c>
      <c r="D716" s="28" t="s">
        <v>44</v>
      </c>
      <c r="E716" s="28" t="s">
        <v>44</v>
      </c>
      <c r="F716" s="28" t="s">
        <v>4331</v>
      </c>
      <c r="G716" s="28" t="s">
        <v>47</v>
      </c>
      <c r="H716" s="28" t="s">
        <v>48</v>
      </c>
      <c r="I716" s="28" t="s">
        <v>485</v>
      </c>
      <c r="J716" s="28" t="s">
        <v>4332</v>
      </c>
      <c r="K716" s="28" t="s">
        <v>51</v>
      </c>
      <c r="L716" s="28" t="s">
        <v>52</v>
      </c>
      <c r="M716" s="28" t="s">
        <v>52</v>
      </c>
      <c r="N716" s="28" t="s">
        <v>4333</v>
      </c>
      <c r="O716" s="28" t="s">
        <v>44</v>
      </c>
      <c r="P716" s="28" t="s">
        <v>4365</v>
      </c>
      <c r="Q716" s="28" t="s">
        <v>4366</v>
      </c>
      <c r="R716" s="28" t="s">
        <v>44</v>
      </c>
      <c r="S716" s="28" t="s">
        <v>44</v>
      </c>
      <c r="T716" s="28" t="s">
        <v>44</v>
      </c>
      <c r="U716" s="28" t="s">
        <v>44</v>
      </c>
      <c r="V716" s="28" t="s">
        <v>4367</v>
      </c>
      <c r="W716" s="28" t="s">
        <v>774</v>
      </c>
      <c r="X716" s="28"/>
      <c r="Y716" s="28"/>
      <c r="Z716" s="28"/>
      <c r="AA716" s="28"/>
    </row>
    <row r="717">
      <c r="A717" s="270" t="s">
        <v>4368</v>
      </c>
      <c r="B717" s="28" t="s">
        <v>36</v>
      </c>
      <c r="C717" s="28" t="s">
        <v>4369</v>
      </c>
      <c r="D717" s="28" t="s">
        <v>44</v>
      </c>
      <c r="E717" s="28" t="s">
        <v>44</v>
      </c>
      <c r="F717" s="28" t="s">
        <v>4331</v>
      </c>
      <c r="G717" s="28" t="s">
        <v>47</v>
      </c>
      <c r="H717" s="28" t="s">
        <v>48</v>
      </c>
      <c r="I717" s="28" t="s">
        <v>485</v>
      </c>
      <c r="J717" s="28" t="s">
        <v>4332</v>
      </c>
      <c r="K717" s="28" t="s">
        <v>51</v>
      </c>
      <c r="L717" s="28" t="s">
        <v>52</v>
      </c>
      <c r="M717" s="28" t="s">
        <v>52</v>
      </c>
      <c r="N717" s="28" t="s">
        <v>4333</v>
      </c>
      <c r="O717" s="28" t="s">
        <v>44</v>
      </c>
      <c r="P717" s="28" t="s">
        <v>4370</v>
      </c>
      <c r="Q717" s="28" t="s">
        <v>4371</v>
      </c>
      <c r="R717" s="28" t="s">
        <v>44</v>
      </c>
      <c r="S717" s="28" t="s">
        <v>44</v>
      </c>
      <c r="T717" s="28" t="s">
        <v>44</v>
      </c>
      <c r="U717" s="28" t="s">
        <v>44</v>
      </c>
      <c r="V717" s="28" t="s">
        <v>4372</v>
      </c>
      <c r="W717" s="28" t="s">
        <v>774</v>
      </c>
      <c r="X717" s="28"/>
      <c r="Y717" s="28"/>
      <c r="Z717" s="28"/>
      <c r="AA717" s="28"/>
    </row>
    <row r="718">
      <c r="A718" s="270" t="s">
        <v>4373</v>
      </c>
      <c r="B718" s="28" t="s">
        <v>36</v>
      </c>
      <c r="C718" s="28" t="s">
        <v>4374</v>
      </c>
      <c r="D718" s="28" t="s">
        <v>44</v>
      </c>
      <c r="E718" s="28" t="s">
        <v>44</v>
      </c>
      <c r="F718" s="28" t="s">
        <v>4331</v>
      </c>
      <c r="G718" s="28" t="s">
        <v>47</v>
      </c>
      <c r="H718" s="28" t="s">
        <v>48</v>
      </c>
      <c r="I718" s="28" t="s">
        <v>485</v>
      </c>
      <c r="J718" s="28" t="s">
        <v>4332</v>
      </c>
      <c r="K718" s="28" t="s">
        <v>51</v>
      </c>
      <c r="L718" s="28" t="s">
        <v>52</v>
      </c>
      <c r="M718" s="28" t="s">
        <v>52</v>
      </c>
      <c r="N718" s="28" t="s">
        <v>4333</v>
      </c>
      <c r="O718" s="28" t="s">
        <v>44</v>
      </c>
      <c r="P718" s="28" t="s">
        <v>4375</v>
      </c>
      <c r="Q718" s="28" t="s">
        <v>4376</v>
      </c>
      <c r="R718" s="28" t="s">
        <v>44</v>
      </c>
      <c r="S718" s="28" t="s">
        <v>44</v>
      </c>
      <c r="T718" s="28" t="s">
        <v>44</v>
      </c>
      <c r="U718" s="28" t="s">
        <v>44</v>
      </c>
      <c r="V718" s="28" t="s">
        <v>4377</v>
      </c>
      <c r="W718" s="28" t="s">
        <v>774</v>
      </c>
      <c r="X718" s="28"/>
      <c r="Y718" s="28"/>
      <c r="Z718" s="28"/>
      <c r="AA718" s="28"/>
    </row>
    <row r="719">
      <c r="A719" s="270" t="s">
        <v>4378</v>
      </c>
      <c r="B719" s="28" t="s">
        <v>36</v>
      </c>
      <c r="C719" s="28" t="s">
        <v>4379</v>
      </c>
      <c r="D719" s="28" t="s">
        <v>44</v>
      </c>
      <c r="E719" s="28" t="s">
        <v>44</v>
      </c>
      <c r="F719" s="28" t="s">
        <v>4331</v>
      </c>
      <c r="G719" s="28" t="s">
        <v>47</v>
      </c>
      <c r="H719" s="28" t="s">
        <v>48</v>
      </c>
      <c r="I719" s="28" t="s">
        <v>485</v>
      </c>
      <c r="J719" s="28" t="s">
        <v>4332</v>
      </c>
      <c r="K719" s="28" t="s">
        <v>51</v>
      </c>
      <c r="L719" s="28" t="s">
        <v>52</v>
      </c>
      <c r="M719" s="28" t="s">
        <v>52</v>
      </c>
      <c r="N719" s="28" t="s">
        <v>4333</v>
      </c>
      <c r="O719" s="28" t="s">
        <v>44</v>
      </c>
      <c r="P719" s="28" t="s">
        <v>4380</v>
      </c>
      <c r="Q719" s="28" t="s">
        <v>4381</v>
      </c>
      <c r="R719" s="28" t="s">
        <v>44</v>
      </c>
      <c r="S719" s="28" t="s">
        <v>44</v>
      </c>
      <c r="T719" s="28" t="s">
        <v>44</v>
      </c>
      <c r="U719" s="28" t="s">
        <v>44</v>
      </c>
      <c r="V719" s="28" t="s">
        <v>4382</v>
      </c>
      <c r="W719" s="28" t="s">
        <v>4383</v>
      </c>
      <c r="X719" s="28"/>
      <c r="Y719" s="28"/>
      <c r="Z719" s="28"/>
      <c r="AA719" s="28"/>
    </row>
    <row r="720">
      <c r="A720" s="270" t="s">
        <v>4384</v>
      </c>
      <c r="B720" s="28" t="s">
        <v>36</v>
      </c>
      <c r="C720" s="28" t="s">
        <v>4385</v>
      </c>
      <c r="D720" s="28" t="s">
        <v>44</v>
      </c>
      <c r="E720" s="28" t="s">
        <v>44</v>
      </c>
      <c r="F720" s="28" t="s">
        <v>4331</v>
      </c>
      <c r="G720" s="28" t="s">
        <v>47</v>
      </c>
      <c r="H720" s="28" t="s">
        <v>48</v>
      </c>
      <c r="I720" s="28" t="s">
        <v>485</v>
      </c>
      <c r="J720" s="28" t="s">
        <v>4332</v>
      </c>
      <c r="K720" s="28" t="s">
        <v>51</v>
      </c>
      <c r="L720" s="28" t="s">
        <v>52</v>
      </c>
      <c r="M720" s="28" t="s">
        <v>52</v>
      </c>
      <c r="N720" s="28" t="s">
        <v>4333</v>
      </c>
      <c r="O720" s="28" t="s">
        <v>44</v>
      </c>
      <c r="P720" s="28" t="s">
        <v>4386</v>
      </c>
      <c r="Q720" s="28" t="s">
        <v>4387</v>
      </c>
      <c r="R720" s="28" t="s">
        <v>44</v>
      </c>
      <c r="S720" s="28" t="s">
        <v>44</v>
      </c>
      <c r="T720" s="28" t="s">
        <v>44</v>
      </c>
      <c r="U720" s="28" t="s">
        <v>44</v>
      </c>
      <c r="V720" s="28" t="s">
        <v>4388</v>
      </c>
      <c r="W720" s="28" t="s">
        <v>774</v>
      </c>
      <c r="X720" s="28"/>
      <c r="Y720" s="28"/>
      <c r="Z720" s="28"/>
      <c r="AA720" s="28"/>
    </row>
    <row r="721">
      <c r="A721" s="270" t="s">
        <v>4389</v>
      </c>
      <c r="B721" s="28" t="s">
        <v>36</v>
      </c>
      <c r="C721" s="28" t="s">
        <v>4390</v>
      </c>
      <c r="D721" s="28" t="s">
        <v>44</v>
      </c>
      <c r="E721" s="28" t="s">
        <v>44</v>
      </c>
      <c r="F721" s="28" t="s">
        <v>4331</v>
      </c>
      <c r="G721" s="28" t="s">
        <v>47</v>
      </c>
      <c r="H721" s="28" t="s">
        <v>48</v>
      </c>
      <c r="I721" s="28" t="s">
        <v>485</v>
      </c>
      <c r="J721" s="28" t="s">
        <v>4332</v>
      </c>
      <c r="K721" s="28" t="s">
        <v>51</v>
      </c>
      <c r="L721" s="28" t="s">
        <v>52</v>
      </c>
      <c r="M721" s="28" t="s">
        <v>52</v>
      </c>
      <c r="N721" s="28" t="s">
        <v>4333</v>
      </c>
      <c r="O721" s="28" t="s">
        <v>44</v>
      </c>
      <c r="P721" s="28" t="s">
        <v>4391</v>
      </c>
      <c r="Q721" s="28" t="s">
        <v>4392</v>
      </c>
      <c r="R721" s="28" t="s">
        <v>44</v>
      </c>
      <c r="S721" s="28" t="s">
        <v>44</v>
      </c>
      <c r="T721" s="28" t="s">
        <v>44</v>
      </c>
      <c r="U721" s="28" t="s">
        <v>44</v>
      </c>
      <c r="V721" s="28" t="s">
        <v>4393</v>
      </c>
      <c r="W721" s="28" t="s">
        <v>774</v>
      </c>
      <c r="X721" s="28"/>
      <c r="Y721" s="28"/>
      <c r="Z721" s="28"/>
      <c r="AA721" s="28"/>
    </row>
    <row r="722">
      <c r="A722" s="270" t="s">
        <v>4394</v>
      </c>
      <c r="B722" s="28" t="s">
        <v>36</v>
      </c>
      <c r="C722" s="28" t="s">
        <v>4395</v>
      </c>
      <c r="D722" s="28" t="s">
        <v>44</v>
      </c>
      <c r="E722" s="28" t="s">
        <v>44</v>
      </c>
      <c r="F722" s="28" t="s">
        <v>4331</v>
      </c>
      <c r="G722" s="28" t="s">
        <v>47</v>
      </c>
      <c r="H722" s="28" t="s">
        <v>48</v>
      </c>
      <c r="I722" s="28" t="s">
        <v>485</v>
      </c>
      <c r="J722" s="28" t="s">
        <v>4332</v>
      </c>
      <c r="K722" s="28" t="s">
        <v>51</v>
      </c>
      <c r="L722" s="28" t="s">
        <v>52</v>
      </c>
      <c r="M722" s="28" t="s">
        <v>52</v>
      </c>
      <c r="N722" s="28" t="s">
        <v>4333</v>
      </c>
      <c r="O722" s="28" t="s">
        <v>44</v>
      </c>
      <c r="P722" s="28" t="s">
        <v>4396</v>
      </c>
      <c r="Q722" s="28" t="s">
        <v>4397</v>
      </c>
      <c r="R722" s="28" t="s">
        <v>44</v>
      </c>
      <c r="S722" s="28" t="s">
        <v>44</v>
      </c>
      <c r="T722" s="28" t="s">
        <v>44</v>
      </c>
      <c r="U722" s="28" t="s">
        <v>44</v>
      </c>
      <c r="V722" s="28" t="s">
        <v>4398</v>
      </c>
      <c r="W722" s="28" t="s">
        <v>774</v>
      </c>
      <c r="X722" s="28"/>
      <c r="Y722" s="28"/>
      <c r="Z722" s="28"/>
      <c r="AA722" s="28"/>
    </row>
    <row r="723">
      <c r="A723" s="270" t="s">
        <v>4399</v>
      </c>
      <c r="B723" s="28" t="s">
        <v>36</v>
      </c>
      <c r="C723" s="28" t="s">
        <v>4400</v>
      </c>
      <c r="D723" s="28" t="s">
        <v>44</v>
      </c>
      <c r="E723" s="28" t="s">
        <v>44</v>
      </c>
      <c r="F723" s="28" t="s">
        <v>4331</v>
      </c>
      <c r="G723" s="28" t="s">
        <v>47</v>
      </c>
      <c r="H723" s="28" t="s">
        <v>95</v>
      </c>
      <c r="I723" s="28" t="s">
        <v>485</v>
      </c>
      <c r="J723" s="28" t="s">
        <v>4332</v>
      </c>
      <c r="K723" s="28" t="s">
        <v>51</v>
      </c>
      <c r="L723" s="28" t="s">
        <v>52</v>
      </c>
      <c r="M723" s="28" t="s">
        <v>52</v>
      </c>
      <c r="N723" s="28" t="s">
        <v>4401</v>
      </c>
      <c r="O723" s="28" t="s">
        <v>44</v>
      </c>
      <c r="P723" s="28" t="s">
        <v>4402</v>
      </c>
      <c r="Q723" s="28" t="s">
        <v>4168</v>
      </c>
      <c r="R723" s="28" t="s">
        <v>44</v>
      </c>
      <c r="S723" s="28" t="s">
        <v>44</v>
      </c>
      <c r="T723" s="28" t="s">
        <v>44</v>
      </c>
      <c r="U723" s="28" t="s">
        <v>44</v>
      </c>
      <c r="V723" s="28" t="s">
        <v>4403</v>
      </c>
      <c r="W723" s="28" t="s">
        <v>774</v>
      </c>
      <c r="X723" s="28"/>
      <c r="Y723" s="28"/>
      <c r="Z723" s="28"/>
      <c r="AA723" s="28"/>
    </row>
    <row r="724">
      <c r="A724" s="270" t="s">
        <v>4404</v>
      </c>
      <c r="B724" s="28" t="s">
        <v>36</v>
      </c>
      <c r="C724" s="28" t="s">
        <v>4405</v>
      </c>
      <c r="D724" s="28" t="s">
        <v>44</v>
      </c>
      <c r="E724" s="28" t="s">
        <v>44</v>
      </c>
      <c r="F724" s="28" t="s">
        <v>4331</v>
      </c>
      <c r="G724" s="28" t="s">
        <v>47</v>
      </c>
      <c r="H724" s="28" t="s">
        <v>95</v>
      </c>
      <c r="I724" s="28" t="s">
        <v>485</v>
      </c>
      <c r="J724" s="28" t="s">
        <v>4332</v>
      </c>
      <c r="K724" s="28" t="s">
        <v>51</v>
      </c>
      <c r="L724" s="28" t="s">
        <v>52</v>
      </c>
      <c r="M724" s="28" t="s">
        <v>52</v>
      </c>
      <c r="N724" s="28" t="s">
        <v>4401</v>
      </c>
      <c r="O724" s="28" t="s">
        <v>44</v>
      </c>
      <c r="P724" s="28" t="s">
        <v>4406</v>
      </c>
      <c r="Q724" s="28" t="s">
        <v>4168</v>
      </c>
      <c r="R724" s="28" t="s">
        <v>44</v>
      </c>
      <c r="S724" s="28" t="s">
        <v>44</v>
      </c>
      <c r="T724" s="28" t="s">
        <v>44</v>
      </c>
      <c r="U724" s="28" t="s">
        <v>44</v>
      </c>
      <c r="V724" s="28" t="s">
        <v>4407</v>
      </c>
      <c r="W724" s="28" t="s">
        <v>774</v>
      </c>
      <c r="X724" s="28"/>
      <c r="Y724" s="28"/>
      <c r="Z724" s="28"/>
      <c r="AA724" s="28"/>
    </row>
    <row r="725">
      <c r="A725" s="270" t="s">
        <v>4408</v>
      </c>
      <c r="B725" s="28" t="s">
        <v>36</v>
      </c>
      <c r="C725" s="28" t="s">
        <v>4409</v>
      </c>
      <c r="D725" s="28" t="s">
        <v>44</v>
      </c>
      <c r="E725" s="28" t="s">
        <v>44</v>
      </c>
      <c r="F725" s="28" t="s">
        <v>4331</v>
      </c>
      <c r="G725" s="28" t="s">
        <v>47</v>
      </c>
      <c r="H725" s="28" t="s">
        <v>48</v>
      </c>
      <c r="I725" s="28" t="s">
        <v>485</v>
      </c>
      <c r="J725" s="28" t="s">
        <v>4332</v>
      </c>
      <c r="K725" s="28" t="s">
        <v>51</v>
      </c>
      <c r="L725" s="28" t="s">
        <v>52</v>
      </c>
      <c r="M725" s="28" t="s">
        <v>52</v>
      </c>
      <c r="N725" s="28" t="s">
        <v>4333</v>
      </c>
      <c r="O725" s="28" t="s">
        <v>44</v>
      </c>
      <c r="P725" s="28" t="s">
        <v>4410</v>
      </c>
      <c r="Q725" s="28" t="s">
        <v>4411</v>
      </c>
      <c r="R725" s="28" t="s">
        <v>44</v>
      </c>
      <c r="S725" s="28" t="s">
        <v>44</v>
      </c>
      <c r="T725" s="28" t="s">
        <v>44</v>
      </c>
      <c r="U725" s="28" t="s">
        <v>44</v>
      </c>
      <c r="V725" s="28" t="s">
        <v>4412</v>
      </c>
      <c r="W725" s="28" t="s">
        <v>4413</v>
      </c>
      <c r="X725" s="28"/>
      <c r="Y725" s="28"/>
      <c r="Z725" s="28"/>
      <c r="AA725" s="28"/>
    </row>
    <row r="726">
      <c r="A726" s="270" t="s">
        <v>4414</v>
      </c>
      <c r="B726" s="28" t="s">
        <v>36</v>
      </c>
      <c r="C726" s="28" t="s">
        <v>4415</v>
      </c>
      <c r="D726" s="28" t="s">
        <v>44</v>
      </c>
      <c r="E726" s="28" t="s">
        <v>44</v>
      </c>
      <c r="F726" s="28" t="s">
        <v>4331</v>
      </c>
      <c r="G726" s="28" t="s">
        <v>47</v>
      </c>
      <c r="H726" s="28" t="s">
        <v>48</v>
      </c>
      <c r="I726" s="28" t="s">
        <v>485</v>
      </c>
      <c r="J726" s="28" t="s">
        <v>4332</v>
      </c>
      <c r="K726" s="28" t="s">
        <v>51</v>
      </c>
      <c r="L726" s="28" t="s">
        <v>52</v>
      </c>
      <c r="M726" s="28" t="s">
        <v>52</v>
      </c>
      <c r="N726" s="28" t="s">
        <v>4333</v>
      </c>
      <c r="O726" s="28" t="s">
        <v>44</v>
      </c>
      <c r="P726" s="28" t="s">
        <v>4416</v>
      </c>
      <c r="Q726" s="28" t="s">
        <v>4417</v>
      </c>
      <c r="R726" s="28" t="s">
        <v>44</v>
      </c>
      <c r="S726" s="28" t="s">
        <v>44</v>
      </c>
      <c r="T726" s="28" t="s">
        <v>44</v>
      </c>
      <c r="U726" s="28" t="s">
        <v>44</v>
      </c>
      <c r="V726" s="28" t="s">
        <v>4418</v>
      </c>
      <c r="W726" s="28" t="s">
        <v>774</v>
      </c>
      <c r="X726" s="28"/>
      <c r="Y726" s="28"/>
      <c r="Z726" s="28"/>
      <c r="AA726" s="28"/>
    </row>
    <row r="727">
      <c r="A727" s="270" t="s">
        <v>4419</v>
      </c>
      <c r="B727" s="28" t="s">
        <v>36</v>
      </c>
      <c r="C727" s="28" t="s">
        <v>4420</v>
      </c>
      <c r="D727" s="28" t="s">
        <v>44</v>
      </c>
      <c r="E727" s="28" t="s">
        <v>44</v>
      </c>
      <c r="F727" s="28" t="s">
        <v>4331</v>
      </c>
      <c r="G727" s="28" t="s">
        <v>47</v>
      </c>
      <c r="H727" s="28" t="s">
        <v>48</v>
      </c>
      <c r="I727" s="28" t="s">
        <v>485</v>
      </c>
      <c r="J727" s="28" t="s">
        <v>4332</v>
      </c>
      <c r="K727" s="28" t="s">
        <v>51</v>
      </c>
      <c r="L727" s="28" t="s">
        <v>52</v>
      </c>
      <c r="M727" s="28" t="s">
        <v>52</v>
      </c>
      <c r="N727" s="28" t="s">
        <v>4333</v>
      </c>
      <c r="O727" s="28" t="s">
        <v>44</v>
      </c>
      <c r="P727" s="28" t="s">
        <v>4421</v>
      </c>
      <c r="Q727" s="28" t="s">
        <v>4422</v>
      </c>
      <c r="R727" s="28" t="s">
        <v>44</v>
      </c>
      <c r="S727" s="28" t="s">
        <v>44</v>
      </c>
      <c r="T727" s="28" t="s">
        <v>44</v>
      </c>
      <c r="U727" s="28" t="s">
        <v>44</v>
      </c>
      <c r="V727" s="28" t="s">
        <v>4423</v>
      </c>
      <c r="W727" s="28" t="s">
        <v>774</v>
      </c>
      <c r="X727" s="28"/>
      <c r="Y727" s="28"/>
      <c r="Z727" s="28"/>
      <c r="AA727" s="28"/>
    </row>
    <row r="728">
      <c r="A728" s="270" t="s">
        <v>4424</v>
      </c>
      <c r="B728" s="28" t="s">
        <v>36</v>
      </c>
      <c r="C728" s="28" t="s">
        <v>4425</v>
      </c>
      <c r="D728" s="28" t="s">
        <v>44</v>
      </c>
      <c r="E728" s="28" t="s">
        <v>44</v>
      </c>
      <c r="F728" s="28" t="s">
        <v>4331</v>
      </c>
      <c r="G728" s="28" t="s">
        <v>47</v>
      </c>
      <c r="H728" s="28" t="s">
        <v>95</v>
      </c>
      <c r="I728" s="28" t="s">
        <v>485</v>
      </c>
      <c r="J728" s="28" t="s">
        <v>4332</v>
      </c>
      <c r="K728" s="28" t="s">
        <v>51</v>
      </c>
      <c r="L728" s="28" t="s">
        <v>52</v>
      </c>
      <c r="M728" s="28" t="s">
        <v>52</v>
      </c>
      <c r="N728" s="28" t="s">
        <v>4426</v>
      </c>
      <c r="O728" s="28" t="s">
        <v>44</v>
      </c>
      <c r="P728" s="28" t="s">
        <v>4427</v>
      </c>
      <c r="Q728" s="28" t="s">
        <v>4428</v>
      </c>
      <c r="R728" s="28" t="s">
        <v>44</v>
      </c>
      <c r="S728" s="28" t="s">
        <v>44</v>
      </c>
      <c r="T728" s="28" t="s">
        <v>44</v>
      </c>
      <c r="U728" s="28" t="s">
        <v>44</v>
      </c>
      <c r="V728" s="28" t="s">
        <v>4429</v>
      </c>
      <c r="W728" s="28" t="s">
        <v>774</v>
      </c>
      <c r="X728" s="28"/>
      <c r="Y728" s="28"/>
      <c r="Z728" s="28"/>
      <c r="AA728" s="28"/>
    </row>
    <row r="729">
      <c r="A729" s="270" t="s">
        <v>4430</v>
      </c>
      <c r="B729" s="28" t="s">
        <v>36</v>
      </c>
      <c r="C729" s="28" t="s">
        <v>4431</v>
      </c>
      <c r="D729" s="28" t="s">
        <v>44</v>
      </c>
      <c r="E729" s="28" t="s">
        <v>44</v>
      </c>
      <c r="F729" s="28" t="s">
        <v>4331</v>
      </c>
      <c r="G729" s="28" t="s">
        <v>85</v>
      </c>
      <c r="H729" s="28" t="s">
        <v>86</v>
      </c>
      <c r="I729" s="28" t="s">
        <v>485</v>
      </c>
      <c r="J729" s="28" t="s">
        <v>4332</v>
      </c>
      <c r="K729" s="28" t="s">
        <v>51</v>
      </c>
      <c r="L729" s="28" t="s">
        <v>52</v>
      </c>
      <c r="M729" s="28" t="s">
        <v>52</v>
      </c>
      <c r="N729" s="28" t="s">
        <v>4432</v>
      </c>
      <c r="O729" s="28" t="s">
        <v>44</v>
      </c>
      <c r="P729" s="28" t="s">
        <v>4433</v>
      </c>
      <c r="Q729" s="28" t="s">
        <v>4434</v>
      </c>
      <c r="R729" s="28" t="s">
        <v>44</v>
      </c>
      <c r="S729" s="28" t="s">
        <v>44</v>
      </c>
      <c r="T729" s="28" t="s">
        <v>44</v>
      </c>
      <c r="U729" s="28" t="s">
        <v>44</v>
      </c>
      <c r="V729" s="28" t="s">
        <v>4435</v>
      </c>
      <c r="W729" s="28" t="s">
        <v>4436</v>
      </c>
      <c r="X729" s="28"/>
      <c r="Y729" s="28"/>
      <c r="Z729" s="28"/>
      <c r="AA729" s="28"/>
    </row>
    <row r="730">
      <c r="A730" s="270" t="s">
        <v>4437</v>
      </c>
      <c r="B730" s="28" t="s">
        <v>36</v>
      </c>
      <c r="C730" s="28" t="s">
        <v>4438</v>
      </c>
      <c r="D730" s="28" t="s">
        <v>44</v>
      </c>
      <c r="E730" s="28" t="s">
        <v>44</v>
      </c>
      <c r="F730" s="28" t="s">
        <v>4331</v>
      </c>
      <c r="G730" s="28" t="s">
        <v>197</v>
      </c>
      <c r="H730" s="28" t="s">
        <v>91</v>
      </c>
      <c r="I730" s="28" t="s">
        <v>485</v>
      </c>
      <c r="J730" s="28" t="s">
        <v>4332</v>
      </c>
      <c r="K730" s="28" t="s">
        <v>51</v>
      </c>
      <c r="L730" s="28" t="s">
        <v>52</v>
      </c>
      <c r="M730" s="28" t="s">
        <v>52</v>
      </c>
      <c r="N730" s="28" t="s">
        <v>4439</v>
      </c>
      <c r="O730" s="28" t="s">
        <v>44</v>
      </c>
      <c r="P730" s="28" t="s">
        <v>4440</v>
      </c>
      <c r="Q730" s="28" t="s">
        <v>4441</v>
      </c>
      <c r="R730" s="28" t="s">
        <v>44</v>
      </c>
      <c r="S730" s="28" t="s">
        <v>44</v>
      </c>
      <c r="T730" s="28" t="s">
        <v>44</v>
      </c>
      <c r="U730" s="28" t="s">
        <v>44</v>
      </c>
      <c r="V730" s="28" t="s">
        <v>4442</v>
      </c>
      <c r="W730" s="28" t="s">
        <v>4443</v>
      </c>
      <c r="X730" s="28"/>
      <c r="Y730" s="28"/>
      <c r="Z730" s="28"/>
      <c r="AA730" s="28"/>
    </row>
    <row r="731">
      <c r="A731" s="270" t="s">
        <v>4444</v>
      </c>
      <c r="B731" s="28" t="s">
        <v>36</v>
      </c>
      <c r="C731" s="28" t="s">
        <v>4445</v>
      </c>
      <c r="D731" s="28" t="s">
        <v>44</v>
      </c>
      <c r="E731" s="28" t="s">
        <v>44</v>
      </c>
      <c r="F731" s="28" t="s">
        <v>4331</v>
      </c>
      <c r="G731" s="28" t="s">
        <v>47</v>
      </c>
      <c r="H731" s="28" t="s">
        <v>95</v>
      </c>
      <c r="I731" s="28" t="s">
        <v>485</v>
      </c>
      <c r="J731" s="28" t="s">
        <v>4332</v>
      </c>
      <c r="K731" s="28" t="s">
        <v>51</v>
      </c>
      <c r="L731" s="28" t="s">
        <v>52</v>
      </c>
      <c r="M731" s="28" t="s">
        <v>52</v>
      </c>
      <c r="N731" s="28" t="s">
        <v>4446</v>
      </c>
      <c r="O731" s="28" t="s">
        <v>44</v>
      </c>
      <c r="P731" s="28" t="s">
        <v>4447</v>
      </c>
      <c r="Q731" s="28" t="s">
        <v>4448</v>
      </c>
      <c r="R731" s="28" t="s">
        <v>44</v>
      </c>
      <c r="S731" s="28" t="s">
        <v>44</v>
      </c>
      <c r="T731" s="28" t="s">
        <v>44</v>
      </c>
      <c r="U731" s="28" t="s">
        <v>44</v>
      </c>
      <c r="V731" s="28" t="s">
        <v>4449</v>
      </c>
      <c r="W731" s="28" t="s">
        <v>4450</v>
      </c>
      <c r="X731" s="28"/>
      <c r="Y731" s="28"/>
      <c r="Z731" s="28"/>
      <c r="AA731" s="28"/>
    </row>
    <row r="732">
      <c r="A732" s="270" t="s">
        <v>4451</v>
      </c>
      <c r="B732" s="28" t="s">
        <v>36</v>
      </c>
      <c r="C732" s="28" t="s">
        <v>4452</v>
      </c>
      <c r="D732" s="28" t="s">
        <v>44</v>
      </c>
      <c r="E732" s="28" t="s">
        <v>44</v>
      </c>
      <c r="F732" s="28" t="s">
        <v>4331</v>
      </c>
      <c r="G732" s="28" t="s">
        <v>47</v>
      </c>
      <c r="H732" s="28" t="s">
        <v>95</v>
      </c>
      <c r="I732" s="28" t="s">
        <v>485</v>
      </c>
      <c r="J732" s="28" t="s">
        <v>4332</v>
      </c>
      <c r="K732" s="28" t="s">
        <v>51</v>
      </c>
      <c r="L732" s="28" t="s">
        <v>52</v>
      </c>
      <c r="M732" s="28" t="s">
        <v>52</v>
      </c>
      <c r="N732" s="28" t="s">
        <v>4453</v>
      </c>
      <c r="O732" s="28" t="s">
        <v>44</v>
      </c>
      <c r="P732" s="28" t="s">
        <v>4454</v>
      </c>
      <c r="Q732" s="28" t="s">
        <v>4455</v>
      </c>
      <c r="R732" s="28" t="s">
        <v>44</v>
      </c>
      <c r="S732" s="28" t="s">
        <v>44</v>
      </c>
      <c r="T732" s="28" t="s">
        <v>44</v>
      </c>
      <c r="U732" s="28" t="s">
        <v>44</v>
      </c>
      <c r="V732" s="28" t="s">
        <v>4456</v>
      </c>
      <c r="W732" s="28" t="s">
        <v>4457</v>
      </c>
      <c r="X732" s="28"/>
      <c r="Y732" s="28"/>
      <c r="Z732" s="28"/>
      <c r="AA732" s="28"/>
    </row>
    <row r="733">
      <c r="A733" s="270" t="s">
        <v>4458</v>
      </c>
      <c r="B733" s="28" t="s">
        <v>36</v>
      </c>
      <c r="C733" s="28" t="s">
        <v>4459</v>
      </c>
      <c r="D733" s="28" t="s">
        <v>44</v>
      </c>
      <c r="E733" s="28" t="s">
        <v>44</v>
      </c>
      <c r="F733" s="28" t="s">
        <v>4331</v>
      </c>
      <c r="G733" s="28" t="s">
        <v>47</v>
      </c>
      <c r="H733" s="28" t="s">
        <v>48</v>
      </c>
      <c r="I733" s="28" t="s">
        <v>485</v>
      </c>
      <c r="J733" s="28" t="s">
        <v>4332</v>
      </c>
      <c r="K733" s="28" t="s">
        <v>51</v>
      </c>
      <c r="L733" s="28" t="s">
        <v>52</v>
      </c>
      <c r="M733" s="28" t="s">
        <v>52</v>
      </c>
      <c r="N733" s="28" t="s">
        <v>4333</v>
      </c>
      <c r="O733" s="28" t="s">
        <v>44</v>
      </c>
      <c r="P733" s="28" t="s">
        <v>4460</v>
      </c>
      <c r="Q733" s="28" t="s">
        <v>4461</v>
      </c>
      <c r="R733" s="28" t="s">
        <v>44</v>
      </c>
      <c r="S733" s="28" t="s">
        <v>44</v>
      </c>
      <c r="T733" s="28" t="s">
        <v>44</v>
      </c>
      <c r="U733" s="28" t="s">
        <v>44</v>
      </c>
      <c r="V733" s="28" t="s">
        <v>4462</v>
      </c>
      <c r="W733" s="28" t="s">
        <v>774</v>
      </c>
      <c r="X733" s="28"/>
      <c r="Y733" s="28"/>
      <c r="Z733" s="28"/>
      <c r="AA733" s="28"/>
    </row>
    <row r="734">
      <c r="A734" s="270" t="s">
        <v>4463</v>
      </c>
      <c r="B734" s="28" t="s">
        <v>36</v>
      </c>
      <c r="C734" s="28" t="s">
        <v>4464</v>
      </c>
      <c r="D734" s="28" t="s">
        <v>44</v>
      </c>
      <c r="E734" s="28" t="s">
        <v>44</v>
      </c>
      <c r="F734" s="28" t="s">
        <v>4331</v>
      </c>
      <c r="G734" s="28" t="s">
        <v>47</v>
      </c>
      <c r="H734" s="28" t="s">
        <v>48</v>
      </c>
      <c r="I734" s="28" t="s">
        <v>485</v>
      </c>
      <c r="J734" s="28" t="s">
        <v>4332</v>
      </c>
      <c r="K734" s="28" t="s">
        <v>51</v>
      </c>
      <c r="L734" s="28" t="s">
        <v>52</v>
      </c>
      <c r="M734" s="28" t="s">
        <v>52</v>
      </c>
      <c r="N734" s="28" t="s">
        <v>4333</v>
      </c>
      <c r="O734" s="28" t="s">
        <v>44</v>
      </c>
      <c r="P734" s="28" t="s">
        <v>4465</v>
      </c>
      <c r="Q734" s="28" t="s">
        <v>4466</v>
      </c>
      <c r="R734" s="28" t="s">
        <v>44</v>
      </c>
      <c r="S734" s="28" t="s">
        <v>44</v>
      </c>
      <c r="T734" s="28" t="s">
        <v>44</v>
      </c>
      <c r="U734" s="28" t="s">
        <v>44</v>
      </c>
      <c r="V734" s="28" t="s">
        <v>4467</v>
      </c>
      <c r="W734" s="28" t="s">
        <v>774</v>
      </c>
      <c r="X734" s="28"/>
      <c r="Y734" s="28"/>
      <c r="Z734" s="28"/>
      <c r="AA734" s="28"/>
    </row>
    <row r="735">
      <c r="A735" s="270" t="s">
        <v>4468</v>
      </c>
      <c r="B735" s="28" t="s">
        <v>36</v>
      </c>
      <c r="C735" s="28" t="s">
        <v>4469</v>
      </c>
      <c r="D735" s="28" t="s">
        <v>44</v>
      </c>
      <c r="E735" s="28" t="s">
        <v>44</v>
      </c>
      <c r="F735" s="28" t="s">
        <v>4331</v>
      </c>
      <c r="G735" s="28" t="s">
        <v>47</v>
      </c>
      <c r="H735" s="28" t="s">
        <v>48</v>
      </c>
      <c r="I735" s="28" t="s">
        <v>485</v>
      </c>
      <c r="J735" s="28" t="s">
        <v>4332</v>
      </c>
      <c r="K735" s="28" t="s">
        <v>51</v>
      </c>
      <c r="L735" s="28" t="s">
        <v>52</v>
      </c>
      <c r="M735" s="28" t="s">
        <v>52</v>
      </c>
      <c r="N735" s="28" t="s">
        <v>4333</v>
      </c>
      <c r="O735" s="28" t="s">
        <v>44</v>
      </c>
      <c r="P735" s="28" t="s">
        <v>4470</v>
      </c>
      <c r="Q735" s="28" t="s">
        <v>4471</v>
      </c>
      <c r="R735" s="28" t="s">
        <v>44</v>
      </c>
      <c r="S735" s="28" t="s">
        <v>44</v>
      </c>
      <c r="T735" s="28" t="s">
        <v>44</v>
      </c>
      <c r="U735" s="28" t="s">
        <v>44</v>
      </c>
      <c r="V735" s="28" t="s">
        <v>4472</v>
      </c>
      <c r="W735" s="28" t="s">
        <v>774</v>
      </c>
      <c r="X735" s="28"/>
      <c r="Y735" s="28"/>
      <c r="Z735" s="28"/>
      <c r="AA735" s="28"/>
    </row>
    <row r="736">
      <c r="A736" s="270" t="s">
        <v>4473</v>
      </c>
      <c r="B736" s="28" t="s">
        <v>36</v>
      </c>
      <c r="C736" s="28" t="s">
        <v>4474</v>
      </c>
      <c r="D736" s="28" t="s">
        <v>44</v>
      </c>
      <c r="E736" s="28" t="s">
        <v>44</v>
      </c>
      <c r="F736" s="28" t="s">
        <v>4331</v>
      </c>
      <c r="G736" s="28" t="s">
        <v>47</v>
      </c>
      <c r="H736" s="28" t="s">
        <v>48</v>
      </c>
      <c r="I736" s="28" t="s">
        <v>485</v>
      </c>
      <c r="J736" s="28" t="s">
        <v>4332</v>
      </c>
      <c r="K736" s="28" t="s">
        <v>51</v>
      </c>
      <c r="L736" s="28" t="s">
        <v>52</v>
      </c>
      <c r="M736" s="28" t="s">
        <v>52</v>
      </c>
      <c r="N736" s="28" t="s">
        <v>4333</v>
      </c>
      <c r="O736" s="28" t="s">
        <v>44</v>
      </c>
      <c r="P736" s="28" t="s">
        <v>4475</v>
      </c>
      <c r="Q736" s="28" t="s">
        <v>4476</v>
      </c>
      <c r="R736" s="28" t="s">
        <v>44</v>
      </c>
      <c r="S736" s="28" t="s">
        <v>44</v>
      </c>
      <c r="T736" s="28" t="s">
        <v>44</v>
      </c>
      <c r="U736" s="28" t="s">
        <v>44</v>
      </c>
      <c r="V736" s="28" t="s">
        <v>4477</v>
      </c>
      <c r="W736" s="28" t="s">
        <v>774</v>
      </c>
      <c r="X736" s="28"/>
      <c r="Y736" s="28"/>
      <c r="Z736" s="28"/>
      <c r="AA736" s="28"/>
    </row>
    <row r="737">
      <c r="A737" s="270" t="s">
        <v>4478</v>
      </c>
      <c r="B737" s="28" t="s">
        <v>36</v>
      </c>
      <c r="C737" s="28" t="s">
        <v>4479</v>
      </c>
      <c r="D737" s="28" t="s">
        <v>44</v>
      </c>
      <c r="E737" s="28" t="s">
        <v>44</v>
      </c>
      <c r="F737" s="28" t="s">
        <v>4331</v>
      </c>
      <c r="G737" s="28" t="s">
        <v>47</v>
      </c>
      <c r="H737" s="28" t="s">
        <v>48</v>
      </c>
      <c r="I737" s="28" t="s">
        <v>485</v>
      </c>
      <c r="J737" s="28" t="s">
        <v>4332</v>
      </c>
      <c r="K737" s="28" t="s">
        <v>51</v>
      </c>
      <c r="L737" s="28" t="s">
        <v>52</v>
      </c>
      <c r="M737" s="28" t="s">
        <v>52</v>
      </c>
      <c r="N737" s="28" t="s">
        <v>4480</v>
      </c>
      <c r="O737" s="28" t="s">
        <v>44</v>
      </c>
      <c r="P737" s="28" t="s">
        <v>4481</v>
      </c>
      <c r="Q737" s="28" t="s">
        <v>4482</v>
      </c>
      <c r="R737" s="28" t="s">
        <v>44</v>
      </c>
      <c r="S737" s="28" t="s">
        <v>44</v>
      </c>
      <c r="T737" s="28" t="s">
        <v>44</v>
      </c>
      <c r="U737" s="28" t="s">
        <v>44</v>
      </c>
      <c r="V737" s="28" t="s">
        <v>4483</v>
      </c>
      <c r="W737" s="28" t="s">
        <v>774</v>
      </c>
      <c r="X737" s="28"/>
      <c r="Y737" s="28"/>
      <c r="Z737" s="28"/>
      <c r="AA737" s="28"/>
    </row>
    <row r="738">
      <c r="A738" s="270" t="s">
        <v>4484</v>
      </c>
      <c r="B738" s="28" t="s">
        <v>36</v>
      </c>
      <c r="C738" s="28" t="s">
        <v>4485</v>
      </c>
      <c r="D738" s="28" t="s">
        <v>44</v>
      </c>
      <c r="E738" s="28" t="s">
        <v>44</v>
      </c>
      <c r="F738" s="28" t="s">
        <v>4331</v>
      </c>
      <c r="G738" s="28" t="s">
        <v>47</v>
      </c>
      <c r="H738" s="28" t="s">
        <v>48</v>
      </c>
      <c r="I738" s="28" t="s">
        <v>485</v>
      </c>
      <c r="J738" s="28" t="s">
        <v>4332</v>
      </c>
      <c r="K738" s="28" t="s">
        <v>51</v>
      </c>
      <c r="L738" s="28" t="s">
        <v>52</v>
      </c>
      <c r="M738" s="28" t="s">
        <v>52</v>
      </c>
      <c r="N738" s="28" t="s">
        <v>4333</v>
      </c>
      <c r="O738" s="28" t="s">
        <v>44</v>
      </c>
      <c r="P738" s="28" t="s">
        <v>4486</v>
      </c>
      <c r="Q738" s="28" t="s">
        <v>4487</v>
      </c>
      <c r="R738" s="28" t="s">
        <v>44</v>
      </c>
      <c r="S738" s="28" t="s">
        <v>44</v>
      </c>
      <c r="T738" s="28" t="s">
        <v>44</v>
      </c>
      <c r="U738" s="28" t="s">
        <v>44</v>
      </c>
      <c r="V738" s="28" t="s">
        <v>4488</v>
      </c>
      <c r="W738" s="28" t="s">
        <v>774</v>
      </c>
      <c r="X738" s="28"/>
      <c r="Y738" s="28"/>
      <c r="Z738" s="28"/>
      <c r="AA738" s="28"/>
    </row>
    <row r="739">
      <c r="A739" s="270" t="s">
        <v>4489</v>
      </c>
      <c r="B739" s="28" t="s">
        <v>36</v>
      </c>
      <c r="C739" s="28" t="s">
        <v>4490</v>
      </c>
      <c r="D739" s="28" t="s">
        <v>44</v>
      </c>
      <c r="E739" s="28" t="s">
        <v>44</v>
      </c>
      <c r="F739" s="28" t="s">
        <v>4331</v>
      </c>
      <c r="G739" s="28" t="s">
        <v>47</v>
      </c>
      <c r="H739" s="28" t="s">
        <v>95</v>
      </c>
      <c r="I739" s="28" t="s">
        <v>485</v>
      </c>
      <c r="J739" s="28" t="s">
        <v>4332</v>
      </c>
      <c r="K739" s="28" t="s">
        <v>51</v>
      </c>
      <c r="L739" s="28" t="s">
        <v>52</v>
      </c>
      <c r="M739" s="28" t="s">
        <v>52</v>
      </c>
      <c r="N739" s="28" t="s">
        <v>4491</v>
      </c>
      <c r="O739" s="28" t="s">
        <v>44</v>
      </c>
      <c r="P739" s="28" t="s">
        <v>4492</v>
      </c>
      <c r="Q739" s="28" t="s">
        <v>4493</v>
      </c>
      <c r="R739" s="28" t="s">
        <v>44</v>
      </c>
      <c r="S739" s="28" t="s">
        <v>44</v>
      </c>
      <c r="T739" s="28" t="s">
        <v>44</v>
      </c>
      <c r="U739" s="28" t="s">
        <v>44</v>
      </c>
      <c r="V739" s="28" t="s">
        <v>4494</v>
      </c>
      <c r="W739" s="28" t="s">
        <v>4495</v>
      </c>
      <c r="X739" s="28"/>
      <c r="Y739" s="28"/>
      <c r="Z739" s="28"/>
      <c r="AA739" s="28"/>
    </row>
    <row r="740">
      <c r="A740" s="270" t="s">
        <v>4496</v>
      </c>
      <c r="B740" s="28" t="s">
        <v>36</v>
      </c>
      <c r="C740" s="28" t="s">
        <v>4497</v>
      </c>
      <c r="D740" s="28" t="s">
        <v>44</v>
      </c>
      <c r="E740" s="28" t="s">
        <v>44</v>
      </c>
      <c r="F740" s="28" t="s">
        <v>4331</v>
      </c>
      <c r="G740" s="28" t="s">
        <v>47</v>
      </c>
      <c r="H740" s="28" t="s">
        <v>48</v>
      </c>
      <c r="I740" s="28" t="s">
        <v>485</v>
      </c>
      <c r="J740" s="28" t="s">
        <v>4332</v>
      </c>
      <c r="K740" s="28" t="s">
        <v>51</v>
      </c>
      <c r="L740" s="28" t="s">
        <v>52</v>
      </c>
      <c r="M740" s="28" t="s">
        <v>52</v>
      </c>
      <c r="N740" s="28" t="s">
        <v>4333</v>
      </c>
      <c r="O740" s="28" t="s">
        <v>44</v>
      </c>
      <c r="P740" s="28" t="s">
        <v>4498</v>
      </c>
      <c r="Q740" s="28" t="s">
        <v>4499</v>
      </c>
      <c r="R740" s="28" t="s">
        <v>44</v>
      </c>
      <c r="S740" s="28" t="s">
        <v>44</v>
      </c>
      <c r="T740" s="28" t="s">
        <v>44</v>
      </c>
      <c r="U740" s="28" t="s">
        <v>44</v>
      </c>
      <c r="V740" s="28" t="s">
        <v>4500</v>
      </c>
      <c r="W740" s="28" t="s">
        <v>4501</v>
      </c>
      <c r="X740" s="28"/>
      <c r="Y740" s="28"/>
      <c r="Z740" s="28"/>
      <c r="AA740" s="28"/>
    </row>
    <row r="741">
      <c r="A741" s="270" t="s">
        <v>4502</v>
      </c>
      <c r="B741" s="28" t="s">
        <v>36</v>
      </c>
      <c r="C741" s="28" t="s">
        <v>4503</v>
      </c>
      <c r="D741" s="28" t="s">
        <v>44</v>
      </c>
      <c r="E741" s="28" t="s">
        <v>44</v>
      </c>
      <c r="F741" s="28" t="s">
        <v>4331</v>
      </c>
      <c r="G741" s="28" t="s">
        <v>47</v>
      </c>
      <c r="H741" s="28" t="s">
        <v>48</v>
      </c>
      <c r="I741" s="28" t="s">
        <v>485</v>
      </c>
      <c r="J741" s="28" t="s">
        <v>4332</v>
      </c>
      <c r="K741" s="28" t="s">
        <v>51</v>
      </c>
      <c r="L741" s="28" t="s">
        <v>52</v>
      </c>
      <c r="M741" s="28" t="s">
        <v>52</v>
      </c>
      <c r="N741" s="28" t="s">
        <v>4426</v>
      </c>
      <c r="O741" s="28" t="s">
        <v>44</v>
      </c>
      <c r="P741" s="28" t="s">
        <v>4504</v>
      </c>
      <c r="Q741" s="28" t="s">
        <v>4505</v>
      </c>
      <c r="R741" s="28" t="s">
        <v>44</v>
      </c>
      <c r="S741" s="28" t="s">
        <v>44</v>
      </c>
      <c r="T741" s="28" t="s">
        <v>44</v>
      </c>
      <c r="U741" s="28" t="s">
        <v>44</v>
      </c>
      <c r="V741" s="28" t="s">
        <v>4506</v>
      </c>
      <c r="W741" s="28" t="s">
        <v>4507</v>
      </c>
      <c r="X741" s="28"/>
      <c r="Y741" s="28"/>
      <c r="Z741" s="28"/>
      <c r="AA741" s="28"/>
    </row>
    <row r="742">
      <c r="A742" s="270" t="s">
        <v>4508</v>
      </c>
      <c r="B742" s="28" t="s">
        <v>36</v>
      </c>
      <c r="C742" s="28" t="s">
        <v>4509</v>
      </c>
      <c r="D742" s="28" t="s">
        <v>44</v>
      </c>
      <c r="E742" s="28" t="s">
        <v>44</v>
      </c>
      <c r="F742" s="28" t="s">
        <v>4331</v>
      </c>
      <c r="G742" s="28" t="s">
        <v>47</v>
      </c>
      <c r="H742" s="28" t="s">
        <v>48</v>
      </c>
      <c r="I742" s="28" t="s">
        <v>485</v>
      </c>
      <c r="J742" s="28" t="s">
        <v>4332</v>
      </c>
      <c r="K742" s="28" t="s">
        <v>51</v>
      </c>
      <c r="L742" s="28" t="s">
        <v>52</v>
      </c>
      <c r="M742" s="28" t="s">
        <v>52</v>
      </c>
      <c r="N742" s="28" t="s">
        <v>4510</v>
      </c>
      <c r="O742" s="28" t="s">
        <v>44</v>
      </c>
      <c r="P742" s="28" t="s">
        <v>4511</v>
      </c>
      <c r="Q742" s="28" t="s">
        <v>4512</v>
      </c>
      <c r="R742" s="28" t="s">
        <v>44</v>
      </c>
      <c r="S742" s="28" t="s">
        <v>44</v>
      </c>
      <c r="T742" s="28" t="s">
        <v>44</v>
      </c>
      <c r="U742" s="28" t="s">
        <v>44</v>
      </c>
      <c r="V742" s="28" t="s">
        <v>4513</v>
      </c>
      <c r="W742" s="28" t="s">
        <v>4514</v>
      </c>
      <c r="X742" s="28"/>
      <c r="Y742" s="28"/>
      <c r="Z742" s="28"/>
      <c r="AA742" s="28"/>
    </row>
    <row r="743">
      <c r="A743" s="270" t="s">
        <v>4515</v>
      </c>
      <c r="B743" s="28" t="s">
        <v>36</v>
      </c>
      <c r="C743" s="28" t="s">
        <v>4516</v>
      </c>
      <c r="D743" s="28" t="s">
        <v>44</v>
      </c>
      <c r="E743" s="28" t="s">
        <v>44</v>
      </c>
      <c r="F743" s="28" t="s">
        <v>4331</v>
      </c>
      <c r="G743" s="28" t="s">
        <v>47</v>
      </c>
      <c r="H743" s="28" t="s">
        <v>48</v>
      </c>
      <c r="I743" s="28" t="s">
        <v>485</v>
      </c>
      <c r="J743" s="28" t="s">
        <v>4332</v>
      </c>
      <c r="K743" s="28" t="s">
        <v>51</v>
      </c>
      <c r="L743" s="28" t="s">
        <v>52</v>
      </c>
      <c r="M743" s="28" t="s">
        <v>52</v>
      </c>
      <c r="N743" s="28" t="s">
        <v>4333</v>
      </c>
      <c r="O743" s="28" t="s">
        <v>44</v>
      </c>
      <c r="P743" s="28" t="s">
        <v>4517</v>
      </c>
      <c r="Q743" s="28" t="s">
        <v>4518</v>
      </c>
      <c r="R743" s="28" t="s">
        <v>44</v>
      </c>
      <c r="S743" s="28" t="s">
        <v>44</v>
      </c>
      <c r="T743" s="28" t="s">
        <v>44</v>
      </c>
      <c r="U743" s="28" t="s">
        <v>44</v>
      </c>
      <c r="V743" s="28" t="s">
        <v>4519</v>
      </c>
      <c r="W743" s="28" t="s">
        <v>4520</v>
      </c>
      <c r="X743" s="28"/>
      <c r="Y743" s="28"/>
      <c r="Z743" s="28"/>
      <c r="AA743" s="28"/>
    </row>
    <row r="744">
      <c r="A744" s="270" t="s">
        <v>4521</v>
      </c>
      <c r="B744" s="28" t="s">
        <v>36</v>
      </c>
      <c r="C744" s="28" t="s">
        <v>4522</v>
      </c>
      <c r="D744" s="28" t="s">
        <v>44</v>
      </c>
      <c r="E744" s="28" t="s">
        <v>44</v>
      </c>
      <c r="F744" s="28" t="s">
        <v>4331</v>
      </c>
      <c r="G744" s="28" t="s">
        <v>47</v>
      </c>
      <c r="H744" s="28" t="s">
        <v>48</v>
      </c>
      <c r="I744" s="28" t="s">
        <v>485</v>
      </c>
      <c r="J744" s="28" t="s">
        <v>4332</v>
      </c>
      <c r="K744" s="28" t="s">
        <v>51</v>
      </c>
      <c r="L744" s="28" t="s">
        <v>52</v>
      </c>
      <c r="M744" s="28" t="s">
        <v>52</v>
      </c>
      <c r="N744" s="28" t="s">
        <v>4333</v>
      </c>
      <c r="O744" s="28" t="s">
        <v>44</v>
      </c>
      <c r="P744" s="28" t="s">
        <v>4523</v>
      </c>
      <c r="Q744" s="28" t="s">
        <v>4524</v>
      </c>
      <c r="R744" s="28" t="s">
        <v>44</v>
      </c>
      <c r="S744" s="28" t="s">
        <v>44</v>
      </c>
      <c r="T744" s="28" t="s">
        <v>44</v>
      </c>
      <c r="U744" s="28" t="s">
        <v>44</v>
      </c>
      <c r="V744" s="28" t="s">
        <v>4525</v>
      </c>
      <c r="W744" s="28" t="s">
        <v>4526</v>
      </c>
      <c r="X744" s="28"/>
      <c r="Y744" s="28"/>
      <c r="Z744" s="28"/>
      <c r="AA744" s="28"/>
    </row>
    <row r="745">
      <c r="A745" s="270" t="s">
        <v>4527</v>
      </c>
      <c r="B745" s="28" t="s">
        <v>36</v>
      </c>
      <c r="C745" s="28" t="s">
        <v>4528</v>
      </c>
      <c r="D745" s="28" t="s">
        <v>44</v>
      </c>
      <c r="E745" s="28" t="s">
        <v>44</v>
      </c>
      <c r="F745" s="28" t="s">
        <v>4331</v>
      </c>
      <c r="G745" s="28" t="s">
        <v>47</v>
      </c>
      <c r="H745" s="28" t="s">
        <v>48</v>
      </c>
      <c r="I745" s="28" t="s">
        <v>485</v>
      </c>
      <c r="J745" s="28" t="s">
        <v>4332</v>
      </c>
      <c r="K745" s="28" t="s">
        <v>51</v>
      </c>
      <c r="L745" s="28" t="s">
        <v>52</v>
      </c>
      <c r="M745" s="28" t="s">
        <v>52</v>
      </c>
      <c r="N745" s="28" t="s">
        <v>4333</v>
      </c>
      <c r="O745" s="28" t="s">
        <v>44</v>
      </c>
      <c r="P745" s="28" t="s">
        <v>4529</v>
      </c>
      <c r="Q745" s="28" t="s">
        <v>4530</v>
      </c>
      <c r="R745" s="28" t="s">
        <v>44</v>
      </c>
      <c r="S745" s="28" t="s">
        <v>44</v>
      </c>
      <c r="T745" s="28" t="s">
        <v>44</v>
      </c>
      <c r="U745" s="28" t="s">
        <v>44</v>
      </c>
      <c r="V745" s="28" t="s">
        <v>4531</v>
      </c>
      <c r="W745" s="28" t="s">
        <v>4532</v>
      </c>
      <c r="X745" s="28"/>
      <c r="Y745" s="28"/>
      <c r="Z745" s="28"/>
      <c r="AA745" s="28"/>
    </row>
    <row r="746">
      <c r="A746" s="270" t="s">
        <v>4533</v>
      </c>
      <c r="B746" s="28" t="s">
        <v>36</v>
      </c>
      <c r="C746" s="28" t="s">
        <v>4534</v>
      </c>
      <c r="D746" s="28" t="s">
        <v>44</v>
      </c>
      <c r="E746" s="28" t="s">
        <v>44</v>
      </c>
      <c r="F746" s="28" t="s">
        <v>4331</v>
      </c>
      <c r="G746" s="28" t="s">
        <v>47</v>
      </c>
      <c r="H746" s="28" t="s">
        <v>95</v>
      </c>
      <c r="I746" s="28" t="s">
        <v>485</v>
      </c>
      <c r="J746" s="28" t="s">
        <v>4332</v>
      </c>
      <c r="K746" s="28" t="s">
        <v>51</v>
      </c>
      <c r="L746" s="28" t="s">
        <v>52</v>
      </c>
      <c r="M746" s="28" t="s">
        <v>52</v>
      </c>
      <c r="N746" s="28" t="s">
        <v>4535</v>
      </c>
      <c r="O746" s="28" t="s">
        <v>44</v>
      </c>
      <c r="P746" s="28" t="s">
        <v>4536</v>
      </c>
      <c r="Q746" s="28" t="s">
        <v>4537</v>
      </c>
      <c r="R746" s="28" t="s">
        <v>44</v>
      </c>
      <c r="S746" s="28" t="s">
        <v>44</v>
      </c>
      <c r="T746" s="28" t="s">
        <v>44</v>
      </c>
      <c r="U746" s="28" t="s">
        <v>44</v>
      </c>
      <c r="V746" s="28" t="s">
        <v>4538</v>
      </c>
      <c r="W746" s="28" t="s">
        <v>4539</v>
      </c>
      <c r="X746" s="28"/>
      <c r="Y746" s="28"/>
      <c r="Z746" s="28"/>
      <c r="AA746" s="28"/>
    </row>
    <row r="747">
      <c r="A747" s="270" t="s">
        <v>4540</v>
      </c>
      <c r="B747" s="28" t="s">
        <v>36</v>
      </c>
      <c r="C747" s="28" t="s">
        <v>4541</v>
      </c>
      <c r="D747" s="28" t="s">
        <v>44</v>
      </c>
      <c r="E747" s="28" t="s">
        <v>44</v>
      </c>
      <c r="F747" s="28" t="s">
        <v>4331</v>
      </c>
      <c r="G747" s="28" t="s">
        <v>47</v>
      </c>
      <c r="H747" s="28" t="s">
        <v>48</v>
      </c>
      <c r="I747" s="28" t="s">
        <v>485</v>
      </c>
      <c r="J747" s="28" t="s">
        <v>4332</v>
      </c>
      <c r="K747" s="28" t="s">
        <v>51</v>
      </c>
      <c r="L747" s="28" t="s">
        <v>52</v>
      </c>
      <c r="M747" s="28" t="s">
        <v>52</v>
      </c>
      <c r="N747" s="28" t="s">
        <v>4446</v>
      </c>
      <c r="O747" s="28" t="s">
        <v>44</v>
      </c>
      <c r="P747" s="28" t="s">
        <v>4542</v>
      </c>
      <c r="Q747" s="28" t="s">
        <v>4543</v>
      </c>
      <c r="R747" s="28" t="s">
        <v>44</v>
      </c>
      <c r="S747" s="28" t="s">
        <v>44</v>
      </c>
      <c r="T747" s="28" t="s">
        <v>44</v>
      </c>
      <c r="U747" s="28" t="s">
        <v>44</v>
      </c>
      <c r="V747" s="28" t="s">
        <v>4544</v>
      </c>
      <c r="W747" s="28" t="s">
        <v>774</v>
      </c>
      <c r="X747" s="28"/>
      <c r="Y747" s="28"/>
      <c r="Z747" s="28"/>
      <c r="AA747" s="28"/>
    </row>
    <row r="748">
      <c r="A748" s="270" t="s">
        <v>4545</v>
      </c>
      <c r="B748" s="28" t="s">
        <v>36</v>
      </c>
      <c r="C748" s="28" t="s">
        <v>4546</v>
      </c>
      <c r="D748" s="28" t="s">
        <v>44</v>
      </c>
      <c r="E748" s="28" t="s">
        <v>44</v>
      </c>
      <c r="F748" s="28" t="s">
        <v>4331</v>
      </c>
      <c r="G748" s="28" t="s">
        <v>47</v>
      </c>
      <c r="H748" s="28" t="s">
        <v>48</v>
      </c>
      <c r="I748" s="28" t="s">
        <v>485</v>
      </c>
      <c r="J748" s="28" t="s">
        <v>4332</v>
      </c>
      <c r="K748" s="28" t="s">
        <v>51</v>
      </c>
      <c r="L748" s="28" t="s">
        <v>52</v>
      </c>
      <c r="M748" s="28" t="s">
        <v>52</v>
      </c>
      <c r="N748" s="28" t="s">
        <v>4446</v>
      </c>
      <c r="O748" s="28" t="s">
        <v>44</v>
      </c>
      <c r="P748" s="28" t="s">
        <v>4547</v>
      </c>
      <c r="Q748" s="28" t="s">
        <v>4548</v>
      </c>
      <c r="R748" s="28" t="s">
        <v>44</v>
      </c>
      <c r="S748" s="28" t="s">
        <v>44</v>
      </c>
      <c r="T748" s="28" t="s">
        <v>44</v>
      </c>
      <c r="U748" s="28" t="s">
        <v>44</v>
      </c>
      <c r="V748" s="28" t="s">
        <v>4549</v>
      </c>
      <c r="W748" s="28" t="s">
        <v>774</v>
      </c>
      <c r="X748" s="28"/>
      <c r="Y748" s="28"/>
      <c r="Z748" s="28"/>
      <c r="AA748" s="28"/>
    </row>
    <row r="749">
      <c r="A749" s="270" t="s">
        <v>4550</v>
      </c>
      <c r="B749" s="28" t="s">
        <v>36</v>
      </c>
      <c r="C749" s="28" t="s">
        <v>4551</v>
      </c>
      <c r="D749" s="28" t="s">
        <v>44</v>
      </c>
      <c r="E749" s="28" t="s">
        <v>44</v>
      </c>
      <c r="F749" s="28" t="s">
        <v>4331</v>
      </c>
      <c r="G749" s="28" t="s">
        <v>47</v>
      </c>
      <c r="H749" s="28" t="s">
        <v>48</v>
      </c>
      <c r="I749" s="28" t="s">
        <v>485</v>
      </c>
      <c r="J749" s="28" t="s">
        <v>4332</v>
      </c>
      <c r="K749" s="28" t="s">
        <v>51</v>
      </c>
      <c r="L749" s="28" t="s">
        <v>52</v>
      </c>
      <c r="M749" s="28" t="s">
        <v>52</v>
      </c>
      <c r="N749" s="28" t="s">
        <v>4552</v>
      </c>
      <c r="O749" s="28" t="s">
        <v>44</v>
      </c>
      <c r="P749" s="28" t="s">
        <v>4553</v>
      </c>
      <c r="Q749" s="28" t="s">
        <v>4554</v>
      </c>
      <c r="R749" s="28" t="s">
        <v>44</v>
      </c>
      <c r="S749" s="28" t="s">
        <v>44</v>
      </c>
      <c r="T749" s="28" t="s">
        <v>44</v>
      </c>
      <c r="U749" s="28" t="s">
        <v>44</v>
      </c>
      <c r="V749" s="28" t="s">
        <v>4555</v>
      </c>
      <c r="W749" s="28" t="s">
        <v>774</v>
      </c>
      <c r="X749" s="28"/>
      <c r="Y749" s="28"/>
      <c r="Z749" s="28"/>
      <c r="AA749" s="28"/>
    </row>
    <row r="750">
      <c r="A750" s="270" t="s">
        <v>4556</v>
      </c>
      <c r="B750" s="28" t="s">
        <v>36</v>
      </c>
      <c r="C750" s="28" t="s">
        <v>4557</v>
      </c>
      <c r="D750" s="28" t="s">
        <v>44</v>
      </c>
      <c r="E750" s="28" t="s">
        <v>44</v>
      </c>
      <c r="F750" s="28" t="s">
        <v>4331</v>
      </c>
      <c r="G750" s="28" t="s">
        <v>47</v>
      </c>
      <c r="H750" s="28" t="s">
        <v>48</v>
      </c>
      <c r="I750" s="28" t="s">
        <v>485</v>
      </c>
      <c r="J750" s="28" t="s">
        <v>4332</v>
      </c>
      <c r="K750" s="28" t="s">
        <v>51</v>
      </c>
      <c r="L750" s="28" t="s">
        <v>52</v>
      </c>
      <c r="M750" s="28" t="s">
        <v>52</v>
      </c>
      <c r="N750" s="28" t="s">
        <v>4558</v>
      </c>
      <c r="O750" s="28" t="s">
        <v>44</v>
      </c>
      <c r="P750" s="28" t="s">
        <v>4559</v>
      </c>
      <c r="Q750" s="28" t="s">
        <v>4560</v>
      </c>
      <c r="R750" s="28" t="s">
        <v>44</v>
      </c>
      <c r="S750" s="28" t="s">
        <v>44</v>
      </c>
      <c r="T750" s="28" t="s">
        <v>44</v>
      </c>
      <c r="U750" s="28" t="s">
        <v>44</v>
      </c>
      <c r="V750" s="28" t="s">
        <v>4561</v>
      </c>
      <c r="W750" s="28" t="s">
        <v>774</v>
      </c>
      <c r="X750" s="28"/>
      <c r="Y750" s="28"/>
      <c r="Z750" s="28"/>
      <c r="AA750" s="28"/>
    </row>
    <row r="751">
      <c r="A751" s="270" t="s">
        <v>4562</v>
      </c>
      <c r="B751" s="28" t="s">
        <v>36</v>
      </c>
      <c r="C751" s="28" t="s">
        <v>4563</v>
      </c>
      <c r="D751" s="28" t="s">
        <v>44</v>
      </c>
      <c r="E751" s="28" t="s">
        <v>44</v>
      </c>
      <c r="F751" s="28" t="s">
        <v>4331</v>
      </c>
      <c r="G751" s="28" t="s">
        <v>47</v>
      </c>
      <c r="H751" s="28" t="s">
        <v>95</v>
      </c>
      <c r="I751" s="28" t="s">
        <v>485</v>
      </c>
      <c r="J751" s="28" t="s">
        <v>4332</v>
      </c>
      <c r="K751" s="28" t="s">
        <v>51</v>
      </c>
      <c r="L751" s="28" t="s">
        <v>52</v>
      </c>
      <c r="M751" s="28" t="s">
        <v>52</v>
      </c>
      <c r="N751" s="28" t="s">
        <v>4564</v>
      </c>
      <c r="O751" s="28" t="s">
        <v>44</v>
      </c>
      <c r="P751" s="28" t="s">
        <v>4565</v>
      </c>
      <c r="Q751" s="28" t="s">
        <v>4566</v>
      </c>
      <c r="R751" s="28" t="s">
        <v>44</v>
      </c>
      <c r="S751" s="28" t="s">
        <v>44</v>
      </c>
      <c r="T751" s="28" t="s">
        <v>44</v>
      </c>
      <c r="U751" s="28" t="s">
        <v>44</v>
      </c>
      <c r="V751" s="28" t="s">
        <v>4567</v>
      </c>
      <c r="W751" s="28" t="s">
        <v>774</v>
      </c>
      <c r="X751" s="28"/>
      <c r="Y751" s="28"/>
      <c r="Z751" s="28"/>
      <c r="AA751" s="28"/>
    </row>
    <row r="752">
      <c r="A752" s="270" t="s">
        <v>4568</v>
      </c>
      <c r="B752" s="28" t="s">
        <v>36</v>
      </c>
      <c r="C752" s="28" t="s">
        <v>4569</v>
      </c>
      <c r="D752" s="28" t="s">
        <v>44</v>
      </c>
      <c r="E752" s="28" t="s">
        <v>44</v>
      </c>
      <c r="F752" s="28" t="s">
        <v>4331</v>
      </c>
      <c r="G752" s="28" t="s">
        <v>47</v>
      </c>
      <c r="H752" s="28" t="s">
        <v>48</v>
      </c>
      <c r="I752" s="28" t="s">
        <v>485</v>
      </c>
      <c r="J752" s="28" t="s">
        <v>4332</v>
      </c>
      <c r="K752" s="28" t="s">
        <v>51</v>
      </c>
      <c r="L752" s="28" t="s">
        <v>52</v>
      </c>
      <c r="M752" s="28" t="s">
        <v>52</v>
      </c>
      <c r="N752" s="28" t="s">
        <v>4446</v>
      </c>
      <c r="O752" s="28" t="s">
        <v>44</v>
      </c>
      <c r="P752" s="28" t="s">
        <v>4570</v>
      </c>
      <c r="Q752" s="28" t="s">
        <v>4571</v>
      </c>
      <c r="R752" s="28" t="s">
        <v>44</v>
      </c>
      <c r="S752" s="28" t="s">
        <v>44</v>
      </c>
      <c r="T752" s="28" t="s">
        <v>44</v>
      </c>
      <c r="U752" s="28" t="s">
        <v>44</v>
      </c>
      <c r="V752" s="28" t="s">
        <v>4572</v>
      </c>
      <c r="W752" s="28" t="s">
        <v>774</v>
      </c>
      <c r="X752" s="28"/>
      <c r="Y752" s="28"/>
      <c r="Z752" s="28"/>
      <c r="AA752" s="28"/>
    </row>
    <row r="753">
      <c r="A753" s="270" t="s">
        <v>4573</v>
      </c>
      <c r="B753" s="28" t="s">
        <v>36</v>
      </c>
      <c r="C753" s="28" t="s">
        <v>4574</v>
      </c>
      <c r="D753" s="28" t="s">
        <v>44</v>
      </c>
      <c r="E753" s="28" t="s">
        <v>44</v>
      </c>
      <c r="F753" s="28" t="s">
        <v>4331</v>
      </c>
      <c r="G753" s="28" t="s">
        <v>47</v>
      </c>
      <c r="H753" s="28" t="s">
        <v>48</v>
      </c>
      <c r="I753" s="28" t="s">
        <v>485</v>
      </c>
      <c r="J753" s="28" t="s">
        <v>4332</v>
      </c>
      <c r="K753" s="28" t="s">
        <v>51</v>
      </c>
      <c r="L753" s="28" t="s">
        <v>52</v>
      </c>
      <c r="M753" s="28" t="s">
        <v>52</v>
      </c>
      <c r="N753" s="28" t="s">
        <v>4575</v>
      </c>
      <c r="O753" s="28" t="s">
        <v>44</v>
      </c>
      <c r="P753" s="28" t="s">
        <v>4576</v>
      </c>
      <c r="Q753" s="28" t="s">
        <v>4577</v>
      </c>
      <c r="R753" s="28" t="s">
        <v>44</v>
      </c>
      <c r="S753" s="28" t="s">
        <v>44</v>
      </c>
      <c r="T753" s="28" t="s">
        <v>44</v>
      </c>
      <c r="U753" s="28" t="s">
        <v>44</v>
      </c>
      <c r="V753" s="28" t="s">
        <v>4578</v>
      </c>
      <c r="W753" s="28" t="s">
        <v>774</v>
      </c>
      <c r="X753" s="28"/>
      <c r="Y753" s="28"/>
      <c r="Z753" s="28"/>
      <c r="AA753" s="28"/>
    </row>
    <row r="754">
      <c r="A754" s="270" t="s">
        <v>4579</v>
      </c>
      <c r="B754" s="28" t="s">
        <v>36</v>
      </c>
      <c r="C754" s="28" t="s">
        <v>4580</v>
      </c>
      <c r="D754" s="28" t="s">
        <v>44</v>
      </c>
      <c r="E754" s="28" t="s">
        <v>44</v>
      </c>
      <c r="F754" s="28" t="s">
        <v>4331</v>
      </c>
      <c r="G754" s="28" t="s">
        <v>47</v>
      </c>
      <c r="H754" s="28" t="s">
        <v>48</v>
      </c>
      <c r="I754" s="28" t="s">
        <v>485</v>
      </c>
      <c r="J754" s="28" t="s">
        <v>4332</v>
      </c>
      <c r="K754" s="28" t="s">
        <v>51</v>
      </c>
      <c r="L754" s="28" t="s">
        <v>52</v>
      </c>
      <c r="M754" s="28" t="s">
        <v>52</v>
      </c>
      <c r="N754" s="28" t="s">
        <v>4581</v>
      </c>
      <c r="O754" s="28" t="s">
        <v>44</v>
      </c>
      <c r="P754" s="28" t="s">
        <v>4582</v>
      </c>
      <c r="Q754" s="28" t="s">
        <v>4583</v>
      </c>
      <c r="R754" s="28" t="s">
        <v>44</v>
      </c>
      <c r="S754" s="28" t="s">
        <v>44</v>
      </c>
      <c r="T754" s="28" t="s">
        <v>44</v>
      </c>
      <c r="U754" s="28" t="s">
        <v>44</v>
      </c>
      <c r="V754" s="28" t="s">
        <v>4584</v>
      </c>
      <c r="W754" s="28" t="s">
        <v>774</v>
      </c>
      <c r="X754" s="28"/>
      <c r="Y754" s="28"/>
      <c r="Z754" s="28"/>
      <c r="AA754" s="28"/>
    </row>
    <row r="755">
      <c r="A755" s="270" t="s">
        <v>4585</v>
      </c>
      <c r="B755" s="28" t="s">
        <v>36</v>
      </c>
      <c r="C755" s="28" t="s">
        <v>4586</v>
      </c>
      <c r="D755" s="28" t="s">
        <v>44</v>
      </c>
      <c r="E755" s="28" t="s">
        <v>44</v>
      </c>
      <c r="F755" s="28" t="s">
        <v>4331</v>
      </c>
      <c r="G755" s="28" t="s">
        <v>47</v>
      </c>
      <c r="H755" s="28" t="s">
        <v>48</v>
      </c>
      <c r="I755" s="28" t="s">
        <v>485</v>
      </c>
      <c r="J755" s="28" t="s">
        <v>4332</v>
      </c>
      <c r="K755" s="28" t="s">
        <v>51</v>
      </c>
      <c r="L755" s="28" t="s">
        <v>52</v>
      </c>
      <c r="M755" s="28" t="s">
        <v>52</v>
      </c>
      <c r="N755" s="28" t="s">
        <v>4446</v>
      </c>
      <c r="O755" s="28" t="s">
        <v>44</v>
      </c>
      <c r="P755" s="28" t="s">
        <v>4587</v>
      </c>
      <c r="Q755" s="28" t="s">
        <v>4588</v>
      </c>
      <c r="R755" s="28" t="s">
        <v>44</v>
      </c>
      <c r="S755" s="28" t="s">
        <v>44</v>
      </c>
      <c r="T755" s="28" t="s">
        <v>44</v>
      </c>
      <c r="U755" s="28" t="s">
        <v>44</v>
      </c>
      <c r="V755" s="28" t="s">
        <v>4589</v>
      </c>
      <c r="W755" s="28" t="s">
        <v>4590</v>
      </c>
      <c r="X755" s="28"/>
      <c r="Y755" s="28"/>
      <c r="Z755" s="28"/>
      <c r="AA755" s="28"/>
    </row>
    <row r="756">
      <c r="A756" s="270" t="s">
        <v>4591</v>
      </c>
      <c r="B756" s="28" t="s">
        <v>36</v>
      </c>
      <c r="C756" s="28" t="s">
        <v>4592</v>
      </c>
      <c r="D756" s="28" t="s">
        <v>44</v>
      </c>
      <c r="E756" s="28" t="s">
        <v>44</v>
      </c>
      <c r="F756" s="28" t="s">
        <v>4331</v>
      </c>
      <c r="G756" s="28" t="s">
        <v>47</v>
      </c>
      <c r="H756" s="28" t="s">
        <v>48</v>
      </c>
      <c r="I756" s="28" t="s">
        <v>485</v>
      </c>
      <c r="J756" s="28" t="s">
        <v>4332</v>
      </c>
      <c r="K756" s="28" t="s">
        <v>51</v>
      </c>
      <c r="L756" s="28" t="s">
        <v>52</v>
      </c>
      <c r="M756" s="28" t="s">
        <v>52</v>
      </c>
      <c r="N756" s="28" t="s">
        <v>4593</v>
      </c>
      <c r="O756" s="28" t="s">
        <v>44</v>
      </c>
      <c r="P756" s="28" t="s">
        <v>4594</v>
      </c>
      <c r="Q756" s="28" t="s">
        <v>4595</v>
      </c>
      <c r="R756" s="28" t="s">
        <v>44</v>
      </c>
      <c r="S756" s="28" t="s">
        <v>44</v>
      </c>
      <c r="T756" s="28" t="s">
        <v>44</v>
      </c>
      <c r="U756" s="28" t="s">
        <v>44</v>
      </c>
      <c r="V756" s="28" t="s">
        <v>4596</v>
      </c>
      <c r="W756" s="28" t="s">
        <v>4597</v>
      </c>
      <c r="X756" s="28"/>
      <c r="Y756" s="28"/>
      <c r="Z756" s="28"/>
      <c r="AA756" s="28"/>
    </row>
    <row r="757">
      <c r="A757" s="270" t="s">
        <v>4598</v>
      </c>
      <c r="B757" s="28" t="s">
        <v>36</v>
      </c>
      <c r="C757" s="28" t="s">
        <v>4599</v>
      </c>
      <c r="D757" s="28" t="s">
        <v>44</v>
      </c>
      <c r="E757" s="28" t="s">
        <v>44</v>
      </c>
      <c r="F757" s="28" t="s">
        <v>4331</v>
      </c>
      <c r="G757" s="28" t="s">
        <v>47</v>
      </c>
      <c r="H757" s="28" t="s">
        <v>48</v>
      </c>
      <c r="I757" s="28" t="s">
        <v>485</v>
      </c>
      <c r="J757" s="28" t="s">
        <v>4332</v>
      </c>
      <c r="K757" s="28" t="s">
        <v>51</v>
      </c>
      <c r="L757" s="28" t="s">
        <v>52</v>
      </c>
      <c r="M757" s="28" t="s">
        <v>52</v>
      </c>
      <c r="N757" s="28" t="s">
        <v>4446</v>
      </c>
      <c r="O757" s="28" t="s">
        <v>44</v>
      </c>
      <c r="P757" s="28" t="s">
        <v>4600</v>
      </c>
      <c r="Q757" s="28" t="s">
        <v>4601</v>
      </c>
      <c r="R757" s="28" t="s">
        <v>44</v>
      </c>
      <c r="S757" s="28" t="s">
        <v>44</v>
      </c>
      <c r="T757" s="28" t="s">
        <v>44</v>
      </c>
      <c r="U757" s="28" t="s">
        <v>44</v>
      </c>
      <c r="V757" s="28" t="s">
        <v>4602</v>
      </c>
      <c r="W757" s="28" t="s">
        <v>774</v>
      </c>
      <c r="X757" s="28"/>
      <c r="Y757" s="28"/>
      <c r="Z757" s="28"/>
      <c r="AA757" s="28"/>
    </row>
    <row r="758">
      <c r="A758" s="270" t="s">
        <v>4603</v>
      </c>
      <c r="B758" s="28" t="s">
        <v>36</v>
      </c>
      <c r="C758" s="28" t="s">
        <v>4604</v>
      </c>
      <c r="D758" s="28" t="s">
        <v>44</v>
      </c>
      <c r="E758" s="28" t="s">
        <v>44</v>
      </c>
      <c r="F758" s="28" t="s">
        <v>4331</v>
      </c>
      <c r="G758" s="28" t="s">
        <v>47</v>
      </c>
      <c r="H758" s="28" t="s">
        <v>48</v>
      </c>
      <c r="I758" s="28" t="s">
        <v>485</v>
      </c>
      <c r="J758" s="28" t="s">
        <v>4332</v>
      </c>
      <c r="K758" s="28" t="s">
        <v>51</v>
      </c>
      <c r="L758" s="28" t="s">
        <v>52</v>
      </c>
      <c r="M758" s="28" t="s">
        <v>52</v>
      </c>
      <c r="N758" s="28" t="s">
        <v>4446</v>
      </c>
      <c r="O758" s="28" t="s">
        <v>44</v>
      </c>
      <c r="P758" s="28" t="s">
        <v>4605</v>
      </c>
      <c r="Q758" s="28" t="s">
        <v>4606</v>
      </c>
      <c r="R758" s="28" t="s">
        <v>44</v>
      </c>
      <c r="S758" s="28" t="s">
        <v>44</v>
      </c>
      <c r="T758" s="28" t="s">
        <v>44</v>
      </c>
      <c r="U758" s="28" t="s">
        <v>44</v>
      </c>
      <c r="V758" s="28" t="s">
        <v>4607</v>
      </c>
      <c r="W758" s="28" t="s">
        <v>4608</v>
      </c>
      <c r="X758" s="28"/>
      <c r="Y758" s="28"/>
      <c r="Z758" s="28"/>
      <c r="AA758" s="28"/>
    </row>
    <row r="759">
      <c r="A759" s="270" t="s">
        <v>4609</v>
      </c>
      <c r="B759" s="28" t="s">
        <v>36</v>
      </c>
      <c r="C759" s="28" t="s">
        <v>4610</v>
      </c>
      <c r="D759" s="28" t="s">
        <v>44</v>
      </c>
      <c r="E759" s="28" t="s">
        <v>44</v>
      </c>
      <c r="F759" s="28" t="s">
        <v>4331</v>
      </c>
      <c r="G759" s="28" t="s">
        <v>47</v>
      </c>
      <c r="H759" s="28" t="s">
        <v>48</v>
      </c>
      <c r="I759" s="28" t="s">
        <v>485</v>
      </c>
      <c r="J759" s="28" t="s">
        <v>4332</v>
      </c>
      <c r="K759" s="28" t="s">
        <v>51</v>
      </c>
      <c r="L759" s="28" t="s">
        <v>52</v>
      </c>
      <c r="M759" s="28" t="s">
        <v>52</v>
      </c>
      <c r="N759" s="28" t="s">
        <v>4611</v>
      </c>
      <c r="O759" s="28" t="s">
        <v>44</v>
      </c>
      <c r="P759" s="28" t="s">
        <v>4612</v>
      </c>
      <c r="Q759" s="28" t="s">
        <v>4613</v>
      </c>
      <c r="R759" s="28" t="s">
        <v>44</v>
      </c>
      <c r="S759" s="28" t="s">
        <v>44</v>
      </c>
      <c r="T759" s="28" t="s">
        <v>44</v>
      </c>
      <c r="U759" s="28" t="s">
        <v>44</v>
      </c>
      <c r="V759" s="28" t="s">
        <v>4614</v>
      </c>
      <c r="W759" s="28" t="s">
        <v>4615</v>
      </c>
      <c r="X759" s="28"/>
      <c r="Y759" s="28"/>
      <c r="Z759" s="28"/>
      <c r="AA759" s="28"/>
    </row>
    <row r="760">
      <c r="A760" s="270" t="s">
        <v>4616</v>
      </c>
      <c r="B760" s="28" t="s">
        <v>36</v>
      </c>
      <c r="C760" s="28" t="s">
        <v>4617</v>
      </c>
      <c r="D760" s="28" t="s">
        <v>44</v>
      </c>
      <c r="E760" s="28" t="s">
        <v>44</v>
      </c>
      <c r="F760" s="28" t="s">
        <v>4331</v>
      </c>
      <c r="G760" s="28" t="s">
        <v>47</v>
      </c>
      <c r="H760" s="28" t="s">
        <v>48</v>
      </c>
      <c r="I760" s="28" t="s">
        <v>485</v>
      </c>
      <c r="J760" s="28" t="s">
        <v>4332</v>
      </c>
      <c r="K760" s="28" t="s">
        <v>51</v>
      </c>
      <c r="L760" s="28" t="s">
        <v>52</v>
      </c>
      <c r="M760" s="28" t="s">
        <v>52</v>
      </c>
      <c r="N760" s="28" t="s">
        <v>4593</v>
      </c>
      <c r="O760" s="28" t="s">
        <v>44</v>
      </c>
      <c r="P760" s="28" t="s">
        <v>4618</v>
      </c>
      <c r="Q760" s="28" t="s">
        <v>4619</v>
      </c>
      <c r="R760" s="28" t="s">
        <v>44</v>
      </c>
      <c r="S760" s="28" t="s">
        <v>44</v>
      </c>
      <c r="T760" s="28" t="s">
        <v>44</v>
      </c>
      <c r="U760" s="28" t="s">
        <v>44</v>
      </c>
      <c r="V760" s="28" t="s">
        <v>4620</v>
      </c>
      <c r="W760" s="28" t="s">
        <v>4621</v>
      </c>
      <c r="X760" s="28"/>
      <c r="Y760" s="28"/>
      <c r="Z760" s="28"/>
      <c r="AA760" s="28"/>
    </row>
    <row r="761">
      <c r="A761" s="270" t="s">
        <v>4622</v>
      </c>
      <c r="B761" s="28" t="s">
        <v>36</v>
      </c>
      <c r="C761" s="28" t="s">
        <v>4623</v>
      </c>
      <c r="D761" s="28" t="s">
        <v>44</v>
      </c>
      <c r="E761" s="28" t="s">
        <v>44</v>
      </c>
      <c r="F761" s="28" t="s">
        <v>4331</v>
      </c>
      <c r="G761" s="28" t="s">
        <v>47</v>
      </c>
      <c r="H761" s="28" t="s">
        <v>95</v>
      </c>
      <c r="I761" s="28" t="s">
        <v>485</v>
      </c>
      <c r="J761" s="28" t="s">
        <v>4332</v>
      </c>
      <c r="K761" s="28" t="s">
        <v>51</v>
      </c>
      <c r="L761" s="28" t="s">
        <v>52</v>
      </c>
      <c r="M761" s="28" t="s">
        <v>52</v>
      </c>
      <c r="N761" s="28" t="s">
        <v>4624</v>
      </c>
      <c r="O761" s="28" t="s">
        <v>44</v>
      </c>
      <c r="P761" s="28" t="s">
        <v>4625</v>
      </c>
      <c r="Q761" s="28" t="s">
        <v>4626</v>
      </c>
      <c r="R761" s="28" t="s">
        <v>44</v>
      </c>
      <c r="S761" s="28" t="s">
        <v>44</v>
      </c>
      <c r="T761" s="28" t="s">
        <v>44</v>
      </c>
      <c r="U761" s="28" t="s">
        <v>44</v>
      </c>
      <c r="V761" s="28" t="s">
        <v>4627</v>
      </c>
      <c r="W761" s="28" t="s">
        <v>4628</v>
      </c>
      <c r="X761" s="28"/>
      <c r="Y761" s="28"/>
      <c r="Z761" s="28"/>
      <c r="AA761" s="28"/>
    </row>
    <row r="762">
      <c r="A762" s="270" t="s">
        <v>4629</v>
      </c>
      <c r="B762" s="28" t="s">
        <v>36</v>
      </c>
      <c r="C762" s="28" t="s">
        <v>4630</v>
      </c>
      <c r="D762" s="28" t="s">
        <v>44</v>
      </c>
      <c r="E762" s="28" t="s">
        <v>44</v>
      </c>
      <c r="F762" s="28" t="s">
        <v>4331</v>
      </c>
      <c r="G762" s="28" t="s">
        <v>47</v>
      </c>
      <c r="H762" s="28" t="s">
        <v>48</v>
      </c>
      <c r="I762" s="28" t="s">
        <v>485</v>
      </c>
      <c r="J762" s="28" t="s">
        <v>4332</v>
      </c>
      <c r="K762" s="28" t="s">
        <v>51</v>
      </c>
      <c r="L762" s="28" t="s">
        <v>52</v>
      </c>
      <c r="M762" s="28" t="s">
        <v>52</v>
      </c>
      <c r="N762" s="28" t="s">
        <v>4631</v>
      </c>
      <c r="O762" s="28" t="s">
        <v>44</v>
      </c>
      <c r="P762" s="28" t="s">
        <v>4632</v>
      </c>
      <c r="Q762" s="28" t="s">
        <v>4633</v>
      </c>
      <c r="R762" s="28" t="s">
        <v>44</v>
      </c>
      <c r="S762" s="28" t="s">
        <v>44</v>
      </c>
      <c r="T762" s="28" t="s">
        <v>44</v>
      </c>
      <c r="U762" s="28" t="s">
        <v>44</v>
      </c>
      <c r="V762" s="28" t="s">
        <v>4634</v>
      </c>
      <c r="W762" s="28" t="s">
        <v>4635</v>
      </c>
      <c r="X762" s="28"/>
      <c r="Y762" s="28"/>
      <c r="Z762" s="28"/>
      <c r="AA762" s="28"/>
    </row>
    <row r="763">
      <c r="A763" s="270" t="s">
        <v>4636</v>
      </c>
      <c r="B763" s="28" t="s">
        <v>36</v>
      </c>
      <c r="C763" s="28" t="s">
        <v>4637</v>
      </c>
      <c r="D763" s="28" t="s">
        <v>44</v>
      </c>
      <c r="E763" s="28" t="s">
        <v>44</v>
      </c>
      <c r="F763" s="28" t="s">
        <v>4331</v>
      </c>
      <c r="G763" s="28" t="s">
        <v>47</v>
      </c>
      <c r="H763" s="28" t="s">
        <v>48</v>
      </c>
      <c r="I763" s="28" t="s">
        <v>485</v>
      </c>
      <c r="J763" s="28" t="s">
        <v>4332</v>
      </c>
      <c r="K763" s="28" t="s">
        <v>51</v>
      </c>
      <c r="L763" s="28" t="s">
        <v>52</v>
      </c>
      <c r="M763" s="28" t="s">
        <v>52</v>
      </c>
      <c r="N763" s="28" t="s">
        <v>4631</v>
      </c>
      <c r="O763" s="28" t="s">
        <v>44</v>
      </c>
      <c r="P763" s="28" t="s">
        <v>4638</v>
      </c>
      <c r="Q763" s="28" t="s">
        <v>4639</v>
      </c>
      <c r="R763" s="28" t="s">
        <v>44</v>
      </c>
      <c r="S763" s="28" t="s">
        <v>44</v>
      </c>
      <c r="T763" s="28" t="s">
        <v>44</v>
      </c>
      <c r="U763" s="28" t="s">
        <v>44</v>
      </c>
      <c r="V763" s="28" t="s">
        <v>4640</v>
      </c>
      <c r="W763" s="28" t="s">
        <v>774</v>
      </c>
      <c r="X763" s="28"/>
      <c r="Y763" s="28"/>
      <c r="Z763" s="28"/>
      <c r="AA763" s="28"/>
    </row>
    <row r="764">
      <c r="A764" s="270" t="s">
        <v>4641</v>
      </c>
      <c r="B764" s="28" t="s">
        <v>36</v>
      </c>
      <c r="C764" s="28" t="s">
        <v>4642</v>
      </c>
      <c r="D764" s="28" t="s">
        <v>44</v>
      </c>
      <c r="E764" s="28" t="s">
        <v>44</v>
      </c>
      <c r="F764" s="28" t="s">
        <v>4331</v>
      </c>
      <c r="G764" s="28" t="s">
        <v>85</v>
      </c>
      <c r="H764" s="28" t="s">
        <v>86</v>
      </c>
      <c r="I764" s="28" t="s">
        <v>485</v>
      </c>
      <c r="J764" s="28" t="s">
        <v>4332</v>
      </c>
      <c r="K764" s="28" t="s">
        <v>51</v>
      </c>
      <c r="L764" s="28" t="s">
        <v>52</v>
      </c>
      <c r="M764" s="28" t="s">
        <v>52</v>
      </c>
      <c r="N764" s="28" t="s">
        <v>4643</v>
      </c>
      <c r="O764" s="28" t="s">
        <v>44</v>
      </c>
      <c r="P764" s="28" t="s">
        <v>4632</v>
      </c>
      <c r="Q764" s="28" t="s">
        <v>4644</v>
      </c>
      <c r="R764" s="28" t="s">
        <v>44</v>
      </c>
      <c r="S764" s="28" t="s">
        <v>44</v>
      </c>
      <c r="T764" s="28" t="s">
        <v>44</v>
      </c>
      <c r="U764" s="28" t="s">
        <v>44</v>
      </c>
      <c r="V764" s="28" t="s">
        <v>4645</v>
      </c>
      <c r="W764" s="28" t="s">
        <v>4646</v>
      </c>
      <c r="X764" s="28"/>
      <c r="Y764" s="28"/>
      <c r="Z764" s="28"/>
      <c r="AA764" s="28"/>
    </row>
    <row r="765">
      <c r="A765" s="270" t="s">
        <v>4647</v>
      </c>
      <c r="B765" s="28" t="s">
        <v>36</v>
      </c>
      <c r="C765" s="28" t="s">
        <v>4648</v>
      </c>
      <c r="D765" s="28" t="s">
        <v>44</v>
      </c>
      <c r="E765" s="28" t="s">
        <v>44</v>
      </c>
      <c r="F765" s="28" t="s">
        <v>4331</v>
      </c>
      <c r="G765" s="28" t="s">
        <v>197</v>
      </c>
      <c r="H765" s="28" t="s">
        <v>91</v>
      </c>
      <c r="I765" s="28" t="s">
        <v>485</v>
      </c>
      <c r="J765" s="28" t="s">
        <v>4332</v>
      </c>
      <c r="K765" s="28" t="s">
        <v>51</v>
      </c>
      <c r="L765" s="28" t="s">
        <v>52</v>
      </c>
      <c r="M765" s="28" t="s">
        <v>52</v>
      </c>
      <c r="N765" s="28" t="s">
        <v>4649</v>
      </c>
      <c r="O765" s="28" t="s">
        <v>44</v>
      </c>
      <c r="P765" s="28" t="s">
        <v>3252</v>
      </c>
      <c r="Q765" s="28" t="s">
        <v>4650</v>
      </c>
      <c r="R765" s="28" t="s">
        <v>44</v>
      </c>
      <c r="S765" s="28" t="s">
        <v>44</v>
      </c>
      <c r="T765" s="28" t="s">
        <v>44</v>
      </c>
      <c r="U765" s="28" t="s">
        <v>44</v>
      </c>
      <c r="V765" s="28" t="s">
        <v>4651</v>
      </c>
      <c r="W765" s="28" t="s">
        <v>4652</v>
      </c>
      <c r="X765" s="28"/>
      <c r="Y765" s="28"/>
      <c r="Z765" s="28"/>
      <c r="AA765" s="28"/>
    </row>
    <row r="766">
      <c r="A766" s="270" t="s">
        <v>4653</v>
      </c>
      <c r="B766" s="28" t="s">
        <v>36</v>
      </c>
      <c r="C766" s="28" t="s">
        <v>4654</v>
      </c>
      <c r="D766" s="28" t="s">
        <v>44</v>
      </c>
      <c r="E766" s="28" t="s">
        <v>44</v>
      </c>
      <c r="F766" s="28" t="s">
        <v>4331</v>
      </c>
      <c r="G766" s="28" t="s">
        <v>47</v>
      </c>
      <c r="H766" s="28" t="s">
        <v>48</v>
      </c>
      <c r="I766" s="28" t="s">
        <v>485</v>
      </c>
      <c r="J766" s="28" t="s">
        <v>4332</v>
      </c>
      <c r="K766" s="28" t="s">
        <v>51</v>
      </c>
      <c r="L766" s="28" t="s">
        <v>52</v>
      </c>
      <c r="M766" s="28" t="s">
        <v>52</v>
      </c>
      <c r="N766" s="28" t="s">
        <v>4649</v>
      </c>
      <c r="O766" s="28" t="s">
        <v>44</v>
      </c>
      <c r="P766" s="28" t="s">
        <v>4655</v>
      </c>
      <c r="Q766" s="28" t="s">
        <v>4656</v>
      </c>
      <c r="R766" s="28" t="s">
        <v>44</v>
      </c>
      <c r="S766" s="28" t="s">
        <v>44</v>
      </c>
      <c r="T766" s="28" t="s">
        <v>44</v>
      </c>
      <c r="U766" s="28" t="s">
        <v>44</v>
      </c>
      <c r="V766" s="28" t="s">
        <v>4657</v>
      </c>
      <c r="W766" s="28" t="s">
        <v>4658</v>
      </c>
      <c r="X766" s="28"/>
      <c r="Y766" s="28"/>
      <c r="Z766" s="28"/>
      <c r="AA766" s="28"/>
    </row>
    <row r="767">
      <c r="A767" s="270" t="s">
        <v>4659</v>
      </c>
      <c r="B767" s="28" t="s">
        <v>36</v>
      </c>
      <c r="C767" s="28" t="s">
        <v>4660</v>
      </c>
      <c r="D767" s="28" t="s">
        <v>44</v>
      </c>
      <c r="E767" s="28" t="s">
        <v>44</v>
      </c>
      <c r="F767" s="28" t="s">
        <v>4331</v>
      </c>
      <c r="G767" s="28" t="s">
        <v>47</v>
      </c>
      <c r="H767" s="28" t="s">
        <v>48</v>
      </c>
      <c r="I767" s="28" t="s">
        <v>485</v>
      </c>
      <c r="J767" s="28" t="s">
        <v>4332</v>
      </c>
      <c r="K767" s="28" t="s">
        <v>51</v>
      </c>
      <c r="L767" s="28" t="s">
        <v>52</v>
      </c>
      <c r="M767" s="28" t="s">
        <v>52</v>
      </c>
      <c r="N767" s="28" t="s">
        <v>4333</v>
      </c>
      <c r="O767" s="28" t="s">
        <v>44</v>
      </c>
      <c r="P767" s="28" t="s">
        <v>4661</v>
      </c>
      <c r="Q767" s="28" t="s">
        <v>4662</v>
      </c>
      <c r="R767" s="28" t="s">
        <v>44</v>
      </c>
      <c r="S767" s="28" t="s">
        <v>44</v>
      </c>
      <c r="T767" s="28" t="s">
        <v>44</v>
      </c>
      <c r="U767" s="28" t="s">
        <v>44</v>
      </c>
      <c r="V767" s="28" t="s">
        <v>4663</v>
      </c>
      <c r="W767" s="28" t="s">
        <v>4664</v>
      </c>
      <c r="X767" s="28"/>
      <c r="Y767" s="28"/>
      <c r="Z767" s="28"/>
      <c r="AA767" s="28"/>
    </row>
    <row r="768">
      <c r="A768" s="270" t="s">
        <v>4665</v>
      </c>
      <c r="B768" s="28" t="s">
        <v>36</v>
      </c>
      <c r="C768" s="28" t="s">
        <v>4666</v>
      </c>
      <c r="D768" s="28" t="s">
        <v>44</v>
      </c>
      <c r="E768" s="28" t="s">
        <v>44</v>
      </c>
      <c r="F768" s="28" t="s">
        <v>4331</v>
      </c>
      <c r="G768" s="28" t="s">
        <v>47</v>
      </c>
      <c r="H768" s="28" t="s">
        <v>48</v>
      </c>
      <c r="I768" s="28" t="s">
        <v>485</v>
      </c>
      <c r="J768" s="28" t="s">
        <v>4332</v>
      </c>
      <c r="K768" s="28" t="s">
        <v>51</v>
      </c>
      <c r="L768" s="28" t="s">
        <v>52</v>
      </c>
      <c r="M768" s="28" t="s">
        <v>52</v>
      </c>
      <c r="N768" s="28" t="s">
        <v>4333</v>
      </c>
      <c r="O768" s="28" t="s">
        <v>44</v>
      </c>
      <c r="P768" s="28" t="s">
        <v>4667</v>
      </c>
      <c r="Q768" s="28" t="s">
        <v>4668</v>
      </c>
      <c r="R768" s="28" t="s">
        <v>44</v>
      </c>
      <c r="S768" s="28" t="s">
        <v>44</v>
      </c>
      <c r="T768" s="28" t="s">
        <v>44</v>
      </c>
      <c r="U768" s="28" t="s">
        <v>44</v>
      </c>
      <c r="V768" s="28" t="s">
        <v>4669</v>
      </c>
      <c r="W768" s="28" t="s">
        <v>4670</v>
      </c>
      <c r="X768" s="28"/>
      <c r="Y768" s="28"/>
      <c r="Z768" s="28"/>
      <c r="AA768" s="28"/>
    </row>
    <row r="769">
      <c r="A769" s="270" t="s">
        <v>4671</v>
      </c>
      <c r="B769" s="28" t="s">
        <v>36</v>
      </c>
      <c r="C769" s="28" t="s">
        <v>4672</v>
      </c>
      <c r="D769" s="28" t="s">
        <v>44</v>
      </c>
      <c r="E769" s="28" t="s">
        <v>44</v>
      </c>
      <c r="F769" s="28" t="s">
        <v>4331</v>
      </c>
      <c r="G769" s="28" t="s">
        <v>47</v>
      </c>
      <c r="H769" s="28" t="s">
        <v>48</v>
      </c>
      <c r="I769" s="28" t="s">
        <v>485</v>
      </c>
      <c r="J769" s="28" t="s">
        <v>4332</v>
      </c>
      <c r="K769" s="28" t="s">
        <v>51</v>
      </c>
      <c r="L769" s="28" t="s">
        <v>52</v>
      </c>
      <c r="M769" s="28" t="s">
        <v>52</v>
      </c>
      <c r="N769" s="28" t="s">
        <v>4333</v>
      </c>
      <c r="O769" s="28" t="s">
        <v>44</v>
      </c>
      <c r="P769" s="28" t="s">
        <v>4673</v>
      </c>
      <c r="Q769" s="28" t="s">
        <v>4674</v>
      </c>
      <c r="R769" s="28" t="s">
        <v>44</v>
      </c>
      <c r="S769" s="28" t="s">
        <v>44</v>
      </c>
      <c r="T769" s="28" t="s">
        <v>44</v>
      </c>
      <c r="U769" s="28" t="s">
        <v>44</v>
      </c>
      <c r="V769" s="28" t="s">
        <v>4675</v>
      </c>
      <c r="W769" s="28" t="s">
        <v>4676</v>
      </c>
      <c r="X769" s="28"/>
      <c r="Y769" s="28"/>
      <c r="Z769" s="28"/>
      <c r="AA769" s="28"/>
    </row>
    <row r="770">
      <c r="A770" s="270" t="s">
        <v>4677</v>
      </c>
      <c r="B770" s="28" t="s">
        <v>36</v>
      </c>
      <c r="C770" s="28" t="s">
        <v>4678</v>
      </c>
      <c r="D770" s="28" t="s">
        <v>44</v>
      </c>
      <c r="E770" s="28" t="s">
        <v>44</v>
      </c>
      <c r="F770" s="28" t="s">
        <v>4679</v>
      </c>
      <c r="G770" s="28" t="s">
        <v>47</v>
      </c>
      <c r="H770" s="28" t="s">
        <v>48</v>
      </c>
      <c r="I770" s="28" t="s">
        <v>485</v>
      </c>
      <c r="J770" s="28" t="s">
        <v>4680</v>
      </c>
      <c r="K770" s="28" t="s">
        <v>51</v>
      </c>
      <c r="L770" s="28" t="s">
        <v>52</v>
      </c>
      <c r="M770" s="28" t="s">
        <v>52</v>
      </c>
      <c r="N770" s="28" t="s">
        <v>4681</v>
      </c>
      <c r="O770" s="28" t="s">
        <v>44</v>
      </c>
      <c r="P770" s="28" t="s">
        <v>934</v>
      </c>
      <c r="Q770" s="28" t="s">
        <v>3913</v>
      </c>
      <c r="R770" s="28" t="s">
        <v>44</v>
      </c>
      <c r="S770" s="28" t="s">
        <v>44</v>
      </c>
      <c r="T770" s="28" t="s">
        <v>44</v>
      </c>
      <c r="U770" s="28" t="s">
        <v>44</v>
      </c>
      <c r="V770" s="28" t="s">
        <v>4682</v>
      </c>
      <c r="W770" s="28" t="s">
        <v>774</v>
      </c>
      <c r="X770" s="28"/>
      <c r="Y770" s="28"/>
      <c r="Z770" s="28"/>
      <c r="AA770" s="28"/>
    </row>
    <row r="771">
      <c r="A771" s="270" t="s">
        <v>4683</v>
      </c>
      <c r="B771" s="28" t="s">
        <v>36</v>
      </c>
      <c r="C771" s="28" t="s">
        <v>4684</v>
      </c>
      <c r="D771" s="28" t="s">
        <v>44</v>
      </c>
      <c r="E771" s="28" t="s">
        <v>44</v>
      </c>
      <c r="F771" s="28" t="s">
        <v>4679</v>
      </c>
      <c r="G771" s="28" t="s">
        <v>47</v>
      </c>
      <c r="H771" s="28" t="s">
        <v>48</v>
      </c>
      <c r="I771" s="28" t="s">
        <v>485</v>
      </c>
      <c r="J771" s="28" t="s">
        <v>4680</v>
      </c>
      <c r="K771" s="28" t="s">
        <v>51</v>
      </c>
      <c r="L771" s="28" t="s">
        <v>52</v>
      </c>
      <c r="M771" s="28" t="s">
        <v>52</v>
      </c>
      <c r="N771" s="28" t="s">
        <v>4681</v>
      </c>
      <c r="O771" s="28" t="s">
        <v>44</v>
      </c>
      <c r="P771" s="28" t="s">
        <v>3917</v>
      </c>
      <c r="Q771" s="28" t="s">
        <v>3918</v>
      </c>
      <c r="R771" s="28" t="s">
        <v>44</v>
      </c>
      <c r="S771" s="28" t="s">
        <v>44</v>
      </c>
      <c r="T771" s="28" t="s">
        <v>44</v>
      </c>
      <c r="U771" s="28" t="s">
        <v>44</v>
      </c>
      <c r="V771" s="28" t="s">
        <v>4685</v>
      </c>
      <c r="W771" s="28" t="s">
        <v>774</v>
      </c>
      <c r="X771" s="28"/>
      <c r="Y771" s="28"/>
      <c r="Z771" s="28"/>
      <c r="AA771" s="28"/>
    </row>
    <row r="772">
      <c r="A772" s="270" t="s">
        <v>4686</v>
      </c>
      <c r="B772" s="28" t="s">
        <v>36</v>
      </c>
      <c r="C772" s="28" t="s">
        <v>4687</v>
      </c>
      <c r="D772" s="28" t="s">
        <v>44</v>
      </c>
      <c r="E772" s="28" t="s">
        <v>44</v>
      </c>
      <c r="F772" s="28" t="s">
        <v>4679</v>
      </c>
      <c r="G772" s="28" t="s">
        <v>47</v>
      </c>
      <c r="H772" s="28" t="s">
        <v>48</v>
      </c>
      <c r="I772" s="28" t="s">
        <v>485</v>
      </c>
      <c r="J772" s="28" t="s">
        <v>4680</v>
      </c>
      <c r="K772" s="28" t="s">
        <v>51</v>
      </c>
      <c r="L772" s="28" t="s">
        <v>52</v>
      </c>
      <c r="M772" s="28" t="s">
        <v>52</v>
      </c>
      <c r="N772" s="28" t="s">
        <v>4681</v>
      </c>
      <c r="O772" s="28" t="s">
        <v>44</v>
      </c>
      <c r="P772" s="28" t="s">
        <v>1002</v>
      </c>
      <c r="Q772" s="28" t="s">
        <v>3922</v>
      </c>
      <c r="R772" s="28" t="s">
        <v>44</v>
      </c>
      <c r="S772" s="28" t="s">
        <v>44</v>
      </c>
      <c r="T772" s="28" t="s">
        <v>44</v>
      </c>
      <c r="U772" s="28" t="s">
        <v>44</v>
      </c>
      <c r="V772" s="28" t="s">
        <v>4688</v>
      </c>
      <c r="W772" s="28" t="s">
        <v>4342</v>
      </c>
      <c r="X772" s="28"/>
      <c r="Y772" s="28"/>
      <c r="Z772" s="28"/>
      <c r="AA772" s="28"/>
    </row>
    <row r="773">
      <c r="A773" s="270" t="s">
        <v>4689</v>
      </c>
      <c r="B773" s="28" t="s">
        <v>36</v>
      </c>
      <c r="C773" s="28" t="s">
        <v>4690</v>
      </c>
      <c r="D773" s="28" t="s">
        <v>44</v>
      </c>
      <c r="E773" s="28" t="s">
        <v>44</v>
      </c>
      <c r="F773" s="28" t="s">
        <v>4679</v>
      </c>
      <c r="G773" s="28" t="s">
        <v>47</v>
      </c>
      <c r="H773" s="28" t="s">
        <v>48</v>
      </c>
      <c r="I773" s="28" t="s">
        <v>485</v>
      </c>
      <c r="J773" s="28" t="s">
        <v>4680</v>
      </c>
      <c r="K773" s="28" t="s">
        <v>51</v>
      </c>
      <c r="L773" s="28" t="s">
        <v>52</v>
      </c>
      <c r="M773" s="28" t="s">
        <v>52</v>
      </c>
      <c r="N773" s="28" t="s">
        <v>4681</v>
      </c>
      <c r="O773" s="28" t="s">
        <v>44</v>
      </c>
      <c r="P773" s="28" t="s">
        <v>1009</v>
      </c>
      <c r="Q773" s="28" t="s">
        <v>4691</v>
      </c>
      <c r="R773" s="28" t="s">
        <v>44</v>
      </c>
      <c r="S773" s="28" t="s">
        <v>44</v>
      </c>
      <c r="T773" s="28" t="s">
        <v>44</v>
      </c>
      <c r="U773" s="28" t="s">
        <v>44</v>
      </c>
      <c r="V773" s="28" t="s">
        <v>4692</v>
      </c>
      <c r="W773" s="28" t="s">
        <v>1945</v>
      </c>
      <c r="X773" s="28"/>
      <c r="Y773" s="28"/>
      <c r="Z773" s="28"/>
      <c r="AA773" s="28"/>
    </row>
    <row r="774">
      <c r="A774" s="270" t="s">
        <v>4693</v>
      </c>
      <c r="B774" s="28" t="s">
        <v>36</v>
      </c>
      <c r="C774" s="28" t="s">
        <v>4694</v>
      </c>
      <c r="D774" s="28" t="s">
        <v>44</v>
      </c>
      <c r="E774" s="28" t="s">
        <v>44</v>
      </c>
      <c r="F774" s="28" t="s">
        <v>4679</v>
      </c>
      <c r="G774" s="28" t="s">
        <v>47</v>
      </c>
      <c r="H774" s="28" t="s">
        <v>48</v>
      </c>
      <c r="I774" s="28" t="s">
        <v>485</v>
      </c>
      <c r="J774" s="28" t="s">
        <v>4680</v>
      </c>
      <c r="K774" s="28" t="s">
        <v>51</v>
      </c>
      <c r="L774" s="28" t="s">
        <v>52</v>
      </c>
      <c r="M774" s="28" t="s">
        <v>52</v>
      </c>
      <c r="N774" s="28" t="s">
        <v>4681</v>
      </c>
      <c r="O774" s="28" t="s">
        <v>44</v>
      </c>
      <c r="P774" s="28" t="s">
        <v>1637</v>
      </c>
      <c r="Q774" s="28" t="s">
        <v>4348</v>
      </c>
      <c r="R774" s="28" t="s">
        <v>44</v>
      </c>
      <c r="S774" s="28" t="s">
        <v>44</v>
      </c>
      <c r="T774" s="28" t="s">
        <v>44</v>
      </c>
      <c r="U774" s="28" t="s">
        <v>44</v>
      </c>
      <c r="V774" s="28" t="s">
        <v>4695</v>
      </c>
      <c r="W774" s="28" t="s">
        <v>4350</v>
      </c>
      <c r="X774" s="28"/>
      <c r="Y774" s="28"/>
      <c r="Z774" s="28"/>
      <c r="AA774" s="28"/>
    </row>
    <row r="775">
      <c r="A775" s="270" t="s">
        <v>4696</v>
      </c>
      <c r="B775" s="28" t="s">
        <v>36</v>
      </c>
      <c r="C775" s="28" t="s">
        <v>4697</v>
      </c>
      <c r="D775" s="28" t="s">
        <v>44</v>
      </c>
      <c r="E775" s="28" t="s">
        <v>44</v>
      </c>
      <c r="F775" s="28" t="s">
        <v>4679</v>
      </c>
      <c r="G775" s="28" t="s">
        <v>47</v>
      </c>
      <c r="H775" s="28" t="s">
        <v>48</v>
      </c>
      <c r="I775" s="28" t="s">
        <v>485</v>
      </c>
      <c r="J775" s="28" t="s">
        <v>4680</v>
      </c>
      <c r="K775" s="28" t="s">
        <v>51</v>
      </c>
      <c r="L775" s="28" t="s">
        <v>52</v>
      </c>
      <c r="M775" s="28" t="s">
        <v>52</v>
      </c>
      <c r="N775" s="28" t="s">
        <v>4681</v>
      </c>
      <c r="O775" s="28" t="s">
        <v>44</v>
      </c>
      <c r="P775" s="28" t="s">
        <v>4353</v>
      </c>
      <c r="Q775" s="28" t="s">
        <v>4354</v>
      </c>
      <c r="R775" s="28" t="s">
        <v>44</v>
      </c>
      <c r="S775" s="28" t="s">
        <v>44</v>
      </c>
      <c r="T775" s="28" t="s">
        <v>44</v>
      </c>
      <c r="U775" s="28" t="s">
        <v>44</v>
      </c>
      <c r="V775" s="28" t="s">
        <v>4698</v>
      </c>
      <c r="W775" s="28" t="s">
        <v>4356</v>
      </c>
      <c r="X775" s="28"/>
      <c r="Y775" s="28"/>
      <c r="Z775" s="28"/>
      <c r="AA775" s="28"/>
    </row>
    <row r="776">
      <c r="A776" s="270" t="s">
        <v>4699</v>
      </c>
      <c r="B776" s="28" t="s">
        <v>36</v>
      </c>
      <c r="C776" s="28" t="s">
        <v>4700</v>
      </c>
      <c r="D776" s="28" t="s">
        <v>44</v>
      </c>
      <c r="E776" s="28" t="s">
        <v>44</v>
      </c>
      <c r="F776" s="28" t="s">
        <v>4679</v>
      </c>
      <c r="G776" s="28" t="s">
        <v>47</v>
      </c>
      <c r="H776" s="28" t="s">
        <v>48</v>
      </c>
      <c r="I776" s="28" t="s">
        <v>485</v>
      </c>
      <c r="J776" s="28" t="s">
        <v>4680</v>
      </c>
      <c r="K776" s="28" t="s">
        <v>51</v>
      </c>
      <c r="L776" s="28" t="s">
        <v>52</v>
      </c>
      <c r="M776" s="28" t="s">
        <v>52</v>
      </c>
      <c r="N776" s="28" t="s">
        <v>4681</v>
      </c>
      <c r="O776" s="28" t="s">
        <v>44</v>
      </c>
      <c r="P776" s="28" t="s">
        <v>4359</v>
      </c>
      <c r="Q776" s="28" t="s">
        <v>4701</v>
      </c>
      <c r="R776" s="28" t="s">
        <v>44</v>
      </c>
      <c r="S776" s="28" t="s">
        <v>44</v>
      </c>
      <c r="T776" s="28" t="s">
        <v>44</v>
      </c>
      <c r="U776" s="28" t="s">
        <v>44</v>
      </c>
      <c r="V776" s="28" t="s">
        <v>4702</v>
      </c>
      <c r="W776" s="28" t="s">
        <v>4362</v>
      </c>
      <c r="X776" s="28"/>
      <c r="Y776" s="28"/>
      <c r="Z776" s="28"/>
      <c r="AA776" s="28"/>
    </row>
    <row r="777">
      <c r="A777" s="270" t="s">
        <v>4703</v>
      </c>
      <c r="B777" s="28" t="s">
        <v>36</v>
      </c>
      <c r="C777" s="28" t="s">
        <v>4704</v>
      </c>
      <c r="D777" s="28" t="s">
        <v>44</v>
      </c>
      <c r="E777" s="28" t="s">
        <v>44</v>
      </c>
      <c r="F777" s="28" t="s">
        <v>4679</v>
      </c>
      <c r="G777" s="28" t="s">
        <v>47</v>
      </c>
      <c r="H777" s="28" t="s">
        <v>48</v>
      </c>
      <c r="I777" s="28" t="s">
        <v>485</v>
      </c>
      <c r="J777" s="28" t="s">
        <v>4680</v>
      </c>
      <c r="K777" s="28" t="s">
        <v>51</v>
      </c>
      <c r="L777" s="28" t="s">
        <v>52</v>
      </c>
      <c r="M777" s="28" t="s">
        <v>52</v>
      </c>
      <c r="N777" s="28" t="s">
        <v>4681</v>
      </c>
      <c r="O777" s="28" t="s">
        <v>44</v>
      </c>
      <c r="P777" s="28" t="s">
        <v>4365</v>
      </c>
      <c r="Q777" s="28" t="s">
        <v>4366</v>
      </c>
      <c r="R777" s="28" t="s">
        <v>44</v>
      </c>
      <c r="S777" s="28" t="s">
        <v>44</v>
      </c>
      <c r="T777" s="28" t="s">
        <v>44</v>
      </c>
      <c r="U777" s="28" t="s">
        <v>44</v>
      </c>
      <c r="V777" s="28" t="s">
        <v>4705</v>
      </c>
      <c r="W777" s="28" t="s">
        <v>774</v>
      </c>
      <c r="X777" s="28"/>
      <c r="Y777" s="28"/>
      <c r="Z777" s="28"/>
      <c r="AA777" s="28"/>
    </row>
    <row r="778">
      <c r="A778" s="270" t="s">
        <v>4706</v>
      </c>
      <c r="B778" s="28" t="s">
        <v>36</v>
      </c>
      <c r="C778" s="28" t="s">
        <v>4707</v>
      </c>
      <c r="D778" s="28" t="s">
        <v>44</v>
      </c>
      <c r="E778" s="28" t="s">
        <v>44</v>
      </c>
      <c r="F778" s="28" t="s">
        <v>4679</v>
      </c>
      <c r="G778" s="28" t="s">
        <v>47</v>
      </c>
      <c r="H778" s="28" t="s">
        <v>48</v>
      </c>
      <c r="I778" s="28" t="s">
        <v>485</v>
      </c>
      <c r="J778" s="28" t="s">
        <v>4680</v>
      </c>
      <c r="K778" s="28" t="s">
        <v>51</v>
      </c>
      <c r="L778" s="28" t="s">
        <v>52</v>
      </c>
      <c r="M778" s="28" t="s">
        <v>52</v>
      </c>
      <c r="N778" s="28" t="s">
        <v>4681</v>
      </c>
      <c r="O778" s="28" t="s">
        <v>44</v>
      </c>
      <c r="P778" s="28" t="s">
        <v>4708</v>
      </c>
      <c r="Q778" s="28" t="s">
        <v>4709</v>
      </c>
      <c r="R778" s="28" t="s">
        <v>44</v>
      </c>
      <c r="S778" s="28" t="s">
        <v>44</v>
      </c>
      <c r="T778" s="28" t="s">
        <v>44</v>
      </c>
      <c r="U778" s="28" t="s">
        <v>44</v>
      </c>
      <c r="V778" s="28" t="s">
        <v>4710</v>
      </c>
      <c r="W778" s="28" t="s">
        <v>774</v>
      </c>
      <c r="X778" s="28"/>
      <c r="Y778" s="28"/>
      <c r="Z778" s="28"/>
      <c r="AA778" s="28"/>
    </row>
    <row r="779">
      <c r="A779" s="270" t="s">
        <v>4711</v>
      </c>
      <c r="B779" s="28" t="s">
        <v>36</v>
      </c>
      <c r="C779" s="28" t="s">
        <v>4712</v>
      </c>
      <c r="D779" s="28" t="s">
        <v>44</v>
      </c>
      <c r="E779" s="28" t="s">
        <v>44</v>
      </c>
      <c r="F779" s="28" t="s">
        <v>4679</v>
      </c>
      <c r="G779" s="28" t="s">
        <v>47</v>
      </c>
      <c r="H779" s="28" t="s">
        <v>48</v>
      </c>
      <c r="I779" s="28" t="s">
        <v>485</v>
      </c>
      <c r="J779" s="28" t="s">
        <v>4680</v>
      </c>
      <c r="K779" s="28" t="s">
        <v>51</v>
      </c>
      <c r="L779" s="28" t="s">
        <v>52</v>
      </c>
      <c r="M779" s="28" t="s">
        <v>52</v>
      </c>
      <c r="N779" s="28" t="s">
        <v>4681</v>
      </c>
      <c r="O779" s="28" t="s">
        <v>44</v>
      </c>
      <c r="P779" s="28" t="s">
        <v>4713</v>
      </c>
      <c r="Q779" s="28" t="s">
        <v>4376</v>
      </c>
      <c r="R779" s="28" t="s">
        <v>44</v>
      </c>
      <c r="S779" s="28" t="s">
        <v>44</v>
      </c>
      <c r="T779" s="28" t="s">
        <v>44</v>
      </c>
      <c r="U779" s="28" t="s">
        <v>44</v>
      </c>
      <c r="V779" s="28" t="s">
        <v>4714</v>
      </c>
      <c r="W779" s="28" t="s">
        <v>774</v>
      </c>
      <c r="X779" s="28"/>
      <c r="Y779" s="28"/>
      <c r="Z779" s="28"/>
      <c r="AA779" s="28"/>
    </row>
    <row r="780">
      <c r="A780" s="270" t="s">
        <v>4715</v>
      </c>
      <c r="B780" s="28" t="s">
        <v>36</v>
      </c>
      <c r="C780" s="28" t="s">
        <v>4716</v>
      </c>
      <c r="D780" s="28" t="s">
        <v>44</v>
      </c>
      <c r="E780" s="28" t="s">
        <v>44</v>
      </c>
      <c r="F780" s="28" t="s">
        <v>4679</v>
      </c>
      <c r="G780" s="28" t="s">
        <v>47</v>
      </c>
      <c r="H780" s="28" t="s">
        <v>48</v>
      </c>
      <c r="I780" s="28" t="s">
        <v>485</v>
      </c>
      <c r="J780" s="28" t="s">
        <v>4680</v>
      </c>
      <c r="K780" s="28" t="s">
        <v>51</v>
      </c>
      <c r="L780" s="28" t="s">
        <v>52</v>
      </c>
      <c r="M780" s="28" t="s">
        <v>52</v>
      </c>
      <c r="N780" s="28" t="s">
        <v>4681</v>
      </c>
      <c r="O780" s="28" t="s">
        <v>44</v>
      </c>
      <c r="P780" s="28" t="s">
        <v>4380</v>
      </c>
      <c r="Q780" s="28" t="s">
        <v>4381</v>
      </c>
      <c r="R780" s="28" t="s">
        <v>44</v>
      </c>
      <c r="S780" s="28" t="s">
        <v>44</v>
      </c>
      <c r="T780" s="28" t="s">
        <v>44</v>
      </c>
      <c r="U780" s="28" t="s">
        <v>44</v>
      </c>
      <c r="V780" s="28" t="s">
        <v>4717</v>
      </c>
      <c r="W780" s="28" t="s">
        <v>4718</v>
      </c>
      <c r="X780" s="28"/>
      <c r="Y780" s="28"/>
      <c r="Z780" s="28"/>
      <c r="AA780" s="28"/>
    </row>
    <row r="781">
      <c r="A781" s="270" t="s">
        <v>4719</v>
      </c>
      <c r="B781" s="28" t="s">
        <v>36</v>
      </c>
      <c r="C781" s="28" t="s">
        <v>4720</v>
      </c>
      <c r="D781" s="28" t="s">
        <v>44</v>
      </c>
      <c r="E781" s="28" t="s">
        <v>44</v>
      </c>
      <c r="F781" s="28" t="s">
        <v>4679</v>
      </c>
      <c r="G781" s="28" t="s">
        <v>47</v>
      </c>
      <c r="H781" s="28" t="s">
        <v>95</v>
      </c>
      <c r="I781" s="28" t="s">
        <v>485</v>
      </c>
      <c r="J781" s="28" t="s">
        <v>4680</v>
      </c>
      <c r="K781" s="28" t="s">
        <v>51</v>
      </c>
      <c r="L781" s="28" t="s">
        <v>52</v>
      </c>
      <c r="M781" s="28" t="s">
        <v>52</v>
      </c>
      <c r="N781" s="28" t="s">
        <v>4721</v>
      </c>
      <c r="O781" s="28" t="s">
        <v>44</v>
      </c>
      <c r="P781" s="28" t="s">
        <v>4722</v>
      </c>
      <c r="Q781" s="28" t="s">
        <v>4723</v>
      </c>
      <c r="R781" s="28" t="s">
        <v>44</v>
      </c>
      <c r="S781" s="28" t="s">
        <v>44</v>
      </c>
      <c r="T781" s="28" t="s">
        <v>44</v>
      </c>
      <c r="U781" s="28" t="s">
        <v>44</v>
      </c>
      <c r="V781" s="28" t="s">
        <v>4724</v>
      </c>
      <c r="W781" s="28" t="s">
        <v>774</v>
      </c>
      <c r="X781" s="28"/>
      <c r="Y781" s="28"/>
      <c r="Z781" s="28"/>
      <c r="AA781" s="28"/>
    </row>
    <row r="782">
      <c r="A782" s="270" t="s">
        <v>4725</v>
      </c>
      <c r="B782" s="28" t="s">
        <v>36</v>
      </c>
      <c r="C782" s="28" t="s">
        <v>4726</v>
      </c>
      <c r="D782" s="28" t="s">
        <v>44</v>
      </c>
      <c r="E782" s="28" t="s">
        <v>44</v>
      </c>
      <c r="F782" s="28" t="s">
        <v>4679</v>
      </c>
      <c r="G782" s="28" t="s">
        <v>47</v>
      </c>
      <c r="H782" s="28" t="s">
        <v>48</v>
      </c>
      <c r="I782" s="28" t="s">
        <v>485</v>
      </c>
      <c r="J782" s="28" t="s">
        <v>4680</v>
      </c>
      <c r="K782" s="28" t="s">
        <v>51</v>
      </c>
      <c r="L782" s="28" t="s">
        <v>52</v>
      </c>
      <c r="M782" s="28" t="s">
        <v>52</v>
      </c>
      <c r="N782" s="28" t="s">
        <v>4681</v>
      </c>
      <c r="O782" s="28" t="s">
        <v>44</v>
      </c>
      <c r="P782" s="28" t="s">
        <v>4727</v>
      </c>
      <c r="Q782" s="28" t="s">
        <v>4728</v>
      </c>
      <c r="R782" s="28" t="s">
        <v>44</v>
      </c>
      <c r="S782" s="28" t="s">
        <v>44</v>
      </c>
      <c r="T782" s="28" t="s">
        <v>44</v>
      </c>
      <c r="U782" s="28" t="s">
        <v>44</v>
      </c>
      <c r="V782" s="28" t="s">
        <v>4729</v>
      </c>
      <c r="W782" s="28" t="s">
        <v>4730</v>
      </c>
      <c r="X782" s="28"/>
      <c r="Y782" s="28"/>
      <c r="Z782" s="28"/>
      <c r="AA782" s="28"/>
    </row>
    <row r="783">
      <c r="A783" s="270" t="s">
        <v>4731</v>
      </c>
      <c r="B783" s="28" t="s">
        <v>36</v>
      </c>
      <c r="C783" s="28" t="s">
        <v>4732</v>
      </c>
      <c r="D783" s="28" t="s">
        <v>44</v>
      </c>
      <c r="E783" s="28" t="s">
        <v>44</v>
      </c>
      <c r="F783" s="28" t="s">
        <v>4679</v>
      </c>
      <c r="G783" s="28" t="s">
        <v>47</v>
      </c>
      <c r="H783" s="28" t="s">
        <v>48</v>
      </c>
      <c r="I783" s="28" t="s">
        <v>485</v>
      </c>
      <c r="J783" s="28" t="s">
        <v>4680</v>
      </c>
      <c r="K783" s="28" t="s">
        <v>51</v>
      </c>
      <c r="L783" s="28" t="s">
        <v>52</v>
      </c>
      <c r="M783" s="28" t="s">
        <v>52</v>
      </c>
      <c r="N783" s="28" t="s">
        <v>4681</v>
      </c>
      <c r="O783" s="28" t="s">
        <v>44</v>
      </c>
      <c r="P783" s="28" t="s">
        <v>4733</v>
      </c>
      <c r="Q783" s="28" t="s">
        <v>4734</v>
      </c>
      <c r="R783" s="28" t="s">
        <v>44</v>
      </c>
      <c r="S783" s="28" t="s">
        <v>44</v>
      </c>
      <c r="T783" s="28" t="s">
        <v>44</v>
      </c>
      <c r="U783" s="28" t="s">
        <v>44</v>
      </c>
      <c r="V783" s="28" t="s">
        <v>4735</v>
      </c>
      <c r="W783" s="28" t="s">
        <v>774</v>
      </c>
      <c r="X783" s="28"/>
      <c r="Y783" s="28"/>
      <c r="Z783" s="28"/>
      <c r="AA783" s="28"/>
    </row>
    <row r="784">
      <c r="A784" s="270" t="s">
        <v>4736</v>
      </c>
      <c r="B784" s="28" t="s">
        <v>36</v>
      </c>
      <c r="C784" s="28" t="s">
        <v>4737</v>
      </c>
      <c r="D784" s="28" t="s">
        <v>44</v>
      </c>
      <c r="E784" s="28" t="s">
        <v>44</v>
      </c>
      <c r="F784" s="28" t="s">
        <v>4679</v>
      </c>
      <c r="G784" s="28" t="s">
        <v>47</v>
      </c>
      <c r="H784" s="28" t="s">
        <v>48</v>
      </c>
      <c r="I784" s="28" t="s">
        <v>485</v>
      </c>
      <c r="J784" s="28" t="s">
        <v>4680</v>
      </c>
      <c r="K784" s="28" t="s">
        <v>51</v>
      </c>
      <c r="L784" s="28" t="s">
        <v>52</v>
      </c>
      <c r="M784" s="28" t="s">
        <v>52</v>
      </c>
      <c r="N784" s="28" t="s">
        <v>4681</v>
      </c>
      <c r="O784" s="28" t="s">
        <v>44</v>
      </c>
      <c r="P784" s="28" t="s">
        <v>4738</v>
      </c>
      <c r="Q784" s="28" t="s">
        <v>4739</v>
      </c>
      <c r="R784" s="28" t="s">
        <v>44</v>
      </c>
      <c r="S784" s="28" t="s">
        <v>44</v>
      </c>
      <c r="T784" s="28" t="s">
        <v>44</v>
      </c>
      <c r="U784" s="28" t="s">
        <v>44</v>
      </c>
      <c r="V784" s="28" t="s">
        <v>4740</v>
      </c>
      <c r="W784" s="28" t="s">
        <v>774</v>
      </c>
      <c r="X784" s="28"/>
      <c r="Y784" s="28"/>
      <c r="Z784" s="28"/>
      <c r="AA784" s="28"/>
    </row>
    <row r="785">
      <c r="A785" s="270" t="s">
        <v>4741</v>
      </c>
      <c r="B785" s="28" t="s">
        <v>36</v>
      </c>
      <c r="C785" s="28" t="s">
        <v>4742</v>
      </c>
      <c r="D785" s="28" t="s">
        <v>44</v>
      </c>
      <c r="E785" s="28" t="s">
        <v>44</v>
      </c>
      <c r="F785" s="28" t="s">
        <v>4679</v>
      </c>
      <c r="G785" s="28" t="s">
        <v>47</v>
      </c>
      <c r="H785" s="28" t="s">
        <v>48</v>
      </c>
      <c r="I785" s="28" t="s">
        <v>485</v>
      </c>
      <c r="J785" s="28" t="s">
        <v>4680</v>
      </c>
      <c r="K785" s="28" t="s">
        <v>51</v>
      </c>
      <c r="L785" s="28" t="s">
        <v>52</v>
      </c>
      <c r="M785" s="28" t="s">
        <v>52</v>
      </c>
      <c r="N785" s="28" t="s">
        <v>4681</v>
      </c>
      <c r="O785" s="28" t="s">
        <v>44</v>
      </c>
      <c r="P785" s="28" t="s">
        <v>4743</v>
      </c>
      <c r="Q785" s="28" t="s">
        <v>4744</v>
      </c>
      <c r="R785" s="28" t="s">
        <v>44</v>
      </c>
      <c r="S785" s="28" t="s">
        <v>44</v>
      </c>
      <c r="T785" s="28" t="s">
        <v>44</v>
      </c>
      <c r="U785" s="28" t="s">
        <v>44</v>
      </c>
      <c r="V785" s="28" t="s">
        <v>4745</v>
      </c>
      <c r="W785" s="28" t="s">
        <v>774</v>
      </c>
      <c r="X785" s="28"/>
      <c r="Y785" s="28"/>
      <c r="Z785" s="28"/>
      <c r="AA785" s="28"/>
    </row>
    <row r="786">
      <c r="A786" s="270" t="s">
        <v>4746</v>
      </c>
      <c r="B786" s="28" t="s">
        <v>36</v>
      </c>
      <c r="C786" s="28" t="s">
        <v>4747</v>
      </c>
      <c r="D786" s="28" t="s">
        <v>44</v>
      </c>
      <c r="E786" s="28" t="s">
        <v>44</v>
      </c>
      <c r="F786" s="28" t="s">
        <v>4679</v>
      </c>
      <c r="G786" s="28" t="s">
        <v>47</v>
      </c>
      <c r="H786" s="28" t="s">
        <v>48</v>
      </c>
      <c r="I786" s="28" t="s">
        <v>485</v>
      </c>
      <c r="J786" s="28" t="s">
        <v>4680</v>
      </c>
      <c r="K786" s="28" t="s">
        <v>51</v>
      </c>
      <c r="L786" s="28" t="s">
        <v>52</v>
      </c>
      <c r="M786" s="28" t="s">
        <v>52</v>
      </c>
      <c r="N786" s="28" t="s">
        <v>4681</v>
      </c>
      <c r="O786" s="28" t="s">
        <v>44</v>
      </c>
      <c r="P786" s="28" t="s">
        <v>4748</v>
      </c>
      <c r="Q786" s="28" t="s">
        <v>4749</v>
      </c>
      <c r="R786" s="28" t="s">
        <v>44</v>
      </c>
      <c r="S786" s="28" t="s">
        <v>44</v>
      </c>
      <c r="T786" s="28" t="s">
        <v>44</v>
      </c>
      <c r="U786" s="28" t="s">
        <v>44</v>
      </c>
      <c r="V786" s="28" t="s">
        <v>4750</v>
      </c>
      <c r="W786" s="28" t="s">
        <v>774</v>
      </c>
      <c r="X786" s="28"/>
      <c r="Y786" s="28"/>
      <c r="Z786" s="28"/>
      <c r="AA786" s="28"/>
    </row>
    <row r="787">
      <c r="A787" s="270" t="s">
        <v>4751</v>
      </c>
      <c r="B787" s="28" t="s">
        <v>36</v>
      </c>
      <c r="C787" s="28" t="s">
        <v>4752</v>
      </c>
      <c r="D787" s="28" t="s">
        <v>44</v>
      </c>
      <c r="E787" s="28" t="s">
        <v>44</v>
      </c>
      <c r="F787" s="28" t="s">
        <v>4679</v>
      </c>
      <c r="G787" s="28" t="s">
        <v>47</v>
      </c>
      <c r="H787" s="28" t="s">
        <v>95</v>
      </c>
      <c r="I787" s="28" t="s">
        <v>485</v>
      </c>
      <c r="J787" s="28" t="s">
        <v>4680</v>
      </c>
      <c r="K787" s="28" t="s">
        <v>51</v>
      </c>
      <c r="L787" s="28" t="s">
        <v>52</v>
      </c>
      <c r="M787" s="28" t="s">
        <v>52</v>
      </c>
      <c r="N787" s="28" t="s">
        <v>4753</v>
      </c>
      <c r="O787" s="28" t="s">
        <v>44</v>
      </c>
      <c r="P787" s="28" t="s">
        <v>4754</v>
      </c>
      <c r="Q787" s="28" t="s">
        <v>4168</v>
      </c>
      <c r="R787" s="28" t="s">
        <v>44</v>
      </c>
      <c r="S787" s="28" t="s">
        <v>44</v>
      </c>
      <c r="T787" s="28" t="s">
        <v>44</v>
      </c>
      <c r="U787" s="28" t="s">
        <v>44</v>
      </c>
      <c r="V787" s="28" t="s">
        <v>4755</v>
      </c>
      <c r="W787" s="28" t="s">
        <v>774</v>
      </c>
      <c r="X787" s="28"/>
      <c r="Y787" s="28"/>
      <c r="Z787" s="28"/>
      <c r="AA787" s="28"/>
    </row>
    <row r="788">
      <c r="A788" s="270" t="s">
        <v>4756</v>
      </c>
      <c r="B788" s="28" t="s">
        <v>36</v>
      </c>
      <c r="C788" s="28" t="s">
        <v>4757</v>
      </c>
      <c r="D788" s="28" t="s">
        <v>44</v>
      </c>
      <c r="E788" s="28" t="s">
        <v>44</v>
      </c>
      <c r="F788" s="28" t="s">
        <v>4679</v>
      </c>
      <c r="G788" s="28" t="s">
        <v>47</v>
      </c>
      <c r="H788" s="28" t="s">
        <v>95</v>
      </c>
      <c r="I788" s="28" t="s">
        <v>485</v>
      </c>
      <c r="J788" s="28" t="s">
        <v>4680</v>
      </c>
      <c r="K788" s="28" t="s">
        <v>51</v>
      </c>
      <c r="L788" s="28" t="s">
        <v>52</v>
      </c>
      <c r="M788" s="28" t="s">
        <v>52</v>
      </c>
      <c r="N788" s="28" t="s">
        <v>4758</v>
      </c>
      <c r="O788" s="28" t="s">
        <v>44</v>
      </c>
      <c r="P788" s="28" t="s">
        <v>4759</v>
      </c>
      <c r="Q788" s="28" t="s">
        <v>4760</v>
      </c>
      <c r="R788" s="28" t="s">
        <v>44</v>
      </c>
      <c r="S788" s="28" t="s">
        <v>44</v>
      </c>
      <c r="T788" s="28" t="s">
        <v>44</v>
      </c>
      <c r="U788" s="28" t="s">
        <v>44</v>
      </c>
      <c r="V788" s="28" t="s">
        <v>4761</v>
      </c>
      <c r="W788" s="28" t="s">
        <v>4762</v>
      </c>
      <c r="X788" s="28"/>
      <c r="Y788" s="28"/>
      <c r="Z788" s="28"/>
      <c r="AA788" s="28"/>
    </row>
    <row r="789">
      <c r="A789" s="270" t="s">
        <v>4763</v>
      </c>
      <c r="B789" s="28" t="s">
        <v>36</v>
      </c>
      <c r="C789" s="28" t="s">
        <v>4764</v>
      </c>
      <c r="D789" s="28" t="s">
        <v>44</v>
      </c>
      <c r="E789" s="28" t="s">
        <v>44</v>
      </c>
      <c r="F789" s="28" t="s">
        <v>4679</v>
      </c>
      <c r="G789" s="28" t="s">
        <v>47</v>
      </c>
      <c r="H789" s="28" t="s">
        <v>95</v>
      </c>
      <c r="I789" s="28" t="s">
        <v>485</v>
      </c>
      <c r="J789" s="28" t="s">
        <v>4680</v>
      </c>
      <c r="K789" s="28" t="s">
        <v>51</v>
      </c>
      <c r="L789" s="28" t="s">
        <v>52</v>
      </c>
      <c r="M789" s="28" t="s">
        <v>52</v>
      </c>
      <c r="N789" s="28" t="s">
        <v>4758</v>
      </c>
      <c r="O789" s="28" t="s">
        <v>44</v>
      </c>
      <c r="P789" s="28" t="s">
        <v>4765</v>
      </c>
      <c r="Q789" s="28" t="s">
        <v>4760</v>
      </c>
      <c r="R789" s="28" t="s">
        <v>44</v>
      </c>
      <c r="S789" s="28" t="s">
        <v>44</v>
      </c>
      <c r="T789" s="28" t="s">
        <v>44</v>
      </c>
      <c r="U789" s="28" t="s">
        <v>44</v>
      </c>
      <c r="V789" s="28" t="s">
        <v>4766</v>
      </c>
      <c r="W789" s="28" t="s">
        <v>4767</v>
      </c>
      <c r="X789" s="28"/>
      <c r="Y789" s="28"/>
      <c r="Z789" s="28"/>
      <c r="AA789" s="28"/>
    </row>
    <row r="790">
      <c r="A790" s="270" t="s">
        <v>4768</v>
      </c>
      <c r="B790" s="28" t="s">
        <v>36</v>
      </c>
      <c r="C790" s="28" t="s">
        <v>4769</v>
      </c>
      <c r="D790" s="28" t="s">
        <v>44</v>
      </c>
      <c r="E790" s="28" t="s">
        <v>44</v>
      </c>
      <c r="F790" s="28" t="s">
        <v>4679</v>
      </c>
      <c r="G790" s="28" t="s">
        <v>47</v>
      </c>
      <c r="H790" s="28" t="s">
        <v>48</v>
      </c>
      <c r="I790" s="28" t="s">
        <v>485</v>
      </c>
      <c r="J790" s="28" t="s">
        <v>4680</v>
      </c>
      <c r="K790" s="28" t="s">
        <v>51</v>
      </c>
      <c r="L790" s="28" t="s">
        <v>52</v>
      </c>
      <c r="M790" s="28" t="s">
        <v>52</v>
      </c>
      <c r="N790" s="28" t="s">
        <v>4770</v>
      </c>
      <c r="O790" s="28" t="s">
        <v>44</v>
      </c>
      <c r="P790" s="28" t="s">
        <v>4771</v>
      </c>
      <c r="Q790" s="28" t="s">
        <v>4772</v>
      </c>
      <c r="R790" s="28" t="s">
        <v>44</v>
      </c>
      <c r="S790" s="28" t="s">
        <v>44</v>
      </c>
      <c r="T790" s="28" t="s">
        <v>44</v>
      </c>
      <c r="U790" s="28" t="s">
        <v>44</v>
      </c>
      <c r="V790" s="28" t="s">
        <v>4773</v>
      </c>
      <c r="W790" s="28" t="s">
        <v>4774</v>
      </c>
      <c r="X790" s="28"/>
      <c r="Y790" s="28"/>
      <c r="Z790" s="28"/>
      <c r="AA790" s="28"/>
    </row>
    <row r="791">
      <c r="A791" s="270" t="s">
        <v>4775</v>
      </c>
      <c r="B791" s="28" t="s">
        <v>36</v>
      </c>
      <c r="C791" s="28" t="s">
        <v>4776</v>
      </c>
      <c r="D791" s="28" t="s">
        <v>44</v>
      </c>
      <c r="E791" s="28" t="s">
        <v>44</v>
      </c>
      <c r="F791" s="28" t="s">
        <v>4679</v>
      </c>
      <c r="G791" s="28" t="s">
        <v>47</v>
      </c>
      <c r="H791" s="28" t="s">
        <v>95</v>
      </c>
      <c r="I791" s="28" t="s">
        <v>485</v>
      </c>
      <c r="J791" s="28" t="s">
        <v>4680</v>
      </c>
      <c r="K791" s="28" t="s">
        <v>51</v>
      </c>
      <c r="L791" s="28" t="s">
        <v>52</v>
      </c>
      <c r="M791" s="28" t="s">
        <v>52</v>
      </c>
      <c r="N791" s="28" t="s">
        <v>4770</v>
      </c>
      <c r="O791" s="28" t="s">
        <v>44</v>
      </c>
      <c r="P791" s="28" t="s">
        <v>4777</v>
      </c>
      <c r="Q791" s="28" t="s">
        <v>4778</v>
      </c>
      <c r="R791" s="28" t="s">
        <v>44</v>
      </c>
      <c r="S791" s="28" t="s">
        <v>44</v>
      </c>
      <c r="T791" s="28" t="s">
        <v>44</v>
      </c>
      <c r="U791" s="28" t="s">
        <v>44</v>
      </c>
      <c r="V791" s="28" t="s">
        <v>4779</v>
      </c>
      <c r="W791" s="28" t="s">
        <v>4780</v>
      </c>
      <c r="X791" s="28"/>
      <c r="Y791" s="28"/>
      <c r="Z791" s="28"/>
      <c r="AA791" s="28"/>
    </row>
    <row r="792">
      <c r="A792" s="270" t="s">
        <v>4781</v>
      </c>
      <c r="B792" s="28" t="s">
        <v>36</v>
      </c>
      <c r="C792" s="28" t="s">
        <v>4782</v>
      </c>
      <c r="D792" s="28" t="s">
        <v>44</v>
      </c>
      <c r="E792" s="28" t="s">
        <v>44</v>
      </c>
      <c r="F792" s="28" t="s">
        <v>4679</v>
      </c>
      <c r="G792" s="28" t="s">
        <v>47</v>
      </c>
      <c r="H792" s="28" t="s">
        <v>48</v>
      </c>
      <c r="I792" s="28" t="s">
        <v>485</v>
      </c>
      <c r="J792" s="28" t="s">
        <v>4680</v>
      </c>
      <c r="K792" s="28" t="s">
        <v>51</v>
      </c>
      <c r="L792" s="28" t="s">
        <v>52</v>
      </c>
      <c r="M792" s="28" t="s">
        <v>52</v>
      </c>
      <c r="N792" s="28" t="s">
        <v>4681</v>
      </c>
      <c r="O792" s="28" t="s">
        <v>44</v>
      </c>
      <c r="P792" s="28" t="s">
        <v>4416</v>
      </c>
      <c r="Q792" s="28" t="s">
        <v>4783</v>
      </c>
      <c r="R792" s="28" t="s">
        <v>44</v>
      </c>
      <c r="S792" s="28" t="s">
        <v>44</v>
      </c>
      <c r="T792" s="28" t="s">
        <v>44</v>
      </c>
      <c r="U792" s="28" t="s">
        <v>44</v>
      </c>
      <c r="V792" s="28" t="s">
        <v>4784</v>
      </c>
      <c r="W792" s="28" t="s">
        <v>4785</v>
      </c>
      <c r="X792" s="28"/>
      <c r="Y792" s="28"/>
      <c r="Z792" s="28"/>
      <c r="AA792" s="28"/>
    </row>
    <row r="793">
      <c r="A793" s="270" t="s">
        <v>4786</v>
      </c>
      <c r="B793" s="28" t="s">
        <v>36</v>
      </c>
      <c r="C793" s="28" t="s">
        <v>4787</v>
      </c>
      <c r="D793" s="28" t="s">
        <v>44</v>
      </c>
      <c r="E793" s="28" t="s">
        <v>44</v>
      </c>
      <c r="F793" s="28" t="s">
        <v>4679</v>
      </c>
      <c r="G793" s="28" t="s">
        <v>47</v>
      </c>
      <c r="H793" s="28" t="s">
        <v>48</v>
      </c>
      <c r="I793" s="28" t="s">
        <v>485</v>
      </c>
      <c r="J793" s="28" t="s">
        <v>4680</v>
      </c>
      <c r="K793" s="28" t="s">
        <v>51</v>
      </c>
      <c r="L793" s="28" t="s">
        <v>52</v>
      </c>
      <c r="M793" s="28" t="s">
        <v>52</v>
      </c>
      <c r="N793" s="28" t="s">
        <v>4758</v>
      </c>
      <c r="O793" s="28" t="s">
        <v>44</v>
      </c>
      <c r="P793" s="28" t="s">
        <v>4788</v>
      </c>
      <c r="Q793" s="28" t="s">
        <v>4789</v>
      </c>
      <c r="R793" s="28" t="s">
        <v>44</v>
      </c>
      <c r="S793" s="28" t="s">
        <v>44</v>
      </c>
      <c r="T793" s="28" t="s">
        <v>44</v>
      </c>
      <c r="U793" s="28" t="s">
        <v>44</v>
      </c>
      <c r="V793" s="28" t="s">
        <v>4790</v>
      </c>
      <c r="W793" s="28" t="s">
        <v>4791</v>
      </c>
      <c r="X793" s="28"/>
      <c r="Y793" s="28"/>
      <c r="Z793" s="28"/>
      <c r="AA793" s="28"/>
    </row>
    <row r="794">
      <c r="A794" s="270" t="s">
        <v>4792</v>
      </c>
      <c r="B794" s="28" t="s">
        <v>36</v>
      </c>
      <c r="C794" s="28" t="s">
        <v>4793</v>
      </c>
      <c r="D794" s="28" t="s">
        <v>44</v>
      </c>
      <c r="E794" s="28" t="s">
        <v>44</v>
      </c>
      <c r="F794" s="28" t="s">
        <v>4679</v>
      </c>
      <c r="G794" s="28" t="s">
        <v>47</v>
      </c>
      <c r="H794" s="28" t="s">
        <v>48</v>
      </c>
      <c r="I794" s="28" t="s">
        <v>485</v>
      </c>
      <c r="J794" s="28" t="s">
        <v>4680</v>
      </c>
      <c r="K794" s="28" t="s">
        <v>51</v>
      </c>
      <c r="L794" s="28" t="s">
        <v>52</v>
      </c>
      <c r="M794" s="28" t="s">
        <v>52</v>
      </c>
      <c r="N794" s="28" t="s">
        <v>4681</v>
      </c>
      <c r="O794" s="28" t="s">
        <v>44</v>
      </c>
      <c r="P794" s="28" t="s">
        <v>4460</v>
      </c>
      <c r="Q794" s="28" t="s">
        <v>4794</v>
      </c>
      <c r="R794" s="28" t="s">
        <v>44</v>
      </c>
      <c r="S794" s="28" t="s">
        <v>44</v>
      </c>
      <c r="T794" s="28" t="s">
        <v>44</v>
      </c>
      <c r="U794" s="28" t="s">
        <v>44</v>
      </c>
      <c r="V794" s="28" t="s">
        <v>4795</v>
      </c>
      <c r="W794" s="28" t="s">
        <v>774</v>
      </c>
      <c r="X794" s="28"/>
      <c r="Y794" s="28"/>
      <c r="Z794" s="28"/>
      <c r="AA794" s="28"/>
    </row>
    <row r="795">
      <c r="A795" s="270" t="s">
        <v>4796</v>
      </c>
      <c r="B795" s="28" t="s">
        <v>36</v>
      </c>
      <c r="C795" s="28" t="s">
        <v>4797</v>
      </c>
      <c r="D795" s="28" t="s">
        <v>44</v>
      </c>
      <c r="E795" s="28" t="s">
        <v>44</v>
      </c>
      <c r="F795" s="28" t="s">
        <v>4679</v>
      </c>
      <c r="G795" s="28" t="s">
        <v>47</v>
      </c>
      <c r="H795" s="28" t="s">
        <v>48</v>
      </c>
      <c r="I795" s="28" t="s">
        <v>485</v>
      </c>
      <c r="J795" s="28" t="s">
        <v>4680</v>
      </c>
      <c r="K795" s="28" t="s">
        <v>51</v>
      </c>
      <c r="L795" s="28" t="s">
        <v>52</v>
      </c>
      <c r="M795" s="28" t="s">
        <v>52</v>
      </c>
      <c r="N795" s="28" t="s">
        <v>4758</v>
      </c>
      <c r="O795" s="28" t="s">
        <v>44</v>
      </c>
      <c r="P795" s="28" t="s">
        <v>4798</v>
      </c>
      <c r="Q795" s="28" t="s">
        <v>4799</v>
      </c>
      <c r="R795" s="28" t="s">
        <v>44</v>
      </c>
      <c r="S795" s="28" t="s">
        <v>44</v>
      </c>
      <c r="T795" s="28" t="s">
        <v>44</v>
      </c>
      <c r="U795" s="28" t="s">
        <v>44</v>
      </c>
      <c r="V795" s="28" t="s">
        <v>4800</v>
      </c>
      <c r="W795" s="28" t="s">
        <v>4801</v>
      </c>
      <c r="X795" s="28"/>
      <c r="Y795" s="28"/>
      <c r="Z795" s="28"/>
      <c r="AA795" s="28"/>
    </row>
    <row r="796">
      <c r="A796" s="270" t="s">
        <v>4802</v>
      </c>
      <c r="B796" s="28" t="s">
        <v>36</v>
      </c>
      <c r="C796" s="28" t="s">
        <v>4803</v>
      </c>
      <c r="D796" s="28" t="s">
        <v>44</v>
      </c>
      <c r="E796" s="28" t="s">
        <v>44</v>
      </c>
      <c r="F796" s="28" t="s">
        <v>4679</v>
      </c>
      <c r="G796" s="28" t="s">
        <v>47</v>
      </c>
      <c r="H796" s="28" t="s">
        <v>48</v>
      </c>
      <c r="I796" s="28" t="s">
        <v>485</v>
      </c>
      <c r="J796" s="28" t="s">
        <v>4680</v>
      </c>
      <c r="K796" s="28" t="s">
        <v>51</v>
      </c>
      <c r="L796" s="28" t="s">
        <v>52</v>
      </c>
      <c r="M796" s="28" t="s">
        <v>52</v>
      </c>
      <c r="N796" s="28" t="s">
        <v>4681</v>
      </c>
      <c r="O796" s="28" t="s">
        <v>44</v>
      </c>
      <c r="P796" s="28" t="s">
        <v>4465</v>
      </c>
      <c r="Q796" s="28" t="s">
        <v>4804</v>
      </c>
      <c r="R796" s="28" t="s">
        <v>44</v>
      </c>
      <c r="S796" s="28" t="s">
        <v>44</v>
      </c>
      <c r="T796" s="28" t="s">
        <v>44</v>
      </c>
      <c r="U796" s="28" t="s">
        <v>44</v>
      </c>
      <c r="V796" s="28" t="s">
        <v>4805</v>
      </c>
      <c r="W796" s="28" t="s">
        <v>774</v>
      </c>
      <c r="X796" s="28"/>
      <c r="Y796" s="28"/>
      <c r="Z796" s="28"/>
      <c r="AA796" s="28"/>
    </row>
    <row r="797">
      <c r="A797" s="270" t="s">
        <v>4806</v>
      </c>
      <c r="B797" s="28" t="s">
        <v>36</v>
      </c>
      <c r="C797" s="28" t="s">
        <v>4807</v>
      </c>
      <c r="D797" s="28" t="s">
        <v>44</v>
      </c>
      <c r="E797" s="28" t="s">
        <v>44</v>
      </c>
      <c r="F797" s="28" t="s">
        <v>4679</v>
      </c>
      <c r="G797" s="28" t="s">
        <v>47</v>
      </c>
      <c r="H797" s="28" t="s">
        <v>48</v>
      </c>
      <c r="I797" s="28" t="s">
        <v>485</v>
      </c>
      <c r="J797" s="28" t="s">
        <v>4680</v>
      </c>
      <c r="K797" s="28" t="s">
        <v>51</v>
      </c>
      <c r="L797" s="28" t="s">
        <v>52</v>
      </c>
      <c r="M797" s="28" t="s">
        <v>52</v>
      </c>
      <c r="N797" s="28" t="s">
        <v>4758</v>
      </c>
      <c r="O797" s="28" t="s">
        <v>44</v>
      </c>
      <c r="P797" s="28" t="s">
        <v>4808</v>
      </c>
      <c r="Q797" s="28" t="s">
        <v>4809</v>
      </c>
      <c r="R797" s="28" t="s">
        <v>44</v>
      </c>
      <c r="S797" s="28" t="s">
        <v>44</v>
      </c>
      <c r="T797" s="28" t="s">
        <v>44</v>
      </c>
      <c r="U797" s="28" t="s">
        <v>44</v>
      </c>
      <c r="V797" s="28" t="s">
        <v>4810</v>
      </c>
      <c r="W797" s="28" t="s">
        <v>4811</v>
      </c>
      <c r="X797" s="28"/>
      <c r="Y797" s="28"/>
      <c r="Z797" s="28"/>
      <c r="AA797" s="28"/>
    </row>
    <row r="798">
      <c r="A798" s="270" t="s">
        <v>4812</v>
      </c>
      <c r="B798" s="28" t="s">
        <v>36</v>
      </c>
      <c r="C798" s="28" t="s">
        <v>4813</v>
      </c>
      <c r="D798" s="28" t="s">
        <v>44</v>
      </c>
      <c r="E798" s="28" t="s">
        <v>44</v>
      </c>
      <c r="F798" s="28" t="s">
        <v>4679</v>
      </c>
      <c r="G798" s="28" t="s">
        <v>47</v>
      </c>
      <c r="H798" s="28" t="s">
        <v>48</v>
      </c>
      <c r="I798" s="28" t="s">
        <v>485</v>
      </c>
      <c r="J798" s="28" t="s">
        <v>4680</v>
      </c>
      <c r="K798" s="28" t="s">
        <v>51</v>
      </c>
      <c r="L798" s="28" t="s">
        <v>52</v>
      </c>
      <c r="M798" s="28" t="s">
        <v>52</v>
      </c>
      <c r="N798" s="28" t="s">
        <v>4681</v>
      </c>
      <c r="O798" s="28" t="s">
        <v>44</v>
      </c>
      <c r="P798" s="28" t="s">
        <v>4470</v>
      </c>
      <c r="Q798" s="28" t="s">
        <v>4814</v>
      </c>
      <c r="R798" s="28" t="s">
        <v>44</v>
      </c>
      <c r="S798" s="28" t="s">
        <v>44</v>
      </c>
      <c r="T798" s="28" t="s">
        <v>44</v>
      </c>
      <c r="U798" s="28" t="s">
        <v>44</v>
      </c>
      <c r="V798" s="28" t="s">
        <v>4815</v>
      </c>
      <c r="W798" s="28" t="s">
        <v>774</v>
      </c>
      <c r="X798" s="28"/>
      <c r="Y798" s="28"/>
      <c r="Z798" s="28"/>
      <c r="AA798" s="28"/>
    </row>
    <row r="799">
      <c r="A799" s="270" t="s">
        <v>4816</v>
      </c>
      <c r="B799" s="28" t="s">
        <v>36</v>
      </c>
      <c r="C799" s="28" t="s">
        <v>4817</v>
      </c>
      <c r="D799" s="28" t="s">
        <v>44</v>
      </c>
      <c r="E799" s="28" t="s">
        <v>44</v>
      </c>
      <c r="F799" s="28" t="s">
        <v>4679</v>
      </c>
      <c r="G799" s="28" t="s">
        <v>47</v>
      </c>
      <c r="H799" s="28" t="s">
        <v>48</v>
      </c>
      <c r="I799" s="28" t="s">
        <v>485</v>
      </c>
      <c r="J799" s="28" t="s">
        <v>4680</v>
      </c>
      <c r="K799" s="28" t="s">
        <v>51</v>
      </c>
      <c r="L799" s="28" t="s">
        <v>52</v>
      </c>
      <c r="M799" s="28" t="s">
        <v>52</v>
      </c>
      <c r="N799" s="28" t="s">
        <v>4758</v>
      </c>
      <c r="O799" s="28" t="s">
        <v>44</v>
      </c>
      <c r="P799" s="28" t="s">
        <v>4818</v>
      </c>
      <c r="Q799" s="28" t="s">
        <v>4819</v>
      </c>
      <c r="R799" s="28" t="s">
        <v>44</v>
      </c>
      <c r="S799" s="28" t="s">
        <v>44</v>
      </c>
      <c r="T799" s="28" t="s">
        <v>44</v>
      </c>
      <c r="U799" s="28" t="s">
        <v>44</v>
      </c>
      <c r="V799" s="28" t="s">
        <v>4820</v>
      </c>
      <c r="W799" s="28" t="s">
        <v>4821</v>
      </c>
      <c r="X799" s="28"/>
      <c r="Y799" s="28"/>
      <c r="Z799" s="28"/>
      <c r="AA799" s="28"/>
    </row>
    <row r="800">
      <c r="A800" s="270" t="s">
        <v>4822</v>
      </c>
      <c r="B800" s="28" t="s">
        <v>36</v>
      </c>
      <c r="C800" s="28" t="s">
        <v>4823</v>
      </c>
      <c r="D800" s="28" t="s">
        <v>44</v>
      </c>
      <c r="E800" s="28" t="s">
        <v>44</v>
      </c>
      <c r="F800" s="28" t="s">
        <v>4679</v>
      </c>
      <c r="G800" s="28" t="s">
        <v>47</v>
      </c>
      <c r="H800" s="28" t="s">
        <v>95</v>
      </c>
      <c r="I800" s="28" t="s">
        <v>485</v>
      </c>
      <c r="J800" s="28" t="s">
        <v>4680</v>
      </c>
      <c r="K800" s="28" t="s">
        <v>51</v>
      </c>
      <c r="L800" s="28" t="s">
        <v>52</v>
      </c>
      <c r="M800" s="28" t="s">
        <v>52</v>
      </c>
      <c r="N800" s="28" t="s">
        <v>4824</v>
      </c>
      <c r="O800" s="28" t="s">
        <v>44</v>
      </c>
      <c r="P800" s="28" t="s">
        <v>4825</v>
      </c>
      <c r="Q800" s="28" t="s">
        <v>4826</v>
      </c>
      <c r="R800" s="28" t="s">
        <v>44</v>
      </c>
      <c r="S800" s="28" t="s">
        <v>44</v>
      </c>
      <c r="T800" s="28" t="s">
        <v>44</v>
      </c>
      <c r="U800" s="28" t="s">
        <v>44</v>
      </c>
      <c r="V800" s="28" t="s">
        <v>4827</v>
      </c>
      <c r="W800" s="28" t="s">
        <v>774</v>
      </c>
      <c r="X800" s="28"/>
      <c r="Y800" s="28"/>
      <c r="Z800" s="28"/>
      <c r="AA800" s="28"/>
    </row>
    <row r="801">
      <c r="A801" s="270" t="s">
        <v>4828</v>
      </c>
      <c r="B801" s="28" t="s">
        <v>36</v>
      </c>
      <c r="C801" s="28" t="s">
        <v>4829</v>
      </c>
      <c r="D801" s="28" t="s">
        <v>44</v>
      </c>
      <c r="E801" s="28" t="s">
        <v>44</v>
      </c>
      <c r="F801" s="28" t="s">
        <v>4679</v>
      </c>
      <c r="G801" s="28" t="s">
        <v>47</v>
      </c>
      <c r="H801" s="28" t="s">
        <v>95</v>
      </c>
      <c r="I801" s="28" t="s">
        <v>485</v>
      </c>
      <c r="J801" s="28" t="s">
        <v>4680</v>
      </c>
      <c r="K801" s="28" t="s">
        <v>51</v>
      </c>
      <c r="L801" s="28" t="s">
        <v>52</v>
      </c>
      <c r="M801" s="28" t="s">
        <v>52</v>
      </c>
      <c r="N801" s="28" t="s">
        <v>4830</v>
      </c>
      <c r="O801" s="28" t="s">
        <v>44</v>
      </c>
      <c r="P801" s="28" t="s">
        <v>4831</v>
      </c>
      <c r="Q801" s="28" t="s">
        <v>4832</v>
      </c>
      <c r="R801" s="28" t="s">
        <v>44</v>
      </c>
      <c r="S801" s="28" t="s">
        <v>44</v>
      </c>
      <c r="T801" s="28" t="s">
        <v>44</v>
      </c>
      <c r="U801" s="28" t="s">
        <v>44</v>
      </c>
      <c r="V801" s="28" t="s">
        <v>4833</v>
      </c>
      <c r="W801" s="28" t="s">
        <v>774</v>
      </c>
      <c r="X801" s="28"/>
      <c r="Y801" s="28"/>
      <c r="Z801" s="28"/>
      <c r="AA801" s="28"/>
    </row>
    <row r="802">
      <c r="A802" s="270" t="s">
        <v>4834</v>
      </c>
      <c r="B802" s="28" t="s">
        <v>36</v>
      </c>
      <c r="C802" s="28" t="s">
        <v>4835</v>
      </c>
      <c r="D802" s="28" t="s">
        <v>44</v>
      </c>
      <c r="E802" s="28" t="s">
        <v>44</v>
      </c>
      <c r="F802" s="28" t="s">
        <v>4679</v>
      </c>
      <c r="G802" s="28" t="s">
        <v>47</v>
      </c>
      <c r="H802" s="28" t="s">
        <v>48</v>
      </c>
      <c r="I802" s="28" t="s">
        <v>485</v>
      </c>
      <c r="J802" s="28" t="s">
        <v>4680</v>
      </c>
      <c r="K802" s="28" t="s">
        <v>51</v>
      </c>
      <c r="L802" s="28" t="s">
        <v>52</v>
      </c>
      <c r="M802" s="28" t="s">
        <v>52</v>
      </c>
      <c r="N802" s="28" t="s">
        <v>4681</v>
      </c>
      <c r="O802" s="28" t="s">
        <v>44</v>
      </c>
      <c r="P802" s="28" t="s">
        <v>4475</v>
      </c>
      <c r="Q802" s="28" t="s">
        <v>4836</v>
      </c>
      <c r="R802" s="28" t="s">
        <v>44</v>
      </c>
      <c r="S802" s="28" t="s">
        <v>44</v>
      </c>
      <c r="T802" s="28" t="s">
        <v>44</v>
      </c>
      <c r="U802" s="28" t="s">
        <v>44</v>
      </c>
      <c r="V802" s="28" t="s">
        <v>4837</v>
      </c>
      <c r="W802" s="28" t="s">
        <v>774</v>
      </c>
      <c r="X802" s="28"/>
      <c r="Y802" s="28"/>
      <c r="Z802" s="28"/>
      <c r="AA802" s="28"/>
    </row>
    <row r="803">
      <c r="A803" s="270" t="s">
        <v>4838</v>
      </c>
      <c r="B803" s="28" t="s">
        <v>36</v>
      </c>
      <c r="C803" s="28" t="s">
        <v>4839</v>
      </c>
      <c r="D803" s="28" t="s">
        <v>44</v>
      </c>
      <c r="E803" s="28" t="s">
        <v>44</v>
      </c>
      <c r="F803" s="28" t="s">
        <v>4679</v>
      </c>
      <c r="G803" s="28" t="s">
        <v>47</v>
      </c>
      <c r="H803" s="28" t="s">
        <v>48</v>
      </c>
      <c r="I803" s="28" t="s">
        <v>485</v>
      </c>
      <c r="J803" s="28" t="s">
        <v>4680</v>
      </c>
      <c r="K803" s="28" t="s">
        <v>51</v>
      </c>
      <c r="L803" s="28" t="s">
        <v>52</v>
      </c>
      <c r="M803" s="28" t="s">
        <v>52</v>
      </c>
      <c r="N803" s="28" t="s">
        <v>4758</v>
      </c>
      <c r="O803" s="28" t="s">
        <v>44</v>
      </c>
      <c r="P803" s="28" t="s">
        <v>4840</v>
      </c>
      <c r="Q803" s="28" t="s">
        <v>4841</v>
      </c>
      <c r="R803" s="28" t="s">
        <v>44</v>
      </c>
      <c r="S803" s="28" t="s">
        <v>44</v>
      </c>
      <c r="T803" s="28" t="s">
        <v>44</v>
      </c>
      <c r="U803" s="28" t="s">
        <v>44</v>
      </c>
      <c r="V803" s="28" t="s">
        <v>4842</v>
      </c>
      <c r="W803" s="28" t="s">
        <v>4843</v>
      </c>
      <c r="X803" s="28"/>
      <c r="Y803" s="28"/>
      <c r="Z803" s="28"/>
      <c r="AA803" s="28"/>
    </row>
    <row r="804">
      <c r="A804" s="270" t="s">
        <v>4844</v>
      </c>
      <c r="B804" s="28" t="s">
        <v>36</v>
      </c>
      <c r="C804" s="28" t="s">
        <v>4845</v>
      </c>
      <c r="D804" s="28" t="s">
        <v>44</v>
      </c>
      <c r="E804" s="28" t="s">
        <v>44</v>
      </c>
      <c r="F804" s="28" t="s">
        <v>4679</v>
      </c>
      <c r="G804" s="28" t="s">
        <v>47</v>
      </c>
      <c r="H804" s="28" t="s">
        <v>48</v>
      </c>
      <c r="I804" s="28" t="s">
        <v>485</v>
      </c>
      <c r="J804" s="28" t="s">
        <v>4680</v>
      </c>
      <c r="K804" s="28" t="s">
        <v>51</v>
      </c>
      <c r="L804" s="28" t="s">
        <v>52</v>
      </c>
      <c r="M804" s="28" t="s">
        <v>52</v>
      </c>
      <c r="N804" s="28" t="s">
        <v>4846</v>
      </c>
      <c r="O804" s="28" t="s">
        <v>44</v>
      </c>
      <c r="P804" s="28" t="s">
        <v>4847</v>
      </c>
      <c r="Q804" s="28" t="s">
        <v>4848</v>
      </c>
      <c r="R804" s="28" t="s">
        <v>44</v>
      </c>
      <c r="S804" s="28" t="s">
        <v>44</v>
      </c>
      <c r="T804" s="28" t="s">
        <v>44</v>
      </c>
      <c r="U804" s="28" t="s">
        <v>44</v>
      </c>
      <c r="V804" s="28" t="s">
        <v>4849</v>
      </c>
      <c r="W804" s="28" t="s">
        <v>4850</v>
      </c>
      <c r="X804" s="28"/>
      <c r="Y804" s="28"/>
      <c r="Z804" s="28"/>
      <c r="AA804" s="28"/>
    </row>
    <row r="805">
      <c r="A805" s="270" t="s">
        <v>4851</v>
      </c>
      <c r="B805" s="28" t="s">
        <v>36</v>
      </c>
      <c r="C805" s="28" t="s">
        <v>4852</v>
      </c>
      <c r="D805" s="28" t="s">
        <v>44</v>
      </c>
      <c r="E805" s="28" t="s">
        <v>44</v>
      </c>
      <c r="F805" s="28" t="s">
        <v>4679</v>
      </c>
      <c r="G805" s="28" t="s">
        <v>47</v>
      </c>
      <c r="H805" s="28" t="s">
        <v>48</v>
      </c>
      <c r="I805" s="28" t="s">
        <v>485</v>
      </c>
      <c r="J805" s="28" t="s">
        <v>4680</v>
      </c>
      <c r="K805" s="28" t="s">
        <v>51</v>
      </c>
      <c r="L805" s="28" t="s">
        <v>52</v>
      </c>
      <c r="M805" s="28" t="s">
        <v>52</v>
      </c>
      <c r="N805" s="28" t="s">
        <v>4853</v>
      </c>
      <c r="O805" s="28" t="s">
        <v>44</v>
      </c>
      <c r="P805" s="28" t="s">
        <v>4847</v>
      </c>
      <c r="Q805" s="28" t="s">
        <v>4854</v>
      </c>
      <c r="R805" s="28" t="s">
        <v>44</v>
      </c>
      <c r="S805" s="28" t="s">
        <v>44</v>
      </c>
      <c r="T805" s="28" t="s">
        <v>44</v>
      </c>
      <c r="U805" s="28" t="s">
        <v>44</v>
      </c>
      <c r="V805" s="28" t="s">
        <v>4855</v>
      </c>
      <c r="W805" s="28" t="s">
        <v>4850</v>
      </c>
      <c r="X805" s="28"/>
      <c r="Y805" s="28"/>
      <c r="Z805" s="28"/>
      <c r="AA805" s="28"/>
    </row>
    <row r="806">
      <c r="A806" s="270" t="s">
        <v>4856</v>
      </c>
      <c r="B806" s="28" t="s">
        <v>36</v>
      </c>
      <c r="C806" s="28" t="s">
        <v>4857</v>
      </c>
      <c r="D806" s="28" t="s">
        <v>44</v>
      </c>
      <c r="E806" s="28" t="s">
        <v>44</v>
      </c>
      <c r="F806" s="28" t="s">
        <v>4679</v>
      </c>
      <c r="G806" s="28" t="s">
        <v>47</v>
      </c>
      <c r="H806" s="28" t="s">
        <v>48</v>
      </c>
      <c r="I806" s="28" t="s">
        <v>485</v>
      </c>
      <c r="J806" s="28" t="s">
        <v>4680</v>
      </c>
      <c r="K806" s="28" t="s">
        <v>51</v>
      </c>
      <c r="L806" s="28" t="s">
        <v>52</v>
      </c>
      <c r="M806" s="28" t="s">
        <v>52</v>
      </c>
      <c r="N806" s="28" t="s">
        <v>4858</v>
      </c>
      <c r="O806" s="28" t="s">
        <v>44</v>
      </c>
      <c r="P806" s="28" t="s">
        <v>4847</v>
      </c>
      <c r="Q806" s="28" t="s">
        <v>4859</v>
      </c>
      <c r="R806" s="28" t="s">
        <v>44</v>
      </c>
      <c r="S806" s="28" t="s">
        <v>44</v>
      </c>
      <c r="T806" s="28" t="s">
        <v>44</v>
      </c>
      <c r="U806" s="28" t="s">
        <v>44</v>
      </c>
      <c r="V806" s="28" t="s">
        <v>4860</v>
      </c>
      <c r="W806" s="28" t="s">
        <v>4861</v>
      </c>
      <c r="X806" s="28"/>
      <c r="Y806" s="28"/>
      <c r="Z806" s="28"/>
      <c r="AA806" s="28"/>
    </row>
    <row r="807">
      <c r="A807" s="270" t="s">
        <v>4862</v>
      </c>
      <c r="B807" s="28" t="s">
        <v>36</v>
      </c>
      <c r="C807" s="28" t="s">
        <v>4863</v>
      </c>
      <c r="D807" s="28" t="s">
        <v>44</v>
      </c>
      <c r="E807" s="28" t="s">
        <v>44</v>
      </c>
      <c r="F807" s="28" t="s">
        <v>4679</v>
      </c>
      <c r="G807" s="28" t="s">
        <v>47</v>
      </c>
      <c r="H807" s="28" t="s">
        <v>48</v>
      </c>
      <c r="I807" s="28" t="s">
        <v>485</v>
      </c>
      <c r="J807" s="28" t="s">
        <v>4680</v>
      </c>
      <c r="K807" s="28" t="s">
        <v>51</v>
      </c>
      <c r="L807" s="28" t="s">
        <v>52</v>
      </c>
      <c r="M807" s="28" t="s">
        <v>52</v>
      </c>
      <c r="N807" s="28" t="s">
        <v>4864</v>
      </c>
      <c r="O807" s="28" t="s">
        <v>44</v>
      </c>
      <c r="P807" s="28" t="s">
        <v>4847</v>
      </c>
      <c r="Q807" s="28" t="s">
        <v>4865</v>
      </c>
      <c r="R807" s="28" t="s">
        <v>44</v>
      </c>
      <c r="S807" s="28" t="s">
        <v>44</v>
      </c>
      <c r="T807" s="28" t="s">
        <v>44</v>
      </c>
      <c r="U807" s="28" t="s">
        <v>44</v>
      </c>
      <c r="V807" s="28" t="s">
        <v>4866</v>
      </c>
      <c r="W807" s="28" t="s">
        <v>4850</v>
      </c>
      <c r="X807" s="28"/>
      <c r="Y807" s="28"/>
      <c r="Z807" s="28"/>
      <c r="AA807" s="28"/>
    </row>
    <row r="808">
      <c r="A808" s="270" t="s">
        <v>4867</v>
      </c>
      <c r="B808" s="28" t="s">
        <v>36</v>
      </c>
      <c r="C808" s="28" t="s">
        <v>4868</v>
      </c>
      <c r="D808" s="28" t="s">
        <v>44</v>
      </c>
      <c r="E808" s="28" t="s">
        <v>44</v>
      </c>
      <c r="F808" s="28" t="s">
        <v>4679</v>
      </c>
      <c r="G808" s="28" t="s">
        <v>47</v>
      </c>
      <c r="H808" s="28" t="s">
        <v>95</v>
      </c>
      <c r="I808" s="28" t="s">
        <v>485</v>
      </c>
      <c r="J808" s="28" t="s">
        <v>4680</v>
      </c>
      <c r="K808" s="28" t="s">
        <v>51</v>
      </c>
      <c r="L808" s="28" t="s">
        <v>52</v>
      </c>
      <c r="M808" s="28" t="s">
        <v>52</v>
      </c>
      <c r="N808" s="28" t="s">
        <v>4869</v>
      </c>
      <c r="O808" s="28" t="s">
        <v>44</v>
      </c>
      <c r="P808" s="28" t="s">
        <v>4847</v>
      </c>
      <c r="Q808" s="28" t="s">
        <v>4870</v>
      </c>
      <c r="R808" s="28" t="s">
        <v>44</v>
      </c>
      <c r="S808" s="28" t="s">
        <v>44</v>
      </c>
      <c r="T808" s="28" t="s">
        <v>44</v>
      </c>
      <c r="U808" s="28" t="s">
        <v>44</v>
      </c>
      <c r="V808" s="28" t="s">
        <v>4871</v>
      </c>
      <c r="W808" s="28" t="s">
        <v>4850</v>
      </c>
      <c r="X808" s="28"/>
      <c r="Y808" s="28"/>
      <c r="Z808" s="28"/>
      <c r="AA808" s="28"/>
    </row>
    <row r="809">
      <c r="A809" s="270" t="s">
        <v>4872</v>
      </c>
      <c r="B809" s="28" t="s">
        <v>36</v>
      </c>
      <c r="C809" s="28" t="s">
        <v>4873</v>
      </c>
      <c r="D809" s="28" t="s">
        <v>44</v>
      </c>
      <c r="E809" s="28" t="s">
        <v>44</v>
      </c>
      <c r="F809" s="28" t="s">
        <v>4679</v>
      </c>
      <c r="G809" s="28" t="s">
        <v>47</v>
      </c>
      <c r="H809" s="28" t="s">
        <v>95</v>
      </c>
      <c r="I809" s="28" t="s">
        <v>485</v>
      </c>
      <c r="J809" s="28" t="s">
        <v>4680</v>
      </c>
      <c r="K809" s="28" t="s">
        <v>51</v>
      </c>
      <c r="L809" s="28" t="s">
        <v>52</v>
      </c>
      <c r="M809" s="28" t="s">
        <v>52</v>
      </c>
      <c r="N809" s="28" t="s">
        <v>4874</v>
      </c>
      <c r="O809" s="28" t="s">
        <v>44</v>
      </c>
      <c r="P809" s="28" t="s">
        <v>4847</v>
      </c>
      <c r="Q809" s="28" t="s">
        <v>4870</v>
      </c>
      <c r="R809" s="28" t="s">
        <v>44</v>
      </c>
      <c r="S809" s="28" t="s">
        <v>44</v>
      </c>
      <c r="T809" s="28" t="s">
        <v>44</v>
      </c>
      <c r="U809" s="28" t="s">
        <v>44</v>
      </c>
      <c r="V809" s="28" t="s">
        <v>4875</v>
      </c>
      <c r="W809" s="28" t="s">
        <v>4850</v>
      </c>
      <c r="X809" s="28"/>
      <c r="Y809" s="28"/>
      <c r="Z809" s="28"/>
      <c r="AA809" s="28"/>
    </row>
    <row r="810">
      <c r="A810" s="270" t="s">
        <v>4876</v>
      </c>
      <c r="B810" s="28" t="s">
        <v>36</v>
      </c>
      <c r="C810" s="28" t="s">
        <v>4877</v>
      </c>
      <c r="D810" s="28" t="s">
        <v>44</v>
      </c>
      <c r="E810" s="28" t="s">
        <v>44</v>
      </c>
      <c r="F810" s="28" t="s">
        <v>4679</v>
      </c>
      <c r="G810" s="28" t="s">
        <v>47</v>
      </c>
      <c r="H810" s="28" t="s">
        <v>95</v>
      </c>
      <c r="I810" s="28" t="s">
        <v>485</v>
      </c>
      <c r="J810" s="28" t="s">
        <v>4680</v>
      </c>
      <c r="K810" s="28" t="s">
        <v>51</v>
      </c>
      <c r="L810" s="28" t="s">
        <v>52</v>
      </c>
      <c r="M810" s="28" t="s">
        <v>52</v>
      </c>
      <c r="N810" s="28" t="s">
        <v>4878</v>
      </c>
      <c r="O810" s="28" t="s">
        <v>44</v>
      </c>
      <c r="P810" s="28" t="s">
        <v>4847</v>
      </c>
      <c r="Q810" s="28" t="s">
        <v>4870</v>
      </c>
      <c r="R810" s="28" t="s">
        <v>44</v>
      </c>
      <c r="S810" s="28" t="s">
        <v>44</v>
      </c>
      <c r="T810" s="28" t="s">
        <v>44</v>
      </c>
      <c r="U810" s="28" t="s">
        <v>44</v>
      </c>
      <c r="V810" s="28" t="s">
        <v>4879</v>
      </c>
      <c r="W810" s="28" t="s">
        <v>4850</v>
      </c>
      <c r="X810" s="28"/>
      <c r="Y810" s="28"/>
      <c r="Z810" s="28"/>
      <c r="AA810" s="28"/>
    </row>
    <row r="811">
      <c r="A811" s="270" t="s">
        <v>4880</v>
      </c>
      <c r="B811" s="28" t="s">
        <v>36</v>
      </c>
      <c r="C811" s="28" t="s">
        <v>4881</v>
      </c>
      <c r="D811" s="28" t="s">
        <v>44</v>
      </c>
      <c r="E811" s="28" t="s">
        <v>44</v>
      </c>
      <c r="F811" s="28" t="s">
        <v>4679</v>
      </c>
      <c r="G811" s="28" t="s">
        <v>47</v>
      </c>
      <c r="H811" s="28" t="s">
        <v>95</v>
      </c>
      <c r="I811" s="28" t="s">
        <v>485</v>
      </c>
      <c r="J811" s="28" t="s">
        <v>4680</v>
      </c>
      <c r="K811" s="28" t="s">
        <v>51</v>
      </c>
      <c r="L811" s="28" t="s">
        <v>52</v>
      </c>
      <c r="M811" s="28" t="s">
        <v>52</v>
      </c>
      <c r="N811" s="28" t="s">
        <v>4882</v>
      </c>
      <c r="O811" s="28" t="s">
        <v>44</v>
      </c>
      <c r="P811" s="28" t="s">
        <v>4847</v>
      </c>
      <c r="Q811" s="28" t="s">
        <v>4883</v>
      </c>
      <c r="R811" s="28" t="s">
        <v>44</v>
      </c>
      <c r="S811" s="28" t="s">
        <v>44</v>
      </c>
      <c r="T811" s="28" t="s">
        <v>44</v>
      </c>
      <c r="U811" s="28" t="s">
        <v>44</v>
      </c>
      <c r="V811" s="28" t="s">
        <v>4884</v>
      </c>
      <c r="W811" s="28" t="s">
        <v>4850</v>
      </c>
      <c r="X811" s="28"/>
      <c r="Y811" s="28"/>
      <c r="Z811" s="28"/>
      <c r="AA811" s="28"/>
    </row>
    <row r="812">
      <c r="A812" s="270" t="s">
        <v>4885</v>
      </c>
      <c r="B812" s="28" t="s">
        <v>36</v>
      </c>
      <c r="C812" s="28" t="s">
        <v>4886</v>
      </c>
      <c r="D812" s="28" t="s">
        <v>44</v>
      </c>
      <c r="E812" s="28" t="s">
        <v>44</v>
      </c>
      <c r="F812" s="28" t="s">
        <v>4679</v>
      </c>
      <c r="G812" s="28" t="s">
        <v>47</v>
      </c>
      <c r="H812" s="28" t="s">
        <v>91</v>
      </c>
      <c r="I812" s="28" t="s">
        <v>485</v>
      </c>
      <c r="J812" s="28" t="s">
        <v>4680</v>
      </c>
      <c r="K812" s="28" t="s">
        <v>51</v>
      </c>
      <c r="L812" s="28" t="s">
        <v>52</v>
      </c>
      <c r="M812" s="28" t="s">
        <v>52</v>
      </c>
      <c r="N812" s="28" t="s">
        <v>4758</v>
      </c>
      <c r="O812" s="28" t="s">
        <v>44</v>
      </c>
      <c r="P812" s="28" t="s">
        <v>4887</v>
      </c>
      <c r="Q812" s="28" t="s">
        <v>4888</v>
      </c>
      <c r="R812" s="28" t="s">
        <v>44</v>
      </c>
      <c r="S812" s="28" t="s">
        <v>44</v>
      </c>
      <c r="T812" s="28" t="s">
        <v>44</v>
      </c>
      <c r="U812" s="28" t="s">
        <v>44</v>
      </c>
      <c r="V812" s="28" t="s">
        <v>4889</v>
      </c>
      <c r="W812" s="28" t="s">
        <v>4890</v>
      </c>
      <c r="X812" s="28"/>
      <c r="Y812" s="28"/>
      <c r="Z812" s="28"/>
      <c r="AA812" s="28"/>
    </row>
    <row r="813">
      <c r="A813" s="270" t="s">
        <v>4891</v>
      </c>
      <c r="B813" s="28" t="s">
        <v>36</v>
      </c>
      <c r="C813" s="28" t="s">
        <v>4892</v>
      </c>
      <c r="D813" s="28" t="s">
        <v>44</v>
      </c>
      <c r="E813" s="28" t="s">
        <v>44</v>
      </c>
      <c r="F813" s="28" t="s">
        <v>4679</v>
      </c>
      <c r="G813" s="28" t="s">
        <v>47</v>
      </c>
      <c r="H813" s="28" t="s">
        <v>48</v>
      </c>
      <c r="I813" s="28" t="s">
        <v>485</v>
      </c>
      <c r="J813" s="28" t="s">
        <v>4680</v>
      </c>
      <c r="K813" s="28" t="s">
        <v>51</v>
      </c>
      <c r="L813" s="28" t="s">
        <v>52</v>
      </c>
      <c r="M813" s="28" t="s">
        <v>52</v>
      </c>
      <c r="N813" s="28" t="s">
        <v>4681</v>
      </c>
      <c r="O813" s="28" t="s">
        <v>44</v>
      </c>
      <c r="P813" s="28" t="s">
        <v>4893</v>
      </c>
      <c r="Q813" s="28" t="s">
        <v>4894</v>
      </c>
      <c r="R813" s="28" t="s">
        <v>44</v>
      </c>
      <c r="S813" s="28" t="s">
        <v>44</v>
      </c>
      <c r="T813" s="28" t="s">
        <v>44</v>
      </c>
      <c r="U813" s="28" t="s">
        <v>44</v>
      </c>
      <c r="V813" s="28" t="s">
        <v>4895</v>
      </c>
      <c r="W813" s="28" t="s">
        <v>774</v>
      </c>
      <c r="X813" s="28"/>
      <c r="Y813" s="28"/>
      <c r="Z813" s="28"/>
      <c r="AA813" s="28"/>
    </row>
    <row r="814">
      <c r="A814" s="270" t="s">
        <v>4896</v>
      </c>
      <c r="B814" s="28" t="s">
        <v>36</v>
      </c>
      <c r="C814" s="28" t="s">
        <v>4897</v>
      </c>
      <c r="D814" s="28" t="s">
        <v>44</v>
      </c>
      <c r="E814" s="28" t="s">
        <v>44</v>
      </c>
      <c r="F814" s="28" t="s">
        <v>4679</v>
      </c>
      <c r="G814" s="28" t="s">
        <v>47</v>
      </c>
      <c r="H814" s="28" t="s">
        <v>48</v>
      </c>
      <c r="I814" s="28" t="s">
        <v>485</v>
      </c>
      <c r="J814" s="28" t="s">
        <v>4680</v>
      </c>
      <c r="K814" s="28" t="s">
        <v>51</v>
      </c>
      <c r="L814" s="28" t="s">
        <v>52</v>
      </c>
      <c r="M814" s="28" t="s">
        <v>52</v>
      </c>
      <c r="N814" s="28" t="s">
        <v>4758</v>
      </c>
      <c r="O814" s="28" t="s">
        <v>44</v>
      </c>
      <c r="P814" s="28" t="s">
        <v>4898</v>
      </c>
      <c r="Q814" s="28" t="s">
        <v>4899</v>
      </c>
      <c r="R814" s="28" t="s">
        <v>44</v>
      </c>
      <c r="S814" s="28" t="s">
        <v>44</v>
      </c>
      <c r="T814" s="28" t="s">
        <v>44</v>
      </c>
      <c r="U814" s="28" t="s">
        <v>44</v>
      </c>
      <c r="V814" s="28" t="s">
        <v>4900</v>
      </c>
      <c r="W814" s="28" t="s">
        <v>774</v>
      </c>
      <c r="X814" s="28"/>
      <c r="Y814" s="28"/>
      <c r="Z814" s="28"/>
      <c r="AA814" s="28"/>
    </row>
    <row r="815">
      <c r="A815" s="270" t="s">
        <v>4901</v>
      </c>
      <c r="B815" s="28" t="s">
        <v>36</v>
      </c>
      <c r="C815" s="28" t="s">
        <v>4902</v>
      </c>
      <c r="D815" s="28" t="s">
        <v>44</v>
      </c>
      <c r="E815" s="28" t="s">
        <v>44</v>
      </c>
      <c r="F815" s="28" t="s">
        <v>4679</v>
      </c>
      <c r="G815" s="28" t="s">
        <v>197</v>
      </c>
      <c r="H815" s="28" t="s">
        <v>91</v>
      </c>
      <c r="I815" s="28" t="s">
        <v>485</v>
      </c>
      <c r="J815" s="28" t="s">
        <v>4680</v>
      </c>
      <c r="K815" s="28" t="s">
        <v>51</v>
      </c>
      <c r="L815" s="28" t="s">
        <v>52</v>
      </c>
      <c r="M815" s="28" t="s">
        <v>52</v>
      </c>
      <c r="N815" s="28" t="s">
        <v>4903</v>
      </c>
      <c r="O815" s="28" t="s">
        <v>44</v>
      </c>
      <c r="P815" s="28" t="s">
        <v>4904</v>
      </c>
      <c r="Q815" s="28" t="s">
        <v>4905</v>
      </c>
      <c r="R815" s="28" t="s">
        <v>44</v>
      </c>
      <c r="S815" s="28" t="s">
        <v>44</v>
      </c>
      <c r="T815" s="28" t="s">
        <v>44</v>
      </c>
      <c r="U815" s="28" t="s">
        <v>44</v>
      </c>
      <c r="V815" s="28" t="s">
        <v>4906</v>
      </c>
      <c r="W815" s="28" t="s">
        <v>4907</v>
      </c>
      <c r="X815" s="28"/>
      <c r="Y815" s="28"/>
      <c r="Z815" s="28"/>
      <c r="AA815" s="28"/>
    </row>
    <row r="816">
      <c r="A816" s="270" t="s">
        <v>4908</v>
      </c>
      <c r="B816" s="28" t="s">
        <v>36</v>
      </c>
      <c r="C816" s="28" t="s">
        <v>4909</v>
      </c>
      <c r="D816" s="28" t="s">
        <v>44</v>
      </c>
      <c r="E816" s="28" t="s">
        <v>44</v>
      </c>
      <c r="F816" s="28" t="s">
        <v>4679</v>
      </c>
      <c r="G816" s="28" t="s">
        <v>47</v>
      </c>
      <c r="H816" s="28" t="s">
        <v>48</v>
      </c>
      <c r="I816" s="28" t="s">
        <v>485</v>
      </c>
      <c r="J816" s="28" t="s">
        <v>4680</v>
      </c>
      <c r="K816" s="28" t="s">
        <v>51</v>
      </c>
      <c r="L816" s="28" t="s">
        <v>52</v>
      </c>
      <c r="M816" s="28" t="s">
        <v>52</v>
      </c>
      <c r="N816" s="28" t="s">
        <v>4910</v>
      </c>
      <c r="O816" s="28" t="s">
        <v>44</v>
      </c>
      <c r="P816" s="28" t="s">
        <v>4911</v>
      </c>
      <c r="Q816" s="28" t="s">
        <v>4912</v>
      </c>
      <c r="R816" s="28" t="s">
        <v>44</v>
      </c>
      <c r="S816" s="28" t="s">
        <v>44</v>
      </c>
      <c r="T816" s="28" t="s">
        <v>44</v>
      </c>
      <c r="U816" s="28" t="s">
        <v>44</v>
      </c>
      <c r="V816" s="28" t="s">
        <v>4913</v>
      </c>
      <c r="W816" s="28" t="s">
        <v>774</v>
      </c>
      <c r="X816" s="28"/>
      <c r="Y816" s="28"/>
      <c r="Z816" s="28"/>
      <c r="AA816" s="28"/>
    </row>
    <row r="817">
      <c r="A817" s="270" t="s">
        <v>4914</v>
      </c>
      <c r="B817" s="28" t="s">
        <v>36</v>
      </c>
      <c r="C817" s="28" t="s">
        <v>4915</v>
      </c>
      <c r="D817" s="28" t="s">
        <v>44</v>
      </c>
      <c r="E817" s="28" t="s">
        <v>44</v>
      </c>
      <c r="F817" s="28" t="s">
        <v>4679</v>
      </c>
      <c r="G817" s="28" t="s">
        <v>47</v>
      </c>
      <c r="H817" s="28" t="s">
        <v>95</v>
      </c>
      <c r="I817" s="28" t="s">
        <v>485</v>
      </c>
      <c r="J817" s="28" t="s">
        <v>4680</v>
      </c>
      <c r="K817" s="28" t="s">
        <v>51</v>
      </c>
      <c r="L817" s="28" t="s">
        <v>52</v>
      </c>
      <c r="M817" s="28" t="s">
        <v>52</v>
      </c>
      <c r="N817" s="28" t="s">
        <v>4916</v>
      </c>
      <c r="O817" s="28" t="s">
        <v>44</v>
      </c>
      <c r="P817" s="28" t="s">
        <v>4917</v>
      </c>
      <c r="Q817" s="28" t="s">
        <v>4918</v>
      </c>
      <c r="R817" s="28" t="s">
        <v>44</v>
      </c>
      <c r="S817" s="28" t="s">
        <v>44</v>
      </c>
      <c r="T817" s="28" t="s">
        <v>44</v>
      </c>
      <c r="U817" s="28" t="s">
        <v>44</v>
      </c>
      <c r="V817" s="28" t="s">
        <v>4919</v>
      </c>
      <c r="W817" s="28" t="s">
        <v>774</v>
      </c>
      <c r="X817" s="28"/>
      <c r="Y817" s="28"/>
      <c r="Z817" s="28"/>
      <c r="AA817" s="28"/>
    </row>
    <row r="818">
      <c r="A818" s="270" t="s">
        <v>4920</v>
      </c>
      <c r="B818" s="28" t="s">
        <v>36</v>
      </c>
      <c r="C818" s="28" t="s">
        <v>4921</v>
      </c>
      <c r="D818" s="28" t="s">
        <v>44</v>
      </c>
      <c r="E818" s="28" t="s">
        <v>44</v>
      </c>
      <c r="F818" s="28" t="s">
        <v>4679</v>
      </c>
      <c r="G818" s="28" t="s">
        <v>47</v>
      </c>
      <c r="H818" s="28" t="s">
        <v>95</v>
      </c>
      <c r="I818" s="28" t="s">
        <v>485</v>
      </c>
      <c r="J818" s="28" t="s">
        <v>4680</v>
      </c>
      <c r="K818" s="28" t="s">
        <v>51</v>
      </c>
      <c r="L818" s="28" t="s">
        <v>52</v>
      </c>
      <c r="M818" s="28" t="s">
        <v>52</v>
      </c>
      <c r="N818" s="28" t="s">
        <v>4922</v>
      </c>
      <c r="O818" s="28" t="s">
        <v>44</v>
      </c>
      <c r="P818" s="28" t="s">
        <v>4923</v>
      </c>
      <c r="Q818" s="28" t="s">
        <v>4924</v>
      </c>
      <c r="R818" s="28" t="s">
        <v>44</v>
      </c>
      <c r="S818" s="28" t="s">
        <v>44</v>
      </c>
      <c r="T818" s="28" t="s">
        <v>44</v>
      </c>
      <c r="U818" s="28" t="s">
        <v>44</v>
      </c>
      <c r="V818" s="28" t="s">
        <v>4925</v>
      </c>
      <c r="W818" s="28" t="s">
        <v>774</v>
      </c>
      <c r="X818" s="28"/>
      <c r="Y818" s="28"/>
      <c r="Z818" s="28"/>
      <c r="AA818" s="28"/>
    </row>
    <row r="819">
      <c r="A819" s="270" t="s">
        <v>4926</v>
      </c>
      <c r="B819" s="28" t="s">
        <v>36</v>
      </c>
      <c r="C819" s="28" t="s">
        <v>4927</v>
      </c>
      <c r="D819" s="28" t="s">
        <v>44</v>
      </c>
      <c r="E819" s="28" t="s">
        <v>44</v>
      </c>
      <c r="F819" s="28" t="s">
        <v>4679</v>
      </c>
      <c r="G819" s="28" t="s">
        <v>47</v>
      </c>
      <c r="H819" s="28" t="s">
        <v>95</v>
      </c>
      <c r="I819" s="28" t="s">
        <v>485</v>
      </c>
      <c r="J819" s="28" t="s">
        <v>4680</v>
      </c>
      <c r="K819" s="28" t="s">
        <v>51</v>
      </c>
      <c r="L819" s="28" t="s">
        <v>52</v>
      </c>
      <c r="M819" s="28" t="s">
        <v>52</v>
      </c>
      <c r="N819" s="28" t="s">
        <v>4928</v>
      </c>
      <c r="O819" s="28" t="s">
        <v>44</v>
      </c>
      <c r="P819" s="28" t="s">
        <v>4923</v>
      </c>
      <c r="Q819" s="28" t="s">
        <v>4929</v>
      </c>
      <c r="R819" s="28" t="s">
        <v>44</v>
      </c>
      <c r="S819" s="28" t="s">
        <v>44</v>
      </c>
      <c r="T819" s="28" t="s">
        <v>44</v>
      </c>
      <c r="U819" s="28" t="s">
        <v>44</v>
      </c>
      <c r="V819" s="28" t="s">
        <v>4930</v>
      </c>
      <c r="W819" s="28" t="s">
        <v>774</v>
      </c>
      <c r="X819" s="28"/>
      <c r="Y819" s="28"/>
      <c r="Z819" s="28"/>
      <c r="AA819" s="28"/>
    </row>
    <row r="820">
      <c r="A820" s="270" t="s">
        <v>4931</v>
      </c>
      <c r="B820" s="28" t="s">
        <v>36</v>
      </c>
      <c r="C820" s="28" t="s">
        <v>4932</v>
      </c>
      <c r="D820" s="28" t="s">
        <v>44</v>
      </c>
      <c r="E820" s="28" t="s">
        <v>44</v>
      </c>
      <c r="F820" s="28" t="s">
        <v>4679</v>
      </c>
      <c r="G820" s="28" t="s">
        <v>47</v>
      </c>
      <c r="H820" s="28" t="s">
        <v>48</v>
      </c>
      <c r="I820" s="28" t="s">
        <v>485</v>
      </c>
      <c r="J820" s="28" t="s">
        <v>4680</v>
      </c>
      <c r="K820" s="28" t="s">
        <v>51</v>
      </c>
      <c r="L820" s="28" t="s">
        <v>52</v>
      </c>
      <c r="M820" s="28" t="s">
        <v>52</v>
      </c>
      <c r="N820" s="28" t="s">
        <v>4910</v>
      </c>
      <c r="O820" s="28" t="s">
        <v>44</v>
      </c>
      <c r="P820" s="28" t="s">
        <v>4933</v>
      </c>
      <c r="Q820" s="28" t="s">
        <v>4934</v>
      </c>
      <c r="R820" s="28" t="s">
        <v>44</v>
      </c>
      <c r="S820" s="28" t="s">
        <v>44</v>
      </c>
      <c r="T820" s="28" t="s">
        <v>44</v>
      </c>
      <c r="U820" s="28" t="s">
        <v>44</v>
      </c>
      <c r="V820" s="28" t="s">
        <v>4935</v>
      </c>
      <c r="W820" s="28" t="s">
        <v>774</v>
      </c>
      <c r="X820" s="28"/>
      <c r="Y820" s="28"/>
      <c r="Z820" s="28"/>
      <c r="AA820" s="28"/>
    </row>
    <row r="821">
      <c r="A821" s="270" t="s">
        <v>4936</v>
      </c>
      <c r="B821" s="28" t="s">
        <v>36</v>
      </c>
      <c r="C821" s="28" t="s">
        <v>4937</v>
      </c>
      <c r="D821" s="28" t="s">
        <v>44</v>
      </c>
      <c r="E821" s="28" t="s">
        <v>44</v>
      </c>
      <c r="F821" s="28" t="s">
        <v>4679</v>
      </c>
      <c r="G821" s="28" t="s">
        <v>47</v>
      </c>
      <c r="H821" s="28" t="s">
        <v>48</v>
      </c>
      <c r="I821" s="28" t="s">
        <v>485</v>
      </c>
      <c r="J821" s="28" t="s">
        <v>4680</v>
      </c>
      <c r="K821" s="28" t="s">
        <v>51</v>
      </c>
      <c r="L821" s="28" t="s">
        <v>52</v>
      </c>
      <c r="M821" s="28" t="s">
        <v>52</v>
      </c>
      <c r="N821" s="28" t="s">
        <v>4938</v>
      </c>
      <c r="O821" s="28" t="s">
        <v>44</v>
      </c>
      <c r="P821" s="28" t="s">
        <v>4939</v>
      </c>
      <c r="Q821" s="28" t="s">
        <v>4940</v>
      </c>
      <c r="R821" s="28" t="s">
        <v>44</v>
      </c>
      <c r="S821" s="28" t="s">
        <v>44</v>
      </c>
      <c r="T821" s="28" t="s">
        <v>44</v>
      </c>
      <c r="U821" s="28" t="s">
        <v>44</v>
      </c>
      <c r="V821" s="28" t="s">
        <v>4941</v>
      </c>
      <c r="W821" s="28" t="s">
        <v>774</v>
      </c>
      <c r="X821" s="28"/>
      <c r="Y821" s="28"/>
      <c r="Z821" s="28"/>
      <c r="AA821" s="28"/>
    </row>
    <row r="822">
      <c r="A822" s="270" t="s">
        <v>4942</v>
      </c>
      <c r="B822" s="28" t="s">
        <v>36</v>
      </c>
      <c r="C822" s="28" t="s">
        <v>4943</v>
      </c>
      <c r="D822" s="28" t="s">
        <v>44</v>
      </c>
      <c r="E822" s="28" t="s">
        <v>44</v>
      </c>
      <c r="F822" s="28" t="s">
        <v>4679</v>
      </c>
      <c r="G822" s="28" t="s">
        <v>47</v>
      </c>
      <c r="H822" s="28" t="s">
        <v>48</v>
      </c>
      <c r="I822" s="28" t="s">
        <v>485</v>
      </c>
      <c r="J822" s="28" t="s">
        <v>4680</v>
      </c>
      <c r="K822" s="28" t="s">
        <v>51</v>
      </c>
      <c r="L822" s="28" t="s">
        <v>52</v>
      </c>
      <c r="M822" s="28" t="s">
        <v>52</v>
      </c>
      <c r="N822" s="28" t="s">
        <v>4938</v>
      </c>
      <c r="O822" s="28" t="s">
        <v>44</v>
      </c>
      <c r="P822" s="28" t="s">
        <v>4944</v>
      </c>
      <c r="Q822" s="28" t="s">
        <v>4945</v>
      </c>
      <c r="R822" s="28" t="s">
        <v>44</v>
      </c>
      <c r="S822" s="28" t="s">
        <v>44</v>
      </c>
      <c r="T822" s="28" t="s">
        <v>44</v>
      </c>
      <c r="U822" s="28" t="s">
        <v>44</v>
      </c>
      <c r="V822" s="28" t="s">
        <v>4946</v>
      </c>
      <c r="W822" s="28" t="s">
        <v>4947</v>
      </c>
      <c r="X822" s="28"/>
      <c r="Y822" s="28"/>
      <c r="Z822" s="28"/>
      <c r="AA822" s="28"/>
    </row>
    <row r="823">
      <c r="A823" s="270" t="s">
        <v>4948</v>
      </c>
      <c r="B823" s="28" t="s">
        <v>36</v>
      </c>
      <c r="C823" s="28" t="s">
        <v>4949</v>
      </c>
      <c r="D823" s="28" t="s">
        <v>44</v>
      </c>
      <c r="E823" s="28" t="s">
        <v>44</v>
      </c>
      <c r="F823" s="28" t="s">
        <v>4679</v>
      </c>
      <c r="G823" s="28" t="s">
        <v>47</v>
      </c>
      <c r="H823" s="28" t="s">
        <v>48</v>
      </c>
      <c r="I823" s="28" t="s">
        <v>485</v>
      </c>
      <c r="J823" s="28" t="s">
        <v>4680</v>
      </c>
      <c r="K823" s="28" t="s">
        <v>51</v>
      </c>
      <c r="L823" s="28" t="s">
        <v>52</v>
      </c>
      <c r="M823" s="28" t="s">
        <v>52</v>
      </c>
      <c r="N823" s="28" t="s">
        <v>4938</v>
      </c>
      <c r="O823" s="28" t="s">
        <v>44</v>
      </c>
      <c r="P823" s="28" t="s">
        <v>4950</v>
      </c>
      <c r="Q823" s="28" t="s">
        <v>4951</v>
      </c>
      <c r="R823" s="28" t="s">
        <v>44</v>
      </c>
      <c r="S823" s="28" t="s">
        <v>44</v>
      </c>
      <c r="T823" s="28" t="s">
        <v>44</v>
      </c>
      <c r="U823" s="28" t="s">
        <v>44</v>
      </c>
      <c r="V823" s="28" t="s">
        <v>4952</v>
      </c>
      <c r="W823" s="28" t="s">
        <v>774</v>
      </c>
      <c r="X823" s="28"/>
      <c r="Y823" s="28"/>
      <c r="Z823" s="28"/>
      <c r="AA823" s="28"/>
    </row>
    <row r="824">
      <c r="A824" s="270" t="s">
        <v>4953</v>
      </c>
      <c r="B824" s="28" t="s">
        <v>36</v>
      </c>
      <c r="C824" s="28" t="s">
        <v>4954</v>
      </c>
      <c r="D824" s="28" t="s">
        <v>44</v>
      </c>
      <c r="E824" s="28" t="s">
        <v>44</v>
      </c>
      <c r="F824" s="28" t="s">
        <v>4679</v>
      </c>
      <c r="G824" s="28" t="s">
        <v>47</v>
      </c>
      <c r="H824" s="28" t="s">
        <v>48</v>
      </c>
      <c r="I824" s="28" t="s">
        <v>485</v>
      </c>
      <c r="J824" s="28" t="s">
        <v>4680</v>
      </c>
      <c r="K824" s="28" t="s">
        <v>51</v>
      </c>
      <c r="L824" s="28" t="s">
        <v>52</v>
      </c>
      <c r="M824" s="28" t="s">
        <v>52</v>
      </c>
      <c r="N824" s="28" t="s">
        <v>4938</v>
      </c>
      <c r="O824" s="28" t="s">
        <v>44</v>
      </c>
      <c r="P824" s="28" t="s">
        <v>4955</v>
      </c>
      <c r="Q824" s="28" t="s">
        <v>4956</v>
      </c>
      <c r="R824" s="28" t="s">
        <v>44</v>
      </c>
      <c r="S824" s="28" t="s">
        <v>44</v>
      </c>
      <c r="T824" s="28" t="s">
        <v>44</v>
      </c>
      <c r="U824" s="28" t="s">
        <v>44</v>
      </c>
      <c r="V824" s="28" t="s">
        <v>4957</v>
      </c>
      <c r="W824" s="28" t="s">
        <v>774</v>
      </c>
      <c r="X824" s="28"/>
      <c r="Y824" s="28"/>
      <c r="Z824" s="28"/>
      <c r="AA824" s="28"/>
    </row>
    <row r="825">
      <c r="A825" s="270" t="s">
        <v>4958</v>
      </c>
      <c r="B825" s="28" t="s">
        <v>36</v>
      </c>
      <c r="C825" s="28" t="s">
        <v>4959</v>
      </c>
      <c r="D825" s="28" t="s">
        <v>44</v>
      </c>
      <c r="E825" s="28" t="s">
        <v>44</v>
      </c>
      <c r="F825" s="28" t="s">
        <v>4679</v>
      </c>
      <c r="G825" s="28" t="s">
        <v>47</v>
      </c>
      <c r="H825" s="28" t="s">
        <v>48</v>
      </c>
      <c r="I825" s="28" t="s">
        <v>485</v>
      </c>
      <c r="J825" s="28" t="s">
        <v>4680</v>
      </c>
      <c r="K825" s="28" t="s">
        <v>51</v>
      </c>
      <c r="L825" s="28" t="s">
        <v>52</v>
      </c>
      <c r="M825" s="28" t="s">
        <v>52</v>
      </c>
      <c r="N825" s="28" t="s">
        <v>4938</v>
      </c>
      <c r="O825" s="28" t="s">
        <v>44</v>
      </c>
      <c r="P825" s="28" t="s">
        <v>4960</v>
      </c>
      <c r="Q825" s="28" t="s">
        <v>4961</v>
      </c>
      <c r="R825" s="28" t="s">
        <v>44</v>
      </c>
      <c r="S825" s="28" t="s">
        <v>44</v>
      </c>
      <c r="T825" s="28" t="s">
        <v>44</v>
      </c>
      <c r="U825" s="28" t="s">
        <v>44</v>
      </c>
      <c r="V825" s="28" t="s">
        <v>4962</v>
      </c>
      <c r="W825" s="28" t="s">
        <v>774</v>
      </c>
      <c r="X825" s="28"/>
      <c r="Y825" s="28"/>
      <c r="Z825" s="28"/>
      <c r="AA825" s="28"/>
    </row>
    <row r="826">
      <c r="A826" s="270" t="s">
        <v>4963</v>
      </c>
      <c r="B826" s="28" t="s">
        <v>36</v>
      </c>
      <c r="C826" s="28" t="s">
        <v>4964</v>
      </c>
      <c r="D826" s="28" t="s">
        <v>44</v>
      </c>
      <c r="E826" s="28" t="s">
        <v>44</v>
      </c>
      <c r="F826" s="28" t="s">
        <v>4679</v>
      </c>
      <c r="G826" s="28" t="s">
        <v>47</v>
      </c>
      <c r="H826" s="28" t="s">
        <v>48</v>
      </c>
      <c r="I826" s="28" t="s">
        <v>485</v>
      </c>
      <c r="J826" s="28" t="s">
        <v>4680</v>
      </c>
      <c r="K826" s="28" t="s">
        <v>51</v>
      </c>
      <c r="L826" s="28" t="s">
        <v>52</v>
      </c>
      <c r="M826" s="28" t="s">
        <v>52</v>
      </c>
      <c r="N826" s="28" t="s">
        <v>4938</v>
      </c>
      <c r="O826" s="28" t="s">
        <v>44</v>
      </c>
      <c r="P826" s="28" t="s">
        <v>4965</v>
      </c>
      <c r="Q826" s="28" t="s">
        <v>4966</v>
      </c>
      <c r="R826" s="28" t="s">
        <v>44</v>
      </c>
      <c r="S826" s="28" t="s">
        <v>44</v>
      </c>
      <c r="T826" s="28" t="s">
        <v>44</v>
      </c>
      <c r="U826" s="28" t="s">
        <v>44</v>
      </c>
      <c r="V826" s="28" t="s">
        <v>4967</v>
      </c>
      <c r="W826" s="28" t="s">
        <v>774</v>
      </c>
      <c r="X826" s="28"/>
      <c r="Y826" s="28"/>
      <c r="Z826" s="28"/>
      <c r="AA826" s="28"/>
    </row>
    <row r="827">
      <c r="A827" s="270" t="s">
        <v>4968</v>
      </c>
      <c r="B827" s="28" t="s">
        <v>36</v>
      </c>
      <c r="C827" s="28" t="s">
        <v>4969</v>
      </c>
      <c r="D827" s="28" t="s">
        <v>44</v>
      </c>
      <c r="E827" s="28" t="s">
        <v>44</v>
      </c>
      <c r="F827" s="28" t="s">
        <v>4679</v>
      </c>
      <c r="G827" s="28" t="s">
        <v>47</v>
      </c>
      <c r="H827" s="28" t="s">
        <v>95</v>
      </c>
      <c r="I827" s="28" t="s">
        <v>485</v>
      </c>
      <c r="J827" s="28" t="s">
        <v>4680</v>
      </c>
      <c r="K827" s="28" t="s">
        <v>51</v>
      </c>
      <c r="L827" s="28" t="s">
        <v>52</v>
      </c>
      <c r="M827" s="28" t="s">
        <v>52</v>
      </c>
      <c r="N827" s="28" t="s">
        <v>4970</v>
      </c>
      <c r="O827" s="28" t="s">
        <v>44</v>
      </c>
      <c r="P827" s="28" t="s">
        <v>4971</v>
      </c>
      <c r="Q827" s="28" t="s">
        <v>4972</v>
      </c>
      <c r="R827" s="28" t="s">
        <v>44</v>
      </c>
      <c r="S827" s="28" t="s">
        <v>44</v>
      </c>
      <c r="T827" s="28" t="s">
        <v>44</v>
      </c>
      <c r="U827" s="28" t="s">
        <v>44</v>
      </c>
      <c r="V827" s="28" t="s">
        <v>4973</v>
      </c>
      <c r="W827" s="28" t="s">
        <v>774</v>
      </c>
      <c r="X827" s="28"/>
      <c r="Y827" s="28"/>
      <c r="Z827" s="28"/>
      <c r="AA827" s="28"/>
    </row>
    <row r="828">
      <c r="A828" s="270" t="s">
        <v>4974</v>
      </c>
      <c r="B828" s="28" t="s">
        <v>36</v>
      </c>
      <c r="C828" s="28" t="s">
        <v>4975</v>
      </c>
      <c r="D828" s="28" t="s">
        <v>44</v>
      </c>
      <c r="E828" s="28" t="s">
        <v>44</v>
      </c>
      <c r="F828" s="28" t="s">
        <v>4679</v>
      </c>
      <c r="G828" s="28" t="s">
        <v>47</v>
      </c>
      <c r="H828" s="28" t="s">
        <v>48</v>
      </c>
      <c r="I828" s="28" t="s">
        <v>485</v>
      </c>
      <c r="J828" s="28" t="s">
        <v>4680</v>
      </c>
      <c r="K828" s="28" t="s">
        <v>51</v>
      </c>
      <c r="L828" s="28" t="s">
        <v>52</v>
      </c>
      <c r="M828" s="28" t="s">
        <v>52</v>
      </c>
      <c r="N828" s="28" t="s">
        <v>4976</v>
      </c>
      <c r="O828" s="28" t="s">
        <v>44</v>
      </c>
      <c r="P828" s="28" t="s">
        <v>4977</v>
      </c>
      <c r="Q828" s="28" t="s">
        <v>4978</v>
      </c>
      <c r="R828" s="28" t="s">
        <v>44</v>
      </c>
      <c r="S828" s="28" t="s">
        <v>44</v>
      </c>
      <c r="T828" s="28" t="s">
        <v>44</v>
      </c>
      <c r="U828" s="28" t="s">
        <v>44</v>
      </c>
      <c r="V828" s="28" t="s">
        <v>4979</v>
      </c>
      <c r="W828" s="28" t="s">
        <v>774</v>
      </c>
      <c r="X828" s="28"/>
      <c r="Y828" s="28"/>
      <c r="Z828" s="28"/>
      <c r="AA828" s="28"/>
    </row>
    <row r="829">
      <c r="A829" s="270" t="s">
        <v>4980</v>
      </c>
      <c r="B829" s="28" t="s">
        <v>36</v>
      </c>
      <c r="C829" s="28" t="s">
        <v>4981</v>
      </c>
      <c r="D829" s="28" t="s">
        <v>44</v>
      </c>
      <c r="E829" s="28" t="s">
        <v>44</v>
      </c>
      <c r="F829" s="28" t="s">
        <v>4679</v>
      </c>
      <c r="G829" s="28" t="s">
        <v>47</v>
      </c>
      <c r="H829" s="28" t="s">
        <v>48</v>
      </c>
      <c r="I829" s="28" t="s">
        <v>485</v>
      </c>
      <c r="J829" s="28" t="s">
        <v>4680</v>
      </c>
      <c r="K829" s="28" t="s">
        <v>51</v>
      </c>
      <c r="L829" s="28" t="s">
        <v>52</v>
      </c>
      <c r="M829" s="28" t="s">
        <v>52</v>
      </c>
      <c r="N829" s="28" t="s">
        <v>4976</v>
      </c>
      <c r="O829" s="28" t="s">
        <v>44</v>
      </c>
      <c r="P829" s="28" t="s">
        <v>4982</v>
      </c>
      <c r="Q829" s="28" t="s">
        <v>4983</v>
      </c>
      <c r="R829" s="28" t="s">
        <v>44</v>
      </c>
      <c r="S829" s="28" t="s">
        <v>44</v>
      </c>
      <c r="T829" s="28" t="s">
        <v>44</v>
      </c>
      <c r="U829" s="28" t="s">
        <v>44</v>
      </c>
      <c r="V829" s="28" t="s">
        <v>4984</v>
      </c>
      <c r="W829" s="28" t="s">
        <v>774</v>
      </c>
      <c r="X829" s="28"/>
      <c r="Y829" s="28"/>
      <c r="Z829" s="28"/>
      <c r="AA829" s="28"/>
    </row>
    <row r="830">
      <c r="A830" s="270" t="s">
        <v>4985</v>
      </c>
      <c r="B830" s="28" t="s">
        <v>36</v>
      </c>
      <c r="C830" s="28" t="s">
        <v>4986</v>
      </c>
      <c r="D830" s="28" t="s">
        <v>44</v>
      </c>
      <c r="E830" s="28" t="s">
        <v>44</v>
      </c>
      <c r="F830" s="28" t="s">
        <v>4679</v>
      </c>
      <c r="G830" s="28" t="s">
        <v>85</v>
      </c>
      <c r="H830" s="28" t="s">
        <v>86</v>
      </c>
      <c r="I830" s="28" t="s">
        <v>485</v>
      </c>
      <c r="J830" s="28" t="s">
        <v>4680</v>
      </c>
      <c r="K830" s="28" t="s">
        <v>51</v>
      </c>
      <c r="L830" s="28" t="s">
        <v>52</v>
      </c>
      <c r="M830" s="28" t="s">
        <v>52</v>
      </c>
      <c r="N830" s="28" t="s">
        <v>4987</v>
      </c>
      <c r="O830" s="28" t="s">
        <v>44</v>
      </c>
      <c r="P830" s="28" t="s">
        <v>4977</v>
      </c>
      <c r="Q830" s="28" t="s">
        <v>4988</v>
      </c>
      <c r="R830" s="28" t="s">
        <v>44</v>
      </c>
      <c r="S830" s="28" t="s">
        <v>44</v>
      </c>
      <c r="T830" s="28" t="s">
        <v>44</v>
      </c>
      <c r="U830" s="28" t="s">
        <v>44</v>
      </c>
      <c r="V830" s="28" t="s">
        <v>4989</v>
      </c>
      <c r="W830" s="28" t="s">
        <v>4990</v>
      </c>
      <c r="X830" s="28"/>
      <c r="Y830" s="28"/>
      <c r="Z830" s="28"/>
      <c r="AA830" s="28"/>
    </row>
    <row r="831">
      <c r="A831" s="270" t="s">
        <v>4991</v>
      </c>
      <c r="B831" s="28" t="s">
        <v>36</v>
      </c>
      <c r="C831" s="28" t="s">
        <v>4992</v>
      </c>
      <c r="D831" s="28" t="s">
        <v>44</v>
      </c>
      <c r="E831" s="28" t="s">
        <v>44</v>
      </c>
      <c r="F831" s="28" t="s">
        <v>4679</v>
      </c>
      <c r="G831" s="28" t="s">
        <v>47</v>
      </c>
      <c r="H831" s="28" t="s">
        <v>48</v>
      </c>
      <c r="I831" s="28" t="s">
        <v>485</v>
      </c>
      <c r="J831" s="28" t="s">
        <v>4680</v>
      </c>
      <c r="K831" s="28" t="s">
        <v>51</v>
      </c>
      <c r="L831" s="28" t="s">
        <v>52</v>
      </c>
      <c r="M831" s="28" t="s">
        <v>52</v>
      </c>
      <c r="N831" s="28" t="s">
        <v>4976</v>
      </c>
      <c r="O831" s="28" t="s">
        <v>44</v>
      </c>
      <c r="P831" s="28" t="s">
        <v>4993</v>
      </c>
      <c r="Q831" s="28" t="s">
        <v>4994</v>
      </c>
      <c r="R831" s="28" t="s">
        <v>44</v>
      </c>
      <c r="S831" s="28" t="s">
        <v>44</v>
      </c>
      <c r="T831" s="28" t="s">
        <v>44</v>
      </c>
      <c r="U831" s="28" t="s">
        <v>44</v>
      </c>
      <c r="V831" s="28" t="s">
        <v>4995</v>
      </c>
      <c r="W831" s="28" t="s">
        <v>774</v>
      </c>
      <c r="X831" s="28"/>
      <c r="Y831" s="28"/>
      <c r="Z831" s="28"/>
      <c r="AA831" s="28"/>
    </row>
    <row r="832">
      <c r="A832" s="270" t="s">
        <v>4996</v>
      </c>
      <c r="B832" s="28" t="s">
        <v>36</v>
      </c>
      <c r="C832" s="28" t="s">
        <v>4997</v>
      </c>
      <c r="D832" s="28" t="s">
        <v>44</v>
      </c>
      <c r="E832" s="28" t="s">
        <v>44</v>
      </c>
      <c r="F832" s="28" t="s">
        <v>4679</v>
      </c>
      <c r="G832" s="28" t="s">
        <v>85</v>
      </c>
      <c r="H832" s="28" t="s">
        <v>86</v>
      </c>
      <c r="I832" s="28" t="s">
        <v>485</v>
      </c>
      <c r="J832" s="28" t="s">
        <v>4680</v>
      </c>
      <c r="K832" s="28" t="s">
        <v>51</v>
      </c>
      <c r="L832" s="28" t="s">
        <v>52</v>
      </c>
      <c r="M832" s="28" t="s">
        <v>52</v>
      </c>
      <c r="N832" s="28" t="s">
        <v>4998</v>
      </c>
      <c r="O832" s="28" t="s">
        <v>44</v>
      </c>
      <c r="P832" s="28" t="s">
        <v>4999</v>
      </c>
      <c r="Q832" s="28" t="s">
        <v>5000</v>
      </c>
      <c r="R832" s="28" t="s">
        <v>44</v>
      </c>
      <c r="S832" s="28" t="s">
        <v>44</v>
      </c>
      <c r="T832" s="28" t="s">
        <v>44</v>
      </c>
      <c r="U832" s="28" t="s">
        <v>44</v>
      </c>
      <c r="V832" s="28" t="s">
        <v>5001</v>
      </c>
      <c r="W832" s="28" t="s">
        <v>774</v>
      </c>
      <c r="X832" s="28"/>
      <c r="Y832" s="28"/>
      <c r="Z832" s="28"/>
      <c r="AA832" s="28"/>
    </row>
    <row r="833">
      <c r="A833" s="270" t="s">
        <v>5002</v>
      </c>
      <c r="B833" s="28" t="s">
        <v>36</v>
      </c>
      <c r="C833" s="28" t="s">
        <v>5003</v>
      </c>
      <c r="D833" s="28" t="s">
        <v>44</v>
      </c>
      <c r="E833" s="28" t="s">
        <v>44</v>
      </c>
      <c r="F833" s="28" t="s">
        <v>4679</v>
      </c>
      <c r="G833" s="28" t="s">
        <v>47</v>
      </c>
      <c r="H833" s="28" t="s">
        <v>48</v>
      </c>
      <c r="I833" s="28" t="s">
        <v>485</v>
      </c>
      <c r="J833" s="28" t="s">
        <v>4680</v>
      </c>
      <c r="K833" s="28" t="s">
        <v>51</v>
      </c>
      <c r="L833" s="28" t="s">
        <v>52</v>
      </c>
      <c r="M833" s="28" t="s">
        <v>52</v>
      </c>
      <c r="N833" s="28" t="s">
        <v>5004</v>
      </c>
      <c r="O833" s="28" t="s">
        <v>44</v>
      </c>
      <c r="P833" s="28" t="s">
        <v>5005</v>
      </c>
      <c r="Q833" s="28" t="s">
        <v>5006</v>
      </c>
      <c r="R833" s="28" t="s">
        <v>44</v>
      </c>
      <c r="S833" s="28" t="s">
        <v>44</v>
      </c>
      <c r="T833" s="28" t="s">
        <v>44</v>
      </c>
      <c r="U833" s="28" t="s">
        <v>44</v>
      </c>
      <c r="V833" s="28" t="s">
        <v>5007</v>
      </c>
      <c r="W833" s="28" t="s">
        <v>774</v>
      </c>
      <c r="X833" s="28"/>
      <c r="Y833" s="28"/>
      <c r="Z833" s="28"/>
      <c r="AA833" s="28"/>
    </row>
    <row r="834">
      <c r="A834" s="270" t="s">
        <v>5008</v>
      </c>
      <c r="B834" s="28" t="s">
        <v>36</v>
      </c>
      <c r="C834" s="28" t="s">
        <v>5009</v>
      </c>
      <c r="D834" s="28" t="s">
        <v>44</v>
      </c>
      <c r="E834" s="28" t="s">
        <v>44</v>
      </c>
      <c r="F834" s="28" t="s">
        <v>4679</v>
      </c>
      <c r="G834" s="28" t="s">
        <v>47</v>
      </c>
      <c r="H834" s="28" t="s">
        <v>48</v>
      </c>
      <c r="I834" s="28" t="s">
        <v>485</v>
      </c>
      <c r="J834" s="28" t="s">
        <v>4680</v>
      </c>
      <c r="K834" s="28" t="s">
        <v>51</v>
      </c>
      <c r="L834" s="28" t="s">
        <v>52</v>
      </c>
      <c r="M834" s="28" t="s">
        <v>52</v>
      </c>
      <c r="N834" s="28" t="s">
        <v>5010</v>
      </c>
      <c r="O834" s="28" t="s">
        <v>44</v>
      </c>
      <c r="P834" s="28" t="s">
        <v>5005</v>
      </c>
      <c r="Q834" s="28" t="s">
        <v>5011</v>
      </c>
      <c r="R834" s="28" t="s">
        <v>44</v>
      </c>
      <c r="S834" s="28" t="s">
        <v>44</v>
      </c>
      <c r="T834" s="28" t="s">
        <v>44</v>
      </c>
      <c r="U834" s="28" t="s">
        <v>44</v>
      </c>
      <c r="V834" s="28" t="s">
        <v>5012</v>
      </c>
      <c r="W834" s="28" t="s">
        <v>774</v>
      </c>
      <c r="X834" s="28"/>
      <c r="Y834" s="28"/>
      <c r="Z834" s="28"/>
      <c r="AA834" s="28"/>
    </row>
    <row r="835">
      <c r="A835" s="270" t="s">
        <v>5013</v>
      </c>
      <c r="B835" s="28" t="s">
        <v>36</v>
      </c>
      <c r="C835" s="28" t="s">
        <v>5014</v>
      </c>
      <c r="D835" s="28" t="s">
        <v>44</v>
      </c>
      <c r="E835" s="28" t="s">
        <v>44</v>
      </c>
      <c r="F835" s="28" t="s">
        <v>4679</v>
      </c>
      <c r="G835" s="28" t="s">
        <v>47</v>
      </c>
      <c r="H835" s="28" t="s">
        <v>48</v>
      </c>
      <c r="I835" s="28" t="s">
        <v>485</v>
      </c>
      <c r="J835" s="28" t="s">
        <v>4680</v>
      </c>
      <c r="K835" s="28" t="s">
        <v>51</v>
      </c>
      <c r="L835" s="28" t="s">
        <v>52</v>
      </c>
      <c r="M835" s="28" t="s">
        <v>52</v>
      </c>
      <c r="N835" s="28" t="s">
        <v>5015</v>
      </c>
      <c r="O835" s="28" t="s">
        <v>44</v>
      </c>
      <c r="P835" s="28" t="s">
        <v>5005</v>
      </c>
      <c r="Q835" s="28" t="s">
        <v>5016</v>
      </c>
      <c r="R835" s="28" t="s">
        <v>44</v>
      </c>
      <c r="S835" s="28" t="s">
        <v>44</v>
      </c>
      <c r="T835" s="28" t="s">
        <v>44</v>
      </c>
      <c r="U835" s="28" t="s">
        <v>44</v>
      </c>
      <c r="V835" s="28" t="s">
        <v>5017</v>
      </c>
      <c r="W835" s="28" t="s">
        <v>774</v>
      </c>
      <c r="X835" s="28"/>
      <c r="Y835" s="28"/>
      <c r="Z835" s="28"/>
      <c r="AA835" s="28"/>
    </row>
    <row r="836">
      <c r="A836" s="270" t="s">
        <v>5018</v>
      </c>
      <c r="B836" s="28" t="s">
        <v>36</v>
      </c>
      <c r="C836" s="28" t="s">
        <v>5019</v>
      </c>
      <c r="D836" s="28" t="s">
        <v>44</v>
      </c>
      <c r="E836" s="28" t="s">
        <v>44</v>
      </c>
      <c r="F836" s="28" t="s">
        <v>4679</v>
      </c>
      <c r="G836" s="28" t="s">
        <v>47</v>
      </c>
      <c r="H836" s="28" t="s">
        <v>48</v>
      </c>
      <c r="I836" s="28" t="s">
        <v>485</v>
      </c>
      <c r="J836" s="28" t="s">
        <v>4680</v>
      </c>
      <c r="K836" s="28" t="s">
        <v>51</v>
      </c>
      <c r="L836" s="28" t="s">
        <v>52</v>
      </c>
      <c r="M836" s="28" t="s">
        <v>52</v>
      </c>
      <c r="N836" s="28" t="s">
        <v>5020</v>
      </c>
      <c r="O836" s="28" t="s">
        <v>44</v>
      </c>
      <c r="P836" s="28" t="s">
        <v>5005</v>
      </c>
      <c r="Q836" s="28" t="s">
        <v>5021</v>
      </c>
      <c r="R836" s="28" t="s">
        <v>44</v>
      </c>
      <c r="S836" s="28" t="s">
        <v>44</v>
      </c>
      <c r="T836" s="28" t="s">
        <v>44</v>
      </c>
      <c r="U836" s="28" t="s">
        <v>44</v>
      </c>
      <c r="V836" s="28" t="s">
        <v>5022</v>
      </c>
      <c r="W836" s="28" t="s">
        <v>774</v>
      </c>
      <c r="X836" s="28"/>
      <c r="Y836" s="28"/>
      <c r="Z836" s="28"/>
      <c r="AA836" s="28"/>
    </row>
    <row r="837">
      <c r="A837" s="270" t="s">
        <v>5023</v>
      </c>
      <c r="B837" s="28" t="s">
        <v>36</v>
      </c>
      <c r="C837" s="28" t="s">
        <v>5024</v>
      </c>
      <c r="D837" s="28" t="s">
        <v>44</v>
      </c>
      <c r="E837" s="28" t="s">
        <v>44</v>
      </c>
      <c r="F837" s="28" t="s">
        <v>4679</v>
      </c>
      <c r="G837" s="28" t="s">
        <v>47</v>
      </c>
      <c r="H837" s="28" t="s">
        <v>48</v>
      </c>
      <c r="I837" s="28" t="s">
        <v>485</v>
      </c>
      <c r="J837" s="28" t="s">
        <v>4680</v>
      </c>
      <c r="K837" s="28" t="s">
        <v>51</v>
      </c>
      <c r="L837" s="28" t="s">
        <v>52</v>
      </c>
      <c r="M837" s="28" t="s">
        <v>52</v>
      </c>
      <c r="N837" s="28" t="s">
        <v>5025</v>
      </c>
      <c r="O837" s="28" t="s">
        <v>44</v>
      </c>
      <c r="P837" s="28" t="s">
        <v>5005</v>
      </c>
      <c r="Q837" s="28" t="s">
        <v>5026</v>
      </c>
      <c r="R837" s="28" t="s">
        <v>44</v>
      </c>
      <c r="S837" s="28" t="s">
        <v>44</v>
      </c>
      <c r="T837" s="28" t="s">
        <v>44</v>
      </c>
      <c r="U837" s="28" t="s">
        <v>44</v>
      </c>
      <c r="V837" s="28" t="s">
        <v>5027</v>
      </c>
      <c r="W837" s="28" t="s">
        <v>774</v>
      </c>
      <c r="X837" s="28"/>
      <c r="Y837" s="28"/>
      <c r="Z837" s="28"/>
      <c r="AA837" s="28"/>
    </row>
    <row r="838">
      <c r="A838" s="270" t="s">
        <v>5028</v>
      </c>
      <c r="B838" s="28" t="s">
        <v>36</v>
      </c>
      <c r="C838" s="28" t="s">
        <v>5029</v>
      </c>
      <c r="D838" s="28" t="s">
        <v>44</v>
      </c>
      <c r="E838" s="28" t="s">
        <v>44</v>
      </c>
      <c r="F838" s="28" t="s">
        <v>4679</v>
      </c>
      <c r="G838" s="28" t="s">
        <v>47</v>
      </c>
      <c r="H838" s="28" t="s">
        <v>95</v>
      </c>
      <c r="I838" s="28" t="s">
        <v>485</v>
      </c>
      <c r="J838" s="28" t="s">
        <v>4680</v>
      </c>
      <c r="K838" s="28" t="s">
        <v>51</v>
      </c>
      <c r="L838" s="28" t="s">
        <v>52</v>
      </c>
      <c r="M838" s="28" t="s">
        <v>52</v>
      </c>
      <c r="N838" s="28" t="s">
        <v>5030</v>
      </c>
      <c r="O838" s="28" t="s">
        <v>44</v>
      </c>
      <c r="P838" s="28" t="s">
        <v>5031</v>
      </c>
      <c r="Q838" s="28" t="s">
        <v>5032</v>
      </c>
      <c r="R838" s="28" t="s">
        <v>44</v>
      </c>
      <c r="S838" s="28" t="s">
        <v>44</v>
      </c>
      <c r="T838" s="28" t="s">
        <v>44</v>
      </c>
      <c r="U838" s="28" t="s">
        <v>44</v>
      </c>
      <c r="V838" s="28" t="s">
        <v>5033</v>
      </c>
      <c r="W838" s="28" t="s">
        <v>5034</v>
      </c>
      <c r="X838" s="28"/>
      <c r="Y838" s="28"/>
      <c r="Z838" s="28"/>
      <c r="AA838" s="28"/>
    </row>
    <row r="839">
      <c r="A839" s="270" t="s">
        <v>5035</v>
      </c>
      <c r="B839" s="28" t="s">
        <v>36</v>
      </c>
      <c r="C839" s="28" t="s">
        <v>5036</v>
      </c>
      <c r="D839" s="28" t="s">
        <v>44</v>
      </c>
      <c r="E839" s="28" t="s">
        <v>44</v>
      </c>
      <c r="F839" s="28" t="s">
        <v>4679</v>
      </c>
      <c r="G839" s="28" t="s">
        <v>47</v>
      </c>
      <c r="H839" s="28" t="s">
        <v>95</v>
      </c>
      <c r="I839" s="28" t="s">
        <v>485</v>
      </c>
      <c r="J839" s="28" t="s">
        <v>4680</v>
      </c>
      <c r="K839" s="28" t="s">
        <v>51</v>
      </c>
      <c r="L839" s="28" t="s">
        <v>52</v>
      </c>
      <c r="M839" s="28" t="s">
        <v>52</v>
      </c>
      <c r="N839" s="28" t="s">
        <v>5037</v>
      </c>
      <c r="O839" s="28" t="s">
        <v>44</v>
      </c>
      <c r="P839" s="28" t="s">
        <v>5031</v>
      </c>
      <c r="Q839" s="28" t="s">
        <v>5032</v>
      </c>
      <c r="R839" s="28" t="s">
        <v>44</v>
      </c>
      <c r="S839" s="28" t="s">
        <v>44</v>
      </c>
      <c r="T839" s="28" t="s">
        <v>44</v>
      </c>
      <c r="U839" s="28" t="s">
        <v>44</v>
      </c>
      <c r="V839" s="28" t="s">
        <v>5038</v>
      </c>
      <c r="W839" s="28" t="s">
        <v>5039</v>
      </c>
      <c r="X839" s="28"/>
      <c r="Y839" s="28"/>
      <c r="Z839" s="28"/>
      <c r="AA839" s="28"/>
    </row>
    <row r="840">
      <c r="A840" s="270" t="s">
        <v>5040</v>
      </c>
      <c r="B840" s="28" t="s">
        <v>36</v>
      </c>
      <c r="C840" s="28" t="s">
        <v>5041</v>
      </c>
      <c r="D840" s="28" t="s">
        <v>44</v>
      </c>
      <c r="E840" s="28" t="s">
        <v>44</v>
      </c>
      <c r="F840" s="28" t="s">
        <v>4679</v>
      </c>
      <c r="G840" s="28" t="s">
        <v>47</v>
      </c>
      <c r="H840" s="28" t="s">
        <v>48</v>
      </c>
      <c r="I840" s="28" t="s">
        <v>485</v>
      </c>
      <c r="J840" s="28" t="s">
        <v>4680</v>
      </c>
      <c r="K840" s="28" t="s">
        <v>51</v>
      </c>
      <c r="L840" s="28" t="s">
        <v>52</v>
      </c>
      <c r="M840" s="28" t="s">
        <v>52</v>
      </c>
      <c r="N840" s="28" t="s">
        <v>4922</v>
      </c>
      <c r="O840" s="28" t="s">
        <v>44</v>
      </c>
      <c r="P840" s="28" t="s">
        <v>5042</v>
      </c>
      <c r="Q840" s="28" t="s">
        <v>5043</v>
      </c>
      <c r="R840" s="28" t="s">
        <v>44</v>
      </c>
      <c r="S840" s="28" t="s">
        <v>44</v>
      </c>
      <c r="T840" s="28" t="s">
        <v>44</v>
      </c>
      <c r="U840" s="28" t="s">
        <v>44</v>
      </c>
      <c r="V840" s="28" t="s">
        <v>5044</v>
      </c>
      <c r="W840" s="28" t="s">
        <v>774</v>
      </c>
      <c r="X840" s="28"/>
      <c r="Y840" s="28"/>
      <c r="Z840" s="28"/>
      <c r="AA840" s="28"/>
    </row>
    <row r="841">
      <c r="A841" s="270" t="s">
        <v>5045</v>
      </c>
      <c r="B841" s="28" t="s">
        <v>36</v>
      </c>
      <c r="C841" s="28" t="s">
        <v>5046</v>
      </c>
      <c r="D841" s="28" t="s">
        <v>44</v>
      </c>
      <c r="E841" s="28" t="s">
        <v>44</v>
      </c>
      <c r="F841" s="28" t="s">
        <v>4679</v>
      </c>
      <c r="G841" s="28" t="s">
        <v>47</v>
      </c>
      <c r="H841" s="28" t="s">
        <v>48</v>
      </c>
      <c r="I841" s="28" t="s">
        <v>485</v>
      </c>
      <c r="J841" s="28" t="s">
        <v>4680</v>
      </c>
      <c r="K841" s="28" t="s">
        <v>51</v>
      </c>
      <c r="L841" s="28" t="s">
        <v>52</v>
      </c>
      <c r="M841" s="28" t="s">
        <v>52</v>
      </c>
      <c r="N841" s="28" t="s">
        <v>4922</v>
      </c>
      <c r="O841" s="28" t="s">
        <v>44</v>
      </c>
      <c r="P841" s="28" t="s">
        <v>5047</v>
      </c>
      <c r="Q841" s="28" t="s">
        <v>5048</v>
      </c>
      <c r="R841" s="28" t="s">
        <v>44</v>
      </c>
      <c r="S841" s="28" t="s">
        <v>44</v>
      </c>
      <c r="T841" s="28" t="s">
        <v>44</v>
      </c>
      <c r="U841" s="28" t="s">
        <v>44</v>
      </c>
      <c r="V841" s="28" t="s">
        <v>5049</v>
      </c>
      <c r="W841" s="28" t="s">
        <v>774</v>
      </c>
      <c r="X841" s="28"/>
      <c r="Y841" s="28"/>
      <c r="Z841" s="28"/>
      <c r="AA841" s="28"/>
    </row>
    <row r="842">
      <c r="A842" s="270" t="s">
        <v>5050</v>
      </c>
      <c r="B842" s="28" t="s">
        <v>36</v>
      </c>
      <c r="C842" s="28" t="s">
        <v>5051</v>
      </c>
      <c r="D842" s="28" t="s">
        <v>44</v>
      </c>
      <c r="E842" s="28" t="s">
        <v>44</v>
      </c>
      <c r="F842" s="28" t="s">
        <v>4679</v>
      </c>
      <c r="G842" s="28" t="s">
        <v>47</v>
      </c>
      <c r="H842" s="28" t="s">
        <v>48</v>
      </c>
      <c r="I842" s="28" t="s">
        <v>485</v>
      </c>
      <c r="J842" s="28" t="s">
        <v>4680</v>
      </c>
      <c r="K842" s="28" t="s">
        <v>51</v>
      </c>
      <c r="L842" s="28" t="s">
        <v>52</v>
      </c>
      <c r="M842" s="28" t="s">
        <v>52</v>
      </c>
      <c r="N842" s="28" t="s">
        <v>4922</v>
      </c>
      <c r="O842" s="28" t="s">
        <v>44</v>
      </c>
      <c r="P842" s="28" t="s">
        <v>5052</v>
      </c>
      <c r="Q842" s="28" t="s">
        <v>5053</v>
      </c>
      <c r="R842" s="28" t="s">
        <v>44</v>
      </c>
      <c r="S842" s="28" t="s">
        <v>44</v>
      </c>
      <c r="T842" s="28" t="s">
        <v>44</v>
      </c>
      <c r="U842" s="28" t="s">
        <v>44</v>
      </c>
      <c r="V842" s="28" t="s">
        <v>5054</v>
      </c>
      <c r="W842" s="28" t="s">
        <v>774</v>
      </c>
      <c r="X842" s="28"/>
      <c r="Y842" s="28"/>
      <c r="Z842" s="28"/>
      <c r="AA842" s="28"/>
    </row>
    <row r="843">
      <c r="A843" s="270" t="s">
        <v>5055</v>
      </c>
      <c r="B843" s="28" t="s">
        <v>36</v>
      </c>
      <c r="C843" s="28" t="s">
        <v>5056</v>
      </c>
      <c r="D843" s="28" t="s">
        <v>44</v>
      </c>
      <c r="E843" s="28" t="s">
        <v>44</v>
      </c>
      <c r="F843" s="28" t="s">
        <v>4679</v>
      </c>
      <c r="G843" s="28" t="s">
        <v>47</v>
      </c>
      <c r="H843" s="28" t="s">
        <v>48</v>
      </c>
      <c r="I843" s="28" t="s">
        <v>485</v>
      </c>
      <c r="J843" s="28" t="s">
        <v>4680</v>
      </c>
      <c r="K843" s="28" t="s">
        <v>51</v>
      </c>
      <c r="L843" s="28" t="s">
        <v>52</v>
      </c>
      <c r="M843" s="28" t="s">
        <v>52</v>
      </c>
      <c r="N843" s="28" t="s">
        <v>4922</v>
      </c>
      <c r="O843" s="28" t="s">
        <v>44</v>
      </c>
      <c r="P843" s="28" t="s">
        <v>4410</v>
      </c>
      <c r="Q843" s="28" t="s">
        <v>5057</v>
      </c>
      <c r="R843" s="28" t="s">
        <v>44</v>
      </c>
      <c r="S843" s="28" t="s">
        <v>44</v>
      </c>
      <c r="T843" s="28" t="s">
        <v>44</v>
      </c>
      <c r="U843" s="28" t="s">
        <v>44</v>
      </c>
      <c r="V843" s="28" t="s">
        <v>5058</v>
      </c>
      <c r="W843" s="28" t="s">
        <v>5059</v>
      </c>
      <c r="X843" s="28"/>
      <c r="Y843" s="28"/>
      <c r="Z843" s="28"/>
      <c r="AA843" s="28"/>
    </row>
    <row r="844">
      <c r="A844" s="270" t="s">
        <v>5060</v>
      </c>
      <c r="B844" s="28" t="s">
        <v>36</v>
      </c>
      <c r="C844" s="28" t="s">
        <v>5061</v>
      </c>
      <c r="D844" s="28" t="s">
        <v>44</v>
      </c>
      <c r="E844" s="28" t="s">
        <v>44</v>
      </c>
      <c r="F844" s="28" t="s">
        <v>4679</v>
      </c>
      <c r="G844" s="28" t="s">
        <v>47</v>
      </c>
      <c r="H844" s="28" t="s">
        <v>48</v>
      </c>
      <c r="I844" s="28" t="s">
        <v>485</v>
      </c>
      <c r="J844" s="28" t="s">
        <v>4680</v>
      </c>
      <c r="K844" s="28" t="s">
        <v>51</v>
      </c>
      <c r="L844" s="28" t="s">
        <v>52</v>
      </c>
      <c r="M844" s="28" t="s">
        <v>52</v>
      </c>
      <c r="N844" s="28" t="s">
        <v>4922</v>
      </c>
      <c r="O844" s="28" t="s">
        <v>44</v>
      </c>
      <c r="P844" s="28" t="s">
        <v>5062</v>
      </c>
      <c r="Q844" s="28" t="s">
        <v>5063</v>
      </c>
      <c r="R844" s="28" t="s">
        <v>44</v>
      </c>
      <c r="S844" s="28" t="s">
        <v>44</v>
      </c>
      <c r="T844" s="28" t="s">
        <v>44</v>
      </c>
      <c r="U844" s="28" t="s">
        <v>44</v>
      </c>
      <c r="V844" s="28" t="s">
        <v>5064</v>
      </c>
      <c r="W844" s="28" t="s">
        <v>5065</v>
      </c>
      <c r="X844" s="28"/>
      <c r="Y844" s="28"/>
      <c r="Z844" s="28"/>
      <c r="AA844" s="28"/>
    </row>
    <row r="845">
      <c r="A845" s="270" t="s">
        <v>5066</v>
      </c>
      <c r="B845" s="28" t="s">
        <v>36</v>
      </c>
      <c r="C845" s="28" t="s">
        <v>5067</v>
      </c>
      <c r="D845" s="28" t="s">
        <v>44</v>
      </c>
      <c r="E845" s="28" t="s">
        <v>44</v>
      </c>
      <c r="F845" s="28" t="s">
        <v>4679</v>
      </c>
      <c r="G845" s="28" t="s">
        <v>47</v>
      </c>
      <c r="H845" s="28" t="s">
        <v>48</v>
      </c>
      <c r="I845" s="28" t="s">
        <v>485</v>
      </c>
      <c r="J845" s="28" t="s">
        <v>4680</v>
      </c>
      <c r="K845" s="28" t="s">
        <v>51</v>
      </c>
      <c r="L845" s="28" t="s">
        <v>52</v>
      </c>
      <c r="M845" s="28" t="s">
        <v>52</v>
      </c>
      <c r="N845" s="28" t="s">
        <v>4922</v>
      </c>
      <c r="O845" s="28" t="s">
        <v>44</v>
      </c>
      <c r="P845" s="28" t="s">
        <v>5068</v>
      </c>
      <c r="Q845" s="28" t="s">
        <v>5069</v>
      </c>
      <c r="R845" s="28" t="s">
        <v>44</v>
      </c>
      <c r="S845" s="28" t="s">
        <v>44</v>
      </c>
      <c r="T845" s="28" t="s">
        <v>44</v>
      </c>
      <c r="U845" s="28" t="s">
        <v>44</v>
      </c>
      <c r="V845" s="28" t="s">
        <v>5070</v>
      </c>
      <c r="W845" s="28" t="s">
        <v>5071</v>
      </c>
      <c r="X845" s="28"/>
      <c r="Y845" s="28"/>
      <c r="Z845" s="28"/>
      <c r="AA845" s="28"/>
    </row>
    <row r="846">
      <c r="A846" s="270" t="s">
        <v>5072</v>
      </c>
      <c r="B846" s="28" t="s">
        <v>36</v>
      </c>
      <c r="C846" s="28" t="s">
        <v>5073</v>
      </c>
      <c r="D846" s="28" t="s">
        <v>44</v>
      </c>
      <c r="E846" s="28" t="s">
        <v>44</v>
      </c>
      <c r="F846" s="28" t="s">
        <v>4679</v>
      </c>
      <c r="G846" s="28" t="s">
        <v>47</v>
      </c>
      <c r="H846" s="28" t="s">
        <v>48</v>
      </c>
      <c r="I846" s="28" t="s">
        <v>485</v>
      </c>
      <c r="J846" s="28" t="s">
        <v>4680</v>
      </c>
      <c r="K846" s="28" t="s">
        <v>51</v>
      </c>
      <c r="L846" s="28" t="s">
        <v>52</v>
      </c>
      <c r="M846" s="28" t="s">
        <v>52</v>
      </c>
      <c r="N846" s="28" t="s">
        <v>4922</v>
      </c>
      <c r="O846" s="28" t="s">
        <v>44</v>
      </c>
      <c r="P846" s="28" t="s">
        <v>5074</v>
      </c>
      <c r="Q846" s="28" t="s">
        <v>5075</v>
      </c>
      <c r="R846" s="28" t="s">
        <v>44</v>
      </c>
      <c r="S846" s="28" t="s">
        <v>44</v>
      </c>
      <c r="T846" s="28" t="s">
        <v>44</v>
      </c>
      <c r="U846" s="28" t="s">
        <v>44</v>
      </c>
      <c r="V846" s="28" t="s">
        <v>5076</v>
      </c>
      <c r="W846" s="28" t="s">
        <v>774</v>
      </c>
      <c r="X846" s="28"/>
      <c r="Y846" s="28"/>
      <c r="Z846" s="28"/>
      <c r="AA846" s="28"/>
    </row>
    <row r="847">
      <c r="A847" s="270" t="s">
        <v>5077</v>
      </c>
      <c r="B847" s="28" t="s">
        <v>36</v>
      </c>
      <c r="C847" s="28" t="s">
        <v>5078</v>
      </c>
      <c r="D847" s="28" t="s">
        <v>44</v>
      </c>
      <c r="E847" s="28" t="s">
        <v>44</v>
      </c>
      <c r="F847" s="28" t="s">
        <v>4679</v>
      </c>
      <c r="G847" s="28" t="s">
        <v>47</v>
      </c>
      <c r="H847" s="28" t="s">
        <v>48</v>
      </c>
      <c r="I847" s="28" t="s">
        <v>485</v>
      </c>
      <c r="J847" s="28" t="s">
        <v>4680</v>
      </c>
      <c r="K847" s="28" t="s">
        <v>51</v>
      </c>
      <c r="L847" s="28" t="s">
        <v>52</v>
      </c>
      <c r="M847" s="28" t="s">
        <v>52</v>
      </c>
      <c r="N847" s="28" t="s">
        <v>4922</v>
      </c>
      <c r="O847" s="28" t="s">
        <v>44</v>
      </c>
      <c r="P847" s="28" t="s">
        <v>5079</v>
      </c>
      <c r="Q847" s="28" t="s">
        <v>5080</v>
      </c>
      <c r="R847" s="28" t="s">
        <v>44</v>
      </c>
      <c r="S847" s="28" t="s">
        <v>44</v>
      </c>
      <c r="T847" s="28" t="s">
        <v>44</v>
      </c>
      <c r="U847" s="28" t="s">
        <v>44</v>
      </c>
      <c r="V847" s="28" t="s">
        <v>5081</v>
      </c>
      <c r="W847" s="28" t="s">
        <v>5082</v>
      </c>
      <c r="X847" s="28"/>
      <c r="Y847" s="28"/>
      <c r="Z847" s="28"/>
      <c r="AA847" s="28"/>
    </row>
    <row r="848">
      <c r="A848" s="270" t="s">
        <v>5083</v>
      </c>
      <c r="B848" s="28" t="s">
        <v>36</v>
      </c>
      <c r="C848" s="28" t="s">
        <v>5084</v>
      </c>
      <c r="D848" s="28" t="s">
        <v>44</v>
      </c>
      <c r="E848" s="28" t="s">
        <v>44</v>
      </c>
      <c r="F848" s="28" t="s">
        <v>4679</v>
      </c>
      <c r="G848" s="28" t="s">
        <v>47</v>
      </c>
      <c r="H848" s="28" t="s">
        <v>48</v>
      </c>
      <c r="I848" s="28" t="s">
        <v>485</v>
      </c>
      <c r="J848" s="28" t="s">
        <v>4680</v>
      </c>
      <c r="K848" s="28" t="s">
        <v>51</v>
      </c>
      <c r="L848" s="28" t="s">
        <v>52</v>
      </c>
      <c r="M848" s="28" t="s">
        <v>52</v>
      </c>
      <c r="N848" s="28" t="s">
        <v>4922</v>
      </c>
      <c r="O848" s="28" t="s">
        <v>44</v>
      </c>
      <c r="P848" s="28" t="s">
        <v>5085</v>
      </c>
      <c r="Q848" s="28" t="s">
        <v>5086</v>
      </c>
      <c r="R848" s="28" t="s">
        <v>44</v>
      </c>
      <c r="S848" s="28" t="s">
        <v>44</v>
      </c>
      <c r="T848" s="28" t="s">
        <v>44</v>
      </c>
      <c r="U848" s="28" t="s">
        <v>44</v>
      </c>
      <c r="V848" s="28" t="s">
        <v>5087</v>
      </c>
      <c r="W848" s="28" t="s">
        <v>5088</v>
      </c>
      <c r="X848" s="28"/>
      <c r="Y848" s="28"/>
      <c r="Z848" s="28"/>
      <c r="AA848" s="28"/>
    </row>
    <row r="849">
      <c r="A849" s="270" t="s">
        <v>5089</v>
      </c>
      <c r="B849" s="28" t="s">
        <v>36</v>
      </c>
      <c r="C849" s="28" t="s">
        <v>5090</v>
      </c>
      <c r="D849" s="28" t="s">
        <v>44</v>
      </c>
      <c r="E849" s="28" t="s">
        <v>44</v>
      </c>
      <c r="F849" s="28" t="s">
        <v>4679</v>
      </c>
      <c r="G849" s="28" t="s">
        <v>47</v>
      </c>
      <c r="H849" s="28" t="s">
        <v>48</v>
      </c>
      <c r="I849" s="28" t="s">
        <v>485</v>
      </c>
      <c r="J849" s="28" t="s">
        <v>4680</v>
      </c>
      <c r="K849" s="28" t="s">
        <v>51</v>
      </c>
      <c r="L849" s="28" t="s">
        <v>52</v>
      </c>
      <c r="M849" s="28" t="s">
        <v>52</v>
      </c>
      <c r="N849" s="28" t="s">
        <v>4922</v>
      </c>
      <c r="O849" s="28" t="s">
        <v>44</v>
      </c>
      <c r="P849" s="28" t="s">
        <v>5091</v>
      </c>
      <c r="Q849" s="28" t="s">
        <v>5092</v>
      </c>
      <c r="R849" s="28" t="s">
        <v>44</v>
      </c>
      <c r="S849" s="28" t="s">
        <v>44</v>
      </c>
      <c r="T849" s="28" t="s">
        <v>44</v>
      </c>
      <c r="U849" s="28" t="s">
        <v>44</v>
      </c>
      <c r="V849" s="28" t="s">
        <v>5093</v>
      </c>
      <c r="W849" s="28" t="s">
        <v>5094</v>
      </c>
      <c r="X849" s="28"/>
      <c r="Y849" s="28"/>
      <c r="Z849" s="28"/>
      <c r="AA849" s="28"/>
    </row>
    <row r="850">
      <c r="A850" s="270" t="s">
        <v>5095</v>
      </c>
      <c r="B850" s="28" t="s">
        <v>36</v>
      </c>
      <c r="C850" s="28" t="s">
        <v>5096</v>
      </c>
      <c r="D850" s="28" t="s">
        <v>44</v>
      </c>
      <c r="E850" s="28" t="s">
        <v>44</v>
      </c>
      <c r="F850" s="28" t="s">
        <v>4679</v>
      </c>
      <c r="G850" s="28" t="s">
        <v>47</v>
      </c>
      <c r="H850" s="28" t="s">
        <v>48</v>
      </c>
      <c r="I850" s="28" t="s">
        <v>485</v>
      </c>
      <c r="J850" s="28" t="s">
        <v>4680</v>
      </c>
      <c r="K850" s="28" t="s">
        <v>51</v>
      </c>
      <c r="L850" s="28" t="s">
        <v>52</v>
      </c>
      <c r="M850" s="28" t="s">
        <v>52</v>
      </c>
      <c r="N850" s="28" t="s">
        <v>5097</v>
      </c>
      <c r="O850" s="28" t="s">
        <v>44</v>
      </c>
      <c r="P850" s="28" t="s">
        <v>5098</v>
      </c>
      <c r="Q850" s="28" t="s">
        <v>5099</v>
      </c>
      <c r="R850" s="28" t="s">
        <v>44</v>
      </c>
      <c r="S850" s="28" t="s">
        <v>44</v>
      </c>
      <c r="T850" s="28" t="s">
        <v>44</v>
      </c>
      <c r="U850" s="28" t="s">
        <v>44</v>
      </c>
      <c r="V850" s="28" t="s">
        <v>5100</v>
      </c>
      <c r="W850" s="28" t="s">
        <v>774</v>
      </c>
      <c r="X850" s="28"/>
      <c r="Y850" s="28"/>
      <c r="Z850" s="28"/>
      <c r="AA850" s="28"/>
    </row>
    <row r="851">
      <c r="A851" s="270" t="s">
        <v>5101</v>
      </c>
      <c r="B851" s="28" t="s">
        <v>36</v>
      </c>
      <c r="C851" s="28" t="s">
        <v>5102</v>
      </c>
      <c r="D851" s="28" t="s">
        <v>44</v>
      </c>
      <c r="E851" s="28" t="s">
        <v>44</v>
      </c>
      <c r="F851" s="28" t="s">
        <v>4679</v>
      </c>
      <c r="G851" s="28" t="s">
        <v>47</v>
      </c>
      <c r="H851" s="28" t="s">
        <v>95</v>
      </c>
      <c r="I851" s="28" t="s">
        <v>485</v>
      </c>
      <c r="J851" s="28" t="s">
        <v>4680</v>
      </c>
      <c r="K851" s="28" t="s">
        <v>51</v>
      </c>
      <c r="L851" s="28" t="s">
        <v>52</v>
      </c>
      <c r="M851" s="28" t="s">
        <v>52</v>
      </c>
      <c r="N851" s="28" t="s">
        <v>5103</v>
      </c>
      <c r="O851" s="28" t="s">
        <v>44</v>
      </c>
      <c r="P851" s="28" t="s">
        <v>5104</v>
      </c>
      <c r="Q851" s="28" t="s">
        <v>5105</v>
      </c>
      <c r="R851" s="28" t="s">
        <v>44</v>
      </c>
      <c r="S851" s="28" t="s">
        <v>44</v>
      </c>
      <c r="T851" s="28" t="s">
        <v>44</v>
      </c>
      <c r="U851" s="28" t="s">
        <v>44</v>
      </c>
      <c r="V851" s="28" t="s">
        <v>5106</v>
      </c>
      <c r="W851" s="28" t="s">
        <v>5107</v>
      </c>
      <c r="X851" s="28"/>
      <c r="Y851" s="28"/>
      <c r="Z851" s="28"/>
      <c r="AA851" s="28"/>
    </row>
    <row r="852">
      <c r="A852" s="270" t="s">
        <v>5108</v>
      </c>
      <c r="B852" s="28" t="s">
        <v>36</v>
      </c>
      <c r="C852" s="28" t="s">
        <v>5109</v>
      </c>
      <c r="D852" s="28" t="s">
        <v>44</v>
      </c>
      <c r="E852" s="28" t="s">
        <v>44</v>
      </c>
      <c r="F852" s="28" t="s">
        <v>4679</v>
      </c>
      <c r="G852" s="28" t="s">
        <v>85</v>
      </c>
      <c r="H852" s="28" t="s">
        <v>86</v>
      </c>
      <c r="I852" s="28" t="s">
        <v>485</v>
      </c>
      <c r="J852" s="28" t="s">
        <v>4680</v>
      </c>
      <c r="K852" s="28" t="s">
        <v>51</v>
      </c>
      <c r="L852" s="28" t="s">
        <v>52</v>
      </c>
      <c r="M852" s="28" t="s">
        <v>52</v>
      </c>
      <c r="N852" s="28" t="s">
        <v>5110</v>
      </c>
      <c r="O852" s="28" t="s">
        <v>44</v>
      </c>
      <c r="P852" s="28" t="s">
        <v>5111</v>
      </c>
      <c r="Q852" s="28" t="s">
        <v>5112</v>
      </c>
      <c r="R852" s="28" t="s">
        <v>44</v>
      </c>
      <c r="S852" s="28" t="s">
        <v>44</v>
      </c>
      <c r="T852" s="28" t="s">
        <v>44</v>
      </c>
      <c r="U852" s="28" t="s">
        <v>44</v>
      </c>
      <c r="V852" s="28" t="s">
        <v>5113</v>
      </c>
      <c r="W852" s="28" t="s">
        <v>774</v>
      </c>
      <c r="X852" s="28"/>
      <c r="Y852" s="28"/>
      <c r="Z852" s="28"/>
      <c r="AA852" s="28"/>
    </row>
    <row r="853">
      <c r="A853" s="270" t="s">
        <v>5114</v>
      </c>
      <c r="B853" s="28" t="s">
        <v>36</v>
      </c>
      <c r="C853" s="28" t="s">
        <v>5115</v>
      </c>
      <c r="D853" s="28" t="s">
        <v>44</v>
      </c>
      <c r="E853" s="28" t="s">
        <v>44</v>
      </c>
      <c r="F853" s="28" t="s">
        <v>4679</v>
      </c>
      <c r="G853" s="28" t="s">
        <v>47</v>
      </c>
      <c r="H853" s="28" t="s">
        <v>48</v>
      </c>
      <c r="I853" s="28" t="s">
        <v>485</v>
      </c>
      <c r="J853" s="28" t="s">
        <v>4680</v>
      </c>
      <c r="K853" s="28" t="s">
        <v>51</v>
      </c>
      <c r="L853" s="28" t="s">
        <v>52</v>
      </c>
      <c r="M853" s="28" t="s">
        <v>52</v>
      </c>
      <c r="N853" s="28" t="s">
        <v>5097</v>
      </c>
      <c r="O853" s="28" t="s">
        <v>44</v>
      </c>
      <c r="P853" s="28" t="s">
        <v>5116</v>
      </c>
      <c r="Q853" s="28" t="s">
        <v>5117</v>
      </c>
      <c r="R853" s="28" t="s">
        <v>44</v>
      </c>
      <c r="S853" s="28" t="s">
        <v>44</v>
      </c>
      <c r="T853" s="28" t="s">
        <v>44</v>
      </c>
      <c r="U853" s="28" t="s">
        <v>44</v>
      </c>
      <c r="V853" s="28" t="s">
        <v>5118</v>
      </c>
      <c r="W853" s="28" t="s">
        <v>774</v>
      </c>
      <c r="X853" s="28"/>
      <c r="Y853" s="28"/>
      <c r="Z853" s="28"/>
      <c r="AA853" s="28"/>
    </row>
    <row r="854">
      <c r="A854" s="270" t="s">
        <v>5119</v>
      </c>
      <c r="B854" s="28" t="s">
        <v>36</v>
      </c>
      <c r="C854" s="28" t="s">
        <v>5120</v>
      </c>
      <c r="D854" s="28" t="s">
        <v>44</v>
      </c>
      <c r="E854" s="28" t="s">
        <v>44</v>
      </c>
      <c r="F854" s="28" t="s">
        <v>4679</v>
      </c>
      <c r="G854" s="28" t="s">
        <v>47</v>
      </c>
      <c r="H854" s="28" t="s">
        <v>48</v>
      </c>
      <c r="I854" s="28" t="s">
        <v>485</v>
      </c>
      <c r="J854" s="28" t="s">
        <v>4680</v>
      </c>
      <c r="K854" s="28" t="s">
        <v>51</v>
      </c>
      <c r="L854" s="28" t="s">
        <v>52</v>
      </c>
      <c r="M854" s="28" t="s">
        <v>52</v>
      </c>
      <c r="N854" s="28" t="s">
        <v>4922</v>
      </c>
      <c r="O854" s="28" t="s">
        <v>44</v>
      </c>
      <c r="P854" s="28" t="s">
        <v>5121</v>
      </c>
      <c r="Q854" s="28" t="s">
        <v>5122</v>
      </c>
      <c r="R854" s="28" t="s">
        <v>44</v>
      </c>
      <c r="S854" s="28" t="s">
        <v>44</v>
      </c>
      <c r="T854" s="28" t="s">
        <v>44</v>
      </c>
      <c r="U854" s="28" t="s">
        <v>44</v>
      </c>
      <c r="V854" s="28" t="s">
        <v>5123</v>
      </c>
      <c r="W854" s="28" t="s">
        <v>5124</v>
      </c>
      <c r="X854" s="28"/>
      <c r="Y854" s="28"/>
      <c r="Z854" s="28"/>
      <c r="AA854" s="28"/>
    </row>
    <row r="855">
      <c r="A855" s="270" t="s">
        <v>5125</v>
      </c>
      <c r="B855" s="28" t="s">
        <v>36</v>
      </c>
      <c r="C855" s="28" t="s">
        <v>5126</v>
      </c>
      <c r="D855" s="28" t="s">
        <v>44</v>
      </c>
      <c r="E855" s="28" t="s">
        <v>44</v>
      </c>
      <c r="F855" s="28" t="s">
        <v>4679</v>
      </c>
      <c r="G855" s="28" t="s">
        <v>47</v>
      </c>
      <c r="H855" s="28" t="s">
        <v>48</v>
      </c>
      <c r="I855" s="28" t="s">
        <v>485</v>
      </c>
      <c r="J855" s="28" t="s">
        <v>4680</v>
      </c>
      <c r="K855" s="28" t="s">
        <v>51</v>
      </c>
      <c r="L855" s="28" t="s">
        <v>52</v>
      </c>
      <c r="M855" s="28" t="s">
        <v>52</v>
      </c>
      <c r="N855" s="28" t="s">
        <v>4922</v>
      </c>
      <c r="O855" s="28" t="s">
        <v>44</v>
      </c>
      <c r="P855" s="28" t="s">
        <v>5127</v>
      </c>
      <c r="Q855" s="28" t="s">
        <v>5128</v>
      </c>
      <c r="R855" s="28" t="s">
        <v>44</v>
      </c>
      <c r="S855" s="28" t="s">
        <v>44</v>
      </c>
      <c r="T855" s="28" t="s">
        <v>44</v>
      </c>
      <c r="U855" s="28" t="s">
        <v>44</v>
      </c>
      <c r="V855" s="28" t="s">
        <v>5129</v>
      </c>
      <c r="W855" s="28" t="s">
        <v>774</v>
      </c>
      <c r="X855" s="28"/>
      <c r="Y855" s="28"/>
      <c r="Z855" s="28"/>
      <c r="AA855" s="28"/>
    </row>
    <row r="856">
      <c r="A856" s="270" t="s">
        <v>5130</v>
      </c>
      <c r="B856" s="28" t="s">
        <v>36</v>
      </c>
      <c r="C856" s="28" t="s">
        <v>5131</v>
      </c>
      <c r="D856" s="28" t="s">
        <v>44</v>
      </c>
      <c r="E856" s="28" t="s">
        <v>44</v>
      </c>
      <c r="F856" s="28" t="s">
        <v>4679</v>
      </c>
      <c r="G856" s="28" t="s">
        <v>47</v>
      </c>
      <c r="H856" s="28" t="s">
        <v>95</v>
      </c>
      <c r="I856" s="28" t="s">
        <v>485</v>
      </c>
      <c r="J856" s="28" t="s">
        <v>4680</v>
      </c>
      <c r="K856" s="28" t="s">
        <v>51</v>
      </c>
      <c r="L856" s="28" t="s">
        <v>52</v>
      </c>
      <c r="M856" s="28" t="s">
        <v>52</v>
      </c>
      <c r="N856" s="28" t="s">
        <v>5132</v>
      </c>
      <c r="O856" s="28" t="s">
        <v>44</v>
      </c>
      <c r="P856" s="28" t="s">
        <v>5133</v>
      </c>
      <c r="Q856" s="28" t="s">
        <v>5134</v>
      </c>
      <c r="R856" s="28" t="s">
        <v>44</v>
      </c>
      <c r="S856" s="28" t="s">
        <v>44</v>
      </c>
      <c r="T856" s="28" t="s">
        <v>44</v>
      </c>
      <c r="U856" s="28" t="s">
        <v>44</v>
      </c>
      <c r="V856" s="28" t="s">
        <v>5135</v>
      </c>
      <c r="W856" s="28" t="s">
        <v>774</v>
      </c>
      <c r="X856" s="28"/>
      <c r="Y856" s="28"/>
      <c r="Z856" s="28"/>
      <c r="AA856" s="28"/>
    </row>
    <row r="857">
      <c r="A857" s="270" t="s">
        <v>5136</v>
      </c>
      <c r="B857" s="28" t="s">
        <v>36</v>
      </c>
      <c r="C857" s="28" t="s">
        <v>5137</v>
      </c>
      <c r="D857" s="28" t="s">
        <v>44</v>
      </c>
      <c r="E857" s="28" t="s">
        <v>44</v>
      </c>
      <c r="F857" s="28" t="s">
        <v>4679</v>
      </c>
      <c r="G857" s="28" t="s">
        <v>47</v>
      </c>
      <c r="H857" s="28" t="s">
        <v>95</v>
      </c>
      <c r="I857" s="28" t="s">
        <v>485</v>
      </c>
      <c r="J857" s="28" t="s">
        <v>4680</v>
      </c>
      <c r="K857" s="28" t="s">
        <v>51</v>
      </c>
      <c r="L857" s="28" t="s">
        <v>52</v>
      </c>
      <c r="M857" s="28" t="s">
        <v>52</v>
      </c>
      <c r="N857" s="28" t="s">
        <v>5138</v>
      </c>
      <c r="O857" s="28" t="s">
        <v>44</v>
      </c>
      <c r="P857" s="28" t="s">
        <v>5139</v>
      </c>
      <c r="Q857" s="28" t="s">
        <v>5140</v>
      </c>
      <c r="R857" s="28" t="s">
        <v>44</v>
      </c>
      <c r="S857" s="28" t="s">
        <v>44</v>
      </c>
      <c r="T857" s="28" t="s">
        <v>44</v>
      </c>
      <c r="U857" s="28" t="s">
        <v>44</v>
      </c>
      <c r="V857" s="28" t="s">
        <v>5141</v>
      </c>
      <c r="W857" s="28" t="s">
        <v>774</v>
      </c>
      <c r="X857" s="28"/>
      <c r="Y857" s="28"/>
      <c r="Z857" s="28"/>
      <c r="AA857" s="28"/>
    </row>
    <row r="858">
      <c r="A858" s="270" t="s">
        <v>5142</v>
      </c>
      <c r="B858" s="28" t="s">
        <v>36</v>
      </c>
      <c r="C858" s="28" t="s">
        <v>5143</v>
      </c>
      <c r="D858" s="28" t="s">
        <v>44</v>
      </c>
      <c r="E858" s="28" t="s">
        <v>44</v>
      </c>
      <c r="F858" s="28" t="s">
        <v>4679</v>
      </c>
      <c r="G858" s="28" t="s">
        <v>47</v>
      </c>
      <c r="H858" s="28" t="s">
        <v>95</v>
      </c>
      <c r="I858" s="28" t="s">
        <v>485</v>
      </c>
      <c r="J858" s="28" t="s">
        <v>4680</v>
      </c>
      <c r="K858" s="28" t="s">
        <v>51</v>
      </c>
      <c r="L858" s="28" t="s">
        <v>52</v>
      </c>
      <c r="M858" s="28" t="s">
        <v>52</v>
      </c>
      <c r="N858" s="28" t="s">
        <v>5144</v>
      </c>
      <c r="O858" s="28" t="s">
        <v>44</v>
      </c>
      <c r="P858" s="28" t="s">
        <v>5139</v>
      </c>
      <c r="Q858" s="28" t="s">
        <v>5145</v>
      </c>
      <c r="R858" s="28" t="s">
        <v>44</v>
      </c>
      <c r="S858" s="28" t="s">
        <v>44</v>
      </c>
      <c r="T858" s="28" t="s">
        <v>44</v>
      </c>
      <c r="U858" s="28" t="s">
        <v>44</v>
      </c>
      <c r="V858" s="28" t="s">
        <v>5146</v>
      </c>
      <c r="W858" s="28" t="s">
        <v>5147</v>
      </c>
      <c r="X858" s="28"/>
      <c r="Y858" s="28"/>
      <c r="Z858" s="28"/>
      <c r="AA858" s="28"/>
    </row>
    <row r="859">
      <c r="A859" s="270" t="s">
        <v>5148</v>
      </c>
      <c r="B859" s="28" t="s">
        <v>36</v>
      </c>
      <c r="C859" s="28" t="s">
        <v>5149</v>
      </c>
      <c r="D859" s="28" t="s">
        <v>44</v>
      </c>
      <c r="E859" s="28" t="s">
        <v>44</v>
      </c>
      <c r="F859" s="28" t="s">
        <v>4679</v>
      </c>
      <c r="G859" s="28" t="s">
        <v>47</v>
      </c>
      <c r="H859" s="28" t="s">
        <v>95</v>
      </c>
      <c r="I859" s="28" t="s">
        <v>485</v>
      </c>
      <c r="J859" s="28" t="s">
        <v>4680</v>
      </c>
      <c r="K859" s="28" t="s">
        <v>51</v>
      </c>
      <c r="L859" s="28" t="s">
        <v>52</v>
      </c>
      <c r="M859" s="28" t="s">
        <v>52</v>
      </c>
      <c r="N859" s="28" t="s">
        <v>5150</v>
      </c>
      <c r="O859" s="28" t="s">
        <v>44</v>
      </c>
      <c r="P859" s="28" t="s">
        <v>5151</v>
      </c>
      <c r="Q859" s="28" t="s">
        <v>5152</v>
      </c>
      <c r="R859" s="28" t="s">
        <v>44</v>
      </c>
      <c r="S859" s="28" t="s">
        <v>44</v>
      </c>
      <c r="T859" s="28" t="s">
        <v>44</v>
      </c>
      <c r="U859" s="28" t="s">
        <v>44</v>
      </c>
      <c r="V859" s="28" t="s">
        <v>5153</v>
      </c>
      <c r="W859" s="28" t="s">
        <v>5154</v>
      </c>
      <c r="X859" s="28"/>
      <c r="Y859" s="28"/>
      <c r="Z859" s="28"/>
      <c r="AA859" s="28"/>
    </row>
    <row r="860">
      <c r="A860" s="270" t="s">
        <v>5155</v>
      </c>
      <c r="B860" s="28" t="s">
        <v>36</v>
      </c>
      <c r="C860" s="28" t="s">
        <v>5156</v>
      </c>
      <c r="D860" s="28" t="s">
        <v>44</v>
      </c>
      <c r="E860" s="28" t="s">
        <v>44</v>
      </c>
      <c r="F860" s="28" t="s">
        <v>4679</v>
      </c>
      <c r="G860" s="28" t="s">
        <v>47</v>
      </c>
      <c r="H860" s="28" t="s">
        <v>48</v>
      </c>
      <c r="I860" s="28" t="s">
        <v>485</v>
      </c>
      <c r="J860" s="28" t="s">
        <v>4680</v>
      </c>
      <c r="K860" s="28" t="s">
        <v>51</v>
      </c>
      <c r="L860" s="28" t="s">
        <v>52</v>
      </c>
      <c r="M860" s="28" t="s">
        <v>52</v>
      </c>
      <c r="N860" s="28" t="s">
        <v>5157</v>
      </c>
      <c r="O860" s="28" t="s">
        <v>44</v>
      </c>
      <c r="P860" s="28" t="s">
        <v>5158</v>
      </c>
      <c r="Q860" s="28" t="s">
        <v>5159</v>
      </c>
      <c r="R860" s="28" t="s">
        <v>44</v>
      </c>
      <c r="S860" s="28" t="s">
        <v>44</v>
      </c>
      <c r="T860" s="28" t="s">
        <v>44</v>
      </c>
      <c r="U860" s="28" t="s">
        <v>44</v>
      </c>
      <c r="V860" s="28" t="s">
        <v>5160</v>
      </c>
      <c r="W860" s="28" t="s">
        <v>774</v>
      </c>
      <c r="X860" s="28"/>
      <c r="Y860" s="28"/>
      <c r="Z860" s="28"/>
      <c r="AA860" s="28"/>
    </row>
    <row r="861">
      <c r="A861" s="270" t="s">
        <v>5161</v>
      </c>
      <c r="B861" s="28" t="s">
        <v>36</v>
      </c>
      <c r="C861" s="28" t="s">
        <v>5162</v>
      </c>
      <c r="D861" s="28" t="s">
        <v>44</v>
      </c>
      <c r="E861" s="28" t="s">
        <v>44</v>
      </c>
      <c r="F861" s="28" t="s">
        <v>4679</v>
      </c>
      <c r="G861" s="28" t="s">
        <v>47</v>
      </c>
      <c r="H861" s="28" t="s">
        <v>48</v>
      </c>
      <c r="I861" s="28" t="s">
        <v>485</v>
      </c>
      <c r="J861" s="28" t="s">
        <v>4680</v>
      </c>
      <c r="K861" s="28" t="s">
        <v>51</v>
      </c>
      <c r="L861" s="28" t="s">
        <v>52</v>
      </c>
      <c r="M861" s="28" t="s">
        <v>52</v>
      </c>
      <c r="N861" s="28" t="s">
        <v>5157</v>
      </c>
      <c r="O861" s="28" t="s">
        <v>44</v>
      </c>
      <c r="P861" s="28" t="s">
        <v>5163</v>
      </c>
      <c r="Q861" s="28" t="s">
        <v>5164</v>
      </c>
      <c r="R861" s="28" t="s">
        <v>44</v>
      </c>
      <c r="S861" s="28" t="s">
        <v>44</v>
      </c>
      <c r="T861" s="28" t="s">
        <v>44</v>
      </c>
      <c r="U861" s="28" t="s">
        <v>44</v>
      </c>
      <c r="V861" s="28" t="s">
        <v>5165</v>
      </c>
      <c r="W861" s="28" t="s">
        <v>5166</v>
      </c>
      <c r="X861" s="28"/>
      <c r="Y861" s="28"/>
      <c r="Z861" s="28"/>
      <c r="AA861" s="28"/>
    </row>
    <row r="862">
      <c r="A862" s="270" t="s">
        <v>5167</v>
      </c>
      <c r="B862" s="28" t="s">
        <v>36</v>
      </c>
      <c r="C862" s="28" t="s">
        <v>5168</v>
      </c>
      <c r="D862" s="28" t="s">
        <v>44</v>
      </c>
      <c r="E862" s="28" t="s">
        <v>44</v>
      </c>
      <c r="F862" s="28" t="s">
        <v>4679</v>
      </c>
      <c r="G862" s="28" t="s">
        <v>47</v>
      </c>
      <c r="H862" s="28" t="s">
        <v>48</v>
      </c>
      <c r="I862" s="28" t="s">
        <v>485</v>
      </c>
      <c r="J862" s="28" t="s">
        <v>4680</v>
      </c>
      <c r="K862" s="28" t="s">
        <v>51</v>
      </c>
      <c r="L862" s="28" t="s">
        <v>52</v>
      </c>
      <c r="M862" s="28" t="s">
        <v>52</v>
      </c>
      <c r="N862" s="28" t="s">
        <v>5157</v>
      </c>
      <c r="O862" s="28" t="s">
        <v>44</v>
      </c>
      <c r="P862" s="28" t="s">
        <v>5169</v>
      </c>
      <c r="Q862" s="28" t="s">
        <v>5170</v>
      </c>
      <c r="R862" s="28" t="s">
        <v>44</v>
      </c>
      <c r="S862" s="28" t="s">
        <v>44</v>
      </c>
      <c r="T862" s="28" t="s">
        <v>44</v>
      </c>
      <c r="U862" s="28" t="s">
        <v>44</v>
      </c>
      <c r="V862" s="28" t="s">
        <v>5171</v>
      </c>
      <c r="W862" s="28" t="s">
        <v>774</v>
      </c>
      <c r="X862" s="28"/>
      <c r="Y862" s="28"/>
      <c r="Z862" s="28"/>
      <c r="AA862" s="28"/>
    </row>
    <row r="863">
      <c r="A863" s="270" t="s">
        <v>5172</v>
      </c>
      <c r="B863" s="28" t="s">
        <v>36</v>
      </c>
      <c r="C863" s="28" t="s">
        <v>5173</v>
      </c>
      <c r="D863" s="28" t="s">
        <v>44</v>
      </c>
      <c r="E863" s="28" t="s">
        <v>44</v>
      </c>
      <c r="F863" s="28" t="s">
        <v>4679</v>
      </c>
      <c r="G863" s="28" t="s">
        <v>85</v>
      </c>
      <c r="H863" s="28" t="s">
        <v>86</v>
      </c>
      <c r="I863" s="28" t="s">
        <v>485</v>
      </c>
      <c r="J863" s="28" t="s">
        <v>4680</v>
      </c>
      <c r="K863" s="28" t="s">
        <v>51</v>
      </c>
      <c r="L863" s="28" t="s">
        <v>52</v>
      </c>
      <c r="M863" s="28" t="s">
        <v>52</v>
      </c>
      <c r="N863" s="28" t="s">
        <v>5174</v>
      </c>
      <c r="O863" s="28" t="s">
        <v>44</v>
      </c>
      <c r="P863" s="28" t="s">
        <v>5175</v>
      </c>
      <c r="Q863" s="28" t="s">
        <v>5176</v>
      </c>
      <c r="R863" s="28" t="s">
        <v>44</v>
      </c>
      <c r="S863" s="28" t="s">
        <v>44</v>
      </c>
      <c r="T863" s="28" t="s">
        <v>44</v>
      </c>
      <c r="U863" s="28" t="s">
        <v>44</v>
      </c>
      <c r="V863" s="28" t="s">
        <v>5177</v>
      </c>
      <c r="W863" s="28" t="s">
        <v>774</v>
      </c>
      <c r="X863" s="28"/>
      <c r="Y863" s="28"/>
      <c r="Z863" s="28"/>
      <c r="AA863" s="28"/>
    </row>
    <row r="864">
      <c r="A864" s="270" t="s">
        <v>5178</v>
      </c>
      <c r="B864" s="28" t="s">
        <v>36</v>
      </c>
      <c r="C864" s="28" t="s">
        <v>5179</v>
      </c>
      <c r="D864" s="28" t="s">
        <v>44</v>
      </c>
      <c r="E864" s="28" t="s">
        <v>44</v>
      </c>
      <c r="F864" s="28" t="s">
        <v>4679</v>
      </c>
      <c r="G864" s="28" t="s">
        <v>47</v>
      </c>
      <c r="H864" s="28" t="s">
        <v>48</v>
      </c>
      <c r="I864" s="28" t="s">
        <v>485</v>
      </c>
      <c r="J864" s="28" t="s">
        <v>4680</v>
      </c>
      <c r="K864" s="28" t="s">
        <v>51</v>
      </c>
      <c r="L864" s="28" t="s">
        <v>52</v>
      </c>
      <c r="M864" s="28" t="s">
        <v>52</v>
      </c>
      <c r="N864" s="28" t="s">
        <v>4928</v>
      </c>
      <c r="O864" s="28" t="s">
        <v>44</v>
      </c>
      <c r="P864" s="28" t="s">
        <v>5042</v>
      </c>
      <c r="Q864" s="28" t="s">
        <v>5180</v>
      </c>
      <c r="R864" s="28" t="s">
        <v>44</v>
      </c>
      <c r="S864" s="28" t="s">
        <v>44</v>
      </c>
      <c r="T864" s="28" t="s">
        <v>44</v>
      </c>
      <c r="U864" s="28" t="s">
        <v>44</v>
      </c>
      <c r="V864" s="28" t="s">
        <v>5181</v>
      </c>
      <c r="W864" s="28" t="s">
        <v>774</v>
      </c>
      <c r="X864" s="28"/>
      <c r="Y864" s="28"/>
      <c r="Z864" s="28"/>
      <c r="AA864" s="28"/>
    </row>
    <row r="865">
      <c r="A865" s="270" t="s">
        <v>5182</v>
      </c>
      <c r="B865" s="28" t="s">
        <v>36</v>
      </c>
      <c r="C865" s="28" t="s">
        <v>5183</v>
      </c>
      <c r="D865" s="28" t="s">
        <v>44</v>
      </c>
      <c r="E865" s="28" t="s">
        <v>44</v>
      </c>
      <c r="F865" s="28" t="s">
        <v>4679</v>
      </c>
      <c r="G865" s="28" t="s">
        <v>47</v>
      </c>
      <c r="H865" s="28" t="s">
        <v>48</v>
      </c>
      <c r="I865" s="28" t="s">
        <v>485</v>
      </c>
      <c r="J865" s="28" t="s">
        <v>4680</v>
      </c>
      <c r="K865" s="28" t="s">
        <v>51</v>
      </c>
      <c r="L865" s="28" t="s">
        <v>52</v>
      </c>
      <c r="M865" s="28" t="s">
        <v>52</v>
      </c>
      <c r="N865" s="28" t="s">
        <v>4928</v>
      </c>
      <c r="O865" s="28" t="s">
        <v>44</v>
      </c>
      <c r="P865" s="28" t="s">
        <v>5184</v>
      </c>
      <c r="Q865" s="28" t="s">
        <v>5185</v>
      </c>
      <c r="R865" s="28" t="s">
        <v>44</v>
      </c>
      <c r="S865" s="28" t="s">
        <v>44</v>
      </c>
      <c r="T865" s="28" t="s">
        <v>44</v>
      </c>
      <c r="U865" s="28" t="s">
        <v>44</v>
      </c>
      <c r="V865" s="28" t="s">
        <v>5186</v>
      </c>
      <c r="W865" s="28" t="s">
        <v>774</v>
      </c>
      <c r="X865" s="28"/>
      <c r="Y865" s="28"/>
      <c r="Z865" s="28"/>
      <c r="AA865" s="28"/>
    </row>
    <row r="866">
      <c r="A866" s="270" t="s">
        <v>5187</v>
      </c>
      <c r="B866" s="28" t="s">
        <v>36</v>
      </c>
      <c r="C866" s="28" t="s">
        <v>5188</v>
      </c>
      <c r="D866" s="28" t="s">
        <v>44</v>
      </c>
      <c r="E866" s="28" t="s">
        <v>44</v>
      </c>
      <c r="F866" s="28" t="s">
        <v>4679</v>
      </c>
      <c r="G866" s="28" t="s">
        <v>47</v>
      </c>
      <c r="H866" s="28" t="s">
        <v>48</v>
      </c>
      <c r="I866" s="28" t="s">
        <v>485</v>
      </c>
      <c r="J866" s="28" t="s">
        <v>4680</v>
      </c>
      <c r="K866" s="28" t="s">
        <v>51</v>
      </c>
      <c r="L866" s="28" t="s">
        <v>52</v>
      </c>
      <c r="M866" s="28" t="s">
        <v>52</v>
      </c>
      <c r="N866" s="28" t="s">
        <v>4928</v>
      </c>
      <c r="O866" s="28" t="s">
        <v>44</v>
      </c>
      <c r="P866" s="28" t="s">
        <v>5189</v>
      </c>
      <c r="Q866" s="28" t="s">
        <v>5190</v>
      </c>
      <c r="R866" s="28" t="s">
        <v>44</v>
      </c>
      <c r="S866" s="28" t="s">
        <v>44</v>
      </c>
      <c r="T866" s="28" t="s">
        <v>44</v>
      </c>
      <c r="U866" s="28" t="s">
        <v>44</v>
      </c>
      <c r="V866" s="28" t="s">
        <v>5191</v>
      </c>
      <c r="W866" s="28" t="s">
        <v>5192</v>
      </c>
      <c r="X866" s="28"/>
      <c r="Y866" s="28"/>
      <c r="Z866" s="28"/>
      <c r="AA866" s="28"/>
    </row>
    <row r="867">
      <c r="A867" s="270" t="s">
        <v>5193</v>
      </c>
      <c r="B867" s="28" t="s">
        <v>36</v>
      </c>
      <c r="C867" s="28" t="s">
        <v>5194</v>
      </c>
      <c r="D867" s="28" t="s">
        <v>44</v>
      </c>
      <c r="E867" s="28" t="s">
        <v>44</v>
      </c>
      <c r="F867" s="28" t="s">
        <v>4679</v>
      </c>
      <c r="G867" s="28" t="s">
        <v>47</v>
      </c>
      <c r="H867" s="28" t="s">
        <v>48</v>
      </c>
      <c r="I867" s="28" t="s">
        <v>485</v>
      </c>
      <c r="J867" s="28" t="s">
        <v>4680</v>
      </c>
      <c r="K867" s="28" t="s">
        <v>51</v>
      </c>
      <c r="L867" s="28" t="s">
        <v>52</v>
      </c>
      <c r="M867" s="28" t="s">
        <v>52</v>
      </c>
      <c r="N867" s="28" t="s">
        <v>4928</v>
      </c>
      <c r="O867" s="28" t="s">
        <v>44</v>
      </c>
      <c r="P867" s="28" t="s">
        <v>5195</v>
      </c>
      <c r="Q867" s="28" t="s">
        <v>5196</v>
      </c>
      <c r="R867" s="28" t="s">
        <v>44</v>
      </c>
      <c r="S867" s="28" t="s">
        <v>44</v>
      </c>
      <c r="T867" s="28" t="s">
        <v>44</v>
      </c>
      <c r="U867" s="28" t="s">
        <v>44</v>
      </c>
      <c r="V867" s="28" t="s">
        <v>5197</v>
      </c>
      <c r="W867" s="28" t="s">
        <v>5192</v>
      </c>
      <c r="X867" s="28"/>
      <c r="Y867" s="28"/>
      <c r="Z867" s="28"/>
      <c r="AA867" s="28"/>
    </row>
    <row r="868">
      <c r="A868" s="270" t="s">
        <v>5198</v>
      </c>
      <c r="B868" s="28" t="s">
        <v>36</v>
      </c>
      <c r="C868" s="28" t="s">
        <v>5199</v>
      </c>
      <c r="D868" s="28" t="s">
        <v>44</v>
      </c>
      <c r="E868" s="28" t="s">
        <v>44</v>
      </c>
      <c r="F868" s="28" t="s">
        <v>4679</v>
      </c>
      <c r="G868" s="28" t="s">
        <v>47</v>
      </c>
      <c r="H868" s="28" t="s">
        <v>48</v>
      </c>
      <c r="I868" s="28" t="s">
        <v>485</v>
      </c>
      <c r="J868" s="28" t="s">
        <v>4680</v>
      </c>
      <c r="K868" s="28" t="s">
        <v>51</v>
      </c>
      <c r="L868" s="28" t="s">
        <v>52</v>
      </c>
      <c r="M868" s="28" t="s">
        <v>52</v>
      </c>
      <c r="N868" s="28" t="s">
        <v>4928</v>
      </c>
      <c r="O868" s="28" t="s">
        <v>44</v>
      </c>
      <c r="P868" s="28" t="s">
        <v>5200</v>
      </c>
      <c r="Q868" s="28" t="s">
        <v>5201</v>
      </c>
      <c r="R868" s="28" t="s">
        <v>44</v>
      </c>
      <c r="S868" s="28" t="s">
        <v>44</v>
      </c>
      <c r="T868" s="28" t="s">
        <v>44</v>
      </c>
      <c r="U868" s="28" t="s">
        <v>44</v>
      </c>
      <c r="V868" s="28" t="s">
        <v>5202</v>
      </c>
      <c r="W868" s="28" t="s">
        <v>5203</v>
      </c>
      <c r="X868" s="28"/>
      <c r="Y868" s="28"/>
      <c r="Z868" s="28"/>
      <c r="AA868" s="28"/>
    </row>
    <row r="869">
      <c r="A869" s="270" t="s">
        <v>5204</v>
      </c>
      <c r="B869" s="28" t="s">
        <v>36</v>
      </c>
      <c r="C869" s="28" t="s">
        <v>5205</v>
      </c>
      <c r="D869" s="28" t="s">
        <v>44</v>
      </c>
      <c r="E869" s="28" t="s">
        <v>44</v>
      </c>
      <c r="F869" s="28" t="s">
        <v>4679</v>
      </c>
      <c r="G869" s="28" t="s">
        <v>47</v>
      </c>
      <c r="H869" s="28" t="s">
        <v>48</v>
      </c>
      <c r="I869" s="28" t="s">
        <v>485</v>
      </c>
      <c r="J869" s="28" t="s">
        <v>4680</v>
      </c>
      <c r="K869" s="28" t="s">
        <v>51</v>
      </c>
      <c r="L869" s="28" t="s">
        <v>52</v>
      </c>
      <c r="M869" s="28" t="s">
        <v>52</v>
      </c>
      <c r="N869" s="28" t="s">
        <v>4928</v>
      </c>
      <c r="O869" s="28" t="s">
        <v>44</v>
      </c>
      <c r="P869" s="28" t="s">
        <v>5206</v>
      </c>
      <c r="Q869" s="28" t="s">
        <v>5207</v>
      </c>
      <c r="R869" s="28" t="s">
        <v>44</v>
      </c>
      <c r="S869" s="28" t="s">
        <v>44</v>
      </c>
      <c r="T869" s="28" t="s">
        <v>44</v>
      </c>
      <c r="U869" s="28" t="s">
        <v>44</v>
      </c>
      <c r="V869" s="28" t="s">
        <v>5208</v>
      </c>
      <c r="W869" s="28" t="s">
        <v>5209</v>
      </c>
      <c r="X869" s="28"/>
      <c r="Y869" s="28"/>
      <c r="Z869" s="28"/>
      <c r="AA869" s="28"/>
    </row>
    <row r="870">
      <c r="A870" s="270" t="s">
        <v>5210</v>
      </c>
      <c r="B870" s="28" t="s">
        <v>36</v>
      </c>
      <c r="C870" s="28" t="s">
        <v>5211</v>
      </c>
      <c r="D870" s="28" t="s">
        <v>44</v>
      </c>
      <c r="E870" s="28" t="s">
        <v>44</v>
      </c>
      <c r="F870" s="28" t="s">
        <v>4679</v>
      </c>
      <c r="G870" s="28" t="s">
        <v>47</v>
      </c>
      <c r="H870" s="28" t="s">
        <v>48</v>
      </c>
      <c r="I870" s="28" t="s">
        <v>485</v>
      </c>
      <c r="J870" s="28" t="s">
        <v>4680</v>
      </c>
      <c r="K870" s="28" t="s">
        <v>51</v>
      </c>
      <c r="L870" s="28" t="s">
        <v>52</v>
      </c>
      <c r="M870" s="28" t="s">
        <v>52</v>
      </c>
      <c r="N870" s="28" t="s">
        <v>4928</v>
      </c>
      <c r="O870" s="28" t="s">
        <v>44</v>
      </c>
      <c r="P870" s="28" t="s">
        <v>5212</v>
      </c>
      <c r="Q870" s="28" t="s">
        <v>5213</v>
      </c>
      <c r="R870" s="28" t="s">
        <v>44</v>
      </c>
      <c r="S870" s="28" t="s">
        <v>44</v>
      </c>
      <c r="T870" s="28" t="s">
        <v>44</v>
      </c>
      <c r="U870" s="28" t="s">
        <v>44</v>
      </c>
      <c r="V870" s="28" t="s">
        <v>5214</v>
      </c>
      <c r="W870" s="28" t="s">
        <v>774</v>
      </c>
      <c r="X870" s="28"/>
      <c r="Y870" s="28"/>
      <c r="Z870" s="28"/>
      <c r="AA870" s="28"/>
    </row>
    <row r="871">
      <c r="A871" s="270" t="s">
        <v>5215</v>
      </c>
      <c r="B871" s="28" t="s">
        <v>36</v>
      </c>
      <c r="C871" s="28" t="s">
        <v>5216</v>
      </c>
      <c r="D871" s="28" t="s">
        <v>44</v>
      </c>
      <c r="E871" s="28" t="s">
        <v>44</v>
      </c>
      <c r="F871" s="28" t="s">
        <v>4679</v>
      </c>
      <c r="G871" s="28" t="s">
        <v>47</v>
      </c>
      <c r="H871" s="28" t="s">
        <v>48</v>
      </c>
      <c r="I871" s="28" t="s">
        <v>485</v>
      </c>
      <c r="J871" s="28" t="s">
        <v>4680</v>
      </c>
      <c r="K871" s="28" t="s">
        <v>51</v>
      </c>
      <c r="L871" s="28" t="s">
        <v>52</v>
      </c>
      <c r="M871" s="28" t="s">
        <v>52</v>
      </c>
      <c r="N871" s="28" t="s">
        <v>4928</v>
      </c>
      <c r="O871" s="28" t="s">
        <v>44</v>
      </c>
      <c r="P871" s="28" t="s">
        <v>5217</v>
      </c>
      <c r="Q871" s="28" t="s">
        <v>5218</v>
      </c>
      <c r="R871" s="28" t="s">
        <v>44</v>
      </c>
      <c r="S871" s="28" t="s">
        <v>44</v>
      </c>
      <c r="T871" s="28" t="s">
        <v>44</v>
      </c>
      <c r="U871" s="28" t="s">
        <v>44</v>
      </c>
      <c r="V871" s="28" t="s">
        <v>5219</v>
      </c>
      <c r="W871" s="28" t="s">
        <v>774</v>
      </c>
      <c r="X871" s="28"/>
      <c r="Y871" s="28"/>
      <c r="Z871" s="28"/>
      <c r="AA871" s="28"/>
    </row>
    <row r="872">
      <c r="A872" s="270" t="s">
        <v>5220</v>
      </c>
      <c r="B872" s="28" t="s">
        <v>36</v>
      </c>
      <c r="C872" s="28" t="s">
        <v>5221</v>
      </c>
      <c r="D872" s="28" t="s">
        <v>44</v>
      </c>
      <c r="E872" s="28" t="s">
        <v>44</v>
      </c>
      <c r="F872" s="28" t="s">
        <v>4679</v>
      </c>
      <c r="G872" s="28" t="s">
        <v>47</v>
      </c>
      <c r="H872" s="28" t="s">
        <v>48</v>
      </c>
      <c r="I872" s="28" t="s">
        <v>485</v>
      </c>
      <c r="J872" s="28" t="s">
        <v>4680</v>
      </c>
      <c r="K872" s="28" t="s">
        <v>51</v>
      </c>
      <c r="L872" s="28" t="s">
        <v>52</v>
      </c>
      <c r="M872" s="28" t="s">
        <v>52</v>
      </c>
      <c r="N872" s="28" t="s">
        <v>4928</v>
      </c>
      <c r="O872" s="28" t="s">
        <v>44</v>
      </c>
      <c r="P872" s="28" t="s">
        <v>5222</v>
      </c>
      <c r="Q872" s="28" t="s">
        <v>5223</v>
      </c>
      <c r="R872" s="28" t="s">
        <v>44</v>
      </c>
      <c r="S872" s="28" t="s">
        <v>44</v>
      </c>
      <c r="T872" s="28" t="s">
        <v>44</v>
      </c>
      <c r="U872" s="28" t="s">
        <v>44</v>
      </c>
      <c r="V872" s="28" t="s">
        <v>5224</v>
      </c>
      <c r="W872" s="28" t="s">
        <v>774</v>
      </c>
      <c r="X872" s="28"/>
      <c r="Y872" s="28"/>
      <c r="Z872" s="28"/>
      <c r="AA872" s="28"/>
    </row>
    <row r="873">
      <c r="A873" s="270" t="s">
        <v>5225</v>
      </c>
      <c r="B873" s="28" t="s">
        <v>36</v>
      </c>
      <c r="C873" s="28" t="s">
        <v>5226</v>
      </c>
      <c r="D873" s="28" t="s">
        <v>44</v>
      </c>
      <c r="E873" s="28" t="s">
        <v>44</v>
      </c>
      <c r="F873" s="28" t="s">
        <v>4679</v>
      </c>
      <c r="G873" s="28" t="s">
        <v>47</v>
      </c>
      <c r="H873" s="28" t="s">
        <v>48</v>
      </c>
      <c r="I873" s="28" t="s">
        <v>485</v>
      </c>
      <c r="J873" s="28" t="s">
        <v>4680</v>
      </c>
      <c r="K873" s="28" t="s">
        <v>51</v>
      </c>
      <c r="L873" s="28" t="s">
        <v>52</v>
      </c>
      <c r="M873" s="28" t="s">
        <v>52</v>
      </c>
      <c r="N873" s="28" t="s">
        <v>4928</v>
      </c>
      <c r="O873" s="28" t="s">
        <v>44</v>
      </c>
      <c r="P873" s="28" t="s">
        <v>5227</v>
      </c>
      <c r="Q873" s="28" t="s">
        <v>5228</v>
      </c>
      <c r="R873" s="28" t="s">
        <v>44</v>
      </c>
      <c r="S873" s="28" t="s">
        <v>44</v>
      </c>
      <c r="T873" s="28" t="s">
        <v>44</v>
      </c>
      <c r="U873" s="28" t="s">
        <v>44</v>
      </c>
      <c r="V873" s="28" t="s">
        <v>5229</v>
      </c>
      <c r="W873" s="28" t="s">
        <v>774</v>
      </c>
      <c r="X873" s="28"/>
      <c r="Y873" s="28"/>
      <c r="Z873" s="28"/>
      <c r="AA873" s="28"/>
    </row>
    <row r="874">
      <c r="A874" s="270" t="s">
        <v>5230</v>
      </c>
      <c r="B874" s="28" t="s">
        <v>36</v>
      </c>
      <c r="C874" s="28" t="s">
        <v>5231</v>
      </c>
      <c r="D874" s="28" t="s">
        <v>44</v>
      </c>
      <c r="E874" s="28" t="s">
        <v>44</v>
      </c>
      <c r="F874" s="28" t="s">
        <v>4679</v>
      </c>
      <c r="G874" s="28" t="s">
        <v>47</v>
      </c>
      <c r="H874" s="28" t="s">
        <v>48</v>
      </c>
      <c r="I874" s="28" t="s">
        <v>485</v>
      </c>
      <c r="J874" s="28" t="s">
        <v>4680</v>
      </c>
      <c r="K874" s="28" t="s">
        <v>51</v>
      </c>
      <c r="L874" s="28" t="s">
        <v>52</v>
      </c>
      <c r="M874" s="28" t="s">
        <v>52</v>
      </c>
      <c r="N874" s="28" t="s">
        <v>4928</v>
      </c>
      <c r="O874" s="28" t="s">
        <v>44</v>
      </c>
      <c r="P874" s="28" t="s">
        <v>5232</v>
      </c>
      <c r="Q874" s="28" t="s">
        <v>5233</v>
      </c>
      <c r="R874" s="28" t="s">
        <v>44</v>
      </c>
      <c r="S874" s="28" t="s">
        <v>44</v>
      </c>
      <c r="T874" s="28" t="s">
        <v>44</v>
      </c>
      <c r="U874" s="28" t="s">
        <v>44</v>
      </c>
      <c r="V874" s="28" t="s">
        <v>5234</v>
      </c>
      <c r="W874" s="28" t="s">
        <v>774</v>
      </c>
      <c r="X874" s="28"/>
      <c r="Y874" s="28"/>
      <c r="Z874" s="28"/>
      <c r="AA874" s="28"/>
    </row>
    <row r="875">
      <c r="A875" s="270" t="s">
        <v>5235</v>
      </c>
      <c r="B875" s="28" t="s">
        <v>36</v>
      </c>
      <c r="C875" s="28" t="s">
        <v>5236</v>
      </c>
      <c r="D875" s="28" t="s">
        <v>44</v>
      </c>
      <c r="E875" s="28" t="s">
        <v>44</v>
      </c>
      <c r="F875" s="28" t="s">
        <v>4679</v>
      </c>
      <c r="G875" s="28" t="s">
        <v>47</v>
      </c>
      <c r="H875" s="28" t="s">
        <v>48</v>
      </c>
      <c r="I875" s="28" t="s">
        <v>485</v>
      </c>
      <c r="J875" s="28" t="s">
        <v>4680</v>
      </c>
      <c r="K875" s="28" t="s">
        <v>51</v>
      </c>
      <c r="L875" s="28" t="s">
        <v>52</v>
      </c>
      <c r="M875" s="28" t="s">
        <v>52</v>
      </c>
      <c r="N875" s="28" t="s">
        <v>5237</v>
      </c>
      <c r="O875" s="28" t="s">
        <v>44</v>
      </c>
      <c r="P875" s="28" t="s">
        <v>5238</v>
      </c>
      <c r="Q875" s="28" t="s">
        <v>5239</v>
      </c>
      <c r="R875" s="28" t="s">
        <v>44</v>
      </c>
      <c r="S875" s="28" t="s">
        <v>44</v>
      </c>
      <c r="T875" s="28" t="s">
        <v>44</v>
      </c>
      <c r="U875" s="28" t="s">
        <v>44</v>
      </c>
      <c r="V875" s="28" t="s">
        <v>5240</v>
      </c>
      <c r="W875" s="28" t="s">
        <v>774</v>
      </c>
      <c r="X875" s="28"/>
      <c r="Y875" s="28"/>
      <c r="Z875" s="28"/>
      <c r="AA875" s="28"/>
    </row>
    <row r="876">
      <c r="A876" s="270" t="s">
        <v>5241</v>
      </c>
      <c r="B876" s="28" t="s">
        <v>36</v>
      </c>
      <c r="C876" s="28" t="s">
        <v>5242</v>
      </c>
      <c r="D876" s="28" t="s">
        <v>44</v>
      </c>
      <c r="E876" s="28" t="s">
        <v>44</v>
      </c>
      <c r="F876" s="28" t="s">
        <v>4679</v>
      </c>
      <c r="G876" s="28" t="s">
        <v>47</v>
      </c>
      <c r="H876" s="28" t="s">
        <v>48</v>
      </c>
      <c r="I876" s="28" t="s">
        <v>485</v>
      </c>
      <c r="J876" s="28" t="s">
        <v>4680</v>
      </c>
      <c r="K876" s="28" t="s">
        <v>51</v>
      </c>
      <c r="L876" s="28" t="s">
        <v>52</v>
      </c>
      <c r="M876" s="28" t="s">
        <v>52</v>
      </c>
      <c r="N876" s="28" t="s">
        <v>4928</v>
      </c>
      <c r="O876" s="28" t="s">
        <v>44</v>
      </c>
      <c r="P876" s="28" t="s">
        <v>5243</v>
      </c>
      <c r="Q876" s="28" t="s">
        <v>5244</v>
      </c>
      <c r="R876" s="28" t="s">
        <v>44</v>
      </c>
      <c r="S876" s="28" t="s">
        <v>44</v>
      </c>
      <c r="T876" s="28" t="s">
        <v>44</v>
      </c>
      <c r="U876" s="28" t="s">
        <v>44</v>
      </c>
      <c r="V876" s="28" t="s">
        <v>5245</v>
      </c>
      <c r="W876" s="28" t="s">
        <v>774</v>
      </c>
      <c r="X876" s="28"/>
      <c r="Y876" s="28"/>
      <c r="Z876" s="28"/>
      <c r="AA876" s="28"/>
    </row>
    <row r="877">
      <c r="A877" s="270" t="s">
        <v>5246</v>
      </c>
      <c r="B877" s="28" t="s">
        <v>36</v>
      </c>
      <c r="C877" s="28" t="s">
        <v>5247</v>
      </c>
      <c r="D877" s="28" t="s">
        <v>44</v>
      </c>
      <c r="E877" s="28" t="s">
        <v>44</v>
      </c>
      <c r="F877" s="28" t="s">
        <v>4679</v>
      </c>
      <c r="G877" s="28" t="s">
        <v>47</v>
      </c>
      <c r="H877" s="28" t="s">
        <v>48</v>
      </c>
      <c r="I877" s="28" t="s">
        <v>485</v>
      </c>
      <c r="J877" s="28" t="s">
        <v>4680</v>
      </c>
      <c r="K877" s="28" t="s">
        <v>51</v>
      </c>
      <c r="L877" s="28" t="s">
        <v>52</v>
      </c>
      <c r="M877" s="28" t="s">
        <v>52</v>
      </c>
      <c r="N877" s="28" t="s">
        <v>4928</v>
      </c>
      <c r="O877" s="28" t="s">
        <v>44</v>
      </c>
      <c r="P877" s="28" t="s">
        <v>5248</v>
      </c>
      <c r="Q877" s="28" t="s">
        <v>5249</v>
      </c>
      <c r="R877" s="28" t="s">
        <v>44</v>
      </c>
      <c r="S877" s="28" t="s">
        <v>44</v>
      </c>
      <c r="T877" s="28" t="s">
        <v>44</v>
      </c>
      <c r="U877" s="28" t="s">
        <v>44</v>
      </c>
      <c r="V877" s="28" t="s">
        <v>5250</v>
      </c>
      <c r="W877" s="28" t="s">
        <v>774</v>
      </c>
      <c r="X877" s="28"/>
      <c r="Y877" s="28"/>
      <c r="Z877" s="28"/>
      <c r="AA877" s="28"/>
    </row>
    <row r="878">
      <c r="A878" s="270" t="s">
        <v>5251</v>
      </c>
      <c r="B878" s="28" t="s">
        <v>36</v>
      </c>
      <c r="C878" s="28" t="s">
        <v>5252</v>
      </c>
      <c r="D878" s="28" t="s">
        <v>44</v>
      </c>
      <c r="E878" s="28" t="s">
        <v>44</v>
      </c>
      <c r="F878" s="28" t="s">
        <v>4679</v>
      </c>
      <c r="G878" s="28" t="s">
        <v>47</v>
      </c>
      <c r="H878" s="28" t="s">
        <v>48</v>
      </c>
      <c r="I878" s="28" t="s">
        <v>485</v>
      </c>
      <c r="J878" s="28" t="s">
        <v>4680</v>
      </c>
      <c r="K878" s="28" t="s">
        <v>51</v>
      </c>
      <c r="L878" s="28" t="s">
        <v>52</v>
      </c>
      <c r="M878" s="28" t="s">
        <v>52</v>
      </c>
      <c r="N878" s="28" t="s">
        <v>5253</v>
      </c>
      <c r="O878" s="28" t="s">
        <v>44</v>
      </c>
      <c r="P878" s="28" t="s">
        <v>5254</v>
      </c>
      <c r="Q878" s="28" t="s">
        <v>5255</v>
      </c>
      <c r="R878" s="28" t="s">
        <v>44</v>
      </c>
      <c r="S878" s="28" t="s">
        <v>44</v>
      </c>
      <c r="T878" s="28" t="s">
        <v>44</v>
      </c>
      <c r="U878" s="28" t="s">
        <v>44</v>
      </c>
      <c r="V878" s="28" t="s">
        <v>5256</v>
      </c>
      <c r="W878" s="28" t="s">
        <v>774</v>
      </c>
      <c r="X878" s="28"/>
      <c r="Y878" s="28"/>
      <c r="Z878" s="28"/>
      <c r="AA878" s="28"/>
    </row>
    <row r="879">
      <c r="A879" s="270" t="s">
        <v>5257</v>
      </c>
      <c r="B879" s="28" t="s">
        <v>36</v>
      </c>
      <c r="C879" s="28" t="s">
        <v>5258</v>
      </c>
      <c r="D879" s="28" t="s">
        <v>44</v>
      </c>
      <c r="E879" s="28" t="s">
        <v>44</v>
      </c>
      <c r="F879" s="28" t="s">
        <v>4679</v>
      </c>
      <c r="G879" s="28" t="s">
        <v>47</v>
      </c>
      <c r="H879" s="28" t="s">
        <v>48</v>
      </c>
      <c r="I879" s="28" t="s">
        <v>485</v>
      </c>
      <c r="J879" s="28" t="s">
        <v>4680</v>
      </c>
      <c r="K879" s="28" t="s">
        <v>51</v>
      </c>
      <c r="L879" s="28" t="s">
        <v>52</v>
      </c>
      <c r="M879" s="28" t="s">
        <v>52</v>
      </c>
      <c r="N879" s="28" t="s">
        <v>4928</v>
      </c>
      <c r="O879" s="28" t="s">
        <v>44</v>
      </c>
      <c r="P879" s="28" t="s">
        <v>5259</v>
      </c>
      <c r="Q879" s="28" t="s">
        <v>5260</v>
      </c>
      <c r="R879" s="28" t="s">
        <v>44</v>
      </c>
      <c r="S879" s="28" t="s">
        <v>44</v>
      </c>
      <c r="T879" s="28" t="s">
        <v>44</v>
      </c>
      <c r="U879" s="28" t="s">
        <v>44</v>
      </c>
      <c r="V879" s="28" t="s">
        <v>5261</v>
      </c>
      <c r="W879" s="28" t="s">
        <v>774</v>
      </c>
      <c r="X879" s="28"/>
      <c r="Y879" s="28"/>
      <c r="Z879" s="28"/>
      <c r="AA879" s="28"/>
    </row>
    <row r="880">
      <c r="A880" s="270" t="s">
        <v>5262</v>
      </c>
      <c r="B880" s="28" t="s">
        <v>36</v>
      </c>
      <c r="C880" s="28" t="s">
        <v>5263</v>
      </c>
      <c r="D880" s="28" t="s">
        <v>44</v>
      </c>
      <c r="E880" s="28" t="s">
        <v>44</v>
      </c>
      <c r="F880" s="28" t="s">
        <v>4679</v>
      </c>
      <c r="G880" s="28" t="s">
        <v>47</v>
      </c>
      <c r="H880" s="28" t="s">
        <v>95</v>
      </c>
      <c r="I880" s="28" t="s">
        <v>485</v>
      </c>
      <c r="J880" s="28" t="s">
        <v>4680</v>
      </c>
      <c r="K880" s="28" t="s">
        <v>51</v>
      </c>
      <c r="L880" s="28" t="s">
        <v>52</v>
      </c>
      <c r="M880" s="28" t="s">
        <v>52</v>
      </c>
      <c r="N880" s="28" t="s">
        <v>5264</v>
      </c>
      <c r="O880" s="28" t="s">
        <v>44</v>
      </c>
      <c r="P880" s="28" t="s">
        <v>5265</v>
      </c>
      <c r="Q880" s="28" t="s">
        <v>5266</v>
      </c>
      <c r="R880" s="28" t="s">
        <v>44</v>
      </c>
      <c r="S880" s="28" t="s">
        <v>44</v>
      </c>
      <c r="T880" s="28" t="s">
        <v>44</v>
      </c>
      <c r="U880" s="28" t="s">
        <v>44</v>
      </c>
      <c r="V880" s="28" t="s">
        <v>5267</v>
      </c>
      <c r="W880" s="28" t="s">
        <v>774</v>
      </c>
      <c r="X880" s="28"/>
      <c r="Y880" s="28"/>
      <c r="Z880" s="28"/>
      <c r="AA880" s="28"/>
    </row>
    <row r="881">
      <c r="A881" s="270" t="s">
        <v>5268</v>
      </c>
      <c r="B881" s="28" t="s">
        <v>36</v>
      </c>
      <c r="C881" s="28" t="s">
        <v>5269</v>
      </c>
      <c r="D881" s="28" t="s">
        <v>44</v>
      </c>
      <c r="E881" s="28" t="s">
        <v>44</v>
      </c>
      <c r="F881" s="28" t="s">
        <v>4679</v>
      </c>
      <c r="G881" s="28" t="s">
        <v>47</v>
      </c>
      <c r="H881" s="28" t="s">
        <v>95</v>
      </c>
      <c r="I881" s="28" t="s">
        <v>485</v>
      </c>
      <c r="J881" s="28" t="s">
        <v>4680</v>
      </c>
      <c r="K881" s="28" t="s">
        <v>51</v>
      </c>
      <c r="L881" s="28" t="s">
        <v>52</v>
      </c>
      <c r="M881" s="28" t="s">
        <v>52</v>
      </c>
      <c r="N881" s="28" t="s">
        <v>5264</v>
      </c>
      <c r="O881" s="28" t="s">
        <v>44</v>
      </c>
      <c r="P881" s="28" t="s">
        <v>5270</v>
      </c>
      <c r="Q881" s="28" t="s">
        <v>5271</v>
      </c>
      <c r="R881" s="28" t="s">
        <v>44</v>
      </c>
      <c r="S881" s="28" t="s">
        <v>44</v>
      </c>
      <c r="T881" s="28" t="s">
        <v>44</v>
      </c>
      <c r="U881" s="28" t="s">
        <v>44</v>
      </c>
      <c r="V881" s="28" t="s">
        <v>5272</v>
      </c>
      <c r="W881" s="28" t="s">
        <v>774</v>
      </c>
      <c r="X881" s="28"/>
      <c r="Y881" s="28"/>
      <c r="Z881" s="28"/>
      <c r="AA881" s="28"/>
    </row>
    <row r="882">
      <c r="A882" s="270" t="s">
        <v>5273</v>
      </c>
      <c r="B882" s="28" t="s">
        <v>36</v>
      </c>
      <c r="C882" s="28" t="s">
        <v>5274</v>
      </c>
      <c r="D882" s="28" t="s">
        <v>44</v>
      </c>
      <c r="E882" s="28" t="s">
        <v>44</v>
      </c>
      <c r="F882" s="28" t="s">
        <v>4679</v>
      </c>
      <c r="G882" s="28" t="s">
        <v>47</v>
      </c>
      <c r="H882" s="28" t="s">
        <v>48</v>
      </c>
      <c r="I882" s="28" t="s">
        <v>485</v>
      </c>
      <c r="J882" s="28" t="s">
        <v>4680</v>
      </c>
      <c r="K882" s="28" t="s">
        <v>51</v>
      </c>
      <c r="L882" s="28" t="s">
        <v>52</v>
      </c>
      <c r="M882" s="28" t="s">
        <v>52</v>
      </c>
      <c r="N882" s="28" t="s">
        <v>5275</v>
      </c>
      <c r="O882" s="28" t="s">
        <v>44</v>
      </c>
      <c r="P882" s="28" t="s">
        <v>5276</v>
      </c>
      <c r="Q882" s="28" t="s">
        <v>5277</v>
      </c>
      <c r="R882" s="28" t="s">
        <v>44</v>
      </c>
      <c r="S882" s="28" t="s">
        <v>44</v>
      </c>
      <c r="T882" s="28" t="s">
        <v>44</v>
      </c>
      <c r="U882" s="28" t="s">
        <v>44</v>
      </c>
      <c r="V882" s="28" t="s">
        <v>5278</v>
      </c>
      <c r="W882" s="28" t="s">
        <v>774</v>
      </c>
      <c r="X882" s="28"/>
      <c r="Y882" s="28"/>
      <c r="Z882" s="28"/>
      <c r="AA882" s="28"/>
    </row>
    <row r="883">
      <c r="A883" s="270" t="s">
        <v>5279</v>
      </c>
      <c r="B883" s="28" t="s">
        <v>36</v>
      </c>
      <c r="C883" s="28" t="s">
        <v>5280</v>
      </c>
      <c r="D883" s="28" t="s">
        <v>44</v>
      </c>
      <c r="E883" s="28" t="s">
        <v>44</v>
      </c>
      <c r="F883" s="28" t="s">
        <v>4679</v>
      </c>
      <c r="G883" s="28" t="s">
        <v>47</v>
      </c>
      <c r="H883" s="28" t="s">
        <v>48</v>
      </c>
      <c r="I883" s="28" t="s">
        <v>485</v>
      </c>
      <c r="J883" s="28" t="s">
        <v>4680</v>
      </c>
      <c r="K883" s="28" t="s">
        <v>51</v>
      </c>
      <c r="L883" s="28" t="s">
        <v>52</v>
      </c>
      <c r="M883" s="28" t="s">
        <v>52</v>
      </c>
      <c r="N883" s="28" t="s">
        <v>4928</v>
      </c>
      <c r="O883" s="28" t="s">
        <v>44</v>
      </c>
      <c r="P883" s="28" t="s">
        <v>5281</v>
      </c>
      <c r="Q883" s="28" t="s">
        <v>5282</v>
      </c>
      <c r="R883" s="28" t="s">
        <v>44</v>
      </c>
      <c r="S883" s="28" t="s">
        <v>44</v>
      </c>
      <c r="T883" s="28" t="s">
        <v>44</v>
      </c>
      <c r="U883" s="28" t="s">
        <v>44</v>
      </c>
      <c r="V883" s="28" t="s">
        <v>5283</v>
      </c>
      <c r="W883" s="28" t="s">
        <v>5284</v>
      </c>
      <c r="X883" s="28"/>
      <c r="Y883" s="28"/>
      <c r="Z883" s="28"/>
      <c r="AA883" s="28"/>
    </row>
    <row r="884">
      <c r="A884" s="270" t="s">
        <v>5285</v>
      </c>
      <c r="B884" s="28" t="s">
        <v>36</v>
      </c>
      <c r="C884" s="28" t="s">
        <v>5286</v>
      </c>
      <c r="D884" s="28" t="s">
        <v>44</v>
      </c>
      <c r="E884" s="28" t="s">
        <v>44</v>
      </c>
      <c r="F884" s="28" t="s">
        <v>4679</v>
      </c>
      <c r="G884" s="28" t="s">
        <v>47</v>
      </c>
      <c r="H884" s="28" t="s">
        <v>48</v>
      </c>
      <c r="I884" s="28" t="s">
        <v>485</v>
      </c>
      <c r="J884" s="28" t="s">
        <v>4680</v>
      </c>
      <c r="K884" s="28" t="s">
        <v>51</v>
      </c>
      <c r="L884" s="28" t="s">
        <v>52</v>
      </c>
      <c r="M884" s="28" t="s">
        <v>52</v>
      </c>
      <c r="N884" s="28" t="s">
        <v>4928</v>
      </c>
      <c r="O884" s="28" t="s">
        <v>44</v>
      </c>
      <c r="P884" s="28" t="s">
        <v>5287</v>
      </c>
      <c r="Q884" s="28" t="s">
        <v>5288</v>
      </c>
      <c r="R884" s="28" t="s">
        <v>44</v>
      </c>
      <c r="S884" s="28" t="s">
        <v>44</v>
      </c>
      <c r="T884" s="28" t="s">
        <v>44</v>
      </c>
      <c r="U884" s="28" t="s">
        <v>44</v>
      </c>
      <c r="V884" s="28" t="s">
        <v>5289</v>
      </c>
      <c r="W884" s="28" t="s">
        <v>5290</v>
      </c>
      <c r="X884" s="28"/>
      <c r="Y884" s="28"/>
      <c r="Z884" s="28"/>
      <c r="AA884" s="28"/>
    </row>
    <row r="885">
      <c r="A885" s="270" t="s">
        <v>5291</v>
      </c>
      <c r="B885" s="28" t="s">
        <v>36</v>
      </c>
      <c r="C885" s="28" t="s">
        <v>5292</v>
      </c>
      <c r="D885" s="28" t="s">
        <v>44</v>
      </c>
      <c r="E885" s="28" t="s">
        <v>44</v>
      </c>
      <c r="F885" s="28" t="s">
        <v>4679</v>
      </c>
      <c r="G885" s="28" t="s">
        <v>47</v>
      </c>
      <c r="H885" s="28" t="s">
        <v>95</v>
      </c>
      <c r="I885" s="28" t="s">
        <v>485</v>
      </c>
      <c r="J885" s="28" t="s">
        <v>4680</v>
      </c>
      <c r="K885" s="28" t="s">
        <v>51</v>
      </c>
      <c r="L885" s="28" t="s">
        <v>52</v>
      </c>
      <c r="M885" s="28" t="s">
        <v>52</v>
      </c>
      <c r="N885" s="28" t="s">
        <v>5293</v>
      </c>
      <c r="O885" s="28" t="s">
        <v>44</v>
      </c>
      <c r="P885" s="28" t="s">
        <v>5294</v>
      </c>
      <c r="Q885" s="28" t="s">
        <v>5295</v>
      </c>
      <c r="R885" s="28" t="s">
        <v>44</v>
      </c>
      <c r="S885" s="28" t="s">
        <v>44</v>
      </c>
      <c r="T885" s="28" t="s">
        <v>44</v>
      </c>
      <c r="U885" s="28" t="s">
        <v>44</v>
      </c>
      <c r="V885" s="28" t="s">
        <v>5296</v>
      </c>
      <c r="W885" s="28" t="s">
        <v>5297</v>
      </c>
      <c r="X885" s="28"/>
      <c r="Y885" s="28"/>
      <c r="Z885" s="28"/>
      <c r="AA885" s="28"/>
    </row>
    <row r="886">
      <c r="A886" s="270" t="s">
        <v>5298</v>
      </c>
      <c r="B886" s="28" t="s">
        <v>36</v>
      </c>
      <c r="C886" s="28" t="s">
        <v>5299</v>
      </c>
      <c r="D886" s="28" t="s">
        <v>44</v>
      </c>
      <c r="E886" s="28" t="s">
        <v>44</v>
      </c>
      <c r="F886" s="28" t="s">
        <v>4679</v>
      </c>
      <c r="G886" s="28" t="s">
        <v>47</v>
      </c>
      <c r="H886" s="28" t="s">
        <v>48</v>
      </c>
      <c r="I886" s="28" t="s">
        <v>485</v>
      </c>
      <c r="J886" s="28" t="s">
        <v>4680</v>
      </c>
      <c r="K886" s="28" t="s">
        <v>51</v>
      </c>
      <c r="L886" s="28" t="s">
        <v>52</v>
      </c>
      <c r="M886" s="28" t="s">
        <v>52</v>
      </c>
      <c r="N886" s="28" t="s">
        <v>5300</v>
      </c>
      <c r="O886" s="28" t="s">
        <v>44</v>
      </c>
      <c r="P886" s="28" t="s">
        <v>5301</v>
      </c>
      <c r="Q886" s="28" t="s">
        <v>5302</v>
      </c>
      <c r="R886" s="28" t="s">
        <v>44</v>
      </c>
      <c r="S886" s="28" t="s">
        <v>44</v>
      </c>
      <c r="T886" s="28" t="s">
        <v>44</v>
      </c>
      <c r="U886" s="28" t="s">
        <v>44</v>
      </c>
      <c r="V886" s="28" t="s">
        <v>5303</v>
      </c>
      <c r="W886" s="28" t="s">
        <v>5304</v>
      </c>
      <c r="X886" s="28"/>
      <c r="Y886" s="28"/>
      <c r="Z886" s="28"/>
      <c r="AA886" s="28"/>
    </row>
    <row r="887">
      <c r="A887" s="270" t="s">
        <v>5305</v>
      </c>
      <c r="B887" s="28" t="s">
        <v>36</v>
      </c>
      <c r="C887" s="28" t="s">
        <v>5306</v>
      </c>
      <c r="D887" s="28" t="s">
        <v>44</v>
      </c>
      <c r="E887" s="28" t="s">
        <v>44</v>
      </c>
      <c r="F887" s="28" t="s">
        <v>4679</v>
      </c>
      <c r="G887" s="28" t="s">
        <v>47</v>
      </c>
      <c r="H887" s="28" t="s">
        <v>48</v>
      </c>
      <c r="I887" s="28" t="s">
        <v>485</v>
      </c>
      <c r="J887" s="28" t="s">
        <v>4680</v>
      </c>
      <c r="K887" s="28" t="s">
        <v>51</v>
      </c>
      <c r="L887" s="28" t="s">
        <v>52</v>
      </c>
      <c r="M887" s="28" t="s">
        <v>52</v>
      </c>
      <c r="N887" s="28" t="s">
        <v>4681</v>
      </c>
      <c r="O887" s="28" t="s">
        <v>44</v>
      </c>
      <c r="P887" s="28" t="s">
        <v>5307</v>
      </c>
      <c r="Q887" s="28" t="s">
        <v>5308</v>
      </c>
      <c r="R887" s="28" t="s">
        <v>44</v>
      </c>
      <c r="S887" s="28" t="s">
        <v>44</v>
      </c>
      <c r="T887" s="28" t="s">
        <v>44</v>
      </c>
      <c r="U887" s="28" t="s">
        <v>44</v>
      </c>
      <c r="V887" s="28" t="s">
        <v>5309</v>
      </c>
      <c r="W887" s="28" t="s">
        <v>5310</v>
      </c>
      <c r="X887" s="28"/>
      <c r="Y887" s="28"/>
      <c r="Z887" s="28"/>
      <c r="AA887" s="28"/>
    </row>
    <row r="888">
      <c r="A888" s="270" t="s">
        <v>5311</v>
      </c>
      <c r="B888" s="28" t="s">
        <v>36</v>
      </c>
      <c r="C888" s="28" t="s">
        <v>5312</v>
      </c>
      <c r="D888" s="28" t="s">
        <v>44</v>
      </c>
      <c r="E888" s="28" t="s">
        <v>44</v>
      </c>
      <c r="F888" s="28" t="s">
        <v>4679</v>
      </c>
      <c r="G888" s="28" t="s">
        <v>47</v>
      </c>
      <c r="H888" s="28" t="s">
        <v>48</v>
      </c>
      <c r="I888" s="28" t="s">
        <v>485</v>
      </c>
      <c r="J888" s="28" t="s">
        <v>4680</v>
      </c>
      <c r="K888" s="28" t="s">
        <v>51</v>
      </c>
      <c r="L888" s="28" t="s">
        <v>52</v>
      </c>
      <c r="M888" s="28" t="s">
        <v>52</v>
      </c>
      <c r="N888" s="28" t="s">
        <v>4681</v>
      </c>
      <c r="O888" s="28" t="s">
        <v>44</v>
      </c>
      <c r="P888" s="28" t="s">
        <v>4486</v>
      </c>
      <c r="Q888" s="28" t="s">
        <v>5313</v>
      </c>
      <c r="R888" s="28" t="s">
        <v>44</v>
      </c>
      <c r="S888" s="28" t="s">
        <v>44</v>
      </c>
      <c r="T888" s="28" t="s">
        <v>44</v>
      </c>
      <c r="U888" s="28" t="s">
        <v>44</v>
      </c>
      <c r="V888" s="28" t="s">
        <v>5314</v>
      </c>
      <c r="W888" s="28" t="s">
        <v>774</v>
      </c>
      <c r="X888" s="28"/>
      <c r="Y888" s="28"/>
      <c r="Z888" s="28"/>
      <c r="AA888" s="28"/>
    </row>
    <row r="889">
      <c r="A889" s="270" t="s">
        <v>5315</v>
      </c>
      <c r="B889" s="28" t="s">
        <v>36</v>
      </c>
      <c r="C889" s="28" t="s">
        <v>5316</v>
      </c>
      <c r="D889" s="28" t="s">
        <v>44</v>
      </c>
      <c r="E889" s="28" t="s">
        <v>44</v>
      </c>
      <c r="F889" s="28" t="s">
        <v>4679</v>
      </c>
      <c r="G889" s="28" t="s">
        <v>47</v>
      </c>
      <c r="H889" s="28" t="s">
        <v>95</v>
      </c>
      <c r="I889" s="28" t="s">
        <v>485</v>
      </c>
      <c r="J889" s="28" t="s">
        <v>4680</v>
      </c>
      <c r="K889" s="28" t="s">
        <v>51</v>
      </c>
      <c r="L889" s="28" t="s">
        <v>52</v>
      </c>
      <c r="M889" s="28" t="s">
        <v>52</v>
      </c>
      <c r="N889" s="28" t="s">
        <v>4753</v>
      </c>
      <c r="O889" s="28" t="s">
        <v>44</v>
      </c>
      <c r="P889" s="28" t="s">
        <v>4492</v>
      </c>
      <c r="Q889" s="28" t="s">
        <v>4493</v>
      </c>
      <c r="R889" s="28" t="s">
        <v>44</v>
      </c>
      <c r="S889" s="28" t="s">
        <v>44</v>
      </c>
      <c r="T889" s="28" t="s">
        <v>44</v>
      </c>
      <c r="U889" s="28" t="s">
        <v>44</v>
      </c>
      <c r="V889" s="28" t="s">
        <v>5317</v>
      </c>
      <c r="W889" s="28" t="s">
        <v>5318</v>
      </c>
      <c r="X889" s="28"/>
      <c r="Y889" s="28"/>
      <c r="Z889" s="28"/>
      <c r="AA889" s="28"/>
    </row>
    <row r="890">
      <c r="A890" s="270" t="s">
        <v>5319</v>
      </c>
      <c r="B890" s="28" t="s">
        <v>36</v>
      </c>
      <c r="C890" s="28" t="s">
        <v>5320</v>
      </c>
      <c r="D890" s="28" t="s">
        <v>44</v>
      </c>
      <c r="E890" s="28" t="s">
        <v>44</v>
      </c>
      <c r="F890" s="28" t="s">
        <v>4679</v>
      </c>
      <c r="G890" s="28" t="s">
        <v>47</v>
      </c>
      <c r="H890" s="28" t="s">
        <v>48</v>
      </c>
      <c r="I890" s="28" t="s">
        <v>485</v>
      </c>
      <c r="J890" s="28" t="s">
        <v>4680</v>
      </c>
      <c r="K890" s="28" t="s">
        <v>51</v>
      </c>
      <c r="L890" s="28" t="s">
        <v>52</v>
      </c>
      <c r="M890" s="28" t="s">
        <v>52</v>
      </c>
      <c r="N890" s="28" t="s">
        <v>4681</v>
      </c>
      <c r="O890" s="28" t="s">
        <v>44</v>
      </c>
      <c r="P890" s="28" t="s">
        <v>5321</v>
      </c>
      <c r="Q890" s="28" t="s">
        <v>5322</v>
      </c>
      <c r="R890" s="28" t="s">
        <v>44</v>
      </c>
      <c r="S890" s="28" t="s">
        <v>44</v>
      </c>
      <c r="T890" s="28" t="s">
        <v>44</v>
      </c>
      <c r="U890" s="28" t="s">
        <v>44</v>
      </c>
      <c r="V890" s="28" t="s">
        <v>5323</v>
      </c>
      <c r="W890" s="28" t="s">
        <v>5324</v>
      </c>
      <c r="X890" s="28"/>
      <c r="Y890" s="28"/>
      <c r="Z890" s="28"/>
      <c r="AA890" s="28"/>
    </row>
    <row r="891">
      <c r="A891" s="270" t="s">
        <v>5325</v>
      </c>
      <c r="B891" s="28" t="s">
        <v>36</v>
      </c>
      <c r="C891" s="28" t="s">
        <v>5326</v>
      </c>
      <c r="D891" s="28" t="s">
        <v>44</v>
      </c>
      <c r="E891" s="28" t="s">
        <v>44</v>
      </c>
      <c r="F891" s="28" t="s">
        <v>4679</v>
      </c>
      <c r="G891" s="28" t="s">
        <v>47</v>
      </c>
      <c r="H891" s="28" t="s">
        <v>48</v>
      </c>
      <c r="I891" s="28" t="s">
        <v>485</v>
      </c>
      <c r="J891" s="28" t="s">
        <v>4680</v>
      </c>
      <c r="K891" s="28" t="s">
        <v>51</v>
      </c>
      <c r="L891" s="28" t="s">
        <v>52</v>
      </c>
      <c r="M891" s="28" t="s">
        <v>52</v>
      </c>
      <c r="N891" s="28" t="s">
        <v>4758</v>
      </c>
      <c r="O891" s="28" t="s">
        <v>44</v>
      </c>
      <c r="P891" s="28" t="s">
        <v>5327</v>
      </c>
      <c r="Q891" s="28" t="s">
        <v>5328</v>
      </c>
      <c r="R891" s="28" t="s">
        <v>44</v>
      </c>
      <c r="S891" s="28" t="s">
        <v>44</v>
      </c>
      <c r="T891" s="28" t="s">
        <v>44</v>
      </c>
      <c r="U891" s="28" t="s">
        <v>44</v>
      </c>
      <c r="V891" s="28" t="s">
        <v>5329</v>
      </c>
      <c r="W891" s="28" t="s">
        <v>5330</v>
      </c>
      <c r="X891" s="28"/>
      <c r="Y891" s="28"/>
      <c r="Z891" s="28"/>
      <c r="AA891" s="28"/>
    </row>
    <row r="892">
      <c r="A892" s="270" t="s">
        <v>5331</v>
      </c>
      <c r="B892" s="28" t="s">
        <v>36</v>
      </c>
      <c r="C892" s="28" t="s">
        <v>5332</v>
      </c>
      <c r="D892" s="28" t="s">
        <v>44</v>
      </c>
      <c r="E892" s="28" t="s">
        <v>44</v>
      </c>
      <c r="F892" s="28" t="s">
        <v>4679</v>
      </c>
      <c r="G892" s="28" t="s">
        <v>47</v>
      </c>
      <c r="H892" s="28" t="s">
        <v>95</v>
      </c>
      <c r="I892" s="28" t="s">
        <v>485</v>
      </c>
      <c r="J892" s="28" t="s">
        <v>4680</v>
      </c>
      <c r="K892" s="28" t="s">
        <v>51</v>
      </c>
      <c r="L892" s="28" t="s">
        <v>52</v>
      </c>
      <c r="M892" s="28" t="s">
        <v>52</v>
      </c>
      <c r="N892" s="28" t="s">
        <v>4758</v>
      </c>
      <c r="O892" s="28" t="s">
        <v>44</v>
      </c>
      <c r="P892" s="28" t="s">
        <v>5333</v>
      </c>
      <c r="Q892" s="28" t="s">
        <v>5334</v>
      </c>
      <c r="R892" s="28" t="s">
        <v>44</v>
      </c>
      <c r="S892" s="28" t="s">
        <v>44</v>
      </c>
      <c r="T892" s="28" t="s">
        <v>44</v>
      </c>
      <c r="U892" s="28" t="s">
        <v>44</v>
      </c>
      <c r="V892" s="28" t="s">
        <v>5335</v>
      </c>
      <c r="W892" s="28" t="s">
        <v>5336</v>
      </c>
      <c r="X892" s="28"/>
      <c r="Y892" s="28"/>
      <c r="Z892" s="28"/>
      <c r="AA892" s="28"/>
    </row>
    <row r="893">
      <c r="A893" s="270" t="s">
        <v>5337</v>
      </c>
      <c r="B893" s="28" t="s">
        <v>36</v>
      </c>
      <c r="C893" s="28" t="s">
        <v>5338</v>
      </c>
      <c r="D893" s="28" t="s">
        <v>44</v>
      </c>
      <c r="E893" s="28" t="s">
        <v>44</v>
      </c>
      <c r="F893" s="28" t="s">
        <v>4679</v>
      </c>
      <c r="G893" s="28" t="s">
        <v>47</v>
      </c>
      <c r="H893" s="28" t="s">
        <v>95</v>
      </c>
      <c r="I893" s="28" t="s">
        <v>485</v>
      </c>
      <c r="J893" s="28" t="s">
        <v>4680</v>
      </c>
      <c r="K893" s="28" t="s">
        <v>51</v>
      </c>
      <c r="L893" s="28" t="s">
        <v>52</v>
      </c>
      <c r="M893" s="28" t="s">
        <v>52</v>
      </c>
      <c r="N893" s="28" t="s">
        <v>4758</v>
      </c>
      <c r="O893" s="28" t="s">
        <v>44</v>
      </c>
      <c r="P893" s="28" t="s">
        <v>5339</v>
      </c>
      <c r="Q893" s="28" t="s">
        <v>5340</v>
      </c>
      <c r="R893" s="28" t="s">
        <v>44</v>
      </c>
      <c r="S893" s="28" t="s">
        <v>44</v>
      </c>
      <c r="T893" s="28" t="s">
        <v>44</v>
      </c>
      <c r="U893" s="28" t="s">
        <v>44</v>
      </c>
      <c r="V893" s="28" t="s">
        <v>5341</v>
      </c>
      <c r="W893" s="28" t="s">
        <v>5342</v>
      </c>
      <c r="X893" s="28"/>
      <c r="Y893" s="28"/>
      <c r="Z893" s="28"/>
      <c r="AA893" s="28"/>
    </row>
    <row r="894">
      <c r="A894" s="270" t="s">
        <v>5343</v>
      </c>
      <c r="B894" s="28" t="s">
        <v>36</v>
      </c>
      <c r="C894" s="28" t="s">
        <v>5344</v>
      </c>
      <c r="D894" s="28" t="s">
        <v>44</v>
      </c>
      <c r="E894" s="28" t="s">
        <v>44</v>
      </c>
      <c r="F894" s="28" t="s">
        <v>4679</v>
      </c>
      <c r="G894" s="28" t="s">
        <v>47</v>
      </c>
      <c r="H894" s="28" t="s">
        <v>95</v>
      </c>
      <c r="I894" s="28" t="s">
        <v>485</v>
      </c>
      <c r="J894" s="28" t="s">
        <v>4680</v>
      </c>
      <c r="K894" s="28" t="s">
        <v>51</v>
      </c>
      <c r="L894" s="28" t="s">
        <v>52</v>
      </c>
      <c r="M894" s="28" t="s">
        <v>52</v>
      </c>
      <c r="N894" s="28" t="s">
        <v>5345</v>
      </c>
      <c r="O894" s="28" t="s">
        <v>44</v>
      </c>
      <c r="P894" s="28" t="s">
        <v>5346</v>
      </c>
      <c r="Q894" s="28" t="s">
        <v>5347</v>
      </c>
      <c r="R894" s="28" t="s">
        <v>44</v>
      </c>
      <c r="S894" s="28" t="s">
        <v>44</v>
      </c>
      <c r="T894" s="28" t="s">
        <v>44</v>
      </c>
      <c r="U894" s="28" t="s">
        <v>44</v>
      </c>
      <c r="V894" s="28" t="s">
        <v>5348</v>
      </c>
      <c r="W894" s="28" t="s">
        <v>5349</v>
      </c>
      <c r="X894" s="28"/>
      <c r="Y894" s="28"/>
      <c r="Z894" s="28"/>
      <c r="AA894" s="28"/>
    </row>
    <row r="895">
      <c r="A895" s="270" t="s">
        <v>5350</v>
      </c>
      <c r="B895" s="28" t="s">
        <v>36</v>
      </c>
      <c r="C895" s="28" t="s">
        <v>5351</v>
      </c>
      <c r="D895" s="28" t="s">
        <v>44</v>
      </c>
      <c r="E895" s="28" t="s">
        <v>44</v>
      </c>
      <c r="F895" s="28" t="s">
        <v>4679</v>
      </c>
      <c r="G895" s="28" t="s">
        <v>47</v>
      </c>
      <c r="H895" s="28" t="s">
        <v>95</v>
      </c>
      <c r="I895" s="28" t="s">
        <v>485</v>
      </c>
      <c r="J895" s="28" t="s">
        <v>4680</v>
      </c>
      <c r="K895" s="28" t="s">
        <v>51</v>
      </c>
      <c r="L895" s="28" t="s">
        <v>52</v>
      </c>
      <c r="M895" s="28" t="s">
        <v>52</v>
      </c>
      <c r="N895" s="28" t="s">
        <v>5275</v>
      </c>
      <c r="O895" s="28" t="s">
        <v>44</v>
      </c>
      <c r="P895" s="28" t="s">
        <v>5352</v>
      </c>
      <c r="Q895" s="28" t="s">
        <v>5353</v>
      </c>
      <c r="R895" s="28" t="s">
        <v>44</v>
      </c>
      <c r="S895" s="28" t="s">
        <v>44</v>
      </c>
      <c r="T895" s="28" t="s">
        <v>44</v>
      </c>
      <c r="U895" s="28" t="s">
        <v>44</v>
      </c>
      <c r="V895" s="28" t="s">
        <v>5354</v>
      </c>
      <c r="W895" s="28" t="s">
        <v>5355</v>
      </c>
      <c r="X895" s="28"/>
      <c r="Y895" s="28"/>
      <c r="Z895" s="28"/>
      <c r="AA895" s="28"/>
    </row>
    <row r="896">
      <c r="A896" s="270" t="s">
        <v>5356</v>
      </c>
      <c r="B896" s="28" t="s">
        <v>36</v>
      </c>
      <c r="C896" s="28" t="s">
        <v>5357</v>
      </c>
      <c r="D896" s="28" t="s">
        <v>44</v>
      </c>
      <c r="E896" s="28" t="s">
        <v>44</v>
      </c>
      <c r="F896" s="28" t="s">
        <v>4679</v>
      </c>
      <c r="G896" s="28" t="s">
        <v>47</v>
      </c>
      <c r="H896" s="28" t="s">
        <v>95</v>
      </c>
      <c r="I896" s="28" t="s">
        <v>485</v>
      </c>
      <c r="J896" s="28" t="s">
        <v>4680</v>
      </c>
      <c r="K896" s="28" t="s">
        <v>51</v>
      </c>
      <c r="L896" s="28" t="s">
        <v>52</v>
      </c>
      <c r="M896" s="28" t="s">
        <v>52</v>
      </c>
      <c r="N896" s="28" t="s">
        <v>4928</v>
      </c>
      <c r="O896" s="28" t="s">
        <v>44</v>
      </c>
      <c r="P896" s="28" t="s">
        <v>5358</v>
      </c>
      <c r="Q896" s="28" t="s">
        <v>5359</v>
      </c>
      <c r="R896" s="28" t="s">
        <v>44</v>
      </c>
      <c r="S896" s="28" t="s">
        <v>44</v>
      </c>
      <c r="T896" s="28" t="s">
        <v>44</v>
      </c>
      <c r="U896" s="28" t="s">
        <v>44</v>
      </c>
      <c r="V896" s="28" t="s">
        <v>5360</v>
      </c>
      <c r="W896" s="28" t="s">
        <v>5361</v>
      </c>
      <c r="X896" s="28"/>
      <c r="Y896" s="28"/>
      <c r="Z896" s="28"/>
      <c r="AA896" s="28"/>
    </row>
    <row r="897">
      <c r="A897" s="270" t="s">
        <v>5362</v>
      </c>
      <c r="B897" s="28" t="s">
        <v>36</v>
      </c>
      <c r="C897" s="28" t="s">
        <v>5363</v>
      </c>
      <c r="D897" s="28" t="s">
        <v>44</v>
      </c>
      <c r="E897" s="28" t="s">
        <v>44</v>
      </c>
      <c r="F897" s="28" t="s">
        <v>4679</v>
      </c>
      <c r="G897" s="28" t="s">
        <v>47</v>
      </c>
      <c r="H897" s="28" t="s">
        <v>48</v>
      </c>
      <c r="I897" s="28" t="s">
        <v>485</v>
      </c>
      <c r="J897" s="28" t="s">
        <v>4680</v>
      </c>
      <c r="K897" s="28" t="s">
        <v>51</v>
      </c>
      <c r="L897" s="28" t="s">
        <v>52</v>
      </c>
      <c r="M897" s="28" t="s">
        <v>52</v>
      </c>
      <c r="N897" s="28" t="s">
        <v>4681</v>
      </c>
      <c r="O897" s="28" t="s">
        <v>44</v>
      </c>
      <c r="P897" s="28" t="s">
        <v>4661</v>
      </c>
      <c r="Q897" s="28" t="s">
        <v>4662</v>
      </c>
      <c r="R897" s="28" t="s">
        <v>44</v>
      </c>
      <c r="S897" s="28" t="s">
        <v>44</v>
      </c>
      <c r="T897" s="28" t="s">
        <v>44</v>
      </c>
      <c r="U897" s="28" t="s">
        <v>44</v>
      </c>
      <c r="V897" s="28" t="s">
        <v>5364</v>
      </c>
      <c r="W897" s="28" t="s">
        <v>5365</v>
      </c>
      <c r="X897" s="28"/>
      <c r="Y897" s="28"/>
      <c r="Z897" s="28"/>
      <c r="AA897" s="28"/>
    </row>
    <row r="898">
      <c r="A898" s="270" t="s">
        <v>5366</v>
      </c>
      <c r="B898" s="28" t="s">
        <v>36</v>
      </c>
      <c r="C898" s="28" t="s">
        <v>5367</v>
      </c>
      <c r="D898" s="28" t="s">
        <v>44</v>
      </c>
      <c r="E898" s="28" t="s">
        <v>44</v>
      </c>
      <c r="F898" s="28" t="s">
        <v>4679</v>
      </c>
      <c r="G898" s="28" t="s">
        <v>47</v>
      </c>
      <c r="H898" s="28" t="s">
        <v>48</v>
      </c>
      <c r="I898" s="28" t="s">
        <v>485</v>
      </c>
      <c r="J898" s="28" t="s">
        <v>4680</v>
      </c>
      <c r="K898" s="28" t="s">
        <v>51</v>
      </c>
      <c r="L898" s="28" t="s">
        <v>52</v>
      </c>
      <c r="M898" s="28" t="s">
        <v>52</v>
      </c>
      <c r="N898" s="28" t="s">
        <v>4681</v>
      </c>
      <c r="O898" s="28" t="s">
        <v>44</v>
      </c>
      <c r="P898" s="28" t="s">
        <v>4667</v>
      </c>
      <c r="Q898" s="28" t="s">
        <v>4668</v>
      </c>
      <c r="R898" s="28" t="s">
        <v>44</v>
      </c>
      <c r="S898" s="28" t="s">
        <v>44</v>
      </c>
      <c r="T898" s="28" t="s">
        <v>44</v>
      </c>
      <c r="U898" s="28" t="s">
        <v>44</v>
      </c>
      <c r="V898" s="28" t="s">
        <v>5368</v>
      </c>
      <c r="W898" s="28" t="s">
        <v>4670</v>
      </c>
      <c r="X898" s="28"/>
      <c r="Y898" s="28"/>
      <c r="Z898" s="28"/>
      <c r="AA898" s="28"/>
    </row>
    <row r="899">
      <c r="A899" s="270" t="s">
        <v>5369</v>
      </c>
      <c r="B899" s="28" t="s">
        <v>36</v>
      </c>
      <c r="C899" s="28" t="s">
        <v>5370</v>
      </c>
      <c r="D899" s="28" t="s">
        <v>44</v>
      </c>
      <c r="E899" s="28" t="s">
        <v>44</v>
      </c>
      <c r="F899" s="28" t="s">
        <v>4679</v>
      </c>
      <c r="G899" s="28" t="s">
        <v>47</v>
      </c>
      <c r="H899" s="28" t="s">
        <v>48</v>
      </c>
      <c r="I899" s="28" t="s">
        <v>485</v>
      </c>
      <c r="J899" s="28" t="s">
        <v>4680</v>
      </c>
      <c r="K899" s="28" t="s">
        <v>51</v>
      </c>
      <c r="L899" s="28" t="s">
        <v>52</v>
      </c>
      <c r="M899" s="28" t="s">
        <v>52</v>
      </c>
      <c r="N899" s="28" t="s">
        <v>4681</v>
      </c>
      <c r="O899" s="28" t="s">
        <v>44</v>
      </c>
      <c r="P899" s="28" t="s">
        <v>4673</v>
      </c>
      <c r="Q899" s="28" t="s">
        <v>4674</v>
      </c>
      <c r="R899" s="28" t="s">
        <v>44</v>
      </c>
      <c r="S899" s="28" t="s">
        <v>44</v>
      </c>
      <c r="T899" s="28" t="s">
        <v>44</v>
      </c>
      <c r="U899" s="28" t="s">
        <v>44</v>
      </c>
      <c r="V899" s="28" t="s">
        <v>5371</v>
      </c>
      <c r="W899" s="28" t="s">
        <v>5372</v>
      </c>
      <c r="X899" s="28"/>
      <c r="Y899" s="28"/>
      <c r="Z899" s="28"/>
      <c r="AA899" s="28"/>
    </row>
    <row r="900">
      <c r="A900" s="270" t="s">
        <v>5373</v>
      </c>
      <c r="B900" s="28" t="s">
        <v>36</v>
      </c>
      <c r="C900" s="28" t="s">
        <v>5374</v>
      </c>
      <c r="D900" s="28" t="s">
        <v>44</v>
      </c>
      <c r="E900" s="28" t="s">
        <v>44</v>
      </c>
      <c r="F900" s="28" t="s">
        <v>5375</v>
      </c>
      <c r="G900" s="28" t="s">
        <v>111</v>
      </c>
      <c r="H900" s="28" t="s">
        <v>112</v>
      </c>
      <c r="I900" s="28" t="s">
        <v>401</v>
      </c>
      <c r="J900" s="28" t="s">
        <v>5376</v>
      </c>
      <c r="K900" s="28" t="s">
        <v>927</v>
      </c>
      <c r="L900" s="28" t="s">
        <v>52</v>
      </c>
      <c r="M900" s="28" t="s">
        <v>52</v>
      </c>
      <c r="N900" s="28" t="s">
        <v>5377</v>
      </c>
      <c r="O900" s="28" t="s">
        <v>44</v>
      </c>
      <c r="P900" s="28" t="s">
        <v>5378</v>
      </c>
      <c r="Q900" s="28" t="s">
        <v>5379</v>
      </c>
      <c r="R900" s="28" t="s">
        <v>44</v>
      </c>
      <c r="S900" s="28" t="s">
        <v>44</v>
      </c>
      <c r="T900" s="28" t="s">
        <v>44</v>
      </c>
      <c r="U900" s="28" t="s">
        <v>44</v>
      </c>
      <c r="V900" s="28" t="s">
        <v>5380</v>
      </c>
      <c r="W900" s="28" t="s">
        <v>774</v>
      </c>
      <c r="X900" s="28"/>
      <c r="Y900" s="28"/>
      <c r="Z900" s="28"/>
      <c r="AA900" s="28"/>
    </row>
    <row r="901">
      <c r="A901" s="270" t="s">
        <v>5381</v>
      </c>
      <c r="B901" s="28" t="s">
        <v>36</v>
      </c>
      <c r="C901" s="28" t="s">
        <v>5382</v>
      </c>
      <c r="D901" s="28" t="s">
        <v>44</v>
      </c>
      <c r="E901" s="28" t="s">
        <v>44</v>
      </c>
      <c r="F901" s="28" t="s">
        <v>5375</v>
      </c>
      <c r="G901" s="28" t="s">
        <v>47</v>
      </c>
      <c r="H901" s="28" t="s">
        <v>48</v>
      </c>
      <c r="I901" s="28" t="s">
        <v>401</v>
      </c>
      <c r="J901" s="28" t="s">
        <v>5376</v>
      </c>
      <c r="K901" s="28" t="s">
        <v>927</v>
      </c>
      <c r="L901" s="28" t="s">
        <v>52</v>
      </c>
      <c r="M901" s="28" t="s">
        <v>52</v>
      </c>
      <c r="N901" s="28" t="s">
        <v>5383</v>
      </c>
      <c r="O901" s="28" t="s">
        <v>44</v>
      </c>
      <c r="P901" s="28" t="s">
        <v>5384</v>
      </c>
      <c r="Q901" s="28" t="s">
        <v>5385</v>
      </c>
      <c r="R901" s="28" t="s">
        <v>44</v>
      </c>
      <c r="S901" s="28" t="s">
        <v>44</v>
      </c>
      <c r="T901" s="28" t="s">
        <v>44</v>
      </c>
      <c r="U901" s="28" t="s">
        <v>44</v>
      </c>
      <c r="V901" s="28" t="s">
        <v>5386</v>
      </c>
      <c r="W901" s="28" t="s">
        <v>774</v>
      </c>
      <c r="X901" s="28"/>
      <c r="Y901" s="28"/>
      <c r="Z901" s="28"/>
      <c r="AA901" s="28"/>
    </row>
    <row r="902">
      <c r="A902" s="270" t="s">
        <v>5387</v>
      </c>
      <c r="B902" s="28" t="s">
        <v>36</v>
      </c>
      <c r="C902" s="28" t="s">
        <v>5388</v>
      </c>
      <c r="D902" s="28" t="s">
        <v>44</v>
      </c>
      <c r="E902" s="28" t="s">
        <v>44</v>
      </c>
      <c r="F902" s="28" t="s">
        <v>5375</v>
      </c>
      <c r="G902" s="28" t="s">
        <v>47</v>
      </c>
      <c r="H902" s="28" t="s">
        <v>48</v>
      </c>
      <c r="I902" s="28" t="s">
        <v>401</v>
      </c>
      <c r="J902" s="28" t="s">
        <v>5376</v>
      </c>
      <c r="K902" s="28" t="s">
        <v>927</v>
      </c>
      <c r="L902" s="28" t="s">
        <v>52</v>
      </c>
      <c r="M902" s="28" t="s">
        <v>52</v>
      </c>
      <c r="N902" s="28" t="s">
        <v>5383</v>
      </c>
      <c r="O902" s="28" t="s">
        <v>44</v>
      </c>
      <c r="P902" s="28" t="s">
        <v>5389</v>
      </c>
      <c r="Q902" s="28" t="s">
        <v>5390</v>
      </c>
      <c r="R902" s="28" t="s">
        <v>44</v>
      </c>
      <c r="S902" s="28" t="s">
        <v>44</v>
      </c>
      <c r="T902" s="28" t="s">
        <v>44</v>
      </c>
      <c r="U902" s="28" t="s">
        <v>44</v>
      </c>
      <c r="V902" s="28" t="s">
        <v>5391</v>
      </c>
      <c r="W902" s="28" t="s">
        <v>774</v>
      </c>
      <c r="X902" s="28"/>
      <c r="Y902" s="28"/>
      <c r="Z902" s="28"/>
      <c r="AA902" s="28"/>
    </row>
    <row r="903">
      <c r="A903" s="270" t="s">
        <v>5392</v>
      </c>
      <c r="B903" s="28" t="s">
        <v>36</v>
      </c>
      <c r="C903" s="28" t="s">
        <v>5393</v>
      </c>
      <c r="D903" s="28" t="s">
        <v>44</v>
      </c>
      <c r="E903" s="28" t="s">
        <v>44</v>
      </c>
      <c r="F903" s="28" t="s">
        <v>5375</v>
      </c>
      <c r="G903" s="28" t="s">
        <v>47</v>
      </c>
      <c r="H903" s="28" t="s">
        <v>48</v>
      </c>
      <c r="I903" s="28" t="s">
        <v>401</v>
      </c>
      <c r="J903" s="28" t="s">
        <v>5376</v>
      </c>
      <c r="K903" s="28" t="s">
        <v>927</v>
      </c>
      <c r="L903" s="28" t="s">
        <v>52</v>
      </c>
      <c r="M903" s="28" t="s">
        <v>52</v>
      </c>
      <c r="N903" s="28" t="s">
        <v>5383</v>
      </c>
      <c r="O903" s="28" t="s">
        <v>44</v>
      </c>
      <c r="P903" s="28" t="s">
        <v>5394</v>
      </c>
      <c r="Q903" s="28" t="s">
        <v>5395</v>
      </c>
      <c r="R903" s="28" t="s">
        <v>44</v>
      </c>
      <c r="S903" s="28" t="s">
        <v>44</v>
      </c>
      <c r="T903" s="28" t="s">
        <v>44</v>
      </c>
      <c r="U903" s="28" t="s">
        <v>44</v>
      </c>
      <c r="V903" s="28" t="s">
        <v>5396</v>
      </c>
      <c r="W903" s="28" t="s">
        <v>5397</v>
      </c>
      <c r="X903" s="28"/>
      <c r="Y903" s="28"/>
      <c r="Z903" s="28"/>
      <c r="AA903" s="28"/>
    </row>
    <row r="904">
      <c r="A904" s="270" t="s">
        <v>5398</v>
      </c>
      <c r="B904" s="28" t="s">
        <v>36</v>
      </c>
      <c r="C904" s="28" t="s">
        <v>5399</v>
      </c>
      <c r="D904" s="28" t="s">
        <v>44</v>
      </c>
      <c r="E904" s="28" t="s">
        <v>44</v>
      </c>
      <c r="F904" s="28" t="s">
        <v>5375</v>
      </c>
      <c r="G904" s="28" t="s">
        <v>47</v>
      </c>
      <c r="H904" s="28" t="s">
        <v>48</v>
      </c>
      <c r="I904" s="28" t="s">
        <v>401</v>
      </c>
      <c r="J904" s="28" t="s">
        <v>5376</v>
      </c>
      <c r="K904" s="28" t="s">
        <v>927</v>
      </c>
      <c r="L904" s="28" t="s">
        <v>52</v>
      </c>
      <c r="M904" s="28" t="s">
        <v>52</v>
      </c>
      <c r="N904" s="28" t="s">
        <v>5383</v>
      </c>
      <c r="O904" s="28" t="s">
        <v>44</v>
      </c>
      <c r="P904" s="28" t="s">
        <v>5400</v>
      </c>
      <c r="Q904" s="28" t="s">
        <v>956</v>
      </c>
      <c r="R904" s="28" t="s">
        <v>44</v>
      </c>
      <c r="S904" s="28" t="s">
        <v>44</v>
      </c>
      <c r="T904" s="28" t="s">
        <v>44</v>
      </c>
      <c r="U904" s="28" t="s">
        <v>44</v>
      </c>
      <c r="V904" s="28" t="s">
        <v>5401</v>
      </c>
      <c r="W904" s="28" t="s">
        <v>5402</v>
      </c>
      <c r="X904" s="28"/>
      <c r="Y904" s="28"/>
      <c r="Z904" s="28"/>
      <c r="AA904" s="28"/>
    </row>
    <row r="905">
      <c r="A905" s="270" t="s">
        <v>5403</v>
      </c>
      <c r="B905" s="28" t="s">
        <v>36</v>
      </c>
      <c r="C905" s="28" t="s">
        <v>5404</v>
      </c>
      <c r="D905" s="28" t="s">
        <v>44</v>
      </c>
      <c r="E905" s="28" t="s">
        <v>44</v>
      </c>
      <c r="F905" s="28" t="s">
        <v>5375</v>
      </c>
      <c r="G905" s="28" t="s">
        <v>47</v>
      </c>
      <c r="H905" s="28" t="s">
        <v>48</v>
      </c>
      <c r="I905" s="28" t="s">
        <v>401</v>
      </c>
      <c r="J905" s="28" t="s">
        <v>5376</v>
      </c>
      <c r="K905" s="28" t="s">
        <v>927</v>
      </c>
      <c r="L905" s="28" t="s">
        <v>52</v>
      </c>
      <c r="M905" s="28" t="s">
        <v>52</v>
      </c>
      <c r="N905" s="28" t="s">
        <v>5383</v>
      </c>
      <c r="O905" s="28" t="s">
        <v>44</v>
      </c>
      <c r="P905" s="28" t="s">
        <v>5405</v>
      </c>
      <c r="Q905" s="28" t="s">
        <v>5406</v>
      </c>
      <c r="R905" s="28" t="s">
        <v>44</v>
      </c>
      <c r="S905" s="28" t="s">
        <v>44</v>
      </c>
      <c r="T905" s="28" t="s">
        <v>44</v>
      </c>
      <c r="U905" s="28" t="s">
        <v>44</v>
      </c>
      <c r="V905" s="28" t="s">
        <v>5407</v>
      </c>
      <c r="W905" s="28" t="s">
        <v>5408</v>
      </c>
      <c r="X905" s="28"/>
      <c r="Y905" s="28"/>
      <c r="Z905" s="28"/>
      <c r="AA905" s="28"/>
    </row>
    <row r="906">
      <c r="A906" s="270" t="s">
        <v>5409</v>
      </c>
      <c r="B906" s="28" t="s">
        <v>36</v>
      </c>
      <c r="C906" s="28" t="s">
        <v>5410</v>
      </c>
      <c r="D906" s="28" t="s">
        <v>44</v>
      </c>
      <c r="E906" s="28" t="s">
        <v>44</v>
      </c>
      <c r="F906" s="28" t="s">
        <v>5375</v>
      </c>
      <c r="G906" s="28" t="s">
        <v>47</v>
      </c>
      <c r="H906" s="28" t="s">
        <v>48</v>
      </c>
      <c r="I906" s="28" t="s">
        <v>401</v>
      </c>
      <c r="J906" s="28" t="s">
        <v>5376</v>
      </c>
      <c r="K906" s="28" t="s">
        <v>927</v>
      </c>
      <c r="L906" s="28" t="s">
        <v>52</v>
      </c>
      <c r="M906" s="28" t="s">
        <v>52</v>
      </c>
      <c r="N906" s="28" t="s">
        <v>5411</v>
      </c>
      <c r="O906" s="28" t="s">
        <v>44</v>
      </c>
      <c r="P906" s="28" t="s">
        <v>5412</v>
      </c>
      <c r="Q906" s="28" t="s">
        <v>5413</v>
      </c>
      <c r="R906" s="28" t="s">
        <v>44</v>
      </c>
      <c r="S906" s="28" t="s">
        <v>44</v>
      </c>
      <c r="T906" s="28" t="s">
        <v>44</v>
      </c>
      <c r="U906" s="28" t="s">
        <v>44</v>
      </c>
      <c r="V906" s="28" t="s">
        <v>5414</v>
      </c>
      <c r="W906" s="28" t="s">
        <v>5415</v>
      </c>
      <c r="X906" s="28"/>
      <c r="Y906" s="28"/>
      <c r="Z906" s="28"/>
      <c r="AA906" s="28"/>
    </row>
    <row r="907">
      <c r="A907" s="270" t="s">
        <v>5416</v>
      </c>
      <c r="B907" s="28" t="s">
        <v>36</v>
      </c>
      <c r="C907" s="28" t="s">
        <v>5417</v>
      </c>
      <c r="D907" s="28" t="s">
        <v>44</v>
      </c>
      <c r="E907" s="28" t="s">
        <v>44</v>
      </c>
      <c r="F907" s="28" t="s">
        <v>5375</v>
      </c>
      <c r="G907" s="28" t="s">
        <v>47</v>
      </c>
      <c r="H907" s="28" t="s">
        <v>91</v>
      </c>
      <c r="I907" s="28" t="s">
        <v>401</v>
      </c>
      <c r="J907" s="28" t="s">
        <v>5376</v>
      </c>
      <c r="K907" s="28" t="s">
        <v>927</v>
      </c>
      <c r="L907" s="28" t="s">
        <v>52</v>
      </c>
      <c r="M907" s="28" t="s">
        <v>52</v>
      </c>
      <c r="N907" s="28" t="s">
        <v>5411</v>
      </c>
      <c r="O907" s="28" t="s">
        <v>44</v>
      </c>
      <c r="P907" s="28" t="s">
        <v>5418</v>
      </c>
      <c r="Q907" s="28" t="s">
        <v>5419</v>
      </c>
      <c r="R907" s="28" t="s">
        <v>44</v>
      </c>
      <c r="S907" s="28" t="s">
        <v>44</v>
      </c>
      <c r="T907" s="28" t="s">
        <v>44</v>
      </c>
      <c r="U907" s="28" t="s">
        <v>44</v>
      </c>
      <c r="V907" s="28" t="s">
        <v>5420</v>
      </c>
      <c r="W907" s="28" t="s">
        <v>5421</v>
      </c>
      <c r="X907" s="28"/>
      <c r="Y907" s="28"/>
      <c r="Z907" s="28"/>
      <c r="AA907" s="28"/>
    </row>
    <row r="908">
      <c r="A908" s="270" t="s">
        <v>5422</v>
      </c>
      <c r="B908" s="28" t="s">
        <v>36</v>
      </c>
      <c r="C908" s="28" t="s">
        <v>5423</v>
      </c>
      <c r="D908" s="28" t="s">
        <v>44</v>
      </c>
      <c r="E908" s="28" t="s">
        <v>44</v>
      </c>
      <c r="F908" s="28" t="s">
        <v>5375</v>
      </c>
      <c r="G908" s="28" t="s">
        <v>47</v>
      </c>
      <c r="H908" s="28" t="s">
        <v>48</v>
      </c>
      <c r="I908" s="28" t="s">
        <v>401</v>
      </c>
      <c r="J908" s="28" t="s">
        <v>5376</v>
      </c>
      <c r="K908" s="28" t="s">
        <v>927</v>
      </c>
      <c r="L908" s="28" t="s">
        <v>52</v>
      </c>
      <c r="M908" s="28" t="s">
        <v>52</v>
      </c>
      <c r="N908" s="28" t="s">
        <v>5383</v>
      </c>
      <c r="O908" s="28" t="s">
        <v>44</v>
      </c>
      <c r="P908" s="28" t="s">
        <v>5424</v>
      </c>
      <c r="Q908" s="28" t="s">
        <v>5425</v>
      </c>
      <c r="R908" s="28" t="s">
        <v>44</v>
      </c>
      <c r="S908" s="28" t="s">
        <v>44</v>
      </c>
      <c r="T908" s="28" t="s">
        <v>44</v>
      </c>
      <c r="U908" s="28" t="s">
        <v>44</v>
      </c>
      <c r="V908" s="28" t="s">
        <v>5426</v>
      </c>
      <c r="W908" s="28" t="s">
        <v>774</v>
      </c>
      <c r="X908" s="28"/>
      <c r="Y908" s="28"/>
      <c r="Z908" s="28"/>
      <c r="AA908" s="28"/>
    </row>
    <row r="909">
      <c r="A909" s="270" t="s">
        <v>5427</v>
      </c>
      <c r="B909" s="28" t="s">
        <v>36</v>
      </c>
      <c r="C909" s="28" t="s">
        <v>5428</v>
      </c>
      <c r="D909" s="28" t="s">
        <v>44</v>
      </c>
      <c r="E909" s="28" t="s">
        <v>44</v>
      </c>
      <c r="F909" s="28" t="s">
        <v>5375</v>
      </c>
      <c r="G909" s="28" t="s">
        <v>47</v>
      </c>
      <c r="H909" s="28" t="s">
        <v>48</v>
      </c>
      <c r="I909" s="28" t="s">
        <v>401</v>
      </c>
      <c r="J909" s="28" t="s">
        <v>5376</v>
      </c>
      <c r="K909" s="28" t="s">
        <v>927</v>
      </c>
      <c r="L909" s="28" t="s">
        <v>52</v>
      </c>
      <c r="M909" s="28" t="s">
        <v>52</v>
      </c>
      <c r="N909" s="28" t="s">
        <v>5429</v>
      </c>
      <c r="O909" s="28" t="s">
        <v>44</v>
      </c>
      <c r="P909" s="28" t="s">
        <v>5430</v>
      </c>
      <c r="Q909" s="28" t="s">
        <v>5431</v>
      </c>
      <c r="R909" s="28" t="s">
        <v>44</v>
      </c>
      <c r="S909" s="28" t="s">
        <v>44</v>
      </c>
      <c r="T909" s="28" t="s">
        <v>44</v>
      </c>
      <c r="U909" s="28" t="s">
        <v>44</v>
      </c>
      <c r="V909" s="28" t="s">
        <v>5432</v>
      </c>
      <c r="W909" s="28" t="s">
        <v>774</v>
      </c>
      <c r="X909" s="28"/>
      <c r="Y909" s="28"/>
      <c r="Z909" s="28"/>
      <c r="AA909" s="28"/>
    </row>
    <row r="910">
      <c r="A910" s="270" t="s">
        <v>5433</v>
      </c>
      <c r="B910" s="28" t="s">
        <v>36</v>
      </c>
      <c r="C910" s="28" t="s">
        <v>5434</v>
      </c>
      <c r="D910" s="28" t="s">
        <v>44</v>
      </c>
      <c r="E910" s="28" t="s">
        <v>44</v>
      </c>
      <c r="F910" s="28" t="s">
        <v>5375</v>
      </c>
      <c r="G910" s="28" t="s">
        <v>47</v>
      </c>
      <c r="H910" s="28" t="s">
        <v>48</v>
      </c>
      <c r="I910" s="28" t="s">
        <v>401</v>
      </c>
      <c r="J910" s="28" t="s">
        <v>5376</v>
      </c>
      <c r="K910" s="28" t="s">
        <v>927</v>
      </c>
      <c r="L910" s="28" t="s">
        <v>52</v>
      </c>
      <c r="M910" s="28" t="s">
        <v>52</v>
      </c>
      <c r="N910" s="28" t="s">
        <v>5435</v>
      </c>
      <c r="O910" s="28" t="s">
        <v>44</v>
      </c>
      <c r="P910" s="28" t="s">
        <v>5436</v>
      </c>
      <c r="Q910" s="28" t="s">
        <v>5437</v>
      </c>
      <c r="R910" s="28" t="s">
        <v>44</v>
      </c>
      <c r="S910" s="28" t="s">
        <v>44</v>
      </c>
      <c r="T910" s="28" t="s">
        <v>44</v>
      </c>
      <c r="U910" s="28" t="s">
        <v>44</v>
      </c>
      <c r="V910" s="28" t="s">
        <v>5438</v>
      </c>
      <c r="W910" s="28" t="s">
        <v>774</v>
      </c>
      <c r="X910" s="28"/>
      <c r="Y910" s="28"/>
      <c r="Z910" s="28"/>
      <c r="AA910" s="28"/>
    </row>
    <row r="911">
      <c r="A911" s="270" t="s">
        <v>5439</v>
      </c>
      <c r="B911" s="28" t="s">
        <v>36</v>
      </c>
      <c r="C911" s="28" t="s">
        <v>5440</v>
      </c>
      <c r="D911" s="28" t="s">
        <v>44</v>
      </c>
      <c r="E911" s="28" t="s">
        <v>44</v>
      </c>
      <c r="F911" s="28" t="s">
        <v>5375</v>
      </c>
      <c r="G911" s="28" t="s">
        <v>47</v>
      </c>
      <c r="H911" s="28" t="s">
        <v>48</v>
      </c>
      <c r="I911" s="28" t="s">
        <v>401</v>
      </c>
      <c r="J911" s="28" t="s">
        <v>5376</v>
      </c>
      <c r="K911" s="28" t="s">
        <v>927</v>
      </c>
      <c r="L911" s="28" t="s">
        <v>52</v>
      </c>
      <c r="M911" s="28" t="s">
        <v>52</v>
      </c>
      <c r="N911" s="28" t="s">
        <v>5441</v>
      </c>
      <c r="O911" s="28" t="s">
        <v>44</v>
      </c>
      <c r="P911" s="28" t="s">
        <v>5442</v>
      </c>
      <c r="Q911" s="28" t="s">
        <v>5443</v>
      </c>
      <c r="R911" s="28" t="s">
        <v>44</v>
      </c>
      <c r="S911" s="28" t="s">
        <v>44</v>
      </c>
      <c r="T911" s="28" t="s">
        <v>44</v>
      </c>
      <c r="U911" s="28" t="s">
        <v>44</v>
      </c>
      <c r="V911" s="28" t="s">
        <v>5444</v>
      </c>
      <c r="W911" s="28" t="s">
        <v>5445</v>
      </c>
      <c r="X911" s="28"/>
      <c r="Y911" s="28"/>
      <c r="Z911" s="28"/>
      <c r="AA911" s="28"/>
    </row>
    <row r="912">
      <c r="A912" s="270" t="s">
        <v>5446</v>
      </c>
      <c r="B912" s="28" t="s">
        <v>36</v>
      </c>
      <c r="C912" s="28" t="s">
        <v>5447</v>
      </c>
      <c r="D912" s="28" t="s">
        <v>44</v>
      </c>
      <c r="E912" s="28" t="s">
        <v>44</v>
      </c>
      <c r="F912" s="28" t="s">
        <v>5375</v>
      </c>
      <c r="G912" s="28" t="s">
        <v>47</v>
      </c>
      <c r="H912" s="28" t="s">
        <v>48</v>
      </c>
      <c r="I912" s="28" t="s">
        <v>401</v>
      </c>
      <c r="J912" s="28" t="s">
        <v>5376</v>
      </c>
      <c r="K912" s="28" t="s">
        <v>927</v>
      </c>
      <c r="L912" s="28" t="s">
        <v>52</v>
      </c>
      <c r="M912" s="28" t="s">
        <v>52</v>
      </c>
      <c r="N912" s="28" t="s">
        <v>5383</v>
      </c>
      <c r="O912" s="28" t="s">
        <v>44</v>
      </c>
      <c r="P912" s="28" t="s">
        <v>5448</v>
      </c>
      <c r="Q912" s="28" t="s">
        <v>5449</v>
      </c>
      <c r="R912" s="28" t="s">
        <v>44</v>
      </c>
      <c r="S912" s="28" t="s">
        <v>44</v>
      </c>
      <c r="T912" s="28" t="s">
        <v>44</v>
      </c>
      <c r="U912" s="28" t="s">
        <v>44</v>
      </c>
      <c r="V912" s="28" t="s">
        <v>5450</v>
      </c>
      <c r="W912" s="28" t="s">
        <v>5451</v>
      </c>
      <c r="X912" s="28"/>
      <c r="Y912" s="28"/>
      <c r="Z912" s="28"/>
      <c r="AA912" s="28"/>
    </row>
    <row r="913">
      <c r="A913" s="270" t="s">
        <v>5452</v>
      </c>
      <c r="B913" s="28" t="s">
        <v>36</v>
      </c>
      <c r="C913" s="28" t="s">
        <v>5453</v>
      </c>
      <c r="D913" s="28" t="s">
        <v>44</v>
      </c>
      <c r="E913" s="28" t="s">
        <v>44</v>
      </c>
      <c r="F913" s="28" t="s">
        <v>5375</v>
      </c>
      <c r="G913" s="28" t="s">
        <v>47</v>
      </c>
      <c r="H913" s="28" t="s">
        <v>48</v>
      </c>
      <c r="I913" s="28" t="s">
        <v>401</v>
      </c>
      <c r="J913" s="28" t="s">
        <v>5376</v>
      </c>
      <c r="K913" s="28" t="s">
        <v>927</v>
      </c>
      <c r="L913" s="28" t="s">
        <v>52</v>
      </c>
      <c r="M913" s="28" t="s">
        <v>52</v>
      </c>
      <c r="N913" s="28" t="s">
        <v>5383</v>
      </c>
      <c r="O913" s="28" t="s">
        <v>44</v>
      </c>
      <c r="P913" s="28" t="s">
        <v>1002</v>
      </c>
      <c r="Q913" s="28" t="s">
        <v>5454</v>
      </c>
      <c r="R913" s="28" t="s">
        <v>44</v>
      </c>
      <c r="S913" s="28" t="s">
        <v>44</v>
      </c>
      <c r="T913" s="28" t="s">
        <v>44</v>
      </c>
      <c r="U913" s="28" t="s">
        <v>44</v>
      </c>
      <c r="V913" s="28" t="s">
        <v>5455</v>
      </c>
      <c r="W913" s="28" t="s">
        <v>5456</v>
      </c>
      <c r="X913" s="28"/>
      <c r="Y913" s="28"/>
      <c r="Z913" s="28"/>
      <c r="AA913" s="28"/>
    </row>
    <row r="914">
      <c r="A914" s="270" t="s">
        <v>5457</v>
      </c>
      <c r="B914" s="28" t="s">
        <v>36</v>
      </c>
      <c r="C914" s="28" t="s">
        <v>5458</v>
      </c>
      <c r="D914" s="28" t="s">
        <v>44</v>
      </c>
      <c r="E914" s="28" t="s">
        <v>44</v>
      </c>
      <c r="F914" s="28" t="s">
        <v>5375</v>
      </c>
      <c r="G914" s="28" t="s">
        <v>47</v>
      </c>
      <c r="H914" s="28" t="s">
        <v>48</v>
      </c>
      <c r="I914" s="28" t="s">
        <v>401</v>
      </c>
      <c r="J914" s="28" t="s">
        <v>5376</v>
      </c>
      <c r="K914" s="28" t="s">
        <v>927</v>
      </c>
      <c r="L914" s="28" t="s">
        <v>52</v>
      </c>
      <c r="M914" s="28" t="s">
        <v>52</v>
      </c>
      <c r="N914" s="28" t="s">
        <v>5383</v>
      </c>
      <c r="O914" s="28" t="s">
        <v>44</v>
      </c>
      <c r="P914" s="28" t="s">
        <v>5459</v>
      </c>
      <c r="Q914" s="28" t="s">
        <v>5460</v>
      </c>
      <c r="R914" s="28" t="s">
        <v>44</v>
      </c>
      <c r="S914" s="28" t="s">
        <v>44</v>
      </c>
      <c r="T914" s="28" t="s">
        <v>44</v>
      </c>
      <c r="U914" s="28" t="s">
        <v>44</v>
      </c>
      <c r="V914" s="28" t="s">
        <v>5461</v>
      </c>
      <c r="W914" s="28" t="s">
        <v>5462</v>
      </c>
      <c r="X914" s="28"/>
      <c r="Y914" s="28"/>
      <c r="Z914" s="28"/>
      <c r="AA914" s="28"/>
    </row>
    <row r="915">
      <c r="A915" s="270" t="s">
        <v>5463</v>
      </c>
      <c r="B915" s="28" t="s">
        <v>36</v>
      </c>
      <c r="C915" s="28" t="s">
        <v>5464</v>
      </c>
      <c r="D915" s="28" t="s">
        <v>44</v>
      </c>
      <c r="E915" s="28" t="s">
        <v>44</v>
      </c>
      <c r="F915" s="28" t="s">
        <v>5375</v>
      </c>
      <c r="G915" s="28" t="s">
        <v>47</v>
      </c>
      <c r="H915" s="28" t="s">
        <v>91</v>
      </c>
      <c r="I915" s="28" t="s">
        <v>401</v>
      </c>
      <c r="J915" s="28" t="s">
        <v>5376</v>
      </c>
      <c r="K915" s="28" t="s">
        <v>927</v>
      </c>
      <c r="L915" s="28" t="s">
        <v>52</v>
      </c>
      <c r="M915" s="28" t="s">
        <v>52</v>
      </c>
      <c r="N915" s="28" t="s">
        <v>5465</v>
      </c>
      <c r="O915" s="28" t="s">
        <v>44</v>
      </c>
      <c r="P915" s="28" t="s">
        <v>5466</v>
      </c>
      <c r="Q915" s="28" t="s">
        <v>5467</v>
      </c>
      <c r="R915" s="28" t="s">
        <v>44</v>
      </c>
      <c r="S915" s="28" t="s">
        <v>44</v>
      </c>
      <c r="T915" s="28" t="s">
        <v>44</v>
      </c>
      <c r="U915" s="28" t="s">
        <v>44</v>
      </c>
      <c r="V915" s="28" t="s">
        <v>5468</v>
      </c>
      <c r="W915" s="28" t="s">
        <v>5469</v>
      </c>
      <c r="X915" s="28"/>
      <c r="Y915" s="28"/>
      <c r="Z915" s="28"/>
      <c r="AA915" s="28"/>
    </row>
    <row r="916">
      <c r="A916" s="270" t="s">
        <v>5470</v>
      </c>
      <c r="B916" s="28" t="s">
        <v>36</v>
      </c>
      <c r="C916" s="28" t="s">
        <v>5471</v>
      </c>
      <c r="D916" s="28" t="s">
        <v>44</v>
      </c>
      <c r="E916" s="28" t="s">
        <v>44</v>
      </c>
      <c r="F916" s="28" t="s">
        <v>5375</v>
      </c>
      <c r="G916" s="28" t="s">
        <v>197</v>
      </c>
      <c r="H916" s="28" t="s">
        <v>198</v>
      </c>
      <c r="I916" s="28" t="s">
        <v>401</v>
      </c>
      <c r="J916" s="28" t="s">
        <v>5376</v>
      </c>
      <c r="K916" s="28" t="s">
        <v>927</v>
      </c>
      <c r="L916" s="28" t="s">
        <v>52</v>
      </c>
      <c r="M916" s="28" t="s">
        <v>52</v>
      </c>
      <c r="N916" s="28" t="s">
        <v>5383</v>
      </c>
      <c r="O916" s="28" t="s">
        <v>44</v>
      </c>
      <c r="P916" s="28" t="s">
        <v>5472</v>
      </c>
      <c r="Q916" s="28" t="s">
        <v>5473</v>
      </c>
      <c r="R916" s="28" t="s">
        <v>44</v>
      </c>
      <c r="S916" s="28" t="s">
        <v>44</v>
      </c>
      <c r="T916" s="28" t="s">
        <v>44</v>
      </c>
      <c r="U916" s="28" t="s">
        <v>44</v>
      </c>
      <c r="V916" s="28" t="s">
        <v>5474</v>
      </c>
      <c r="W916" s="28" t="s">
        <v>5475</v>
      </c>
      <c r="X916" s="28"/>
      <c r="Y916" s="28"/>
      <c r="Z916" s="28"/>
      <c r="AA916" s="28"/>
    </row>
    <row r="917">
      <c r="A917" s="270" t="s">
        <v>5476</v>
      </c>
      <c r="B917" s="28" t="s">
        <v>36</v>
      </c>
      <c r="C917" s="28" t="s">
        <v>5477</v>
      </c>
      <c r="D917" s="28" t="s">
        <v>44</v>
      </c>
      <c r="E917" s="28" t="s">
        <v>44</v>
      </c>
      <c r="F917" s="28" t="s">
        <v>5375</v>
      </c>
      <c r="G917" s="28" t="s">
        <v>47</v>
      </c>
      <c r="H917" s="28" t="s">
        <v>48</v>
      </c>
      <c r="I917" s="28" t="s">
        <v>401</v>
      </c>
      <c r="J917" s="28" t="s">
        <v>5376</v>
      </c>
      <c r="K917" s="28" t="s">
        <v>927</v>
      </c>
      <c r="L917" s="28" t="s">
        <v>52</v>
      </c>
      <c r="M917" s="28" t="s">
        <v>52</v>
      </c>
      <c r="N917" s="28" t="s">
        <v>5383</v>
      </c>
      <c r="O917" s="28" t="s">
        <v>44</v>
      </c>
      <c r="P917" s="28" t="s">
        <v>5478</v>
      </c>
      <c r="Q917" s="28" t="s">
        <v>5479</v>
      </c>
      <c r="R917" s="28" t="s">
        <v>44</v>
      </c>
      <c r="S917" s="28" t="s">
        <v>44</v>
      </c>
      <c r="T917" s="28" t="s">
        <v>44</v>
      </c>
      <c r="U917" s="28" t="s">
        <v>44</v>
      </c>
      <c r="V917" s="28" t="s">
        <v>5480</v>
      </c>
      <c r="W917" s="28" t="s">
        <v>5481</v>
      </c>
      <c r="X917" s="28"/>
      <c r="Y917" s="28"/>
      <c r="Z917" s="28"/>
      <c r="AA917" s="28"/>
    </row>
    <row r="918">
      <c r="A918" s="270" t="s">
        <v>5482</v>
      </c>
      <c r="B918" s="28" t="s">
        <v>36</v>
      </c>
      <c r="C918" s="28" t="s">
        <v>5483</v>
      </c>
      <c r="D918" s="28" t="s">
        <v>44</v>
      </c>
      <c r="E918" s="28" t="s">
        <v>44</v>
      </c>
      <c r="F918" s="28" t="s">
        <v>5375</v>
      </c>
      <c r="G918" s="28" t="s">
        <v>47</v>
      </c>
      <c r="H918" s="28" t="s">
        <v>48</v>
      </c>
      <c r="I918" s="28" t="s">
        <v>401</v>
      </c>
      <c r="J918" s="28" t="s">
        <v>5376</v>
      </c>
      <c r="K918" s="28" t="s">
        <v>927</v>
      </c>
      <c r="L918" s="28" t="s">
        <v>52</v>
      </c>
      <c r="M918" s="28" t="s">
        <v>52</v>
      </c>
      <c r="N918" s="28" t="s">
        <v>5383</v>
      </c>
      <c r="O918" s="28" t="s">
        <v>44</v>
      </c>
      <c r="P918" s="28" t="s">
        <v>5484</v>
      </c>
      <c r="Q918" s="28" t="s">
        <v>5485</v>
      </c>
      <c r="R918" s="28" t="s">
        <v>44</v>
      </c>
      <c r="S918" s="28" t="s">
        <v>44</v>
      </c>
      <c r="T918" s="28" t="s">
        <v>44</v>
      </c>
      <c r="U918" s="28" t="s">
        <v>44</v>
      </c>
      <c r="V918" s="28" t="s">
        <v>5486</v>
      </c>
      <c r="W918" s="28" t="s">
        <v>774</v>
      </c>
      <c r="X918" s="28"/>
      <c r="Y918" s="28"/>
      <c r="Z918" s="28"/>
      <c r="AA918" s="28"/>
    </row>
    <row r="919">
      <c r="A919" s="270" t="s">
        <v>5487</v>
      </c>
      <c r="B919" s="28" t="s">
        <v>36</v>
      </c>
      <c r="C919" s="28" t="s">
        <v>5488</v>
      </c>
      <c r="D919" s="28" t="s">
        <v>44</v>
      </c>
      <c r="E919" s="28" t="s">
        <v>44</v>
      </c>
      <c r="F919" s="28" t="s">
        <v>5375</v>
      </c>
      <c r="G919" s="28" t="s">
        <v>47</v>
      </c>
      <c r="H919" s="28" t="s">
        <v>91</v>
      </c>
      <c r="I919" s="28" t="s">
        <v>401</v>
      </c>
      <c r="J919" s="28" t="s">
        <v>5376</v>
      </c>
      <c r="K919" s="28" t="s">
        <v>927</v>
      </c>
      <c r="L919" s="28" t="s">
        <v>52</v>
      </c>
      <c r="M919" s="28" t="s">
        <v>52</v>
      </c>
      <c r="N919" s="28" t="s">
        <v>5489</v>
      </c>
      <c r="O919" s="28" t="s">
        <v>44</v>
      </c>
      <c r="P919" s="28" t="s">
        <v>5490</v>
      </c>
      <c r="Q919" s="28" t="s">
        <v>5491</v>
      </c>
      <c r="R919" s="28" t="s">
        <v>44</v>
      </c>
      <c r="S919" s="28" t="s">
        <v>44</v>
      </c>
      <c r="T919" s="28" t="s">
        <v>44</v>
      </c>
      <c r="U919" s="28" t="s">
        <v>44</v>
      </c>
      <c r="V919" s="28" t="s">
        <v>5492</v>
      </c>
      <c r="W919" s="28" t="s">
        <v>5493</v>
      </c>
      <c r="X919" s="28"/>
      <c r="Y919" s="28"/>
      <c r="Z919" s="28"/>
      <c r="AA919" s="28"/>
    </row>
    <row r="920">
      <c r="A920" s="270" t="s">
        <v>5494</v>
      </c>
      <c r="B920" s="28" t="s">
        <v>36</v>
      </c>
      <c r="C920" s="28" t="s">
        <v>5495</v>
      </c>
      <c r="D920" s="28" t="s">
        <v>44</v>
      </c>
      <c r="E920" s="28" t="s">
        <v>44</v>
      </c>
      <c r="F920" s="28" t="s">
        <v>5375</v>
      </c>
      <c r="G920" s="28" t="s">
        <v>47</v>
      </c>
      <c r="H920" s="28" t="s">
        <v>48</v>
      </c>
      <c r="I920" s="28" t="s">
        <v>401</v>
      </c>
      <c r="J920" s="28" t="s">
        <v>5376</v>
      </c>
      <c r="K920" s="28" t="s">
        <v>927</v>
      </c>
      <c r="L920" s="28" t="s">
        <v>52</v>
      </c>
      <c r="M920" s="28" t="s">
        <v>52</v>
      </c>
      <c r="N920" s="28" t="s">
        <v>5383</v>
      </c>
      <c r="O920" s="28" t="s">
        <v>44</v>
      </c>
      <c r="P920" s="28" t="s">
        <v>5496</v>
      </c>
      <c r="Q920" s="28" t="s">
        <v>5497</v>
      </c>
      <c r="R920" s="28" t="s">
        <v>44</v>
      </c>
      <c r="S920" s="28" t="s">
        <v>44</v>
      </c>
      <c r="T920" s="28" t="s">
        <v>44</v>
      </c>
      <c r="U920" s="28" t="s">
        <v>44</v>
      </c>
      <c r="V920" s="28" t="s">
        <v>5498</v>
      </c>
      <c r="W920" s="28" t="s">
        <v>5499</v>
      </c>
      <c r="X920" s="28"/>
      <c r="Y920" s="28"/>
      <c r="Z920" s="28"/>
      <c r="AA920" s="28"/>
    </row>
    <row r="921">
      <c r="A921" s="270" t="s">
        <v>5500</v>
      </c>
      <c r="B921" s="28" t="s">
        <v>36</v>
      </c>
      <c r="C921" s="28" t="s">
        <v>5501</v>
      </c>
      <c r="D921" s="28" t="s">
        <v>44</v>
      </c>
      <c r="E921" s="28" t="s">
        <v>44</v>
      </c>
      <c r="F921" s="28" t="s">
        <v>5375</v>
      </c>
      <c r="G921" s="28" t="s">
        <v>47</v>
      </c>
      <c r="H921" s="28" t="s">
        <v>48</v>
      </c>
      <c r="I921" s="28" t="s">
        <v>401</v>
      </c>
      <c r="J921" s="28" t="s">
        <v>5376</v>
      </c>
      <c r="K921" s="28" t="s">
        <v>927</v>
      </c>
      <c r="L921" s="28" t="s">
        <v>52</v>
      </c>
      <c r="M921" s="28" t="s">
        <v>52</v>
      </c>
      <c r="N921" s="28" t="s">
        <v>5383</v>
      </c>
      <c r="O921" s="28" t="s">
        <v>44</v>
      </c>
      <c r="P921" s="28" t="s">
        <v>5502</v>
      </c>
      <c r="Q921" s="28" t="s">
        <v>5503</v>
      </c>
      <c r="R921" s="28" t="s">
        <v>44</v>
      </c>
      <c r="S921" s="28" t="s">
        <v>44</v>
      </c>
      <c r="T921" s="28" t="s">
        <v>44</v>
      </c>
      <c r="U921" s="28" t="s">
        <v>44</v>
      </c>
      <c r="V921" s="28" t="s">
        <v>5504</v>
      </c>
      <c r="W921" s="28" t="s">
        <v>5505</v>
      </c>
      <c r="X921" s="28"/>
      <c r="Y921" s="28"/>
      <c r="Z921" s="28"/>
      <c r="AA921" s="28"/>
    </row>
    <row r="922">
      <c r="A922" s="270" t="s">
        <v>5506</v>
      </c>
      <c r="B922" s="28" t="s">
        <v>36</v>
      </c>
      <c r="C922" s="28" t="s">
        <v>5507</v>
      </c>
      <c r="D922" s="28" t="s">
        <v>44</v>
      </c>
      <c r="E922" s="28" t="s">
        <v>44</v>
      </c>
      <c r="F922" s="28" t="s">
        <v>5375</v>
      </c>
      <c r="G922" s="28" t="s">
        <v>47</v>
      </c>
      <c r="H922" s="28" t="s">
        <v>48</v>
      </c>
      <c r="I922" s="28" t="s">
        <v>401</v>
      </c>
      <c r="J922" s="28" t="s">
        <v>5376</v>
      </c>
      <c r="K922" s="28" t="s">
        <v>927</v>
      </c>
      <c r="L922" s="28" t="s">
        <v>52</v>
      </c>
      <c r="M922" s="28" t="s">
        <v>52</v>
      </c>
      <c r="N922" s="28" t="s">
        <v>5383</v>
      </c>
      <c r="O922" s="28" t="s">
        <v>44</v>
      </c>
      <c r="P922" s="28" t="s">
        <v>5508</v>
      </c>
      <c r="Q922" s="28" t="s">
        <v>5509</v>
      </c>
      <c r="R922" s="28" t="s">
        <v>44</v>
      </c>
      <c r="S922" s="28" t="s">
        <v>44</v>
      </c>
      <c r="T922" s="28" t="s">
        <v>44</v>
      </c>
      <c r="U922" s="28" t="s">
        <v>44</v>
      </c>
      <c r="V922" s="28" t="s">
        <v>5510</v>
      </c>
      <c r="W922" s="28" t="s">
        <v>5511</v>
      </c>
      <c r="X922" s="28"/>
      <c r="Y922" s="28"/>
      <c r="Z922" s="28"/>
      <c r="AA922" s="28"/>
    </row>
    <row r="923">
      <c r="A923" s="270" t="s">
        <v>5512</v>
      </c>
      <c r="B923" s="28" t="s">
        <v>36</v>
      </c>
      <c r="C923" s="28" t="s">
        <v>5513</v>
      </c>
      <c r="D923" s="28" t="s">
        <v>44</v>
      </c>
      <c r="E923" s="28" t="s">
        <v>44</v>
      </c>
      <c r="F923" s="28" t="s">
        <v>5375</v>
      </c>
      <c r="G923" s="28" t="s">
        <v>111</v>
      </c>
      <c r="H923" s="28" t="s">
        <v>91</v>
      </c>
      <c r="I923" s="28" t="s">
        <v>401</v>
      </c>
      <c r="J923" s="28" t="s">
        <v>5376</v>
      </c>
      <c r="K923" s="28" t="s">
        <v>927</v>
      </c>
      <c r="L923" s="28" t="s">
        <v>52</v>
      </c>
      <c r="M923" s="28" t="s">
        <v>52</v>
      </c>
      <c r="N923" s="28" t="s">
        <v>5383</v>
      </c>
      <c r="O923" s="28" t="s">
        <v>44</v>
      </c>
      <c r="P923" s="28" t="s">
        <v>5514</v>
      </c>
      <c r="Q923" s="28" t="s">
        <v>5515</v>
      </c>
      <c r="R923" s="28" t="s">
        <v>44</v>
      </c>
      <c r="S923" s="28" t="s">
        <v>44</v>
      </c>
      <c r="T923" s="28" t="s">
        <v>44</v>
      </c>
      <c r="U923" s="28" t="s">
        <v>44</v>
      </c>
      <c r="V923" s="28" t="s">
        <v>5516</v>
      </c>
      <c r="W923" s="28" t="s">
        <v>774</v>
      </c>
      <c r="X923" s="28"/>
      <c r="Y923" s="28"/>
      <c r="Z923" s="28"/>
      <c r="AA923" s="28"/>
    </row>
    <row r="924">
      <c r="A924" s="270" t="s">
        <v>5517</v>
      </c>
      <c r="B924" s="28" t="s">
        <v>36</v>
      </c>
      <c r="C924" s="28" t="s">
        <v>5518</v>
      </c>
      <c r="D924" s="28" t="s">
        <v>44</v>
      </c>
      <c r="E924" s="28" t="s">
        <v>44</v>
      </c>
      <c r="F924" s="28" t="s">
        <v>5375</v>
      </c>
      <c r="G924" s="28" t="s">
        <v>47</v>
      </c>
      <c r="H924" s="28" t="s">
        <v>48</v>
      </c>
      <c r="I924" s="28" t="s">
        <v>401</v>
      </c>
      <c r="J924" s="28" t="s">
        <v>5376</v>
      </c>
      <c r="K924" s="28" t="s">
        <v>927</v>
      </c>
      <c r="L924" s="28" t="s">
        <v>52</v>
      </c>
      <c r="M924" s="28" t="s">
        <v>52</v>
      </c>
      <c r="N924" s="28" t="s">
        <v>5383</v>
      </c>
      <c r="O924" s="28" t="s">
        <v>44</v>
      </c>
      <c r="P924" s="28" t="s">
        <v>5519</v>
      </c>
      <c r="Q924" s="28" t="s">
        <v>5520</v>
      </c>
      <c r="R924" s="28" t="s">
        <v>44</v>
      </c>
      <c r="S924" s="28" t="s">
        <v>44</v>
      </c>
      <c r="T924" s="28" t="s">
        <v>44</v>
      </c>
      <c r="U924" s="28" t="s">
        <v>44</v>
      </c>
      <c r="V924" s="28" t="s">
        <v>5521</v>
      </c>
      <c r="W924" s="28" t="s">
        <v>5522</v>
      </c>
      <c r="X924" s="28"/>
      <c r="Y924" s="28"/>
      <c r="Z924" s="28"/>
      <c r="AA924" s="28"/>
    </row>
    <row r="925">
      <c r="A925" s="270" t="s">
        <v>5523</v>
      </c>
      <c r="B925" s="28" t="s">
        <v>36</v>
      </c>
      <c r="C925" s="28" t="s">
        <v>5524</v>
      </c>
      <c r="D925" s="28" t="s">
        <v>44</v>
      </c>
      <c r="E925" s="28" t="s">
        <v>44</v>
      </c>
      <c r="F925" s="28" t="s">
        <v>5375</v>
      </c>
      <c r="G925" s="28" t="s">
        <v>47</v>
      </c>
      <c r="H925" s="28" t="s">
        <v>48</v>
      </c>
      <c r="I925" s="28" t="s">
        <v>401</v>
      </c>
      <c r="J925" s="28" t="s">
        <v>5376</v>
      </c>
      <c r="K925" s="28" t="s">
        <v>927</v>
      </c>
      <c r="L925" s="28" t="s">
        <v>52</v>
      </c>
      <c r="M925" s="28" t="s">
        <v>52</v>
      </c>
      <c r="N925" s="28" t="s">
        <v>5489</v>
      </c>
      <c r="O925" s="28" t="s">
        <v>44</v>
      </c>
      <c r="P925" s="28" t="s">
        <v>5525</v>
      </c>
      <c r="Q925" s="28" t="s">
        <v>5526</v>
      </c>
      <c r="R925" s="28" t="s">
        <v>44</v>
      </c>
      <c r="S925" s="28" t="s">
        <v>44</v>
      </c>
      <c r="T925" s="28" t="s">
        <v>44</v>
      </c>
      <c r="U925" s="28" t="s">
        <v>44</v>
      </c>
      <c r="V925" s="28" t="s">
        <v>5527</v>
      </c>
      <c r="W925" s="28" t="s">
        <v>5528</v>
      </c>
      <c r="X925" s="28"/>
      <c r="Y925" s="28"/>
      <c r="Z925" s="28"/>
      <c r="AA925" s="28"/>
    </row>
    <row r="926">
      <c r="A926" s="270" t="s">
        <v>5529</v>
      </c>
      <c r="B926" s="28" t="s">
        <v>36</v>
      </c>
      <c r="C926" s="28" t="s">
        <v>5530</v>
      </c>
      <c r="D926" s="28" t="s">
        <v>44</v>
      </c>
      <c r="E926" s="28" t="s">
        <v>44</v>
      </c>
      <c r="F926" s="28" t="s">
        <v>5375</v>
      </c>
      <c r="G926" s="28" t="s">
        <v>47</v>
      </c>
      <c r="H926" s="28" t="s">
        <v>48</v>
      </c>
      <c r="I926" s="28" t="s">
        <v>401</v>
      </c>
      <c r="J926" s="28" t="s">
        <v>5376</v>
      </c>
      <c r="K926" s="28" t="s">
        <v>927</v>
      </c>
      <c r="L926" s="28" t="s">
        <v>52</v>
      </c>
      <c r="M926" s="28" t="s">
        <v>52</v>
      </c>
      <c r="N926" s="28" t="s">
        <v>5489</v>
      </c>
      <c r="O926" s="28" t="s">
        <v>44</v>
      </c>
      <c r="P926" s="28" t="s">
        <v>5531</v>
      </c>
      <c r="Q926" s="28" t="s">
        <v>5532</v>
      </c>
      <c r="R926" s="28" t="s">
        <v>44</v>
      </c>
      <c r="S926" s="28" t="s">
        <v>44</v>
      </c>
      <c r="T926" s="28" t="s">
        <v>44</v>
      </c>
      <c r="U926" s="28" t="s">
        <v>44</v>
      </c>
      <c r="V926" s="28" t="s">
        <v>5533</v>
      </c>
      <c r="W926" s="28" t="s">
        <v>774</v>
      </c>
      <c r="X926" s="28"/>
      <c r="Y926" s="28"/>
      <c r="Z926" s="28"/>
      <c r="AA926" s="28"/>
    </row>
    <row r="927">
      <c r="A927" s="270" t="s">
        <v>5534</v>
      </c>
      <c r="B927" s="28" t="s">
        <v>36</v>
      </c>
      <c r="C927" s="28" t="s">
        <v>5535</v>
      </c>
      <c r="D927" s="28" t="s">
        <v>44</v>
      </c>
      <c r="E927" s="28" t="s">
        <v>44</v>
      </c>
      <c r="F927" s="28" t="s">
        <v>5375</v>
      </c>
      <c r="G927" s="28" t="s">
        <v>47</v>
      </c>
      <c r="H927" s="28" t="s">
        <v>48</v>
      </c>
      <c r="I927" s="28" t="s">
        <v>401</v>
      </c>
      <c r="J927" s="28" t="s">
        <v>5376</v>
      </c>
      <c r="K927" s="28" t="s">
        <v>927</v>
      </c>
      <c r="L927" s="28" t="s">
        <v>52</v>
      </c>
      <c r="M927" s="28" t="s">
        <v>52</v>
      </c>
      <c r="N927" s="28" t="s">
        <v>5489</v>
      </c>
      <c r="O927" s="28" t="s">
        <v>44</v>
      </c>
      <c r="P927" s="28" t="s">
        <v>5536</v>
      </c>
      <c r="Q927" s="28" t="s">
        <v>5537</v>
      </c>
      <c r="R927" s="28" t="s">
        <v>44</v>
      </c>
      <c r="S927" s="28" t="s">
        <v>44</v>
      </c>
      <c r="T927" s="28" t="s">
        <v>44</v>
      </c>
      <c r="U927" s="28" t="s">
        <v>44</v>
      </c>
      <c r="V927" s="28" t="s">
        <v>5538</v>
      </c>
      <c r="W927" s="28" t="s">
        <v>5539</v>
      </c>
      <c r="X927" s="28"/>
      <c r="Y927" s="28"/>
      <c r="Z927" s="28"/>
      <c r="AA927" s="28"/>
    </row>
    <row r="928">
      <c r="A928" s="270" t="s">
        <v>5540</v>
      </c>
      <c r="B928" s="28" t="s">
        <v>36</v>
      </c>
      <c r="C928" s="28" t="s">
        <v>5541</v>
      </c>
      <c r="D928" s="28" t="s">
        <v>44</v>
      </c>
      <c r="E928" s="28" t="s">
        <v>44</v>
      </c>
      <c r="F928" s="28" t="s">
        <v>5375</v>
      </c>
      <c r="G928" s="28" t="s">
        <v>47</v>
      </c>
      <c r="H928" s="28" t="s">
        <v>48</v>
      </c>
      <c r="I928" s="28" t="s">
        <v>401</v>
      </c>
      <c r="J928" s="28" t="s">
        <v>5376</v>
      </c>
      <c r="K928" s="28" t="s">
        <v>927</v>
      </c>
      <c r="L928" s="28" t="s">
        <v>52</v>
      </c>
      <c r="M928" s="28" t="s">
        <v>52</v>
      </c>
      <c r="N928" s="28" t="s">
        <v>5489</v>
      </c>
      <c r="O928" s="28" t="s">
        <v>44</v>
      </c>
      <c r="P928" s="28" t="s">
        <v>5542</v>
      </c>
      <c r="Q928" s="28" t="s">
        <v>5543</v>
      </c>
      <c r="R928" s="28" t="s">
        <v>44</v>
      </c>
      <c r="S928" s="28" t="s">
        <v>44</v>
      </c>
      <c r="T928" s="28" t="s">
        <v>44</v>
      </c>
      <c r="U928" s="28" t="s">
        <v>44</v>
      </c>
      <c r="V928" s="28" t="s">
        <v>5544</v>
      </c>
      <c r="W928" s="28" t="s">
        <v>5545</v>
      </c>
      <c r="X928" s="28"/>
      <c r="Y928" s="28"/>
      <c r="Z928" s="28"/>
      <c r="AA928" s="28"/>
    </row>
    <row r="929">
      <c r="A929" s="270" t="s">
        <v>5546</v>
      </c>
      <c r="B929" s="28" t="s">
        <v>36</v>
      </c>
      <c r="C929" s="28" t="s">
        <v>5547</v>
      </c>
      <c r="D929" s="28" t="s">
        <v>44</v>
      </c>
      <c r="E929" s="28" t="s">
        <v>44</v>
      </c>
      <c r="F929" s="28" t="s">
        <v>5375</v>
      </c>
      <c r="G929" s="28" t="s">
        <v>47</v>
      </c>
      <c r="H929" s="28" t="s">
        <v>48</v>
      </c>
      <c r="I929" s="28" t="s">
        <v>401</v>
      </c>
      <c r="J929" s="28" t="s">
        <v>5376</v>
      </c>
      <c r="K929" s="28" t="s">
        <v>927</v>
      </c>
      <c r="L929" s="28" t="s">
        <v>52</v>
      </c>
      <c r="M929" s="28" t="s">
        <v>52</v>
      </c>
      <c r="N929" s="28" t="s">
        <v>5489</v>
      </c>
      <c r="O929" s="28" t="s">
        <v>44</v>
      </c>
      <c r="P929" s="28" t="s">
        <v>5548</v>
      </c>
      <c r="Q929" s="28" t="s">
        <v>5549</v>
      </c>
      <c r="R929" s="28" t="s">
        <v>44</v>
      </c>
      <c r="S929" s="28" t="s">
        <v>44</v>
      </c>
      <c r="T929" s="28" t="s">
        <v>44</v>
      </c>
      <c r="U929" s="28" t="s">
        <v>44</v>
      </c>
      <c r="V929" s="28" t="s">
        <v>5550</v>
      </c>
      <c r="W929" s="28" t="s">
        <v>774</v>
      </c>
      <c r="X929" s="28"/>
      <c r="Y929" s="28"/>
      <c r="Z929" s="28"/>
      <c r="AA929" s="28"/>
    </row>
    <row r="930">
      <c r="A930" s="270" t="s">
        <v>5551</v>
      </c>
      <c r="B930" s="28" t="s">
        <v>36</v>
      </c>
      <c r="C930" s="28" t="s">
        <v>5552</v>
      </c>
      <c r="D930" s="28" t="s">
        <v>44</v>
      </c>
      <c r="E930" s="28" t="s">
        <v>44</v>
      </c>
      <c r="F930" s="28" t="s">
        <v>5375</v>
      </c>
      <c r="G930" s="28" t="s">
        <v>111</v>
      </c>
      <c r="H930" s="28" t="s">
        <v>91</v>
      </c>
      <c r="I930" s="28" t="s">
        <v>401</v>
      </c>
      <c r="J930" s="28" t="s">
        <v>5376</v>
      </c>
      <c r="K930" s="28" t="s">
        <v>927</v>
      </c>
      <c r="L930" s="28" t="s">
        <v>52</v>
      </c>
      <c r="M930" s="28" t="s">
        <v>52</v>
      </c>
      <c r="N930" s="28" t="s">
        <v>5489</v>
      </c>
      <c r="O930" s="28" t="s">
        <v>44</v>
      </c>
      <c r="P930" s="28" t="s">
        <v>5553</v>
      </c>
      <c r="Q930" s="28" t="s">
        <v>5554</v>
      </c>
      <c r="R930" s="28" t="s">
        <v>44</v>
      </c>
      <c r="S930" s="28" t="s">
        <v>44</v>
      </c>
      <c r="T930" s="28" t="s">
        <v>44</v>
      </c>
      <c r="U930" s="28" t="s">
        <v>44</v>
      </c>
      <c r="V930" s="28" t="s">
        <v>5555</v>
      </c>
      <c r="W930" s="28" t="s">
        <v>774</v>
      </c>
      <c r="X930" s="28"/>
      <c r="Y930" s="28"/>
      <c r="Z930" s="28"/>
      <c r="AA930" s="28"/>
    </row>
    <row r="931">
      <c r="A931" s="270" t="s">
        <v>5556</v>
      </c>
      <c r="B931" s="28" t="s">
        <v>36</v>
      </c>
      <c r="C931" s="28" t="s">
        <v>5557</v>
      </c>
      <c r="D931" s="28" t="s">
        <v>44</v>
      </c>
      <c r="E931" s="28" t="s">
        <v>44</v>
      </c>
      <c r="F931" s="28" t="s">
        <v>5375</v>
      </c>
      <c r="G931" s="28" t="s">
        <v>47</v>
      </c>
      <c r="H931" s="28" t="s">
        <v>48</v>
      </c>
      <c r="I931" s="28" t="s">
        <v>401</v>
      </c>
      <c r="J931" s="28" t="s">
        <v>5376</v>
      </c>
      <c r="K931" s="28" t="s">
        <v>927</v>
      </c>
      <c r="L931" s="28" t="s">
        <v>52</v>
      </c>
      <c r="M931" s="28" t="s">
        <v>52</v>
      </c>
      <c r="N931" s="28" t="s">
        <v>5489</v>
      </c>
      <c r="O931" s="28" t="s">
        <v>44</v>
      </c>
      <c r="P931" s="28" t="s">
        <v>5558</v>
      </c>
      <c r="Q931" s="28" t="s">
        <v>5559</v>
      </c>
      <c r="R931" s="28" t="s">
        <v>44</v>
      </c>
      <c r="S931" s="28" t="s">
        <v>44</v>
      </c>
      <c r="T931" s="28" t="s">
        <v>44</v>
      </c>
      <c r="U931" s="28" t="s">
        <v>44</v>
      </c>
      <c r="V931" s="28" t="s">
        <v>5560</v>
      </c>
      <c r="W931" s="28" t="s">
        <v>774</v>
      </c>
      <c r="X931" s="28"/>
      <c r="Y931" s="28"/>
      <c r="Z931" s="28"/>
      <c r="AA931" s="28"/>
    </row>
    <row r="932">
      <c r="A932" s="270" t="s">
        <v>5561</v>
      </c>
      <c r="B932" s="28" t="s">
        <v>36</v>
      </c>
      <c r="C932" s="28" t="s">
        <v>5562</v>
      </c>
      <c r="D932" s="28" t="s">
        <v>44</v>
      </c>
      <c r="E932" s="28" t="s">
        <v>44</v>
      </c>
      <c r="F932" s="28" t="s">
        <v>5375</v>
      </c>
      <c r="G932" s="28" t="s">
        <v>47</v>
      </c>
      <c r="H932" s="28" t="s">
        <v>48</v>
      </c>
      <c r="I932" s="28" t="s">
        <v>401</v>
      </c>
      <c r="J932" s="28" t="s">
        <v>5376</v>
      </c>
      <c r="K932" s="28" t="s">
        <v>927</v>
      </c>
      <c r="L932" s="28" t="s">
        <v>52</v>
      </c>
      <c r="M932" s="28" t="s">
        <v>52</v>
      </c>
      <c r="N932" s="28" t="s">
        <v>5489</v>
      </c>
      <c r="O932" s="28" t="s">
        <v>44</v>
      </c>
      <c r="P932" s="28" t="s">
        <v>5563</v>
      </c>
      <c r="Q932" s="28" t="s">
        <v>5564</v>
      </c>
      <c r="R932" s="28" t="s">
        <v>44</v>
      </c>
      <c r="S932" s="28" t="s">
        <v>44</v>
      </c>
      <c r="T932" s="28" t="s">
        <v>44</v>
      </c>
      <c r="U932" s="28" t="s">
        <v>44</v>
      </c>
      <c r="V932" s="28" t="s">
        <v>5565</v>
      </c>
      <c r="W932" s="28" t="s">
        <v>774</v>
      </c>
      <c r="X932" s="28"/>
      <c r="Y932" s="28"/>
      <c r="Z932" s="28"/>
      <c r="AA932" s="28"/>
    </row>
    <row r="933">
      <c r="A933" s="270" t="s">
        <v>5566</v>
      </c>
      <c r="B933" s="28" t="s">
        <v>36</v>
      </c>
      <c r="C933" s="28" t="s">
        <v>5567</v>
      </c>
      <c r="D933" s="28" t="s">
        <v>44</v>
      </c>
      <c r="E933" s="28" t="s">
        <v>44</v>
      </c>
      <c r="F933" s="28" t="s">
        <v>5375</v>
      </c>
      <c r="G933" s="28" t="s">
        <v>47</v>
      </c>
      <c r="H933" s="28" t="s">
        <v>48</v>
      </c>
      <c r="I933" s="28" t="s">
        <v>401</v>
      </c>
      <c r="J933" s="28" t="s">
        <v>5376</v>
      </c>
      <c r="K933" s="28" t="s">
        <v>927</v>
      </c>
      <c r="L933" s="28" t="s">
        <v>52</v>
      </c>
      <c r="M933" s="28" t="s">
        <v>52</v>
      </c>
      <c r="N933" s="28" t="s">
        <v>5489</v>
      </c>
      <c r="O933" s="28" t="s">
        <v>44</v>
      </c>
      <c r="P933" s="28" t="s">
        <v>5568</v>
      </c>
      <c r="Q933" s="28" t="s">
        <v>5569</v>
      </c>
      <c r="R933" s="28" t="s">
        <v>44</v>
      </c>
      <c r="S933" s="28" t="s">
        <v>44</v>
      </c>
      <c r="T933" s="28" t="s">
        <v>44</v>
      </c>
      <c r="U933" s="28" t="s">
        <v>44</v>
      </c>
      <c r="V933" s="28" t="s">
        <v>5570</v>
      </c>
      <c r="W933" s="28" t="s">
        <v>5571</v>
      </c>
      <c r="X933" s="28"/>
      <c r="Y933" s="28"/>
      <c r="Z933" s="28"/>
      <c r="AA933" s="28"/>
    </row>
    <row r="934">
      <c r="A934" s="270" t="s">
        <v>5572</v>
      </c>
      <c r="B934" s="28" t="s">
        <v>36</v>
      </c>
      <c r="C934" s="28" t="s">
        <v>5573</v>
      </c>
      <c r="D934" s="28" t="s">
        <v>44</v>
      </c>
      <c r="E934" s="28" t="s">
        <v>44</v>
      </c>
      <c r="F934" s="28" t="s">
        <v>5375</v>
      </c>
      <c r="G934" s="28" t="s">
        <v>47</v>
      </c>
      <c r="H934" s="28" t="s">
        <v>48</v>
      </c>
      <c r="I934" s="28" t="s">
        <v>401</v>
      </c>
      <c r="J934" s="28" t="s">
        <v>5376</v>
      </c>
      <c r="K934" s="28" t="s">
        <v>927</v>
      </c>
      <c r="L934" s="28" t="s">
        <v>52</v>
      </c>
      <c r="M934" s="28" t="s">
        <v>52</v>
      </c>
      <c r="N934" s="28" t="s">
        <v>5489</v>
      </c>
      <c r="O934" s="28" t="s">
        <v>44</v>
      </c>
      <c r="P934" s="28" t="s">
        <v>5574</v>
      </c>
      <c r="Q934" s="28" t="s">
        <v>5575</v>
      </c>
      <c r="R934" s="28" t="s">
        <v>44</v>
      </c>
      <c r="S934" s="28" t="s">
        <v>44</v>
      </c>
      <c r="T934" s="28" t="s">
        <v>44</v>
      </c>
      <c r="U934" s="28" t="s">
        <v>44</v>
      </c>
      <c r="V934" s="28" t="s">
        <v>5576</v>
      </c>
      <c r="W934" s="28" t="s">
        <v>5577</v>
      </c>
      <c r="X934" s="28"/>
      <c r="Y934" s="28"/>
      <c r="Z934" s="28"/>
      <c r="AA934" s="28"/>
    </row>
    <row r="935">
      <c r="A935" s="270" t="s">
        <v>5578</v>
      </c>
      <c r="B935" s="28" t="s">
        <v>36</v>
      </c>
      <c r="C935" s="28" t="s">
        <v>5579</v>
      </c>
      <c r="D935" s="28" t="s">
        <v>44</v>
      </c>
      <c r="E935" s="28" t="s">
        <v>44</v>
      </c>
      <c r="F935" s="28" t="s">
        <v>5375</v>
      </c>
      <c r="G935" s="28" t="s">
        <v>47</v>
      </c>
      <c r="H935" s="28" t="s">
        <v>91</v>
      </c>
      <c r="I935" s="28" t="s">
        <v>401</v>
      </c>
      <c r="J935" s="28" t="s">
        <v>5376</v>
      </c>
      <c r="K935" s="28" t="s">
        <v>927</v>
      </c>
      <c r="L935" s="28" t="s">
        <v>52</v>
      </c>
      <c r="M935" s="28" t="s">
        <v>52</v>
      </c>
      <c r="N935" s="28" t="s">
        <v>5489</v>
      </c>
      <c r="O935" s="28" t="s">
        <v>44</v>
      </c>
      <c r="P935" s="28" t="s">
        <v>5580</v>
      </c>
      <c r="Q935" s="28" t="s">
        <v>5581</v>
      </c>
      <c r="R935" s="28" t="s">
        <v>44</v>
      </c>
      <c r="S935" s="28" t="s">
        <v>44</v>
      </c>
      <c r="T935" s="28" t="s">
        <v>44</v>
      </c>
      <c r="U935" s="28" t="s">
        <v>44</v>
      </c>
      <c r="V935" s="28" t="s">
        <v>5582</v>
      </c>
      <c r="W935" s="28" t="s">
        <v>5583</v>
      </c>
      <c r="X935" s="28"/>
      <c r="Y935" s="28"/>
      <c r="Z935" s="28"/>
      <c r="AA935" s="28"/>
    </row>
    <row r="936">
      <c r="A936" s="270" t="s">
        <v>5584</v>
      </c>
      <c r="B936" s="28" t="s">
        <v>36</v>
      </c>
      <c r="C936" s="28" t="s">
        <v>5585</v>
      </c>
      <c r="D936" s="28" t="s">
        <v>44</v>
      </c>
      <c r="E936" s="28" t="s">
        <v>44</v>
      </c>
      <c r="F936" s="28" t="s">
        <v>5375</v>
      </c>
      <c r="G936" s="28" t="s">
        <v>47</v>
      </c>
      <c r="H936" s="28" t="s">
        <v>48</v>
      </c>
      <c r="I936" s="28" t="s">
        <v>401</v>
      </c>
      <c r="J936" s="28" t="s">
        <v>5376</v>
      </c>
      <c r="K936" s="28" t="s">
        <v>927</v>
      </c>
      <c r="L936" s="28" t="s">
        <v>52</v>
      </c>
      <c r="M936" s="28" t="s">
        <v>52</v>
      </c>
      <c r="N936" s="28" t="s">
        <v>5489</v>
      </c>
      <c r="O936" s="28" t="s">
        <v>44</v>
      </c>
      <c r="P936" s="28" t="s">
        <v>5586</v>
      </c>
      <c r="Q936" s="28" t="s">
        <v>5587</v>
      </c>
      <c r="R936" s="28" t="s">
        <v>44</v>
      </c>
      <c r="S936" s="28" t="s">
        <v>44</v>
      </c>
      <c r="T936" s="28" t="s">
        <v>44</v>
      </c>
      <c r="U936" s="28" t="s">
        <v>44</v>
      </c>
      <c r="V936" s="28" t="s">
        <v>5588</v>
      </c>
      <c r="W936" s="28" t="s">
        <v>774</v>
      </c>
      <c r="X936" s="28"/>
      <c r="Y936" s="28"/>
      <c r="Z936" s="28"/>
      <c r="AA936" s="28"/>
    </row>
    <row r="937">
      <c r="A937" s="270" t="s">
        <v>5589</v>
      </c>
      <c r="B937" s="28" t="s">
        <v>36</v>
      </c>
      <c r="C937" s="28" t="s">
        <v>5590</v>
      </c>
      <c r="D937" s="28" t="s">
        <v>44</v>
      </c>
      <c r="E937" s="28" t="s">
        <v>44</v>
      </c>
      <c r="F937" s="28" t="s">
        <v>5375</v>
      </c>
      <c r="G937" s="28" t="s">
        <v>47</v>
      </c>
      <c r="H937" s="28" t="s">
        <v>95</v>
      </c>
      <c r="I937" s="28" t="s">
        <v>401</v>
      </c>
      <c r="J937" s="28" t="s">
        <v>5376</v>
      </c>
      <c r="K937" s="28" t="s">
        <v>927</v>
      </c>
      <c r="L937" s="28" t="s">
        <v>52</v>
      </c>
      <c r="M937" s="28" t="s">
        <v>52</v>
      </c>
      <c r="N937" s="28" t="s">
        <v>5591</v>
      </c>
      <c r="O937" s="28" t="s">
        <v>44</v>
      </c>
      <c r="P937" s="28" t="s">
        <v>5592</v>
      </c>
      <c r="Q937" s="28" t="s">
        <v>5593</v>
      </c>
      <c r="R937" s="28" t="s">
        <v>44</v>
      </c>
      <c r="S937" s="28" t="s">
        <v>44</v>
      </c>
      <c r="T937" s="28" t="s">
        <v>44</v>
      </c>
      <c r="U937" s="28" t="s">
        <v>44</v>
      </c>
      <c r="V937" s="28" t="s">
        <v>5594</v>
      </c>
      <c r="W937" s="28" t="s">
        <v>774</v>
      </c>
      <c r="X937" s="28"/>
      <c r="Y937" s="28"/>
      <c r="Z937" s="28"/>
      <c r="AA937" s="28"/>
    </row>
    <row r="938">
      <c r="A938" s="270" t="s">
        <v>5595</v>
      </c>
      <c r="B938" s="28" t="s">
        <v>36</v>
      </c>
      <c r="C938" s="28" t="s">
        <v>5596</v>
      </c>
      <c r="D938" s="28" t="s">
        <v>44</v>
      </c>
      <c r="E938" s="28" t="s">
        <v>44</v>
      </c>
      <c r="F938" s="28" t="s">
        <v>5375</v>
      </c>
      <c r="G938" s="28" t="s">
        <v>47</v>
      </c>
      <c r="H938" s="28" t="s">
        <v>48</v>
      </c>
      <c r="I938" s="28" t="s">
        <v>401</v>
      </c>
      <c r="J938" s="28" t="s">
        <v>5376</v>
      </c>
      <c r="K938" s="28" t="s">
        <v>927</v>
      </c>
      <c r="L938" s="28" t="s">
        <v>52</v>
      </c>
      <c r="M938" s="28" t="s">
        <v>52</v>
      </c>
      <c r="N938" s="28" t="s">
        <v>5489</v>
      </c>
      <c r="O938" s="28" t="s">
        <v>44</v>
      </c>
      <c r="P938" s="28" t="s">
        <v>5597</v>
      </c>
      <c r="Q938" s="28" t="s">
        <v>5598</v>
      </c>
      <c r="R938" s="28" t="s">
        <v>44</v>
      </c>
      <c r="S938" s="28" t="s">
        <v>44</v>
      </c>
      <c r="T938" s="28" t="s">
        <v>44</v>
      </c>
      <c r="U938" s="28" t="s">
        <v>44</v>
      </c>
      <c r="V938" s="28" t="s">
        <v>5599</v>
      </c>
      <c r="W938" s="28" t="s">
        <v>774</v>
      </c>
      <c r="X938" s="28"/>
      <c r="Y938" s="28"/>
      <c r="Z938" s="28"/>
      <c r="AA938" s="28"/>
    </row>
    <row r="939">
      <c r="A939" s="270" t="s">
        <v>5600</v>
      </c>
      <c r="B939" s="28" t="s">
        <v>36</v>
      </c>
      <c r="C939" s="28" t="s">
        <v>5601</v>
      </c>
      <c r="D939" s="28" t="s">
        <v>44</v>
      </c>
      <c r="E939" s="28" t="s">
        <v>44</v>
      </c>
      <c r="F939" s="28" t="s">
        <v>5375</v>
      </c>
      <c r="G939" s="28" t="s">
        <v>47</v>
      </c>
      <c r="H939" s="28" t="s">
        <v>91</v>
      </c>
      <c r="I939" s="28" t="s">
        <v>401</v>
      </c>
      <c r="J939" s="28" t="s">
        <v>5376</v>
      </c>
      <c r="K939" s="28" t="s">
        <v>927</v>
      </c>
      <c r="L939" s="28" t="s">
        <v>52</v>
      </c>
      <c r="M939" s="28" t="s">
        <v>52</v>
      </c>
      <c r="N939" s="28" t="s">
        <v>5602</v>
      </c>
      <c r="O939" s="28" t="s">
        <v>44</v>
      </c>
      <c r="P939" s="28" t="s">
        <v>5603</v>
      </c>
      <c r="Q939" s="28" t="s">
        <v>5604</v>
      </c>
      <c r="R939" s="28" t="s">
        <v>44</v>
      </c>
      <c r="S939" s="28" t="s">
        <v>44</v>
      </c>
      <c r="T939" s="28" t="s">
        <v>44</v>
      </c>
      <c r="U939" s="28" t="s">
        <v>44</v>
      </c>
      <c r="V939" s="28" t="s">
        <v>5605</v>
      </c>
      <c r="W939" s="28" t="s">
        <v>5606</v>
      </c>
      <c r="X939" s="28"/>
      <c r="Y939" s="28"/>
      <c r="Z939" s="28"/>
      <c r="AA939" s="28"/>
    </row>
    <row r="940">
      <c r="A940" s="270" t="s">
        <v>5607</v>
      </c>
      <c r="B940" s="28" t="s">
        <v>36</v>
      </c>
      <c r="C940" s="28" t="s">
        <v>5608</v>
      </c>
      <c r="D940" s="28" t="s">
        <v>44</v>
      </c>
      <c r="E940" s="28" t="s">
        <v>44</v>
      </c>
      <c r="F940" s="28" t="s">
        <v>5375</v>
      </c>
      <c r="G940" s="28" t="s">
        <v>85</v>
      </c>
      <c r="H940" s="28" t="s">
        <v>86</v>
      </c>
      <c r="I940" s="28" t="s">
        <v>401</v>
      </c>
      <c r="J940" s="28" t="s">
        <v>5376</v>
      </c>
      <c r="K940" s="28" t="s">
        <v>927</v>
      </c>
      <c r="L940" s="28" t="s">
        <v>52</v>
      </c>
      <c r="M940" s="28" t="s">
        <v>52</v>
      </c>
      <c r="N940" s="28" t="s">
        <v>5489</v>
      </c>
      <c r="O940" s="28" t="s">
        <v>44</v>
      </c>
      <c r="P940" s="28" t="s">
        <v>5609</v>
      </c>
      <c r="Q940" s="28" t="s">
        <v>5610</v>
      </c>
      <c r="R940" s="28" t="s">
        <v>44</v>
      </c>
      <c r="S940" s="28" t="s">
        <v>44</v>
      </c>
      <c r="T940" s="28" t="s">
        <v>44</v>
      </c>
      <c r="U940" s="28" t="s">
        <v>44</v>
      </c>
      <c r="V940" s="28" t="s">
        <v>5611</v>
      </c>
      <c r="W940" s="28" t="s">
        <v>5612</v>
      </c>
      <c r="X940" s="28"/>
      <c r="Y940" s="28"/>
      <c r="Z940" s="28"/>
      <c r="AA940" s="28"/>
    </row>
    <row r="941">
      <c r="A941" s="270" t="s">
        <v>5613</v>
      </c>
      <c r="B941" s="28" t="s">
        <v>36</v>
      </c>
      <c r="C941" s="28" t="s">
        <v>5614</v>
      </c>
      <c r="D941" s="28" t="s">
        <v>44</v>
      </c>
      <c r="E941" s="28" t="s">
        <v>44</v>
      </c>
      <c r="F941" s="28" t="s">
        <v>5375</v>
      </c>
      <c r="G941" s="28" t="s">
        <v>47</v>
      </c>
      <c r="H941" s="28" t="s">
        <v>48</v>
      </c>
      <c r="I941" s="28" t="s">
        <v>401</v>
      </c>
      <c r="J941" s="28" t="s">
        <v>5376</v>
      </c>
      <c r="K941" s="28" t="s">
        <v>927</v>
      </c>
      <c r="L941" s="28" t="s">
        <v>52</v>
      </c>
      <c r="M941" s="28" t="s">
        <v>52</v>
      </c>
      <c r="N941" s="28" t="s">
        <v>5489</v>
      </c>
      <c r="O941" s="28" t="s">
        <v>44</v>
      </c>
      <c r="P941" s="28" t="s">
        <v>5615</v>
      </c>
      <c r="Q941" s="28" t="s">
        <v>5616</v>
      </c>
      <c r="R941" s="28" t="s">
        <v>44</v>
      </c>
      <c r="S941" s="28" t="s">
        <v>44</v>
      </c>
      <c r="T941" s="28" t="s">
        <v>44</v>
      </c>
      <c r="U941" s="28" t="s">
        <v>44</v>
      </c>
      <c r="V941" s="28" t="s">
        <v>5617</v>
      </c>
      <c r="W941" s="28" t="s">
        <v>774</v>
      </c>
      <c r="X941" s="28"/>
      <c r="Y941" s="28"/>
      <c r="Z941" s="28"/>
      <c r="AA941" s="28"/>
    </row>
    <row r="942">
      <c r="A942" s="270" t="s">
        <v>5618</v>
      </c>
      <c r="B942" s="28" t="s">
        <v>36</v>
      </c>
      <c r="C942" s="28" t="s">
        <v>5619</v>
      </c>
      <c r="D942" s="28" t="s">
        <v>44</v>
      </c>
      <c r="E942" s="28" t="s">
        <v>44</v>
      </c>
      <c r="F942" s="28" t="s">
        <v>5375</v>
      </c>
      <c r="G942" s="28" t="s">
        <v>47</v>
      </c>
      <c r="H942" s="28" t="s">
        <v>48</v>
      </c>
      <c r="I942" s="28" t="s">
        <v>401</v>
      </c>
      <c r="J942" s="28" t="s">
        <v>5376</v>
      </c>
      <c r="K942" s="28" t="s">
        <v>927</v>
      </c>
      <c r="L942" s="28" t="s">
        <v>52</v>
      </c>
      <c r="M942" s="28" t="s">
        <v>52</v>
      </c>
      <c r="N942" s="28" t="s">
        <v>5489</v>
      </c>
      <c r="O942" s="28" t="s">
        <v>44</v>
      </c>
      <c r="P942" s="28" t="s">
        <v>5620</v>
      </c>
      <c r="Q942" s="28" t="s">
        <v>5621</v>
      </c>
      <c r="R942" s="28" t="s">
        <v>44</v>
      </c>
      <c r="S942" s="28" t="s">
        <v>44</v>
      </c>
      <c r="T942" s="28" t="s">
        <v>44</v>
      </c>
      <c r="U942" s="28" t="s">
        <v>44</v>
      </c>
      <c r="V942" s="28" t="s">
        <v>5622</v>
      </c>
      <c r="W942" s="28" t="s">
        <v>774</v>
      </c>
      <c r="X942" s="28"/>
      <c r="Y942" s="28"/>
      <c r="Z942" s="28"/>
      <c r="AA942" s="28"/>
    </row>
    <row r="943">
      <c r="A943" s="270" t="s">
        <v>5623</v>
      </c>
      <c r="B943" s="28" t="s">
        <v>36</v>
      </c>
      <c r="C943" s="28" t="s">
        <v>5624</v>
      </c>
      <c r="D943" s="28" t="s">
        <v>44</v>
      </c>
      <c r="E943" s="28" t="s">
        <v>44</v>
      </c>
      <c r="F943" s="28" t="s">
        <v>5375</v>
      </c>
      <c r="G943" s="28" t="s">
        <v>47</v>
      </c>
      <c r="H943" s="28" t="s">
        <v>48</v>
      </c>
      <c r="I943" s="28" t="s">
        <v>401</v>
      </c>
      <c r="J943" s="28" t="s">
        <v>5376</v>
      </c>
      <c r="K943" s="28" t="s">
        <v>927</v>
      </c>
      <c r="L943" s="28" t="s">
        <v>52</v>
      </c>
      <c r="M943" s="28" t="s">
        <v>52</v>
      </c>
      <c r="N943" s="28" t="s">
        <v>5489</v>
      </c>
      <c r="O943" s="28" t="s">
        <v>44</v>
      </c>
      <c r="P943" s="28" t="s">
        <v>5625</v>
      </c>
      <c r="Q943" s="28" t="s">
        <v>5626</v>
      </c>
      <c r="R943" s="28" t="s">
        <v>44</v>
      </c>
      <c r="S943" s="28" t="s">
        <v>44</v>
      </c>
      <c r="T943" s="28" t="s">
        <v>44</v>
      </c>
      <c r="U943" s="28" t="s">
        <v>44</v>
      </c>
      <c r="V943" s="28" t="s">
        <v>5627</v>
      </c>
      <c r="W943" s="28" t="s">
        <v>774</v>
      </c>
      <c r="X943" s="28"/>
      <c r="Y943" s="28"/>
      <c r="Z943" s="28"/>
      <c r="AA943" s="28"/>
    </row>
    <row r="944">
      <c r="A944" s="270" t="s">
        <v>5628</v>
      </c>
      <c r="B944" s="28" t="s">
        <v>36</v>
      </c>
      <c r="C944" s="28" t="s">
        <v>5629</v>
      </c>
      <c r="D944" s="28" t="s">
        <v>44</v>
      </c>
      <c r="E944" s="28" t="s">
        <v>44</v>
      </c>
      <c r="F944" s="28" t="s">
        <v>5375</v>
      </c>
      <c r="G944" s="28" t="s">
        <v>47</v>
      </c>
      <c r="H944" s="28" t="s">
        <v>48</v>
      </c>
      <c r="I944" s="28" t="s">
        <v>401</v>
      </c>
      <c r="J944" s="28" t="s">
        <v>5376</v>
      </c>
      <c r="K944" s="28" t="s">
        <v>927</v>
      </c>
      <c r="L944" s="28" t="s">
        <v>52</v>
      </c>
      <c r="M944" s="28" t="s">
        <v>52</v>
      </c>
      <c r="N944" s="28" t="s">
        <v>5489</v>
      </c>
      <c r="O944" s="28" t="s">
        <v>44</v>
      </c>
      <c r="P944" s="28" t="s">
        <v>5630</v>
      </c>
      <c r="Q944" s="28" t="s">
        <v>5631</v>
      </c>
      <c r="R944" s="28" t="s">
        <v>44</v>
      </c>
      <c r="S944" s="28" t="s">
        <v>44</v>
      </c>
      <c r="T944" s="28" t="s">
        <v>44</v>
      </c>
      <c r="U944" s="28" t="s">
        <v>44</v>
      </c>
      <c r="V944" s="28" t="s">
        <v>5632</v>
      </c>
      <c r="W944" s="28" t="s">
        <v>5633</v>
      </c>
      <c r="X944" s="28"/>
      <c r="Y944" s="28"/>
      <c r="Z944" s="28"/>
      <c r="AA944" s="28"/>
    </row>
    <row r="945">
      <c r="A945" s="270" t="s">
        <v>5634</v>
      </c>
      <c r="B945" s="28" t="s">
        <v>36</v>
      </c>
      <c r="C945" s="28" t="s">
        <v>5635</v>
      </c>
      <c r="D945" s="28" t="s">
        <v>44</v>
      </c>
      <c r="E945" s="28" t="s">
        <v>44</v>
      </c>
      <c r="F945" s="28" t="s">
        <v>5375</v>
      </c>
      <c r="G945" s="28" t="s">
        <v>47</v>
      </c>
      <c r="H945" s="28" t="s">
        <v>48</v>
      </c>
      <c r="I945" s="28" t="s">
        <v>401</v>
      </c>
      <c r="J945" s="28" t="s">
        <v>5376</v>
      </c>
      <c r="K945" s="28" t="s">
        <v>927</v>
      </c>
      <c r="L945" s="28" t="s">
        <v>52</v>
      </c>
      <c r="M945" s="28" t="s">
        <v>52</v>
      </c>
      <c r="N945" s="28" t="s">
        <v>5489</v>
      </c>
      <c r="O945" s="28" t="s">
        <v>44</v>
      </c>
      <c r="P945" s="28" t="s">
        <v>5636</v>
      </c>
      <c r="Q945" s="28" t="s">
        <v>5637</v>
      </c>
      <c r="R945" s="28" t="s">
        <v>44</v>
      </c>
      <c r="S945" s="28" t="s">
        <v>44</v>
      </c>
      <c r="T945" s="28" t="s">
        <v>44</v>
      </c>
      <c r="U945" s="28" t="s">
        <v>44</v>
      </c>
      <c r="V945" s="28" t="s">
        <v>5638</v>
      </c>
      <c r="W945" s="28" t="s">
        <v>774</v>
      </c>
      <c r="X945" s="28"/>
      <c r="Y945" s="28"/>
      <c r="Z945" s="28"/>
      <c r="AA945" s="28"/>
    </row>
    <row r="946">
      <c r="A946" s="270" t="s">
        <v>5639</v>
      </c>
      <c r="B946" s="28" t="s">
        <v>36</v>
      </c>
      <c r="C946" s="28" t="s">
        <v>5640</v>
      </c>
      <c r="D946" s="28" t="s">
        <v>44</v>
      </c>
      <c r="E946" s="28" t="s">
        <v>44</v>
      </c>
      <c r="F946" s="28" t="s">
        <v>5375</v>
      </c>
      <c r="G946" s="28" t="s">
        <v>47</v>
      </c>
      <c r="H946" s="28" t="s">
        <v>48</v>
      </c>
      <c r="I946" s="28" t="s">
        <v>401</v>
      </c>
      <c r="J946" s="28" t="s">
        <v>5376</v>
      </c>
      <c r="K946" s="28" t="s">
        <v>927</v>
      </c>
      <c r="L946" s="28" t="s">
        <v>52</v>
      </c>
      <c r="M946" s="28" t="s">
        <v>52</v>
      </c>
      <c r="N946" s="28" t="s">
        <v>5641</v>
      </c>
      <c r="O946" s="28" t="s">
        <v>44</v>
      </c>
      <c r="P946" s="28" t="s">
        <v>5642</v>
      </c>
      <c r="Q946" s="28" t="s">
        <v>5643</v>
      </c>
      <c r="R946" s="28" t="s">
        <v>44</v>
      </c>
      <c r="S946" s="28" t="s">
        <v>44</v>
      </c>
      <c r="T946" s="28" t="s">
        <v>44</v>
      </c>
      <c r="U946" s="28" t="s">
        <v>44</v>
      </c>
      <c r="V946" s="28" t="s">
        <v>5644</v>
      </c>
      <c r="W946" s="28" t="s">
        <v>5645</v>
      </c>
      <c r="X946" s="28"/>
      <c r="Y946" s="28"/>
      <c r="Z946" s="28"/>
      <c r="AA946" s="28"/>
    </row>
    <row r="947">
      <c r="A947" s="270" t="s">
        <v>5646</v>
      </c>
      <c r="B947" s="28" t="s">
        <v>36</v>
      </c>
      <c r="C947" s="28" t="s">
        <v>5647</v>
      </c>
      <c r="D947" s="28" t="s">
        <v>44</v>
      </c>
      <c r="E947" s="28" t="s">
        <v>44</v>
      </c>
      <c r="F947" s="28" t="s">
        <v>5375</v>
      </c>
      <c r="G947" s="28" t="s">
        <v>47</v>
      </c>
      <c r="H947" s="28" t="s">
        <v>95</v>
      </c>
      <c r="I947" s="28" t="s">
        <v>401</v>
      </c>
      <c r="J947" s="28" t="s">
        <v>5376</v>
      </c>
      <c r="K947" s="28" t="s">
        <v>927</v>
      </c>
      <c r="L947" s="28" t="s">
        <v>52</v>
      </c>
      <c r="M947" s="28" t="s">
        <v>52</v>
      </c>
      <c r="N947" s="28" t="s">
        <v>5648</v>
      </c>
      <c r="O947" s="28" t="s">
        <v>44</v>
      </c>
      <c r="P947" s="28" t="s">
        <v>5649</v>
      </c>
      <c r="Q947" s="28" t="s">
        <v>5650</v>
      </c>
      <c r="R947" s="28" t="s">
        <v>44</v>
      </c>
      <c r="S947" s="28" t="s">
        <v>44</v>
      </c>
      <c r="T947" s="28" t="s">
        <v>44</v>
      </c>
      <c r="U947" s="28" t="s">
        <v>44</v>
      </c>
      <c r="V947" s="28" t="s">
        <v>5651</v>
      </c>
      <c r="W947" s="28" t="s">
        <v>774</v>
      </c>
      <c r="X947" s="28"/>
      <c r="Y947" s="28"/>
      <c r="Z947" s="28"/>
      <c r="AA947" s="28"/>
    </row>
    <row r="948">
      <c r="A948" s="270" t="s">
        <v>5652</v>
      </c>
      <c r="B948" s="28" t="s">
        <v>36</v>
      </c>
      <c r="C948" s="28" t="s">
        <v>5653</v>
      </c>
      <c r="D948" s="28" t="s">
        <v>44</v>
      </c>
      <c r="E948" s="28" t="s">
        <v>44</v>
      </c>
      <c r="F948" s="28" t="s">
        <v>5375</v>
      </c>
      <c r="G948" s="28" t="s">
        <v>47</v>
      </c>
      <c r="H948" s="28" t="s">
        <v>48</v>
      </c>
      <c r="I948" s="28" t="s">
        <v>401</v>
      </c>
      <c r="J948" s="28" t="s">
        <v>5376</v>
      </c>
      <c r="K948" s="28" t="s">
        <v>927</v>
      </c>
      <c r="L948" s="28" t="s">
        <v>52</v>
      </c>
      <c r="M948" s="28" t="s">
        <v>52</v>
      </c>
      <c r="N948" s="28" t="s">
        <v>5489</v>
      </c>
      <c r="O948" s="28" t="s">
        <v>44</v>
      </c>
      <c r="P948" s="28" t="s">
        <v>5654</v>
      </c>
      <c r="Q948" s="28" t="s">
        <v>5655</v>
      </c>
      <c r="R948" s="28" t="s">
        <v>44</v>
      </c>
      <c r="S948" s="28" t="s">
        <v>44</v>
      </c>
      <c r="T948" s="28" t="s">
        <v>44</v>
      </c>
      <c r="U948" s="28" t="s">
        <v>44</v>
      </c>
      <c r="V948" s="28" t="s">
        <v>5656</v>
      </c>
      <c r="W948" s="28" t="s">
        <v>774</v>
      </c>
      <c r="X948" s="28"/>
      <c r="Y948" s="28"/>
      <c r="Z948" s="28"/>
      <c r="AA948" s="28"/>
    </row>
    <row r="949">
      <c r="A949" s="270" t="s">
        <v>5657</v>
      </c>
      <c r="B949" s="28" t="s">
        <v>36</v>
      </c>
      <c r="C949" s="28" t="s">
        <v>5658</v>
      </c>
      <c r="D949" s="28" t="s">
        <v>44</v>
      </c>
      <c r="E949" s="28" t="s">
        <v>44</v>
      </c>
      <c r="F949" s="28" t="s">
        <v>5375</v>
      </c>
      <c r="G949" s="28" t="s">
        <v>47</v>
      </c>
      <c r="H949" s="28" t="s">
        <v>95</v>
      </c>
      <c r="I949" s="28" t="s">
        <v>401</v>
      </c>
      <c r="J949" s="28" t="s">
        <v>5376</v>
      </c>
      <c r="K949" s="28" t="s">
        <v>927</v>
      </c>
      <c r="L949" s="28" t="s">
        <v>52</v>
      </c>
      <c r="M949" s="28" t="s">
        <v>52</v>
      </c>
      <c r="N949" s="28" t="s">
        <v>5659</v>
      </c>
      <c r="O949" s="28" t="s">
        <v>44</v>
      </c>
      <c r="P949" s="28" t="s">
        <v>5660</v>
      </c>
      <c r="Q949" s="28" t="s">
        <v>5661</v>
      </c>
      <c r="R949" s="28" t="s">
        <v>44</v>
      </c>
      <c r="S949" s="28" t="s">
        <v>44</v>
      </c>
      <c r="T949" s="28" t="s">
        <v>44</v>
      </c>
      <c r="U949" s="28" t="s">
        <v>44</v>
      </c>
      <c r="V949" s="28" t="s">
        <v>5662</v>
      </c>
      <c r="W949" s="28" t="s">
        <v>5663</v>
      </c>
      <c r="X949" s="28"/>
      <c r="Y949" s="28"/>
      <c r="Z949" s="28"/>
      <c r="AA949" s="28"/>
    </row>
    <row r="950">
      <c r="A950" s="270" t="s">
        <v>5664</v>
      </c>
      <c r="B950" s="28" t="s">
        <v>36</v>
      </c>
      <c r="C950" s="28" t="s">
        <v>5665</v>
      </c>
      <c r="D950" s="28" t="s">
        <v>44</v>
      </c>
      <c r="E950" s="28" t="s">
        <v>44</v>
      </c>
      <c r="F950" s="28" t="s">
        <v>5375</v>
      </c>
      <c r="G950" s="28" t="s">
        <v>47</v>
      </c>
      <c r="H950" s="28" t="s">
        <v>48</v>
      </c>
      <c r="I950" s="28" t="s">
        <v>401</v>
      </c>
      <c r="J950" s="28" t="s">
        <v>5376</v>
      </c>
      <c r="K950" s="28" t="s">
        <v>927</v>
      </c>
      <c r="L950" s="28" t="s">
        <v>52</v>
      </c>
      <c r="M950" s="28" t="s">
        <v>52</v>
      </c>
      <c r="N950" s="28" t="s">
        <v>5489</v>
      </c>
      <c r="O950" s="28" t="s">
        <v>44</v>
      </c>
      <c r="P950" s="28" t="s">
        <v>5666</v>
      </c>
      <c r="Q950" s="28" t="s">
        <v>5667</v>
      </c>
      <c r="R950" s="28" t="s">
        <v>44</v>
      </c>
      <c r="S950" s="28" t="s">
        <v>44</v>
      </c>
      <c r="T950" s="28" t="s">
        <v>44</v>
      </c>
      <c r="U950" s="28" t="s">
        <v>44</v>
      </c>
      <c r="V950" s="28" t="s">
        <v>5668</v>
      </c>
      <c r="W950" s="28" t="s">
        <v>774</v>
      </c>
      <c r="X950" s="28"/>
      <c r="Y950" s="28"/>
      <c r="Z950" s="28"/>
      <c r="AA950" s="28"/>
    </row>
    <row r="951">
      <c r="A951" s="270" t="s">
        <v>5669</v>
      </c>
      <c r="B951" s="28" t="s">
        <v>36</v>
      </c>
      <c r="C951" s="28" t="s">
        <v>5670</v>
      </c>
      <c r="D951" s="28" t="s">
        <v>44</v>
      </c>
      <c r="E951" s="28" t="s">
        <v>44</v>
      </c>
      <c r="F951" s="28" t="s">
        <v>5375</v>
      </c>
      <c r="G951" s="28" t="s">
        <v>47</v>
      </c>
      <c r="H951" s="28" t="s">
        <v>48</v>
      </c>
      <c r="I951" s="28" t="s">
        <v>401</v>
      </c>
      <c r="J951" s="28" t="s">
        <v>5376</v>
      </c>
      <c r="K951" s="28" t="s">
        <v>927</v>
      </c>
      <c r="L951" s="28" t="s">
        <v>52</v>
      </c>
      <c r="M951" s="28" t="s">
        <v>52</v>
      </c>
      <c r="N951" s="28" t="s">
        <v>5671</v>
      </c>
      <c r="O951" s="28" t="s">
        <v>44</v>
      </c>
      <c r="P951" s="28" t="s">
        <v>5672</v>
      </c>
      <c r="Q951" s="28" t="s">
        <v>5673</v>
      </c>
      <c r="R951" s="28" t="s">
        <v>44</v>
      </c>
      <c r="S951" s="28" t="s">
        <v>44</v>
      </c>
      <c r="T951" s="28" t="s">
        <v>44</v>
      </c>
      <c r="U951" s="28" t="s">
        <v>44</v>
      </c>
      <c r="V951" s="28" t="s">
        <v>5674</v>
      </c>
      <c r="W951" s="28" t="s">
        <v>5675</v>
      </c>
      <c r="X951" s="28"/>
      <c r="Y951" s="28"/>
      <c r="Z951" s="28"/>
      <c r="AA951" s="28"/>
    </row>
    <row r="952">
      <c r="A952" s="270" t="s">
        <v>5676</v>
      </c>
      <c r="B952" s="28" t="s">
        <v>36</v>
      </c>
      <c r="C952" s="28" t="s">
        <v>5677</v>
      </c>
      <c r="D952" s="28" t="s">
        <v>44</v>
      </c>
      <c r="E952" s="28" t="s">
        <v>44</v>
      </c>
      <c r="F952" s="28" t="s">
        <v>5375</v>
      </c>
      <c r="G952" s="28" t="s">
        <v>47</v>
      </c>
      <c r="H952" s="28" t="s">
        <v>48</v>
      </c>
      <c r="I952" s="28" t="s">
        <v>401</v>
      </c>
      <c r="J952" s="28" t="s">
        <v>5376</v>
      </c>
      <c r="K952" s="28" t="s">
        <v>927</v>
      </c>
      <c r="L952" s="28" t="s">
        <v>52</v>
      </c>
      <c r="M952" s="28" t="s">
        <v>52</v>
      </c>
      <c r="N952" s="28" t="s">
        <v>5671</v>
      </c>
      <c r="O952" s="28" t="s">
        <v>44</v>
      </c>
      <c r="P952" s="28" t="s">
        <v>5678</v>
      </c>
      <c r="Q952" s="28" t="s">
        <v>5679</v>
      </c>
      <c r="R952" s="28" t="s">
        <v>44</v>
      </c>
      <c r="S952" s="28" t="s">
        <v>44</v>
      </c>
      <c r="T952" s="28" t="s">
        <v>44</v>
      </c>
      <c r="U952" s="28" t="s">
        <v>44</v>
      </c>
      <c r="V952" s="28" t="s">
        <v>5680</v>
      </c>
      <c r="W952" s="28" t="s">
        <v>5675</v>
      </c>
      <c r="X952" s="28"/>
      <c r="Y952" s="28"/>
      <c r="Z952" s="28"/>
      <c r="AA952" s="28"/>
    </row>
    <row r="953">
      <c r="A953" s="270" t="s">
        <v>5681</v>
      </c>
      <c r="B953" s="28" t="s">
        <v>36</v>
      </c>
      <c r="C953" s="28" t="s">
        <v>5682</v>
      </c>
      <c r="D953" s="28" t="s">
        <v>44</v>
      </c>
      <c r="E953" s="28" t="s">
        <v>44</v>
      </c>
      <c r="F953" s="28" t="s">
        <v>5375</v>
      </c>
      <c r="G953" s="28" t="s">
        <v>111</v>
      </c>
      <c r="H953" s="28" t="s">
        <v>91</v>
      </c>
      <c r="I953" s="28" t="s">
        <v>401</v>
      </c>
      <c r="J953" s="28" t="s">
        <v>5376</v>
      </c>
      <c r="K953" s="28" t="s">
        <v>927</v>
      </c>
      <c r="L953" s="28" t="s">
        <v>52</v>
      </c>
      <c r="M953" s="28" t="s">
        <v>52</v>
      </c>
      <c r="N953" s="28" t="s">
        <v>5671</v>
      </c>
      <c r="O953" s="28" t="s">
        <v>44</v>
      </c>
      <c r="P953" s="28" t="s">
        <v>5683</v>
      </c>
      <c r="Q953" s="28" t="s">
        <v>5684</v>
      </c>
      <c r="R953" s="28" t="s">
        <v>44</v>
      </c>
      <c r="S953" s="28" t="s">
        <v>44</v>
      </c>
      <c r="T953" s="28" t="s">
        <v>44</v>
      </c>
      <c r="U953" s="28" t="s">
        <v>44</v>
      </c>
      <c r="V953" s="28" t="s">
        <v>5685</v>
      </c>
      <c r="W953" s="28" t="s">
        <v>774</v>
      </c>
      <c r="X953" s="28"/>
      <c r="Y953" s="28"/>
      <c r="Z953" s="28"/>
      <c r="AA953" s="28"/>
    </row>
    <row r="954">
      <c r="A954" s="270" t="s">
        <v>5686</v>
      </c>
      <c r="B954" s="28" t="s">
        <v>36</v>
      </c>
      <c r="C954" s="28" t="s">
        <v>5687</v>
      </c>
      <c r="D954" s="28" t="s">
        <v>44</v>
      </c>
      <c r="E954" s="28" t="s">
        <v>44</v>
      </c>
      <c r="F954" s="28" t="s">
        <v>5375</v>
      </c>
      <c r="G954" s="28" t="s">
        <v>111</v>
      </c>
      <c r="H954" s="28" t="s">
        <v>91</v>
      </c>
      <c r="I954" s="28" t="s">
        <v>401</v>
      </c>
      <c r="J954" s="28" t="s">
        <v>5376</v>
      </c>
      <c r="K954" s="28" t="s">
        <v>927</v>
      </c>
      <c r="L954" s="28" t="s">
        <v>52</v>
      </c>
      <c r="M954" s="28" t="s">
        <v>52</v>
      </c>
      <c r="N954" s="28" t="s">
        <v>5671</v>
      </c>
      <c r="O954" s="28" t="s">
        <v>44</v>
      </c>
      <c r="P954" s="28" t="s">
        <v>5688</v>
      </c>
      <c r="Q954" s="28" t="s">
        <v>5689</v>
      </c>
      <c r="R954" s="28" t="s">
        <v>44</v>
      </c>
      <c r="S954" s="28" t="s">
        <v>44</v>
      </c>
      <c r="T954" s="28" t="s">
        <v>44</v>
      </c>
      <c r="U954" s="28" t="s">
        <v>44</v>
      </c>
      <c r="V954" s="28" t="s">
        <v>5690</v>
      </c>
      <c r="W954" s="28" t="s">
        <v>5691</v>
      </c>
      <c r="X954" s="28"/>
      <c r="Y954" s="28"/>
      <c r="Z954" s="28"/>
      <c r="AA954" s="28"/>
    </row>
    <row r="955">
      <c r="A955" s="270" t="s">
        <v>5692</v>
      </c>
      <c r="B955" s="28" t="s">
        <v>36</v>
      </c>
      <c r="C955" s="28" t="s">
        <v>5693</v>
      </c>
      <c r="D955" s="28" t="s">
        <v>44</v>
      </c>
      <c r="E955" s="28" t="s">
        <v>44</v>
      </c>
      <c r="F955" s="28" t="s">
        <v>5375</v>
      </c>
      <c r="G955" s="28" t="s">
        <v>47</v>
      </c>
      <c r="H955" s="28" t="s">
        <v>48</v>
      </c>
      <c r="I955" s="28" t="s">
        <v>401</v>
      </c>
      <c r="J955" s="28" t="s">
        <v>5376</v>
      </c>
      <c r="K955" s="28" t="s">
        <v>927</v>
      </c>
      <c r="L955" s="28" t="s">
        <v>52</v>
      </c>
      <c r="M955" s="28" t="s">
        <v>52</v>
      </c>
      <c r="N955" s="28" t="s">
        <v>5489</v>
      </c>
      <c r="O955" s="28" t="s">
        <v>44</v>
      </c>
      <c r="P955" s="28" t="s">
        <v>5694</v>
      </c>
      <c r="Q955" s="28" t="s">
        <v>5695</v>
      </c>
      <c r="R955" s="28" t="s">
        <v>44</v>
      </c>
      <c r="S955" s="28" t="s">
        <v>44</v>
      </c>
      <c r="T955" s="28" t="s">
        <v>44</v>
      </c>
      <c r="U955" s="28" t="s">
        <v>44</v>
      </c>
      <c r="V955" s="28" t="s">
        <v>5696</v>
      </c>
      <c r="W955" s="28" t="s">
        <v>5697</v>
      </c>
      <c r="X955" s="28"/>
      <c r="Y955" s="28"/>
      <c r="Z955" s="28"/>
      <c r="AA955" s="28"/>
    </row>
    <row r="956">
      <c r="A956" s="270" t="s">
        <v>5698</v>
      </c>
      <c r="B956" s="28" t="s">
        <v>36</v>
      </c>
      <c r="C956" s="28" t="s">
        <v>5699</v>
      </c>
      <c r="D956" s="28" t="s">
        <v>44</v>
      </c>
      <c r="E956" s="28" t="s">
        <v>44</v>
      </c>
      <c r="F956" s="28" t="s">
        <v>5375</v>
      </c>
      <c r="G956" s="28" t="s">
        <v>197</v>
      </c>
      <c r="H956" s="28" t="s">
        <v>198</v>
      </c>
      <c r="I956" s="28" t="s">
        <v>401</v>
      </c>
      <c r="J956" s="28" t="s">
        <v>5376</v>
      </c>
      <c r="K956" s="28" t="s">
        <v>927</v>
      </c>
      <c r="L956" s="28" t="s">
        <v>52</v>
      </c>
      <c r="M956" s="28" t="s">
        <v>52</v>
      </c>
      <c r="N956" s="28" t="s">
        <v>5489</v>
      </c>
      <c r="O956" s="28" t="s">
        <v>44</v>
      </c>
      <c r="P956" s="28" t="s">
        <v>5700</v>
      </c>
      <c r="Q956" s="28" t="s">
        <v>5701</v>
      </c>
      <c r="R956" s="28" t="s">
        <v>44</v>
      </c>
      <c r="S956" s="28" t="s">
        <v>44</v>
      </c>
      <c r="T956" s="28" t="s">
        <v>44</v>
      </c>
      <c r="U956" s="28" t="s">
        <v>44</v>
      </c>
      <c r="V956" s="28" t="s">
        <v>5702</v>
      </c>
      <c r="W956" s="28" t="s">
        <v>5703</v>
      </c>
      <c r="X956" s="28"/>
      <c r="Y956" s="28"/>
      <c r="Z956" s="28"/>
      <c r="AA956" s="28"/>
    </row>
    <row r="957">
      <c r="A957" s="270" t="s">
        <v>5704</v>
      </c>
      <c r="B957" s="28" t="s">
        <v>36</v>
      </c>
      <c r="C957" s="28" t="s">
        <v>5705</v>
      </c>
      <c r="D957" s="28" t="s">
        <v>44</v>
      </c>
      <c r="E957" s="28" t="s">
        <v>44</v>
      </c>
      <c r="F957" s="28" t="s">
        <v>5375</v>
      </c>
      <c r="G957" s="28" t="s">
        <v>47</v>
      </c>
      <c r="H957" s="28" t="s">
        <v>48</v>
      </c>
      <c r="I957" s="28" t="s">
        <v>401</v>
      </c>
      <c r="J957" s="28" t="s">
        <v>5376</v>
      </c>
      <c r="K957" s="28" t="s">
        <v>927</v>
      </c>
      <c r="L957" s="28" t="s">
        <v>52</v>
      </c>
      <c r="M957" s="28" t="s">
        <v>52</v>
      </c>
      <c r="N957" s="28" t="s">
        <v>5489</v>
      </c>
      <c r="O957" s="28" t="s">
        <v>44</v>
      </c>
      <c r="P957" s="28" t="s">
        <v>5706</v>
      </c>
      <c r="Q957" s="28" t="s">
        <v>5707</v>
      </c>
      <c r="R957" s="28" t="s">
        <v>44</v>
      </c>
      <c r="S957" s="28" t="s">
        <v>44</v>
      </c>
      <c r="T957" s="28" t="s">
        <v>44</v>
      </c>
      <c r="U957" s="28" t="s">
        <v>44</v>
      </c>
      <c r="V957" s="28" t="s">
        <v>5708</v>
      </c>
      <c r="W957" s="28" t="s">
        <v>5709</v>
      </c>
      <c r="X957" s="28"/>
      <c r="Y957" s="28"/>
      <c r="Z957" s="28"/>
      <c r="AA957" s="28"/>
    </row>
    <row r="958">
      <c r="A958" s="270" t="s">
        <v>5710</v>
      </c>
      <c r="B958" s="28" t="s">
        <v>36</v>
      </c>
      <c r="C958" s="28" t="s">
        <v>5711</v>
      </c>
      <c r="D958" s="28" t="s">
        <v>44</v>
      </c>
      <c r="E958" s="28" t="s">
        <v>44</v>
      </c>
      <c r="F958" s="28" t="s">
        <v>5375</v>
      </c>
      <c r="G958" s="28" t="s">
        <v>47</v>
      </c>
      <c r="H958" s="28" t="s">
        <v>91</v>
      </c>
      <c r="I958" s="28" t="s">
        <v>401</v>
      </c>
      <c r="J958" s="28" t="s">
        <v>5376</v>
      </c>
      <c r="K958" s="28" t="s">
        <v>927</v>
      </c>
      <c r="L958" s="28" t="s">
        <v>52</v>
      </c>
      <c r="M958" s="28" t="s">
        <v>52</v>
      </c>
      <c r="N958" s="28" t="s">
        <v>5712</v>
      </c>
      <c r="O958" s="28" t="s">
        <v>44</v>
      </c>
      <c r="P958" s="28" t="s">
        <v>5713</v>
      </c>
      <c r="Q958" s="28" t="s">
        <v>5714</v>
      </c>
      <c r="R958" s="28" t="s">
        <v>44</v>
      </c>
      <c r="S958" s="28" t="s">
        <v>44</v>
      </c>
      <c r="T958" s="28" t="s">
        <v>44</v>
      </c>
      <c r="U958" s="28" t="s">
        <v>44</v>
      </c>
      <c r="V958" s="28" t="s">
        <v>5715</v>
      </c>
      <c r="W958" s="28" t="s">
        <v>5716</v>
      </c>
      <c r="X958" s="28"/>
      <c r="Y958" s="28"/>
      <c r="Z958" s="28"/>
      <c r="AA958" s="28"/>
    </row>
    <row r="959">
      <c r="A959" s="270" t="s">
        <v>5717</v>
      </c>
      <c r="B959" s="28" t="s">
        <v>36</v>
      </c>
      <c r="C959" s="28" t="s">
        <v>5718</v>
      </c>
      <c r="D959" s="28" t="s">
        <v>44</v>
      </c>
      <c r="E959" s="28" t="s">
        <v>44</v>
      </c>
      <c r="F959" s="28" t="s">
        <v>5375</v>
      </c>
      <c r="G959" s="28" t="s">
        <v>47</v>
      </c>
      <c r="H959" s="28" t="s">
        <v>48</v>
      </c>
      <c r="I959" s="28" t="s">
        <v>401</v>
      </c>
      <c r="J959" s="28" t="s">
        <v>5376</v>
      </c>
      <c r="K959" s="28" t="s">
        <v>927</v>
      </c>
      <c r="L959" s="28" t="s">
        <v>52</v>
      </c>
      <c r="M959" s="28" t="s">
        <v>52</v>
      </c>
      <c r="N959" s="28" t="s">
        <v>5489</v>
      </c>
      <c r="O959" s="28" t="s">
        <v>44</v>
      </c>
      <c r="P959" s="28" t="s">
        <v>4673</v>
      </c>
      <c r="Q959" s="28" t="s">
        <v>5719</v>
      </c>
      <c r="R959" s="28" t="s">
        <v>44</v>
      </c>
      <c r="S959" s="28" t="s">
        <v>44</v>
      </c>
      <c r="T959" s="28" t="s">
        <v>44</v>
      </c>
      <c r="U959" s="28" t="s">
        <v>44</v>
      </c>
      <c r="V959" s="28" t="s">
        <v>5720</v>
      </c>
      <c r="W959" s="28" t="s">
        <v>5721</v>
      </c>
      <c r="X959" s="28"/>
      <c r="Y959" s="28"/>
      <c r="Z959" s="28"/>
      <c r="AA959" s="28"/>
    </row>
    <row r="960">
      <c r="A960" s="270" t="s">
        <v>5722</v>
      </c>
      <c r="B960" s="28" t="s">
        <v>36</v>
      </c>
      <c r="C960" s="28" t="s">
        <v>5723</v>
      </c>
      <c r="D960" s="28" t="s">
        <v>44</v>
      </c>
      <c r="E960" s="28" t="s">
        <v>44</v>
      </c>
      <c r="F960" s="28" t="s">
        <v>5724</v>
      </c>
      <c r="G960" s="28" t="s">
        <v>111</v>
      </c>
      <c r="H960" s="28" t="s">
        <v>112</v>
      </c>
      <c r="I960" s="28" t="s">
        <v>401</v>
      </c>
      <c r="J960" s="28" t="s">
        <v>5725</v>
      </c>
      <c r="K960" s="28" t="s">
        <v>1615</v>
      </c>
      <c r="L960" s="28" t="s">
        <v>52</v>
      </c>
      <c r="M960" s="28" t="s">
        <v>52</v>
      </c>
      <c r="N960" s="28" t="s">
        <v>5726</v>
      </c>
      <c r="O960" s="28" t="s">
        <v>44</v>
      </c>
      <c r="P960" s="28" t="s">
        <v>5727</v>
      </c>
      <c r="Q960" s="28" t="s">
        <v>5728</v>
      </c>
      <c r="R960" s="28" t="s">
        <v>44</v>
      </c>
      <c r="S960" s="28" t="s">
        <v>44</v>
      </c>
      <c r="T960" s="28" t="s">
        <v>44</v>
      </c>
      <c r="U960" s="28" t="s">
        <v>44</v>
      </c>
      <c r="V960" s="28" t="s">
        <v>5729</v>
      </c>
      <c r="W960" s="28" t="s">
        <v>774</v>
      </c>
      <c r="X960" s="28"/>
      <c r="Y960" s="28"/>
      <c r="Z960" s="28"/>
      <c r="AA960" s="28"/>
    </row>
    <row r="961">
      <c r="A961" s="270" t="s">
        <v>5730</v>
      </c>
      <c r="B961" s="28" t="s">
        <v>36</v>
      </c>
      <c r="C961" s="28" t="s">
        <v>5731</v>
      </c>
      <c r="D961" s="28" t="s">
        <v>44</v>
      </c>
      <c r="E961" s="28" t="s">
        <v>44</v>
      </c>
      <c r="F961" s="28" t="s">
        <v>5724</v>
      </c>
      <c r="G961" s="28" t="s">
        <v>47</v>
      </c>
      <c r="H961" s="28" t="s">
        <v>48</v>
      </c>
      <c r="I961" s="28" t="s">
        <v>401</v>
      </c>
      <c r="J961" s="28" t="s">
        <v>5725</v>
      </c>
      <c r="K961" s="28" t="s">
        <v>1615</v>
      </c>
      <c r="L961" s="28" t="s">
        <v>52</v>
      </c>
      <c r="M961" s="28" t="s">
        <v>52</v>
      </c>
      <c r="N961" s="28" t="s">
        <v>5732</v>
      </c>
      <c r="O961" s="28" t="s">
        <v>44</v>
      </c>
      <c r="P961" s="28" t="s">
        <v>5384</v>
      </c>
      <c r="Q961" s="28" t="s">
        <v>5733</v>
      </c>
      <c r="R961" s="28" t="s">
        <v>44</v>
      </c>
      <c r="S961" s="28" t="s">
        <v>44</v>
      </c>
      <c r="T961" s="28" t="s">
        <v>44</v>
      </c>
      <c r="U961" s="28" t="s">
        <v>44</v>
      </c>
      <c r="V961" s="28" t="s">
        <v>5734</v>
      </c>
      <c r="W961" s="28" t="s">
        <v>774</v>
      </c>
      <c r="X961" s="28"/>
      <c r="Y961" s="28"/>
      <c r="Z961" s="28"/>
      <c r="AA961" s="28"/>
    </row>
    <row r="962">
      <c r="A962" s="270" t="s">
        <v>5735</v>
      </c>
      <c r="B962" s="28" t="s">
        <v>36</v>
      </c>
      <c r="C962" s="28" t="s">
        <v>5736</v>
      </c>
      <c r="D962" s="28" t="s">
        <v>44</v>
      </c>
      <c r="E962" s="28" t="s">
        <v>44</v>
      </c>
      <c r="F962" s="28" t="s">
        <v>5724</v>
      </c>
      <c r="G962" s="28" t="s">
        <v>47</v>
      </c>
      <c r="H962" s="28" t="s">
        <v>48</v>
      </c>
      <c r="I962" s="28" t="s">
        <v>401</v>
      </c>
      <c r="J962" s="28" t="s">
        <v>5725</v>
      </c>
      <c r="K962" s="28" t="s">
        <v>1615</v>
      </c>
      <c r="L962" s="28" t="s">
        <v>52</v>
      </c>
      <c r="M962" s="28" t="s">
        <v>52</v>
      </c>
      <c r="N962" s="28" t="s">
        <v>5732</v>
      </c>
      <c r="O962" s="28" t="s">
        <v>44</v>
      </c>
      <c r="P962" s="28" t="s">
        <v>5389</v>
      </c>
      <c r="Q962" s="28" t="s">
        <v>5737</v>
      </c>
      <c r="R962" s="28" t="s">
        <v>44</v>
      </c>
      <c r="S962" s="28" t="s">
        <v>44</v>
      </c>
      <c r="T962" s="28" t="s">
        <v>44</v>
      </c>
      <c r="U962" s="28" t="s">
        <v>44</v>
      </c>
      <c r="V962" s="28" t="s">
        <v>5738</v>
      </c>
      <c r="W962" s="28" t="s">
        <v>774</v>
      </c>
      <c r="X962" s="28"/>
      <c r="Y962" s="28"/>
      <c r="Z962" s="28"/>
      <c r="AA962" s="28"/>
    </row>
    <row r="963">
      <c r="A963" s="270" t="s">
        <v>5739</v>
      </c>
      <c r="B963" s="28" t="s">
        <v>36</v>
      </c>
      <c r="C963" s="28" t="s">
        <v>5740</v>
      </c>
      <c r="D963" s="28" t="s">
        <v>44</v>
      </c>
      <c r="E963" s="28" t="s">
        <v>44</v>
      </c>
      <c r="F963" s="28" t="s">
        <v>5724</v>
      </c>
      <c r="G963" s="28" t="s">
        <v>47</v>
      </c>
      <c r="H963" s="28" t="s">
        <v>48</v>
      </c>
      <c r="I963" s="28" t="s">
        <v>401</v>
      </c>
      <c r="J963" s="28" t="s">
        <v>5725</v>
      </c>
      <c r="K963" s="28" t="s">
        <v>1615</v>
      </c>
      <c r="L963" s="28" t="s">
        <v>52</v>
      </c>
      <c r="M963" s="28" t="s">
        <v>52</v>
      </c>
      <c r="N963" s="28" t="s">
        <v>5732</v>
      </c>
      <c r="O963" s="28" t="s">
        <v>44</v>
      </c>
      <c r="P963" s="28" t="s">
        <v>5741</v>
      </c>
      <c r="Q963" s="28" t="s">
        <v>5742</v>
      </c>
      <c r="R963" s="28" t="s">
        <v>44</v>
      </c>
      <c r="S963" s="28" t="s">
        <v>44</v>
      </c>
      <c r="T963" s="28" t="s">
        <v>44</v>
      </c>
      <c r="U963" s="28" t="s">
        <v>44</v>
      </c>
      <c r="V963" s="28" t="s">
        <v>5743</v>
      </c>
      <c r="W963" s="28" t="s">
        <v>774</v>
      </c>
      <c r="X963" s="28"/>
      <c r="Y963" s="28"/>
      <c r="Z963" s="28"/>
      <c r="AA963" s="28"/>
    </row>
    <row r="964">
      <c r="A964" s="270" t="s">
        <v>5744</v>
      </c>
      <c r="B964" s="28" t="s">
        <v>36</v>
      </c>
      <c r="C964" s="28" t="s">
        <v>5745</v>
      </c>
      <c r="D964" s="28" t="s">
        <v>44</v>
      </c>
      <c r="E964" s="28" t="s">
        <v>44</v>
      </c>
      <c r="F964" s="28" t="s">
        <v>5724</v>
      </c>
      <c r="G964" s="28" t="s">
        <v>47</v>
      </c>
      <c r="H964" s="28" t="s">
        <v>48</v>
      </c>
      <c r="I964" s="28" t="s">
        <v>401</v>
      </c>
      <c r="J964" s="28" t="s">
        <v>5725</v>
      </c>
      <c r="K964" s="28" t="s">
        <v>1615</v>
      </c>
      <c r="L964" s="28" t="s">
        <v>52</v>
      </c>
      <c r="M964" s="28" t="s">
        <v>52</v>
      </c>
      <c r="N964" s="28" t="s">
        <v>5732</v>
      </c>
      <c r="O964" s="28" t="s">
        <v>44</v>
      </c>
      <c r="P964" s="28" t="s">
        <v>5746</v>
      </c>
      <c r="Q964" s="28" t="s">
        <v>5747</v>
      </c>
      <c r="R964" s="28" t="s">
        <v>44</v>
      </c>
      <c r="S964" s="28" t="s">
        <v>44</v>
      </c>
      <c r="T964" s="28" t="s">
        <v>44</v>
      </c>
      <c r="U964" s="28" t="s">
        <v>44</v>
      </c>
      <c r="V964" s="28" t="s">
        <v>5748</v>
      </c>
      <c r="W964" s="28" t="s">
        <v>5749</v>
      </c>
      <c r="X964" s="28"/>
      <c r="Y964" s="28"/>
      <c r="Z964" s="28"/>
      <c r="AA964" s="28"/>
    </row>
    <row r="965">
      <c r="A965" s="270" t="s">
        <v>5750</v>
      </c>
      <c r="B965" s="28" t="s">
        <v>36</v>
      </c>
      <c r="C965" s="28" t="s">
        <v>5751</v>
      </c>
      <c r="D965" s="28" t="s">
        <v>44</v>
      </c>
      <c r="E965" s="28" t="s">
        <v>44</v>
      </c>
      <c r="F965" s="28" t="s">
        <v>5724</v>
      </c>
      <c r="G965" s="28" t="s">
        <v>47</v>
      </c>
      <c r="H965" s="28" t="s">
        <v>91</v>
      </c>
      <c r="I965" s="28" t="s">
        <v>401</v>
      </c>
      <c r="J965" s="28" t="s">
        <v>5725</v>
      </c>
      <c r="K965" s="28" t="s">
        <v>1615</v>
      </c>
      <c r="L965" s="28" t="s">
        <v>52</v>
      </c>
      <c r="M965" s="28" t="s">
        <v>52</v>
      </c>
      <c r="N965" s="28" t="s">
        <v>5732</v>
      </c>
      <c r="O965" s="28" t="s">
        <v>44</v>
      </c>
      <c r="P965" s="28" t="s">
        <v>5752</v>
      </c>
      <c r="Q965" s="28" t="s">
        <v>5753</v>
      </c>
      <c r="R965" s="28" t="s">
        <v>44</v>
      </c>
      <c r="S965" s="28" t="s">
        <v>44</v>
      </c>
      <c r="T965" s="28" t="s">
        <v>44</v>
      </c>
      <c r="U965" s="28" t="s">
        <v>44</v>
      </c>
      <c r="V965" s="28" t="s">
        <v>5754</v>
      </c>
      <c r="W965" s="28" t="s">
        <v>5755</v>
      </c>
      <c r="X965" s="28"/>
      <c r="Y965" s="28"/>
      <c r="Z965" s="28"/>
      <c r="AA965" s="28"/>
    </row>
    <row r="966">
      <c r="A966" s="270" t="s">
        <v>5756</v>
      </c>
      <c r="B966" s="28" t="s">
        <v>36</v>
      </c>
      <c r="C966" s="28" t="s">
        <v>5757</v>
      </c>
      <c r="D966" s="28" t="s">
        <v>44</v>
      </c>
      <c r="E966" s="28" t="s">
        <v>44</v>
      </c>
      <c r="F966" s="28" t="s">
        <v>5724</v>
      </c>
      <c r="G966" s="28" t="s">
        <v>47</v>
      </c>
      <c r="H966" s="28" t="s">
        <v>48</v>
      </c>
      <c r="I966" s="28" t="s">
        <v>401</v>
      </c>
      <c r="J966" s="28" t="s">
        <v>5725</v>
      </c>
      <c r="K966" s="28" t="s">
        <v>1615</v>
      </c>
      <c r="L966" s="28" t="s">
        <v>52</v>
      </c>
      <c r="M966" s="28" t="s">
        <v>52</v>
      </c>
      <c r="N966" s="28" t="s">
        <v>5758</v>
      </c>
      <c r="O966" s="28" t="s">
        <v>44</v>
      </c>
      <c r="P966" s="28" t="s">
        <v>5442</v>
      </c>
      <c r="Q966" s="28" t="s">
        <v>5759</v>
      </c>
      <c r="R966" s="28" t="s">
        <v>44</v>
      </c>
      <c r="S966" s="28" t="s">
        <v>44</v>
      </c>
      <c r="T966" s="28" t="s">
        <v>44</v>
      </c>
      <c r="U966" s="28" t="s">
        <v>44</v>
      </c>
      <c r="V966" s="28" t="s">
        <v>5760</v>
      </c>
      <c r="W966" s="28" t="s">
        <v>774</v>
      </c>
      <c r="X966" s="28"/>
      <c r="Y966" s="28"/>
      <c r="Z966" s="28"/>
      <c r="AA966" s="28"/>
    </row>
    <row r="967">
      <c r="A967" s="270" t="s">
        <v>5761</v>
      </c>
      <c r="B967" s="28" t="s">
        <v>36</v>
      </c>
      <c r="C967" s="28" t="s">
        <v>5762</v>
      </c>
      <c r="D967" s="28" t="s">
        <v>44</v>
      </c>
      <c r="E967" s="28" t="s">
        <v>44</v>
      </c>
      <c r="F967" s="28" t="s">
        <v>5724</v>
      </c>
      <c r="G967" s="28" t="s">
        <v>47</v>
      </c>
      <c r="H967" s="28" t="s">
        <v>48</v>
      </c>
      <c r="I967" s="28" t="s">
        <v>401</v>
      </c>
      <c r="J967" s="28" t="s">
        <v>5725</v>
      </c>
      <c r="K967" s="28" t="s">
        <v>1615</v>
      </c>
      <c r="L967" s="28" t="s">
        <v>52</v>
      </c>
      <c r="M967" s="28" t="s">
        <v>52</v>
      </c>
      <c r="N967" s="28" t="s">
        <v>5732</v>
      </c>
      <c r="O967" s="28" t="s">
        <v>44</v>
      </c>
      <c r="P967" s="28" t="s">
        <v>5448</v>
      </c>
      <c r="Q967" s="28" t="s">
        <v>5763</v>
      </c>
      <c r="R967" s="28" t="s">
        <v>44</v>
      </c>
      <c r="S967" s="28" t="s">
        <v>44</v>
      </c>
      <c r="T967" s="28" t="s">
        <v>44</v>
      </c>
      <c r="U967" s="28" t="s">
        <v>44</v>
      </c>
      <c r="V967" s="28" t="s">
        <v>5764</v>
      </c>
      <c r="W967" s="28" t="s">
        <v>5765</v>
      </c>
      <c r="X967" s="28"/>
      <c r="Y967" s="28"/>
      <c r="Z967" s="28"/>
      <c r="AA967" s="28"/>
    </row>
    <row r="968">
      <c r="A968" s="270" t="s">
        <v>5766</v>
      </c>
      <c r="B968" s="28" t="s">
        <v>36</v>
      </c>
      <c r="C968" s="28" t="s">
        <v>5767</v>
      </c>
      <c r="D968" s="28" t="s">
        <v>44</v>
      </c>
      <c r="E968" s="28" t="s">
        <v>44</v>
      </c>
      <c r="F968" s="28" t="s">
        <v>5724</v>
      </c>
      <c r="G968" s="28" t="s">
        <v>47</v>
      </c>
      <c r="H968" s="28" t="s">
        <v>48</v>
      </c>
      <c r="I968" s="28" t="s">
        <v>401</v>
      </c>
      <c r="J968" s="28" t="s">
        <v>5725</v>
      </c>
      <c r="K968" s="28" t="s">
        <v>1615</v>
      </c>
      <c r="L968" s="28" t="s">
        <v>52</v>
      </c>
      <c r="M968" s="28" t="s">
        <v>52</v>
      </c>
      <c r="N968" s="28" t="s">
        <v>5732</v>
      </c>
      <c r="O968" s="28" t="s">
        <v>44</v>
      </c>
      <c r="P968" s="28" t="s">
        <v>1002</v>
      </c>
      <c r="Q968" s="28" t="s">
        <v>5768</v>
      </c>
      <c r="R968" s="28" t="s">
        <v>44</v>
      </c>
      <c r="S968" s="28" t="s">
        <v>44</v>
      </c>
      <c r="T968" s="28" t="s">
        <v>44</v>
      </c>
      <c r="U968" s="28" t="s">
        <v>44</v>
      </c>
      <c r="V968" s="28" t="s">
        <v>5769</v>
      </c>
      <c r="W968" s="28" t="s">
        <v>5770</v>
      </c>
      <c r="X968" s="28"/>
      <c r="Y968" s="28"/>
      <c r="Z968" s="28"/>
      <c r="AA968" s="28"/>
    </row>
    <row r="969">
      <c r="A969" s="270" t="s">
        <v>5771</v>
      </c>
      <c r="B969" s="28" t="s">
        <v>36</v>
      </c>
      <c r="C969" s="28" t="s">
        <v>5772</v>
      </c>
      <c r="D969" s="28" t="s">
        <v>44</v>
      </c>
      <c r="E969" s="28" t="s">
        <v>44</v>
      </c>
      <c r="F969" s="28" t="s">
        <v>5724</v>
      </c>
      <c r="G969" s="28" t="s">
        <v>47</v>
      </c>
      <c r="H969" s="28" t="s">
        <v>48</v>
      </c>
      <c r="I969" s="28" t="s">
        <v>401</v>
      </c>
      <c r="J969" s="28" t="s">
        <v>5725</v>
      </c>
      <c r="K969" s="28" t="s">
        <v>1615</v>
      </c>
      <c r="L969" s="28" t="s">
        <v>52</v>
      </c>
      <c r="M969" s="28" t="s">
        <v>52</v>
      </c>
      <c r="N969" s="28" t="s">
        <v>5773</v>
      </c>
      <c r="O969" s="28" t="s">
        <v>44</v>
      </c>
      <c r="P969" s="28" t="s">
        <v>5774</v>
      </c>
      <c r="Q969" s="28" t="s">
        <v>5775</v>
      </c>
      <c r="R969" s="28" t="s">
        <v>44</v>
      </c>
      <c r="S969" s="28" t="s">
        <v>44</v>
      </c>
      <c r="T969" s="28" t="s">
        <v>44</v>
      </c>
      <c r="U969" s="28" t="s">
        <v>44</v>
      </c>
      <c r="V969" s="28" t="s">
        <v>5776</v>
      </c>
      <c r="W969" s="28" t="s">
        <v>5777</v>
      </c>
      <c r="X969" s="28"/>
      <c r="Y969" s="28"/>
      <c r="Z969" s="28"/>
      <c r="AA969" s="28"/>
    </row>
    <row r="970">
      <c r="A970" s="270" t="s">
        <v>5778</v>
      </c>
      <c r="B970" s="28" t="s">
        <v>36</v>
      </c>
      <c r="C970" s="28" t="s">
        <v>5779</v>
      </c>
      <c r="D970" s="28" t="s">
        <v>44</v>
      </c>
      <c r="E970" s="28" t="s">
        <v>44</v>
      </c>
      <c r="F970" s="28" t="s">
        <v>5724</v>
      </c>
      <c r="G970" s="28" t="s">
        <v>47</v>
      </c>
      <c r="H970" s="28" t="s">
        <v>48</v>
      </c>
      <c r="I970" s="28" t="s">
        <v>401</v>
      </c>
      <c r="J970" s="28" t="s">
        <v>5725</v>
      </c>
      <c r="K970" s="28" t="s">
        <v>1615</v>
      </c>
      <c r="L970" s="28" t="s">
        <v>52</v>
      </c>
      <c r="M970" s="28" t="s">
        <v>52</v>
      </c>
      <c r="N970" s="28" t="s">
        <v>5773</v>
      </c>
      <c r="O970" s="28" t="s">
        <v>44</v>
      </c>
      <c r="P970" s="28" t="s">
        <v>5780</v>
      </c>
      <c r="Q970" s="28" t="s">
        <v>5781</v>
      </c>
      <c r="R970" s="28" t="s">
        <v>44</v>
      </c>
      <c r="S970" s="28" t="s">
        <v>44</v>
      </c>
      <c r="T970" s="28" t="s">
        <v>44</v>
      </c>
      <c r="U970" s="28" t="s">
        <v>44</v>
      </c>
      <c r="V970" s="28" t="s">
        <v>5782</v>
      </c>
      <c r="W970" s="28" t="s">
        <v>774</v>
      </c>
      <c r="X970" s="28"/>
      <c r="Y970" s="28"/>
      <c r="Z970" s="28"/>
      <c r="AA970" s="28"/>
    </row>
    <row r="971">
      <c r="A971" s="270" t="s">
        <v>5783</v>
      </c>
      <c r="B971" s="28" t="s">
        <v>36</v>
      </c>
      <c r="C971" s="28" t="s">
        <v>5784</v>
      </c>
      <c r="D971" s="28" t="s">
        <v>44</v>
      </c>
      <c r="E971" s="28" t="s">
        <v>44</v>
      </c>
      <c r="F971" s="28" t="s">
        <v>5724</v>
      </c>
      <c r="G971" s="28" t="s">
        <v>47</v>
      </c>
      <c r="H971" s="28" t="s">
        <v>48</v>
      </c>
      <c r="I971" s="28" t="s">
        <v>401</v>
      </c>
      <c r="J971" s="28" t="s">
        <v>5725</v>
      </c>
      <c r="K971" s="28" t="s">
        <v>1615</v>
      </c>
      <c r="L971" s="28" t="s">
        <v>52</v>
      </c>
      <c r="M971" s="28" t="s">
        <v>52</v>
      </c>
      <c r="N971" s="28" t="s">
        <v>5773</v>
      </c>
      <c r="O971" s="28" t="s">
        <v>44</v>
      </c>
      <c r="P971" s="28" t="s">
        <v>5785</v>
      </c>
      <c r="Q971" s="28" t="s">
        <v>5786</v>
      </c>
      <c r="R971" s="28" t="s">
        <v>44</v>
      </c>
      <c r="S971" s="28" t="s">
        <v>44</v>
      </c>
      <c r="T971" s="28" t="s">
        <v>44</v>
      </c>
      <c r="U971" s="28" t="s">
        <v>44</v>
      </c>
      <c r="V971" s="28" t="s">
        <v>5787</v>
      </c>
      <c r="W971" s="28" t="s">
        <v>5788</v>
      </c>
      <c r="X971" s="28"/>
      <c r="Y971" s="28"/>
      <c r="Z971" s="28"/>
      <c r="AA971" s="28"/>
    </row>
    <row r="972">
      <c r="A972" s="270" t="s">
        <v>5789</v>
      </c>
      <c r="B972" s="28" t="s">
        <v>36</v>
      </c>
      <c r="C972" s="28" t="s">
        <v>5790</v>
      </c>
      <c r="D972" s="28" t="s">
        <v>44</v>
      </c>
      <c r="E972" s="28" t="s">
        <v>44</v>
      </c>
      <c r="F972" s="28" t="s">
        <v>5724</v>
      </c>
      <c r="G972" s="28" t="s">
        <v>47</v>
      </c>
      <c r="H972" s="28" t="s">
        <v>48</v>
      </c>
      <c r="I972" s="28" t="s">
        <v>401</v>
      </c>
      <c r="J972" s="28" t="s">
        <v>5725</v>
      </c>
      <c r="K972" s="28" t="s">
        <v>1615</v>
      </c>
      <c r="L972" s="28" t="s">
        <v>52</v>
      </c>
      <c r="M972" s="28" t="s">
        <v>52</v>
      </c>
      <c r="N972" s="28" t="s">
        <v>5773</v>
      </c>
      <c r="O972" s="28" t="s">
        <v>44</v>
      </c>
      <c r="P972" s="28" t="s">
        <v>1685</v>
      </c>
      <c r="Q972" s="28" t="s">
        <v>5791</v>
      </c>
      <c r="R972" s="28" t="s">
        <v>44</v>
      </c>
      <c r="S972" s="28" t="s">
        <v>44</v>
      </c>
      <c r="T972" s="28" t="s">
        <v>44</v>
      </c>
      <c r="U972" s="28" t="s">
        <v>44</v>
      </c>
      <c r="V972" s="28" t="s">
        <v>5792</v>
      </c>
      <c r="W972" s="28" t="s">
        <v>5793</v>
      </c>
      <c r="X972" s="28"/>
      <c r="Y972" s="28"/>
      <c r="Z972" s="28"/>
      <c r="AA972" s="28"/>
    </row>
    <row r="973">
      <c r="A973" s="270" t="s">
        <v>5794</v>
      </c>
      <c r="B973" s="28" t="s">
        <v>36</v>
      </c>
      <c r="C973" s="28" t="s">
        <v>5795</v>
      </c>
      <c r="D973" s="28" t="s">
        <v>44</v>
      </c>
      <c r="E973" s="28" t="s">
        <v>44</v>
      </c>
      <c r="F973" s="28" t="s">
        <v>5724</v>
      </c>
      <c r="G973" s="28" t="s">
        <v>47</v>
      </c>
      <c r="H973" s="28" t="s">
        <v>48</v>
      </c>
      <c r="I973" s="28" t="s">
        <v>401</v>
      </c>
      <c r="J973" s="28" t="s">
        <v>5725</v>
      </c>
      <c r="K973" s="28" t="s">
        <v>1615</v>
      </c>
      <c r="L973" s="28" t="s">
        <v>52</v>
      </c>
      <c r="M973" s="28" t="s">
        <v>52</v>
      </c>
      <c r="N973" s="28" t="s">
        <v>5773</v>
      </c>
      <c r="O973" s="28" t="s">
        <v>44</v>
      </c>
      <c r="P973" s="28" t="s">
        <v>5796</v>
      </c>
      <c r="Q973" s="28" t="s">
        <v>5797</v>
      </c>
      <c r="R973" s="28" t="s">
        <v>44</v>
      </c>
      <c r="S973" s="28" t="s">
        <v>44</v>
      </c>
      <c r="T973" s="28" t="s">
        <v>44</v>
      </c>
      <c r="U973" s="28" t="s">
        <v>44</v>
      </c>
      <c r="V973" s="28" t="s">
        <v>5798</v>
      </c>
      <c r="W973" s="28" t="s">
        <v>5799</v>
      </c>
      <c r="X973" s="28"/>
      <c r="Y973" s="28"/>
      <c r="Z973" s="28"/>
      <c r="AA973" s="28"/>
    </row>
    <row r="974">
      <c r="A974" s="270" t="s">
        <v>5800</v>
      </c>
      <c r="B974" s="28" t="s">
        <v>36</v>
      </c>
      <c r="C974" s="28" t="s">
        <v>5801</v>
      </c>
      <c r="D974" s="28" t="s">
        <v>44</v>
      </c>
      <c r="E974" s="28" t="s">
        <v>44</v>
      </c>
      <c r="F974" s="28" t="s">
        <v>5724</v>
      </c>
      <c r="G974" s="28" t="s">
        <v>47</v>
      </c>
      <c r="H974" s="28" t="s">
        <v>48</v>
      </c>
      <c r="I974" s="28" t="s">
        <v>401</v>
      </c>
      <c r="J974" s="28" t="s">
        <v>5725</v>
      </c>
      <c r="K974" s="28" t="s">
        <v>1615</v>
      </c>
      <c r="L974" s="28" t="s">
        <v>52</v>
      </c>
      <c r="M974" s="28" t="s">
        <v>52</v>
      </c>
      <c r="N974" s="28" t="s">
        <v>5802</v>
      </c>
      <c r="O974" s="28" t="s">
        <v>44</v>
      </c>
      <c r="P974" s="28" t="s">
        <v>1776</v>
      </c>
      <c r="Q974" s="28" t="s">
        <v>5803</v>
      </c>
      <c r="R974" s="28" t="s">
        <v>44</v>
      </c>
      <c r="S974" s="28" t="s">
        <v>44</v>
      </c>
      <c r="T974" s="28" t="s">
        <v>44</v>
      </c>
      <c r="U974" s="28" t="s">
        <v>44</v>
      </c>
      <c r="V974" s="28" t="s">
        <v>5804</v>
      </c>
      <c r="W974" s="28" t="s">
        <v>5805</v>
      </c>
      <c r="X974" s="28"/>
      <c r="Y974" s="28"/>
      <c r="Z974" s="28"/>
      <c r="AA974" s="28"/>
    </row>
    <row r="975">
      <c r="A975" s="270" t="s">
        <v>5806</v>
      </c>
      <c r="B975" s="28" t="s">
        <v>36</v>
      </c>
      <c r="C975" s="28" t="s">
        <v>5807</v>
      </c>
      <c r="D975" s="28" t="s">
        <v>44</v>
      </c>
      <c r="E975" s="28" t="s">
        <v>44</v>
      </c>
      <c r="F975" s="28" t="s">
        <v>5724</v>
      </c>
      <c r="G975" s="28" t="s">
        <v>85</v>
      </c>
      <c r="H975" s="28" t="s">
        <v>86</v>
      </c>
      <c r="I975" s="28" t="s">
        <v>401</v>
      </c>
      <c r="J975" s="28" t="s">
        <v>5725</v>
      </c>
      <c r="K975" s="28" t="s">
        <v>1615</v>
      </c>
      <c r="L975" s="28" t="s">
        <v>52</v>
      </c>
      <c r="M975" s="28" t="s">
        <v>52</v>
      </c>
      <c r="N975" s="28" t="s">
        <v>5802</v>
      </c>
      <c r="O975" s="28" t="s">
        <v>44</v>
      </c>
      <c r="P975" s="28" t="s">
        <v>5808</v>
      </c>
      <c r="Q975" s="28" t="s">
        <v>5809</v>
      </c>
      <c r="R975" s="28" t="s">
        <v>44</v>
      </c>
      <c r="S975" s="28" t="s">
        <v>44</v>
      </c>
      <c r="T975" s="28" t="s">
        <v>44</v>
      </c>
      <c r="U975" s="28" t="s">
        <v>44</v>
      </c>
      <c r="V975" s="28" t="s">
        <v>5810</v>
      </c>
      <c r="W975" s="28" t="s">
        <v>5811</v>
      </c>
      <c r="X975" s="28"/>
      <c r="Y975" s="28"/>
      <c r="Z975" s="28"/>
      <c r="AA975" s="28"/>
    </row>
    <row r="976">
      <c r="A976" s="270" t="s">
        <v>5812</v>
      </c>
      <c r="B976" s="28" t="s">
        <v>36</v>
      </c>
      <c r="C976" s="28" t="s">
        <v>5813</v>
      </c>
      <c r="D976" s="28" t="s">
        <v>44</v>
      </c>
      <c r="E976" s="28" t="s">
        <v>44</v>
      </c>
      <c r="F976" s="28" t="s">
        <v>5724</v>
      </c>
      <c r="G976" s="28" t="s">
        <v>47</v>
      </c>
      <c r="H976" s="28" t="s">
        <v>48</v>
      </c>
      <c r="I976" s="28" t="s">
        <v>401</v>
      </c>
      <c r="J976" s="28" t="s">
        <v>5725</v>
      </c>
      <c r="K976" s="28" t="s">
        <v>1615</v>
      </c>
      <c r="L976" s="28" t="s">
        <v>52</v>
      </c>
      <c r="M976" s="28" t="s">
        <v>52</v>
      </c>
      <c r="N976" s="28" t="s">
        <v>5773</v>
      </c>
      <c r="O976" s="28" t="s">
        <v>44</v>
      </c>
      <c r="P976" s="28" t="s">
        <v>5814</v>
      </c>
      <c r="Q976" s="28" t="s">
        <v>5815</v>
      </c>
      <c r="R976" s="28" t="s">
        <v>44</v>
      </c>
      <c r="S976" s="28" t="s">
        <v>44</v>
      </c>
      <c r="T976" s="28" t="s">
        <v>44</v>
      </c>
      <c r="U976" s="28" t="s">
        <v>44</v>
      </c>
      <c r="V976" s="28" t="s">
        <v>5816</v>
      </c>
      <c r="W976" s="28" t="s">
        <v>5817</v>
      </c>
      <c r="X976" s="28"/>
      <c r="Y976" s="28"/>
      <c r="Z976" s="28"/>
      <c r="AA976" s="28"/>
    </row>
    <row r="977">
      <c r="A977" s="270" t="s">
        <v>5818</v>
      </c>
      <c r="B977" s="28" t="s">
        <v>36</v>
      </c>
      <c r="C977" s="28" t="s">
        <v>5819</v>
      </c>
      <c r="D977" s="28" t="s">
        <v>44</v>
      </c>
      <c r="E977" s="28" t="s">
        <v>44</v>
      </c>
      <c r="F977" s="28" t="s">
        <v>5724</v>
      </c>
      <c r="G977" s="28" t="s">
        <v>47</v>
      </c>
      <c r="H977" s="28" t="s">
        <v>48</v>
      </c>
      <c r="I977" s="28" t="s">
        <v>401</v>
      </c>
      <c r="J977" s="28" t="s">
        <v>5725</v>
      </c>
      <c r="K977" s="28" t="s">
        <v>1615</v>
      </c>
      <c r="L977" s="28" t="s">
        <v>52</v>
      </c>
      <c r="M977" s="28" t="s">
        <v>52</v>
      </c>
      <c r="N977" s="28" t="s">
        <v>5773</v>
      </c>
      <c r="O977" s="28" t="s">
        <v>44</v>
      </c>
      <c r="P977" s="28" t="s">
        <v>5820</v>
      </c>
      <c r="Q977" s="28" t="s">
        <v>5821</v>
      </c>
      <c r="R977" s="28" t="s">
        <v>44</v>
      </c>
      <c r="S977" s="28" t="s">
        <v>44</v>
      </c>
      <c r="T977" s="28" t="s">
        <v>44</v>
      </c>
      <c r="U977" s="28" t="s">
        <v>44</v>
      </c>
      <c r="V977" s="28" t="s">
        <v>5822</v>
      </c>
      <c r="W977" s="28" t="s">
        <v>5823</v>
      </c>
      <c r="X977" s="28"/>
      <c r="Y977" s="28"/>
      <c r="Z977" s="28"/>
      <c r="AA977" s="28"/>
    </row>
    <row r="978">
      <c r="A978" s="270" t="s">
        <v>5824</v>
      </c>
      <c r="B978" s="28" t="s">
        <v>36</v>
      </c>
      <c r="C978" s="28" t="s">
        <v>5825</v>
      </c>
      <c r="D978" s="28" t="s">
        <v>44</v>
      </c>
      <c r="E978" s="28" t="s">
        <v>44</v>
      </c>
      <c r="F978" s="28" t="s">
        <v>5724</v>
      </c>
      <c r="G978" s="28" t="s">
        <v>47</v>
      </c>
      <c r="H978" s="28" t="s">
        <v>48</v>
      </c>
      <c r="I978" s="28" t="s">
        <v>401</v>
      </c>
      <c r="J978" s="28" t="s">
        <v>5725</v>
      </c>
      <c r="K978" s="28" t="s">
        <v>1615</v>
      </c>
      <c r="L978" s="28" t="s">
        <v>52</v>
      </c>
      <c r="M978" s="28" t="s">
        <v>52</v>
      </c>
      <c r="N978" s="28" t="s">
        <v>5773</v>
      </c>
      <c r="O978" s="28" t="s">
        <v>44</v>
      </c>
      <c r="P978" s="28" t="s">
        <v>5826</v>
      </c>
      <c r="Q978" s="28" t="s">
        <v>5827</v>
      </c>
      <c r="R978" s="28" t="s">
        <v>44</v>
      </c>
      <c r="S978" s="28" t="s">
        <v>44</v>
      </c>
      <c r="T978" s="28" t="s">
        <v>44</v>
      </c>
      <c r="U978" s="28" t="s">
        <v>44</v>
      </c>
      <c r="V978" s="28" t="s">
        <v>5828</v>
      </c>
      <c r="W978" s="28" t="s">
        <v>774</v>
      </c>
      <c r="X978" s="28"/>
      <c r="Y978" s="28"/>
      <c r="Z978" s="28"/>
      <c r="AA978" s="28"/>
    </row>
    <row r="979">
      <c r="A979" s="270" t="s">
        <v>5829</v>
      </c>
      <c r="B979" s="28" t="s">
        <v>36</v>
      </c>
      <c r="C979" s="28" t="s">
        <v>5830</v>
      </c>
      <c r="D979" s="28" t="s">
        <v>44</v>
      </c>
      <c r="E979" s="28" t="s">
        <v>44</v>
      </c>
      <c r="F979" s="28" t="s">
        <v>5724</v>
      </c>
      <c r="G979" s="28" t="s">
        <v>47</v>
      </c>
      <c r="H979" s="28" t="s">
        <v>95</v>
      </c>
      <c r="I979" s="28" t="s">
        <v>401</v>
      </c>
      <c r="J979" s="28" t="s">
        <v>5725</v>
      </c>
      <c r="K979" s="28" t="s">
        <v>1615</v>
      </c>
      <c r="L979" s="28" t="s">
        <v>52</v>
      </c>
      <c r="M979" s="28" t="s">
        <v>52</v>
      </c>
      <c r="N979" s="28" t="s">
        <v>5831</v>
      </c>
      <c r="O979" s="28" t="s">
        <v>44</v>
      </c>
      <c r="P979" s="28" t="s">
        <v>5832</v>
      </c>
      <c r="Q979" s="28" t="s">
        <v>5833</v>
      </c>
      <c r="R979" s="28" t="s">
        <v>44</v>
      </c>
      <c r="S979" s="28" t="s">
        <v>44</v>
      </c>
      <c r="T979" s="28" t="s">
        <v>44</v>
      </c>
      <c r="U979" s="28" t="s">
        <v>44</v>
      </c>
      <c r="V979" s="28" t="s">
        <v>5834</v>
      </c>
      <c r="W979" s="28" t="s">
        <v>5835</v>
      </c>
      <c r="X979" s="28"/>
      <c r="Y979" s="28"/>
      <c r="Z979" s="28"/>
      <c r="AA979" s="28"/>
    </row>
    <row r="980">
      <c r="A980" s="270" t="s">
        <v>5836</v>
      </c>
      <c r="B980" s="28" t="s">
        <v>36</v>
      </c>
      <c r="C980" s="28" t="s">
        <v>5837</v>
      </c>
      <c r="D980" s="28" t="s">
        <v>44</v>
      </c>
      <c r="E980" s="28" t="s">
        <v>44</v>
      </c>
      <c r="F980" s="28" t="s">
        <v>5724</v>
      </c>
      <c r="G980" s="28" t="s">
        <v>47</v>
      </c>
      <c r="H980" s="28" t="s">
        <v>48</v>
      </c>
      <c r="I980" s="28" t="s">
        <v>401</v>
      </c>
      <c r="J980" s="28" t="s">
        <v>5725</v>
      </c>
      <c r="K980" s="28" t="s">
        <v>1615</v>
      </c>
      <c r="L980" s="28" t="s">
        <v>52</v>
      </c>
      <c r="M980" s="28" t="s">
        <v>52</v>
      </c>
      <c r="N980" s="28" t="s">
        <v>5838</v>
      </c>
      <c r="O980" s="28" t="s">
        <v>44</v>
      </c>
      <c r="P980" s="28" t="s">
        <v>5839</v>
      </c>
      <c r="Q980" s="28" t="s">
        <v>5840</v>
      </c>
      <c r="R980" s="28" t="s">
        <v>44</v>
      </c>
      <c r="S980" s="28" t="s">
        <v>44</v>
      </c>
      <c r="T980" s="28" t="s">
        <v>44</v>
      </c>
      <c r="U980" s="28" t="s">
        <v>44</v>
      </c>
      <c r="V980" s="28" t="s">
        <v>5841</v>
      </c>
      <c r="W980" s="28" t="s">
        <v>774</v>
      </c>
      <c r="X980" s="28"/>
      <c r="Y980" s="28"/>
      <c r="Z980" s="28"/>
      <c r="AA980" s="28"/>
    </row>
    <row r="981">
      <c r="A981" s="270" t="s">
        <v>5843</v>
      </c>
      <c r="B981" s="28" t="s">
        <v>36</v>
      </c>
      <c r="C981" s="28" t="s">
        <v>5844</v>
      </c>
      <c r="D981" s="28" t="s">
        <v>44</v>
      </c>
      <c r="E981" s="28" t="s">
        <v>44</v>
      </c>
      <c r="F981" s="28" t="s">
        <v>5724</v>
      </c>
      <c r="G981" s="28" t="s">
        <v>47</v>
      </c>
      <c r="H981" s="28" t="s">
        <v>48</v>
      </c>
      <c r="I981" s="28" t="s">
        <v>401</v>
      </c>
      <c r="J981" s="28" t="s">
        <v>5725</v>
      </c>
      <c r="K981" s="28" t="s">
        <v>1615</v>
      </c>
      <c r="L981" s="28" t="s">
        <v>52</v>
      </c>
      <c r="M981" s="28" t="s">
        <v>52</v>
      </c>
      <c r="N981" s="28" t="s">
        <v>5773</v>
      </c>
      <c r="O981" s="28" t="s">
        <v>44</v>
      </c>
      <c r="P981" s="28" t="s">
        <v>5845</v>
      </c>
      <c r="Q981" s="28" t="s">
        <v>5846</v>
      </c>
      <c r="R981" s="28" t="s">
        <v>44</v>
      </c>
      <c r="S981" s="28" t="s">
        <v>44</v>
      </c>
      <c r="T981" s="28" t="s">
        <v>44</v>
      </c>
      <c r="U981" s="28" t="s">
        <v>44</v>
      </c>
      <c r="V981" s="28" t="s">
        <v>5847</v>
      </c>
      <c r="W981" s="28" t="s">
        <v>5848</v>
      </c>
      <c r="X981" s="28"/>
      <c r="Y981" s="28"/>
      <c r="Z981" s="28"/>
      <c r="AA981" s="28"/>
    </row>
    <row r="982">
      <c r="A982" s="270" t="s">
        <v>5849</v>
      </c>
      <c r="B982" s="28" t="s">
        <v>36</v>
      </c>
      <c r="C982" s="28" t="s">
        <v>5850</v>
      </c>
      <c r="D982" s="28" t="s">
        <v>44</v>
      </c>
      <c r="E982" s="28" t="s">
        <v>44</v>
      </c>
      <c r="F982" s="28" t="s">
        <v>5724</v>
      </c>
      <c r="G982" s="28" t="s">
        <v>47</v>
      </c>
      <c r="H982" s="28" t="s">
        <v>48</v>
      </c>
      <c r="I982" s="28" t="s">
        <v>401</v>
      </c>
      <c r="J982" s="28" t="s">
        <v>5725</v>
      </c>
      <c r="K982" s="28" t="s">
        <v>1615</v>
      </c>
      <c r="L982" s="28" t="s">
        <v>52</v>
      </c>
      <c r="M982" s="28" t="s">
        <v>52</v>
      </c>
      <c r="N982" s="28" t="s">
        <v>5773</v>
      </c>
      <c r="O982" s="28" t="s">
        <v>44</v>
      </c>
      <c r="P982" s="28" t="s">
        <v>5851</v>
      </c>
      <c r="Q982" s="28" t="s">
        <v>5852</v>
      </c>
      <c r="R982" s="28" t="s">
        <v>44</v>
      </c>
      <c r="S982" s="28" t="s">
        <v>44</v>
      </c>
      <c r="T982" s="28" t="s">
        <v>44</v>
      </c>
      <c r="U982" s="28" t="s">
        <v>44</v>
      </c>
      <c r="V982" s="28" t="s">
        <v>5853</v>
      </c>
      <c r="W982" s="28" t="s">
        <v>5854</v>
      </c>
      <c r="X982" s="28"/>
      <c r="Y982" s="28"/>
      <c r="Z982" s="28"/>
      <c r="AA982" s="28"/>
    </row>
    <row r="983">
      <c r="A983" s="270" t="s">
        <v>5855</v>
      </c>
      <c r="B983" s="28" t="s">
        <v>36</v>
      </c>
      <c r="C983" s="28" t="s">
        <v>5856</v>
      </c>
      <c r="D983" s="28" t="s">
        <v>44</v>
      </c>
      <c r="E983" s="28" t="s">
        <v>44</v>
      </c>
      <c r="F983" s="28" t="s">
        <v>5724</v>
      </c>
      <c r="G983" s="28" t="s">
        <v>47</v>
      </c>
      <c r="H983" s="28" t="s">
        <v>48</v>
      </c>
      <c r="I983" s="28" t="s">
        <v>401</v>
      </c>
      <c r="J983" s="28" t="s">
        <v>5725</v>
      </c>
      <c r="K983" s="28" t="s">
        <v>1615</v>
      </c>
      <c r="L983" s="28" t="s">
        <v>52</v>
      </c>
      <c r="M983" s="28" t="s">
        <v>52</v>
      </c>
      <c r="N983" s="28" t="s">
        <v>5773</v>
      </c>
      <c r="O983" s="28" t="s">
        <v>44</v>
      </c>
      <c r="P983" s="28" t="s">
        <v>5857</v>
      </c>
      <c r="Q983" s="28" t="s">
        <v>5858</v>
      </c>
      <c r="R983" s="28" t="s">
        <v>44</v>
      </c>
      <c r="S983" s="28" t="s">
        <v>44</v>
      </c>
      <c r="T983" s="28" t="s">
        <v>44</v>
      </c>
      <c r="U983" s="28" t="s">
        <v>44</v>
      </c>
      <c r="V983" s="28" t="s">
        <v>5859</v>
      </c>
      <c r="W983" s="28" t="s">
        <v>5860</v>
      </c>
      <c r="X983" s="28"/>
      <c r="Y983" s="28"/>
      <c r="Z983" s="28"/>
      <c r="AA983" s="28"/>
    </row>
    <row r="984">
      <c r="A984" s="270" t="s">
        <v>5861</v>
      </c>
      <c r="B984" s="28" t="s">
        <v>36</v>
      </c>
      <c r="C984" s="28" t="s">
        <v>5862</v>
      </c>
      <c r="D984" s="28" t="s">
        <v>44</v>
      </c>
      <c r="E984" s="28" t="s">
        <v>44</v>
      </c>
      <c r="F984" s="28" t="s">
        <v>5724</v>
      </c>
      <c r="G984" s="28" t="s">
        <v>47</v>
      </c>
      <c r="H984" s="28" t="s">
        <v>48</v>
      </c>
      <c r="I984" s="28" t="s">
        <v>401</v>
      </c>
      <c r="J984" s="28" t="s">
        <v>5725</v>
      </c>
      <c r="K984" s="28" t="s">
        <v>1615</v>
      </c>
      <c r="L984" s="28" t="s">
        <v>52</v>
      </c>
      <c r="M984" s="28" t="s">
        <v>52</v>
      </c>
      <c r="N984" s="28" t="s">
        <v>5773</v>
      </c>
      <c r="O984" s="28" t="s">
        <v>44</v>
      </c>
      <c r="P984" s="28" t="s">
        <v>5864</v>
      </c>
      <c r="Q984" s="28" t="s">
        <v>5865</v>
      </c>
      <c r="R984" s="28" t="s">
        <v>44</v>
      </c>
      <c r="S984" s="28" t="s">
        <v>44</v>
      </c>
      <c r="T984" s="28" t="s">
        <v>44</v>
      </c>
      <c r="U984" s="28" t="s">
        <v>44</v>
      </c>
      <c r="V984" s="28" t="s">
        <v>5866</v>
      </c>
      <c r="W984" s="28" t="s">
        <v>5867</v>
      </c>
      <c r="X984" s="28"/>
      <c r="Y984" s="28"/>
      <c r="Z984" s="28"/>
      <c r="AA984" s="28"/>
    </row>
    <row r="985">
      <c r="A985" s="270" t="s">
        <v>5868</v>
      </c>
      <c r="B985" s="28" t="s">
        <v>36</v>
      </c>
      <c r="C985" s="28" t="s">
        <v>5869</v>
      </c>
      <c r="D985" s="28" t="s">
        <v>44</v>
      </c>
      <c r="E985" s="28" t="s">
        <v>44</v>
      </c>
      <c r="F985" s="28" t="s">
        <v>5724</v>
      </c>
      <c r="G985" s="28" t="s">
        <v>47</v>
      </c>
      <c r="H985" s="28" t="s">
        <v>48</v>
      </c>
      <c r="I985" s="28" t="s">
        <v>401</v>
      </c>
      <c r="J985" s="28" t="s">
        <v>5725</v>
      </c>
      <c r="K985" s="28" t="s">
        <v>1615</v>
      </c>
      <c r="L985" s="28" t="s">
        <v>52</v>
      </c>
      <c r="M985" s="28" t="s">
        <v>52</v>
      </c>
      <c r="N985" s="28" t="s">
        <v>5773</v>
      </c>
      <c r="O985" s="28" t="s">
        <v>44</v>
      </c>
      <c r="P985" s="28" t="s">
        <v>5870</v>
      </c>
      <c r="Q985" s="28" t="s">
        <v>5871</v>
      </c>
      <c r="R985" s="28" t="s">
        <v>44</v>
      </c>
      <c r="S985" s="28" t="s">
        <v>44</v>
      </c>
      <c r="T985" s="28" t="s">
        <v>44</v>
      </c>
      <c r="U985" s="28" t="s">
        <v>44</v>
      </c>
      <c r="V985" s="28" t="s">
        <v>5872</v>
      </c>
      <c r="W985" s="28" t="s">
        <v>5873</v>
      </c>
      <c r="X985" s="28"/>
      <c r="Y985" s="28"/>
      <c r="Z985" s="28"/>
      <c r="AA985" s="28"/>
    </row>
    <row r="986">
      <c r="A986" s="270" t="s">
        <v>5874</v>
      </c>
      <c r="B986" s="28" t="s">
        <v>36</v>
      </c>
      <c r="C986" s="28" t="s">
        <v>5875</v>
      </c>
      <c r="D986" s="28" t="s">
        <v>44</v>
      </c>
      <c r="E986" s="28" t="s">
        <v>44</v>
      </c>
      <c r="F986" s="28" t="s">
        <v>5724</v>
      </c>
      <c r="G986" s="28" t="s">
        <v>47</v>
      </c>
      <c r="H986" s="28" t="s">
        <v>48</v>
      </c>
      <c r="I986" s="28" t="s">
        <v>401</v>
      </c>
      <c r="J986" s="28" t="s">
        <v>5725</v>
      </c>
      <c r="K986" s="28" t="s">
        <v>1615</v>
      </c>
      <c r="L986" s="28" t="s">
        <v>52</v>
      </c>
      <c r="M986" s="28" t="s">
        <v>52</v>
      </c>
      <c r="N986" s="28" t="s">
        <v>5773</v>
      </c>
      <c r="O986" s="28" t="s">
        <v>44</v>
      </c>
      <c r="P986" s="28" t="s">
        <v>5876</v>
      </c>
      <c r="Q986" s="28" t="s">
        <v>5877</v>
      </c>
      <c r="R986" s="28" t="s">
        <v>44</v>
      </c>
      <c r="S986" s="28" t="s">
        <v>44</v>
      </c>
      <c r="T986" s="28" t="s">
        <v>44</v>
      </c>
      <c r="U986" s="28" t="s">
        <v>44</v>
      </c>
      <c r="V986" s="28" t="s">
        <v>5878</v>
      </c>
      <c r="W986" s="28" t="s">
        <v>5879</v>
      </c>
      <c r="X986" s="28"/>
      <c r="Y986" s="28"/>
      <c r="Z986" s="28"/>
      <c r="AA986" s="28"/>
    </row>
    <row r="987">
      <c r="A987" s="270" t="s">
        <v>5880</v>
      </c>
      <c r="B987" s="28" t="s">
        <v>36</v>
      </c>
      <c r="C987" s="28" t="s">
        <v>5881</v>
      </c>
      <c r="D987" s="28" t="s">
        <v>44</v>
      </c>
      <c r="E987" s="28" t="s">
        <v>44</v>
      </c>
      <c r="F987" s="28" t="s">
        <v>5724</v>
      </c>
      <c r="G987" s="28" t="s">
        <v>47</v>
      </c>
      <c r="H987" s="28" t="s">
        <v>48</v>
      </c>
      <c r="I987" s="28" t="s">
        <v>401</v>
      </c>
      <c r="J987" s="28" t="s">
        <v>5725</v>
      </c>
      <c r="K987" s="28" t="s">
        <v>1615</v>
      </c>
      <c r="L987" s="28" t="s">
        <v>52</v>
      </c>
      <c r="M987" s="28" t="s">
        <v>52</v>
      </c>
      <c r="N987" s="28" t="s">
        <v>5882</v>
      </c>
      <c r="O987" s="28" t="s">
        <v>44</v>
      </c>
      <c r="P987" s="28" t="s">
        <v>5883</v>
      </c>
      <c r="Q987" s="28" t="s">
        <v>5884</v>
      </c>
      <c r="R987" s="28" t="s">
        <v>44</v>
      </c>
      <c r="S987" s="28" t="s">
        <v>44</v>
      </c>
      <c r="T987" s="28" t="s">
        <v>44</v>
      </c>
      <c r="U987" s="28" t="s">
        <v>44</v>
      </c>
      <c r="V987" s="28" t="s">
        <v>5885</v>
      </c>
      <c r="W987" s="28" t="s">
        <v>5886</v>
      </c>
      <c r="X987" s="28"/>
      <c r="Y987" s="28"/>
      <c r="Z987" s="28"/>
      <c r="AA987" s="28"/>
    </row>
    <row r="988">
      <c r="A988" s="270" t="s">
        <v>5887</v>
      </c>
      <c r="B988" s="28" t="s">
        <v>36</v>
      </c>
      <c r="C988" s="28" t="s">
        <v>5888</v>
      </c>
      <c r="D988" s="28" t="s">
        <v>44</v>
      </c>
      <c r="E988" s="28" t="s">
        <v>44</v>
      </c>
      <c r="F988" s="28" t="s">
        <v>5724</v>
      </c>
      <c r="G988" s="28" t="s">
        <v>47</v>
      </c>
      <c r="H988" s="28" t="s">
        <v>95</v>
      </c>
      <c r="I988" s="28" t="s">
        <v>401</v>
      </c>
      <c r="J988" s="28" t="s">
        <v>5725</v>
      </c>
      <c r="K988" s="28" t="s">
        <v>1615</v>
      </c>
      <c r="L988" s="28" t="s">
        <v>52</v>
      </c>
      <c r="M988" s="28" t="s">
        <v>52</v>
      </c>
      <c r="N988" s="28" t="s">
        <v>5773</v>
      </c>
      <c r="O988" s="28" t="s">
        <v>44</v>
      </c>
      <c r="P988" s="28" t="s">
        <v>5889</v>
      </c>
      <c r="Q988" s="28" t="s">
        <v>5890</v>
      </c>
      <c r="R988" s="28" t="s">
        <v>44</v>
      </c>
      <c r="S988" s="28" t="s">
        <v>44</v>
      </c>
      <c r="T988" s="28" t="s">
        <v>44</v>
      </c>
      <c r="U988" s="28" t="s">
        <v>44</v>
      </c>
      <c r="V988" s="28" t="s">
        <v>5891</v>
      </c>
      <c r="W988" s="28" t="s">
        <v>5892</v>
      </c>
      <c r="X988" s="28"/>
      <c r="Y988" s="28"/>
      <c r="Z988" s="28"/>
      <c r="AA988" s="28"/>
    </row>
    <row r="989">
      <c r="A989" s="270" t="s">
        <v>5893</v>
      </c>
      <c r="B989" s="28" t="s">
        <v>36</v>
      </c>
      <c r="C989" s="28" t="s">
        <v>5894</v>
      </c>
      <c r="D989" s="28" t="s">
        <v>44</v>
      </c>
      <c r="E989" s="28" t="s">
        <v>44</v>
      </c>
      <c r="F989" s="28" t="s">
        <v>5724</v>
      </c>
      <c r="G989" s="28" t="s">
        <v>47</v>
      </c>
      <c r="H989" s="28" t="s">
        <v>48</v>
      </c>
      <c r="I989" s="28" t="s">
        <v>401</v>
      </c>
      <c r="J989" s="28" t="s">
        <v>5725</v>
      </c>
      <c r="K989" s="28" t="s">
        <v>1615</v>
      </c>
      <c r="L989" s="28" t="s">
        <v>52</v>
      </c>
      <c r="M989" s="28" t="s">
        <v>52</v>
      </c>
      <c r="N989" s="28" t="s">
        <v>5773</v>
      </c>
      <c r="O989" s="28" t="s">
        <v>44</v>
      </c>
      <c r="P989" s="28" t="s">
        <v>5897</v>
      </c>
      <c r="Q989" s="28" t="s">
        <v>5821</v>
      </c>
      <c r="R989" s="28" t="s">
        <v>44</v>
      </c>
      <c r="S989" s="28" t="s">
        <v>44</v>
      </c>
      <c r="T989" s="28" t="s">
        <v>44</v>
      </c>
      <c r="U989" s="28" t="s">
        <v>44</v>
      </c>
      <c r="V989" s="28" t="s">
        <v>5898</v>
      </c>
      <c r="W989" s="28" t="s">
        <v>5899</v>
      </c>
      <c r="X989" s="28"/>
      <c r="Y989" s="28"/>
      <c r="Z989" s="28"/>
      <c r="AA989" s="28"/>
    </row>
    <row r="990">
      <c r="A990" s="270" t="s">
        <v>5900</v>
      </c>
      <c r="B990" s="28" t="s">
        <v>36</v>
      </c>
      <c r="C990" s="28" t="s">
        <v>5901</v>
      </c>
      <c r="D990" s="28" t="s">
        <v>44</v>
      </c>
      <c r="E990" s="28" t="s">
        <v>44</v>
      </c>
      <c r="F990" s="28" t="s">
        <v>5724</v>
      </c>
      <c r="G990" s="28" t="s">
        <v>47</v>
      </c>
      <c r="H990" s="28" t="s">
        <v>48</v>
      </c>
      <c r="I990" s="28" t="s">
        <v>401</v>
      </c>
      <c r="J990" s="28" t="s">
        <v>5725</v>
      </c>
      <c r="K990" s="28" t="s">
        <v>1615</v>
      </c>
      <c r="L990" s="28" t="s">
        <v>52</v>
      </c>
      <c r="M990" s="28" t="s">
        <v>52</v>
      </c>
      <c r="N990" s="28" t="s">
        <v>5838</v>
      </c>
      <c r="O990" s="28" t="s">
        <v>44</v>
      </c>
      <c r="P990" s="28" t="s">
        <v>5903</v>
      </c>
      <c r="Q990" s="28" t="s">
        <v>5904</v>
      </c>
      <c r="R990" s="28" t="s">
        <v>44</v>
      </c>
      <c r="S990" s="28" t="s">
        <v>44</v>
      </c>
      <c r="T990" s="28" t="s">
        <v>44</v>
      </c>
      <c r="U990" s="28" t="s">
        <v>44</v>
      </c>
      <c r="V990" s="28" t="s">
        <v>5905</v>
      </c>
      <c r="W990" s="28" t="s">
        <v>5907</v>
      </c>
      <c r="X990" s="28"/>
      <c r="Y990" s="28"/>
      <c r="Z990" s="28"/>
      <c r="AA990" s="28"/>
    </row>
    <row r="991">
      <c r="A991" s="270" t="s">
        <v>5908</v>
      </c>
      <c r="B991" s="28" t="s">
        <v>36</v>
      </c>
      <c r="C991" s="28" t="s">
        <v>5909</v>
      </c>
      <c r="D991" s="28" t="s">
        <v>44</v>
      </c>
      <c r="E991" s="28" t="s">
        <v>44</v>
      </c>
      <c r="F991" s="28" t="s">
        <v>5724</v>
      </c>
      <c r="G991" s="28" t="s">
        <v>47</v>
      </c>
      <c r="H991" s="28" t="s">
        <v>48</v>
      </c>
      <c r="I991" s="28" t="s">
        <v>401</v>
      </c>
      <c r="J991" s="28" t="s">
        <v>5725</v>
      </c>
      <c r="K991" s="28" t="s">
        <v>1615</v>
      </c>
      <c r="L991" s="28" t="s">
        <v>52</v>
      </c>
      <c r="M991" s="28" t="s">
        <v>52</v>
      </c>
      <c r="N991" s="28" t="s">
        <v>5773</v>
      </c>
      <c r="O991" s="28" t="s">
        <v>44</v>
      </c>
      <c r="P991" s="28" t="s">
        <v>5910</v>
      </c>
      <c r="Q991" s="28" t="s">
        <v>5911</v>
      </c>
      <c r="R991" s="28" t="s">
        <v>44</v>
      </c>
      <c r="S991" s="28" t="s">
        <v>44</v>
      </c>
      <c r="T991" s="28" t="s">
        <v>44</v>
      </c>
      <c r="U991" s="28" t="s">
        <v>44</v>
      </c>
      <c r="V991" s="28" t="s">
        <v>5912</v>
      </c>
      <c r="W991" s="28" t="s">
        <v>774</v>
      </c>
      <c r="X991" s="28"/>
      <c r="Y991" s="28"/>
      <c r="Z991" s="28"/>
      <c r="AA991" s="28"/>
    </row>
    <row r="992">
      <c r="A992" s="270" t="s">
        <v>5913</v>
      </c>
      <c r="B992" s="28" t="s">
        <v>36</v>
      </c>
      <c r="C992" s="28" t="s">
        <v>5914</v>
      </c>
      <c r="D992" s="28" t="s">
        <v>44</v>
      </c>
      <c r="E992" s="28" t="s">
        <v>44</v>
      </c>
      <c r="F992" s="28" t="s">
        <v>5724</v>
      </c>
      <c r="G992" s="28" t="s">
        <v>47</v>
      </c>
      <c r="H992" s="28" t="s">
        <v>48</v>
      </c>
      <c r="I992" s="28" t="s">
        <v>401</v>
      </c>
      <c r="J992" s="28" t="s">
        <v>5725</v>
      </c>
      <c r="K992" s="28" t="s">
        <v>1615</v>
      </c>
      <c r="L992" s="28" t="s">
        <v>52</v>
      </c>
      <c r="M992" s="28" t="s">
        <v>52</v>
      </c>
      <c r="N992" s="28" t="s">
        <v>5915</v>
      </c>
      <c r="O992" s="28" t="s">
        <v>44</v>
      </c>
      <c r="P992" s="28" t="s">
        <v>5916</v>
      </c>
      <c r="Q992" s="28" t="s">
        <v>5917</v>
      </c>
      <c r="R992" s="28" t="s">
        <v>44</v>
      </c>
      <c r="S992" s="28" t="s">
        <v>44</v>
      </c>
      <c r="T992" s="28" t="s">
        <v>44</v>
      </c>
      <c r="U992" s="28" t="s">
        <v>44</v>
      </c>
      <c r="V992" s="28" t="s">
        <v>5918</v>
      </c>
      <c r="W992" s="28" t="s">
        <v>5919</v>
      </c>
      <c r="X992" s="28"/>
      <c r="Y992" s="28"/>
      <c r="Z992" s="28"/>
      <c r="AA992" s="28"/>
    </row>
    <row r="993">
      <c r="A993" s="270" t="s">
        <v>5920</v>
      </c>
      <c r="B993" s="28" t="s">
        <v>36</v>
      </c>
      <c r="C993" s="28" t="s">
        <v>5921</v>
      </c>
      <c r="D993" s="28" t="s">
        <v>44</v>
      </c>
      <c r="E993" s="28" t="s">
        <v>44</v>
      </c>
      <c r="F993" s="28" t="s">
        <v>5724</v>
      </c>
      <c r="G993" s="28" t="s">
        <v>47</v>
      </c>
      <c r="H993" s="28" t="s">
        <v>48</v>
      </c>
      <c r="I993" s="28" t="s">
        <v>401</v>
      </c>
      <c r="J993" s="28" t="s">
        <v>5725</v>
      </c>
      <c r="K993" s="28" t="s">
        <v>1615</v>
      </c>
      <c r="L993" s="28" t="s">
        <v>52</v>
      </c>
      <c r="M993" s="28" t="s">
        <v>52</v>
      </c>
      <c r="N993" s="28" t="s">
        <v>5915</v>
      </c>
      <c r="O993" s="28" t="s">
        <v>44</v>
      </c>
      <c r="P993" s="28" t="s">
        <v>5922</v>
      </c>
      <c r="Q993" s="28" t="s">
        <v>5923</v>
      </c>
      <c r="R993" s="28" t="s">
        <v>44</v>
      </c>
      <c r="S993" s="28" t="s">
        <v>44</v>
      </c>
      <c r="T993" s="28" t="s">
        <v>44</v>
      </c>
      <c r="U993" s="28" t="s">
        <v>44</v>
      </c>
      <c r="V993" s="28" t="s">
        <v>5924</v>
      </c>
      <c r="W993" s="28" t="s">
        <v>774</v>
      </c>
      <c r="X993" s="28"/>
      <c r="Y993" s="28"/>
      <c r="Z993" s="28"/>
      <c r="AA993" s="28"/>
    </row>
    <row r="994">
      <c r="A994" s="270" t="s">
        <v>5925</v>
      </c>
      <c r="B994" s="28" t="s">
        <v>36</v>
      </c>
      <c r="C994" s="28" t="s">
        <v>5926</v>
      </c>
      <c r="D994" s="28" t="s">
        <v>44</v>
      </c>
      <c r="E994" s="28" t="s">
        <v>44</v>
      </c>
      <c r="F994" s="28" t="s">
        <v>5724</v>
      </c>
      <c r="G994" s="28" t="s">
        <v>47</v>
      </c>
      <c r="H994" s="28" t="s">
        <v>48</v>
      </c>
      <c r="I994" s="28" t="s">
        <v>401</v>
      </c>
      <c r="J994" s="28" t="s">
        <v>5725</v>
      </c>
      <c r="K994" s="28" t="s">
        <v>1615</v>
      </c>
      <c r="L994" s="28" t="s">
        <v>52</v>
      </c>
      <c r="M994" s="28" t="s">
        <v>52</v>
      </c>
      <c r="N994" s="28" t="s">
        <v>5915</v>
      </c>
      <c r="O994" s="28" t="s">
        <v>44</v>
      </c>
      <c r="P994" s="28" t="s">
        <v>5927</v>
      </c>
      <c r="Q994" s="28" t="s">
        <v>5928</v>
      </c>
      <c r="R994" s="28" t="s">
        <v>44</v>
      </c>
      <c r="S994" s="28" t="s">
        <v>44</v>
      </c>
      <c r="T994" s="28" t="s">
        <v>44</v>
      </c>
      <c r="U994" s="28" t="s">
        <v>44</v>
      </c>
      <c r="V994" s="28" t="s">
        <v>5929</v>
      </c>
      <c r="W994" s="28" t="s">
        <v>774</v>
      </c>
      <c r="X994" s="28"/>
      <c r="Y994" s="28"/>
      <c r="Z994" s="28"/>
      <c r="AA994" s="28"/>
    </row>
    <row r="995">
      <c r="A995" s="270" t="s">
        <v>5930</v>
      </c>
      <c r="B995" s="28" t="s">
        <v>36</v>
      </c>
      <c r="C995" s="28" t="s">
        <v>5931</v>
      </c>
      <c r="D995" s="28" t="s">
        <v>44</v>
      </c>
      <c r="E995" s="28" t="s">
        <v>44</v>
      </c>
      <c r="F995" s="28" t="s">
        <v>5724</v>
      </c>
      <c r="G995" s="28" t="s">
        <v>111</v>
      </c>
      <c r="H995" s="28" t="s">
        <v>91</v>
      </c>
      <c r="I995" s="28" t="s">
        <v>401</v>
      </c>
      <c r="J995" s="28" t="s">
        <v>5725</v>
      </c>
      <c r="K995" s="28" t="s">
        <v>1615</v>
      </c>
      <c r="L995" s="28" t="s">
        <v>52</v>
      </c>
      <c r="M995" s="28" t="s">
        <v>52</v>
      </c>
      <c r="N995" s="28" t="s">
        <v>5915</v>
      </c>
      <c r="O995" s="28" t="s">
        <v>44</v>
      </c>
      <c r="P995" s="28" t="s">
        <v>5932</v>
      </c>
      <c r="Q995" s="28" t="s">
        <v>5933</v>
      </c>
      <c r="R995" s="28" t="s">
        <v>44</v>
      </c>
      <c r="S995" s="28" t="s">
        <v>44</v>
      </c>
      <c r="T995" s="28" t="s">
        <v>44</v>
      </c>
      <c r="U995" s="28" t="s">
        <v>44</v>
      </c>
      <c r="V995" s="28" t="s">
        <v>5934</v>
      </c>
      <c r="W995" s="28" t="s">
        <v>5935</v>
      </c>
      <c r="X995" s="28"/>
      <c r="Y995" s="28"/>
      <c r="Z995" s="28"/>
      <c r="AA995" s="28"/>
    </row>
    <row r="996">
      <c r="A996" s="270" t="s">
        <v>5936</v>
      </c>
      <c r="B996" s="28" t="s">
        <v>36</v>
      </c>
      <c r="C996" s="28" t="s">
        <v>5937</v>
      </c>
      <c r="D996" s="28" t="s">
        <v>44</v>
      </c>
      <c r="E996" s="28" t="s">
        <v>44</v>
      </c>
      <c r="F996" s="28" t="s">
        <v>5724</v>
      </c>
      <c r="G996" s="28" t="s">
        <v>47</v>
      </c>
      <c r="H996" s="28" t="s">
        <v>95</v>
      </c>
      <c r="I996" s="28" t="s">
        <v>401</v>
      </c>
      <c r="J996" s="28" t="s">
        <v>5725</v>
      </c>
      <c r="K996" s="28" t="s">
        <v>1615</v>
      </c>
      <c r="L996" s="28" t="s">
        <v>52</v>
      </c>
      <c r="M996" s="28" t="s">
        <v>52</v>
      </c>
      <c r="N996" s="28" t="s">
        <v>5938</v>
      </c>
      <c r="O996" s="28" t="s">
        <v>44</v>
      </c>
      <c r="P996" s="28" t="s">
        <v>5939</v>
      </c>
      <c r="Q996" s="28" t="s">
        <v>5940</v>
      </c>
      <c r="R996" s="28" t="s">
        <v>44</v>
      </c>
      <c r="S996" s="28" t="s">
        <v>44</v>
      </c>
      <c r="T996" s="28" t="s">
        <v>44</v>
      </c>
      <c r="U996" s="28" t="s">
        <v>44</v>
      </c>
      <c r="V996" s="28" t="s">
        <v>5941</v>
      </c>
      <c r="W996" s="28" t="s">
        <v>774</v>
      </c>
      <c r="X996" s="28"/>
      <c r="Y996" s="28"/>
      <c r="Z996" s="28"/>
      <c r="AA996" s="28"/>
    </row>
    <row r="997">
      <c r="A997" s="270" t="s">
        <v>5943</v>
      </c>
      <c r="B997" s="28" t="s">
        <v>36</v>
      </c>
      <c r="C997" s="28" t="s">
        <v>5944</v>
      </c>
      <c r="D997" s="28" t="s">
        <v>44</v>
      </c>
      <c r="E997" s="28" t="s">
        <v>44</v>
      </c>
      <c r="F997" s="28" t="s">
        <v>5724</v>
      </c>
      <c r="G997" s="28" t="s">
        <v>197</v>
      </c>
      <c r="H997" s="28" t="s">
        <v>198</v>
      </c>
      <c r="I997" s="28" t="s">
        <v>401</v>
      </c>
      <c r="J997" s="28" t="s">
        <v>5725</v>
      </c>
      <c r="K997" s="28" t="s">
        <v>1615</v>
      </c>
      <c r="L997" s="28" t="s">
        <v>52</v>
      </c>
      <c r="M997" s="28" t="s">
        <v>52</v>
      </c>
      <c r="N997" s="28" t="s">
        <v>5938</v>
      </c>
      <c r="O997" s="28" t="s">
        <v>44</v>
      </c>
      <c r="P997" s="28" t="s">
        <v>5945</v>
      </c>
      <c r="Q997" s="28" t="s">
        <v>5946</v>
      </c>
      <c r="R997" s="28" t="s">
        <v>44</v>
      </c>
      <c r="S997" s="28" t="s">
        <v>44</v>
      </c>
      <c r="T997" s="28" t="s">
        <v>44</v>
      </c>
      <c r="U997" s="28" t="s">
        <v>44</v>
      </c>
      <c r="V997" s="28" t="s">
        <v>5947</v>
      </c>
      <c r="W997" s="28" t="s">
        <v>5948</v>
      </c>
      <c r="X997" s="28"/>
      <c r="Y997" s="28"/>
      <c r="Z997" s="28"/>
      <c r="AA997" s="28"/>
    </row>
    <row r="998">
      <c r="A998" s="270" t="s">
        <v>5949</v>
      </c>
      <c r="B998" s="28" t="s">
        <v>36</v>
      </c>
      <c r="C998" s="28" t="s">
        <v>5950</v>
      </c>
      <c r="D998" s="28" t="s">
        <v>44</v>
      </c>
      <c r="E998" s="28" t="s">
        <v>44</v>
      </c>
      <c r="F998" s="28" t="s">
        <v>5724</v>
      </c>
      <c r="G998" s="28" t="s">
        <v>47</v>
      </c>
      <c r="H998" s="28" t="s">
        <v>48</v>
      </c>
      <c r="I998" s="28" t="s">
        <v>401</v>
      </c>
      <c r="J998" s="28" t="s">
        <v>5725</v>
      </c>
      <c r="K998" s="28" t="s">
        <v>1615</v>
      </c>
      <c r="L998" s="28" t="s">
        <v>52</v>
      </c>
      <c r="M998" s="28" t="s">
        <v>52</v>
      </c>
      <c r="N998" s="28" t="s">
        <v>5915</v>
      </c>
      <c r="O998" s="28" t="s">
        <v>44</v>
      </c>
      <c r="P998" s="28" t="s">
        <v>5951</v>
      </c>
      <c r="Q998" s="28" t="s">
        <v>5952</v>
      </c>
      <c r="R998" s="28" t="s">
        <v>44</v>
      </c>
      <c r="S998" s="28" t="s">
        <v>44</v>
      </c>
      <c r="T998" s="28" t="s">
        <v>44</v>
      </c>
      <c r="U998" s="28" t="s">
        <v>44</v>
      </c>
      <c r="V998" s="28" t="s">
        <v>5953</v>
      </c>
      <c r="W998" s="28" t="s">
        <v>5954</v>
      </c>
      <c r="X998" s="28"/>
      <c r="Y998" s="28"/>
      <c r="Z998" s="28"/>
      <c r="AA998" s="28"/>
    </row>
    <row r="999">
      <c r="A999" s="270" t="s">
        <v>5955</v>
      </c>
      <c r="B999" s="28" t="s">
        <v>36</v>
      </c>
      <c r="C999" s="28" t="s">
        <v>5956</v>
      </c>
      <c r="D999" s="28" t="s">
        <v>44</v>
      </c>
      <c r="E999" s="28" t="s">
        <v>44</v>
      </c>
      <c r="F999" s="28" t="s">
        <v>5724</v>
      </c>
      <c r="G999" s="28" t="s">
        <v>47</v>
      </c>
      <c r="H999" s="28" t="s">
        <v>91</v>
      </c>
      <c r="I999" s="28" t="s">
        <v>401</v>
      </c>
      <c r="J999" s="28" t="s">
        <v>5725</v>
      </c>
      <c r="K999" s="28" t="s">
        <v>1615</v>
      </c>
      <c r="L999" s="28" t="s">
        <v>52</v>
      </c>
      <c r="M999" s="28" t="s">
        <v>52</v>
      </c>
      <c r="N999" s="28" t="s">
        <v>5915</v>
      </c>
      <c r="O999" s="28" t="s">
        <v>44</v>
      </c>
      <c r="P999" s="28" t="s">
        <v>5958</v>
      </c>
      <c r="Q999" s="28" t="s">
        <v>5933</v>
      </c>
      <c r="R999" s="28" t="s">
        <v>44</v>
      </c>
      <c r="S999" s="28" t="s">
        <v>44</v>
      </c>
      <c r="T999" s="28" t="s">
        <v>44</v>
      </c>
      <c r="U999" s="28" t="s">
        <v>44</v>
      </c>
      <c r="V999" s="28" t="s">
        <v>5959</v>
      </c>
      <c r="W999" s="28" t="s">
        <v>5960</v>
      </c>
      <c r="X999" s="28"/>
      <c r="Y999" s="28"/>
      <c r="Z999" s="28"/>
      <c r="AA999" s="28"/>
    </row>
    <row r="1000">
      <c r="A1000" s="270" t="s">
        <v>5961</v>
      </c>
      <c r="B1000" s="28" t="s">
        <v>36</v>
      </c>
      <c r="C1000" s="28" t="s">
        <v>5962</v>
      </c>
      <c r="D1000" s="28" t="s">
        <v>44</v>
      </c>
      <c r="E1000" s="28" t="s">
        <v>44</v>
      </c>
      <c r="F1000" s="28" t="s">
        <v>5724</v>
      </c>
      <c r="G1000" s="28" t="s">
        <v>47</v>
      </c>
      <c r="H1000" s="28" t="s">
        <v>95</v>
      </c>
      <c r="I1000" s="28" t="s">
        <v>401</v>
      </c>
      <c r="J1000" s="28" t="s">
        <v>5725</v>
      </c>
      <c r="K1000" s="28" t="s">
        <v>1615</v>
      </c>
      <c r="L1000" s="28" t="s">
        <v>52</v>
      </c>
      <c r="M1000" s="28" t="s">
        <v>52</v>
      </c>
      <c r="N1000" s="28" t="s">
        <v>5963</v>
      </c>
      <c r="O1000" s="28" t="s">
        <v>44</v>
      </c>
      <c r="P1000" s="28" t="s">
        <v>5964</v>
      </c>
      <c r="Q1000" s="28" t="s">
        <v>5965</v>
      </c>
      <c r="R1000" s="28" t="s">
        <v>44</v>
      </c>
      <c r="S1000" s="28" t="s">
        <v>44</v>
      </c>
      <c r="T1000" s="28" t="s">
        <v>44</v>
      </c>
      <c r="U1000" s="28" t="s">
        <v>44</v>
      </c>
      <c r="V1000" s="28" t="s">
        <v>5966</v>
      </c>
      <c r="W1000" s="28" t="s">
        <v>5967</v>
      </c>
      <c r="X1000" s="28"/>
      <c r="Y1000" s="28"/>
      <c r="Z1000" s="28"/>
      <c r="AA1000" s="28"/>
    </row>
    <row r="1001">
      <c r="A1001" s="270" t="s">
        <v>5968</v>
      </c>
      <c r="B1001" s="28" t="s">
        <v>36</v>
      </c>
      <c r="C1001" s="28" t="s">
        <v>5969</v>
      </c>
      <c r="D1001" s="28" t="s">
        <v>44</v>
      </c>
      <c r="E1001" s="28" t="s">
        <v>44</v>
      </c>
      <c r="F1001" s="28" t="s">
        <v>5724</v>
      </c>
      <c r="G1001" s="28" t="s">
        <v>197</v>
      </c>
      <c r="H1001" s="28" t="s">
        <v>198</v>
      </c>
      <c r="I1001" s="28" t="s">
        <v>401</v>
      </c>
      <c r="J1001" s="28" t="s">
        <v>5725</v>
      </c>
      <c r="K1001" s="28" t="s">
        <v>1615</v>
      </c>
      <c r="L1001" s="28" t="s">
        <v>52</v>
      </c>
      <c r="M1001" s="28" t="s">
        <v>52</v>
      </c>
      <c r="N1001" s="28" t="s">
        <v>5963</v>
      </c>
      <c r="O1001" s="28" t="s">
        <v>44</v>
      </c>
      <c r="P1001" s="28" t="s">
        <v>5971</v>
      </c>
      <c r="Q1001" s="28" t="s">
        <v>5972</v>
      </c>
      <c r="R1001" s="28" t="s">
        <v>44</v>
      </c>
      <c r="S1001" s="28" t="s">
        <v>44</v>
      </c>
      <c r="T1001" s="28" t="s">
        <v>44</v>
      </c>
      <c r="U1001" s="28" t="s">
        <v>44</v>
      </c>
      <c r="V1001" s="28" t="s">
        <v>5973</v>
      </c>
      <c r="W1001" s="28" t="s">
        <v>5974</v>
      </c>
      <c r="X1001" s="28"/>
      <c r="Y1001" s="28"/>
      <c r="Z1001" s="28"/>
      <c r="AA1001" s="2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5.38"/>
    <col customWidth="1" min="4" max="4" width="38.63"/>
    <col customWidth="1" min="5" max="5" width="62.38"/>
    <col customWidth="1" min="7" max="7" width="33.75"/>
  </cols>
  <sheetData>
    <row r="1">
      <c r="A1" s="265"/>
      <c r="B1" s="265"/>
      <c r="C1" s="265"/>
      <c r="D1" s="266"/>
      <c r="E1" s="265"/>
      <c r="F1" s="265"/>
      <c r="G1" s="265"/>
      <c r="H1" s="265"/>
      <c r="I1" s="265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</row>
    <row r="2">
      <c r="A2" s="265"/>
      <c r="B2" s="268" t="s">
        <v>746</v>
      </c>
      <c r="C2" s="69"/>
      <c r="D2" s="69"/>
      <c r="E2" s="69"/>
      <c r="F2" s="70"/>
      <c r="G2" s="269" t="s">
        <v>749</v>
      </c>
      <c r="H2" s="69"/>
      <c r="I2" s="70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</row>
    <row r="3">
      <c r="A3" s="266"/>
      <c r="B3" s="272" t="s">
        <v>755</v>
      </c>
      <c r="C3" s="272" t="s">
        <v>757</v>
      </c>
      <c r="D3" s="273" t="s">
        <v>759</v>
      </c>
      <c r="E3" s="273" t="s">
        <v>765</v>
      </c>
      <c r="F3" s="273" t="s">
        <v>766</v>
      </c>
      <c r="G3" s="274" t="s">
        <v>749</v>
      </c>
      <c r="H3" s="275" t="s">
        <v>767</v>
      </c>
      <c r="I3" s="275" t="s">
        <v>18</v>
      </c>
      <c r="J3" s="267"/>
      <c r="K3" s="267"/>
      <c r="L3" s="267"/>
      <c r="M3" s="267"/>
      <c r="N3" s="267"/>
      <c r="O3" s="267"/>
      <c r="P3" s="267"/>
      <c r="Q3" s="267"/>
      <c r="R3" s="267"/>
      <c r="S3" s="267"/>
      <c r="T3" s="267"/>
      <c r="U3" s="267"/>
      <c r="V3" s="267"/>
      <c r="W3" s="267"/>
      <c r="X3" s="267"/>
    </row>
    <row r="4">
      <c r="A4" s="276"/>
      <c r="B4" s="277" t="s">
        <v>772</v>
      </c>
      <c r="C4" s="278" t="s">
        <v>775</v>
      </c>
      <c r="D4" s="278" t="s">
        <v>777</v>
      </c>
      <c r="E4" s="279" t="s">
        <v>779</v>
      </c>
      <c r="F4" s="280" t="s">
        <v>57</v>
      </c>
      <c r="G4" s="281"/>
      <c r="H4" s="282"/>
      <c r="I4" s="283"/>
      <c r="J4" s="267"/>
      <c r="K4" s="267"/>
      <c r="L4" s="267"/>
      <c r="M4" s="267"/>
      <c r="N4" s="267"/>
      <c r="O4" s="267"/>
      <c r="P4" s="267"/>
      <c r="Q4" s="267"/>
      <c r="R4" s="267"/>
      <c r="S4" s="267"/>
      <c r="T4" s="267"/>
      <c r="U4" s="267"/>
      <c r="V4" s="267"/>
      <c r="W4" s="267"/>
      <c r="X4" s="267"/>
    </row>
    <row r="5">
      <c r="A5" s="276"/>
      <c r="B5" s="284"/>
      <c r="C5" s="278" t="s">
        <v>790</v>
      </c>
      <c r="D5" s="278" t="s">
        <v>791</v>
      </c>
      <c r="E5" s="279" t="s">
        <v>792</v>
      </c>
      <c r="F5" s="280" t="s">
        <v>57</v>
      </c>
      <c r="G5" s="281"/>
      <c r="H5" s="282"/>
      <c r="I5" s="283"/>
      <c r="J5" s="267"/>
      <c r="K5" s="267"/>
      <c r="L5" s="267"/>
      <c r="M5" s="267"/>
      <c r="N5" s="267"/>
      <c r="O5" s="267"/>
      <c r="P5" s="267"/>
      <c r="Q5" s="267"/>
      <c r="R5" s="267"/>
      <c r="S5" s="267"/>
      <c r="T5" s="267"/>
      <c r="U5" s="267"/>
      <c r="V5" s="267"/>
      <c r="W5" s="267"/>
      <c r="X5" s="267"/>
    </row>
    <row r="6">
      <c r="A6" s="276"/>
      <c r="B6" s="277" t="s">
        <v>772</v>
      </c>
      <c r="C6" s="278" t="s">
        <v>799</v>
      </c>
      <c r="D6" s="278" t="s">
        <v>800</v>
      </c>
      <c r="E6" s="279" t="s">
        <v>801</v>
      </c>
      <c r="F6" s="280" t="s">
        <v>57</v>
      </c>
      <c r="G6" s="281"/>
      <c r="H6" s="282"/>
      <c r="I6" s="283"/>
      <c r="J6" s="267"/>
      <c r="K6" s="267"/>
      <c r="L6" s="267"/>
      <c r="M6" s="267"/>
      <c r="N6" s="267"/>
      <c r="O6" s="267"/>
      <c r="P6" s="267"/>
      <c r="Q6" s="267"/>
      <c r="R6" s="267"/>
      <c r="S6" s="267"/>
      <c r="T6" s="267"/>
      <c r="U6" s="267"/>
      <c r="V6" s="267"/>
      <c r="W6" s="267"/>
      <c r="X6" s="267"/>
    </row>
    <row r="7">
      <c r="A7" s="285"/>
      <c r="B7" s="284" t="s">
        <v>772</v>
      </c>
      <c r="C7" s="278" t="s">
        <v>805</v>
      </c>
      <c r="D7" s="278" t="s">
        <v>806</v>
      </c>
      <c r="E7" s="279" t="s">
        <v>807</v>
      </c>
      <c r="F7" s="280" t="s">
        <v>57</v>
      </c>
      <c r="G7" s="281"/>
      <c r="H7" s="282"/>
      <c r="I7" s="283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</row>
    <row r="8">
      <c r="A8" s="276"/>
      <c r="B8" s="286"/>
      <c r="C8" s="287"/>
      <c r="D8" s="287"/>
      <c r="E8" s="288"/>
      <c r="F8" s="289"/>
      <c r="G8" s="290"/>
      <c r="H8" s="282"/>
      <c r="I8" s="283"/>
      <c r="J8" s="267"/>
      <c r="K8" s="267"/>
      <c r="L8" s="267"/>
      <c r="M8" s="267"/>
      <c r="N8" s="267"/>
      <c r="O8" s="267"/>
      <c r="P8" s="267"/>
      <c r="Q8" s="267"/>
      <c r="R8" s="267"/>
      <c r="S8" s="267"/>
      <c r="T8" s="267"/>
      <c r="U8" s="267"/>
      <c r="V8" s="267"/>
      <c r="W8" s="267"/>
      <c r="X8" s="267"/>
    </row>
    <row r="9">
      <c r="A9" s="276"/>
      <c r="B9" s="284"/>
      <c r="C9" s="287"/>
      <c r="D9" s="287"/>
      <c r="E9" s="288"/>
      <c r="F9" s="289"/>
      <c r="G9" s="290"/>
      <c r="H9" s="282"/>
      <c r="I9" s="283"/>
      <c r="J9" s="267"/>
      <c r="K9" s="267"/>
      <c r="L9" s="267"/>
      <c r="M9" s="267"/>
      <c r="N9" s="267"/>
      <c r="O9" s="267"/>
      <c r="P9" s="267"/>
      <c r="Q9" s="267"/>
      <c r="R9" s="267"/>
      <c r="S9" s="267"/>
      <c r="T9" s="267"/>
      <c r="U9" s="267"/>
      <c r="V9" s="267"/>
      <c r="W9" s="267"/>
      <c r="X9" s="267"/>
    </row>
    <row r="10">
      <c r="A10" s="276"/>
      <c r="B10" s="284"/>
      <c r="C10" s="287"/>
      <c r="D10" s="287"/>
      <c r="E10" s="288"/>
      <c r="F10" s="289"/>
      <c r="G10" s="290"/>
      <c r="H10" s="282"/>
      <c r="I10" s="283"/>
      <c r="J10" s="267"/>
      <c r="K10" s="267"/>
      <c r="L10" s="267"/>
      <c r="M10" s="267"/>
      <c r="N10" s="267"/>
      <c r="O10" s="267"/>
      <c r="P10" s="267"/>
      <c r="Q10" s="267"/>
      <c r="R10" s="267"/>
      <c r="S10" s="267"/>
      <c r="T10" s="267"/>
      <c r="U10" s="267"/>
      <c r="V10" s="267"/>
      <c r="W10" s="267"/>
      <c r="X10" s="267"/>
    </row>
    <row r="11">
      <c r="A11" s="276"/>
      <c r="B11" s="284"/>
      <c r="C11" s="287"/>
      <c r="D11" s="291"/>
      <c r="E11" s="288"/>
      <c r="F11" s="289"/>
      <c r="G11" s="290"/>
      <c r="H11" s="282"/>
      <c r="I11" s="292"/>
      <c r="J11" s="267"/>
      <c r="K11" s="267"/>
      <c r="L11" s="267"/>
      <c r="M11" s="267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</row>
    <row r="12">
      <c r="A12" s="276"/>
      <c r="B12" s="284"/>
      <c r="C12" s="287"/>
      <c r="D12" s="287"/>
      <c r="E12" s="288"/>
      <c r="F12" s="289"/>
      <c r="G12" s="290"/>
      <c r="H12" s="282"/>
      <c r="I12" s="283"/>
      <c r="J12" s="267"/>
      <c r="K12" s="267"/>
      <c r="L12" s="267"/>
      <c r="M12" s="267"/>
      <c r="N12" s="267"/>
      <c r="O12" s="267"/>
      <c r="P12" s="267"/>
      <c r="Q12" s="267"/>
      <c r="R12" s="267"/>
      <c r="S12" s="267"/>
      <c r="T12" s="267"/>
      <c r="U12" s="267"/>
      <c r="V12" s="267"/>
      <c r="W12" s="267"/>
      <c r="X12" s="267"/>
    </row>
    <row r="13">
      <c r="A13" s="276"/>
      <c r="B13" s="284"/>
      <c r="C13" s="287"/>
      <c r="D13" s="287"/>
      <c r="E13" s="288"/>
      <c r="F13" s="289"/>
      <c r="G13" s="290"/>
      <c r="H13" s="282"/>
      <c r="I13" s="283"/>
      <c r="J13" s="267"/>
      <c r="K13" s="267"/>
      <c r="L13" s="267"/>
      <c r="M13" s="267"/>
      <c r="N13" s="267"/>
      <c r="O13" s="267"/>
      <c r="P13" s="267"/>
      <c r="Q13" s="267"/>
      <c r="R13" s="267"/>
      <c r="S13" s="267"/>
      <c r="T13" s="267"/>
      <c r="U13" s="267"/>
      <c r="V13" s="267"/>
      <c r="W13" s="267"/>
      <c r="X13" s="267"/>
    </row>
    <row r="14">
      <c r="A14" s="276"/>
      <c r="B14" s="284"/>
      <c r="C14" s="287"/>
      <c r="D14" s="287"/>
      <c r="E14" s="288"/>
      <c r="F14" s="289"/>
      <c r="G14" s="290"/>
      <c r="H14" s="282"/>
      <c r="I14" s="283"/>
      <c r="J14" s="267"/>
      <c r="K14" s="267"/>
      <c r="L14" s="267"/>
      <c r="M14" s="267"/>
      <c r="N14" s="267"/>
      <c r="O14" s="267"/>
      <c r="P14" s="267"/>
      <c r="Q14" s="267"/>
      <c r="R14" s="267"/>
      <c r="S14" s="267"/>
      <c r="T14" s="267"/>
      <c r="U14" s="267"/>
      <c r="V14" s="267"/>
      <c r="W14" s="267"/>
      <c r="X14" s="267"/>
    </row>
    <row r="15">
      <c r="A15" s="276"/>
      <c r="B15" s="284"/>
      <c r="C15" s="287"/>
      <c r="D15" s="287"/>
      <c r="E15" s="288"/>
      <c r="F15" s="289"/>
      <c r="G15" s="290"/>
      <c r="H15" s="282"/>
      <c r="I15" s="283"/>
      <c r="J15" s="267"/>
      <c r="K15" s="267"/>
      <c r="L15" s="267"/>
      <c r="M15" s="267"/>
      <c r="N15" s="267"/>
      <c r="O15" s="267"/>
      <c r="P15" s="267"/>
      <c r="Q15" s="267"/>
      <c r="R15" s="267"/>
      <c r="S15" s="267"/>
      <c r="T15" s="267"/>
      <c r="U15" s="267"/>
      <c r="V15" s="267"/>
      <c r="W15" s="267"/>
      <c r="X15" s="267"/>
    </row>
    <row r="16">
      <c r="A16" s="276"/>
      <c r="B16" s="284"/>
      <c r="C16" s="287"/>
      <c r="D16" s="287"/>
      <c r="E16" s="288"/>
      <c r="F16" s="289"/>
      <c r="G16" s="290"/>
      <c r="H16" s="282"/>
      <c r="I16" s="283"/>
      <c r="J16" s="267"/>
      <c r="K16" s="267"/>
      <c r="L16" s="267"/>
      <c r="M16" s="267"/>
      <c r="N16" s="267"/>
      <c r="O16" s="267"/>
      <c r="P16" s="267"/>
      <c r="Q16" s="267"/>
      <c r="R16" s="267"/>
      <c r="S16" s="267"/>
      <c r="T16" s="267"/>
      <c r="U16" s="267"/>
      <c r="V16" s="267"/>
      <c r="W16" s="267"/>
      <c r="X16" s="267"/>
    </row>
    <row r="17">
      <c r="A17" s="276"/>
      <c r="B17" s="284"/>
      <c r="C17" s="287"/>
      <c r="D17" s="287"/>
      <c r="E17" s="288"/>
      <c r="F17" s="289"/>
      <c r="G17" s="290"/>
      <c r="H17" s="282"/>
      <c r="I17" s="283"/>
      <c r="J17" s="267"/>
      <c r="K17" s="267"/>
      <c r="L17" s="267"/>
      <c r="M17" s="267"/>
      <c r="N17" s="267"/>
      <c r="O17" s="267"/>
      <c r="P17" s="267"/>
      <c r="Q17" s="267"/>
      <c r="R17" s="267"/>
      <c r="S17" s="267"/>
      <c r="T17" s="267"/>
      <c r="U17" s="267"/>
      <c r="V17" s="267"/>
      <c r="W17" s="267"/>
      <c r="X17" s="267"/>
    </row>
    <row r="18">
      <c r="A18" s="276"/>
      <c r="B18" s="284"/>
      <c r="C18" s="293"/>
      <c r="D18" s="287"/>
      <c r="E18" s="288"/>
      <c r="F18" s="289"/>
      <c r="G18" s="290"/>
      <c r="H18" s="282"/>
      <c r="I18" s="283"/>
      <c r="J18" s="267"/>
      <c r="K18" s="267"/>
      <c r="L18" s="267"/>
      <c r="M18" s="267"/>
      <c r="N18" s="267"/>
      <c r="O18" s="267"/>
      <c r="P18" s="267"/>
      <c r="Q18" s="267"/>
      <c r="R18" s="267"/>
      <c r="S18" s="267"/>
      <c r="T18" s="267"/>
      <c r="U18" s="267"/>
      <c r="V18" s="267"/>
      <c r="W18" s="267"/>
      <c r="X18" s="267"/>
    </row>
    <row r="19">
      <c r="A19" s="276"/>
      <c r="B19" s="284"/>
      <c r="C19" s="293"/>
      <c r="D19" s="287"/>
      <c r="E19" s="288"/>
      <c r="F19" s="289"/>
      <c r="G19" s="290"/>
      <c r="H19" s="282"/>
      <c r="I19" s="283"/>
      <c r="J19" s="267"/>
      <c r="K19" s="267"/>
      <c r="L19" s="267"/>
      <c r="M19" s="267"/>
      <c r="N19" s="267"/>
      <c r="O19" s="267"/>
      <c r="P19" s="267"/>
      <c r="Q19" s="267"/>
      <c r="R19" s="267"/>
      <c r="S19" s="267"/>
      <c r="T19" s="267"/>
      <c r="U19" s="267"/>
      <c r="V19" s="267"/>
      <c r="W19" s="267"/>
      <c r="X19" s="267"/>
    </row>
    <row r="20">
      <c r="A20" s="276"/>
      <c r="B20" s="284"/>
      <c r="C20" s="293"/>
      <c r="D20" s="287"/>
      <c r="E20" s="288"/>
      <c r="F20" s="289"/>
      <c r="G20" s="290"/>
      <c r="H20" s="282"/>
      <c r="I20" s="283"/>
      <c r="J20" s="267"/>
      <c r="K20" s="267"/>
      <c r="L20" s="267"/>
      <c r="M20" s="267"/>
      <c r="N20" s="267"/>
      <c r="O20" s="267"/>
      <c r="P20" s="267"/>
      <c r="Q20" s="267"/>
      <c r="R20" s="267"/>
      <c r="S20" s="267"/>
      <c r="T20" s="267"/>
      <c r="U20" s="267"/>
      <c r="V20" s="267"/>
      <c r="W20" s="267"/>
      <c r="X20" s="267"/>
    </row>
    <row r="21">
      <c r="A21" s="276"/>
      <c r="B21" s="284"/>
      <c r="C21" s="293"/>
      <c r="D21" s="287"/>
      <c r="E21" s="288"/>
      <c r="F21" s="289"/>
      <c r="G21" s="290"/>
      <c r="H21" s="282"/>
      <c r="I21" s="283"/>
      <c r="J21" s="267"/>
      <c r="K21" s="267"/>
      <c r="L21" s="267"/>
      <c r="M21" s="267"/>
      <c r="N21" s="267"/>
      <c r="O21" s="267"/>
      <c r="P21" s="267"/>
      <c r="Q21" s="267"/>
      <c r="R21" s="267"/>
      <c r="S21" s="267"/>
      <c r="T21" s="267"/>
      <c r="U21" s="267"/>
      <c r="V21" s="267"/>
      <c r="W21" s="267"/>
      <c r="X21" s="267"/>
    </row>
    <row r="22">
      <c r="A22" s="276"/>
      <c r="B22" s="53"/>
      <c r="C22" s="294"/>
      <c r="D22" s="295"/>
      <c r="E22" s="296"/>
      <c r="F22" s="297"/>
      <c r="G22" s="290"/>
      <c r="H22" s="282"/>
      <c r="I22" s="283"/>
      <c r="J22" s="267"/>
      <c r="K22" s="267"/>
      <c r="L22" s="267"/>
      <c r="M22" s="267"/>
      <c r="N22" s="267"/>
      <c r="O22" s="267"/>
      <c r="P22" s="267"/>
      <c r="Q22" s="267"/>
      <c r="R22" s="267"/>
      <c r="S22" s="267"/>
      <c r="T22" s="267"/>
      <c r="U22" s="267"/>
      <c r="V22" s="267"/>
      <c r="W22" s="267"/>
      <c r="X22" s="267"/>
    </row>
    <row r="23">
      <c r="A23" s="276"/>
      <c r="B23" s="53"/>
      <c r="C23" s="295"/>
      <c r="D23" s="295"/>
      <c r="E23" s="296"/>
      <c r="F23" s="297"/>
      <c r="G23" s="298"/>
      <c r="H23" s="298"/>
      <c r="I23" s="298"/>
      <c r="J23" s="267"/>
      <c r="K23" s="267"/>
      <c r="L23" s="267"/>
      <c r="M23" s="267"/>
      <c r="N23" s="267"/>
      <c r="O23" s="267"/>
      <c r="P23" s="267"/>
      <c r="Q23" s="267"/>
      <c r="R23" s="267"/>
      <c r="S23" s="267"/>
      <c r="T23" s="267"/>
      <c r="U23" s="267"/>
      <c r="V23" s="267"/>
      <c r="W23" s="267"/>
      <c r="X23" s="267"/>
    </row>
    <row r="24">
      <c r="A24" s="299"/>
      <c r="B24" s="53"/>
      <c r="C24" s="294"/>
      <c r="D24" s="295"/>
      <c r="E24" s="296"/>
      <c r="F24" s="297"/>
      <c r="G24" s="298"/>
      <c r="H24" s="298"/>
      <c r="I24" s="298"/>
      <c r="J24" s="267"/>
      <c r="K24" s="267"/>
      <c r="L24" s="267"/>
      <c r="M24" s="267"/>
      <c r="N24" s="267"/>
      <c r="O24" s="267"/>
      <c r="P24" s="267"/>
      <c r="Q24" s="267"/>
      <c r="R24" s="267"/>
      <c r="S24" s="267"/>
      <c r="T24" s="267"/>
      <c r="U24" s="267"/>
      <c r="V24" s="267"/>
      <c r="W24" s="267"/>
      <c r="X24" s="267"/>
    </row>
    <row r="25">
      <c r="A25" s="300"/>
      <c r="B25" s="140"/>
      <c r="C25" s="294"/>
      <c r="D25" s="294"/>
      <c r="E25" s="296"/>
      <c r="F25" s="297"/>
      <c r="G25" s="298"/>
      <c r="H25" s="298"/>
      <c r="I25" s="298"/>
      <c r="J25" s="267"/>
      <c r="K25" s="267"/>
      <c r="L25" s="267"/>
      <c r="M25" s="267"/>
      <c r="N25" s="267"/>
      <c r="O25" s="267"/>
      <c r="P25" s="267"/>
      <c r="Q25" s="267"/>
      <c r="R25" s="267"/>
      <c r="S25" s="267"/>
      <c r="T25" s="267"/>
      <c r="U25" s="267"/>
      <c r="V25" s="267"/>
      <c r="W25" s="267"/>
      <c r="X25" s="267"/>
    </row>
    <row r="26">
      <c r="A26" s="301"/>
      <c r="B26" s="302"/>
      <c r="C26" s="303"/>
      <c r="D26" s="304"/>
      <c r="E26" s="304"/>
      <c r="F26" s="304"/>
      <c r="G26" s="304"/>
      <c r="H26" s="304"/>
      <c r="I26" s="304"/>
      <c r="J26" s="267"/>
      <c r="K26" s="267"/>
      <c r="L26" s="267"/>
      <c r="M26" s="267"/>
      <c r="N26" s="267"/>
      <c r="O26" s="267"/>
      <c r="P26" s="267"/>
      <c r="Q26" s="267"/>
      <c r="R26" s="267"/>
      <c r="S26" s="267"/>
      <c r="T26" s="267"/>
      <c r="U26" s="267"/>
      <c r="V26" s="267"/>
      <c r="W26" s="267"/>
      <c r="X26" s="267"/>
    </row>
    <row r="27">
      <c r="A27" s="267"/>
      <c r="B27" s="305"/>
      <c r="C27" s="305"/>
      <c r="D27" s="305"/>
      <c r="F27" s="305"/>
      <c r="G27" s="304"/>
      <c r="H27" s="304"/>
      <c r="I27" s="304"/>
      <c r="J27" s="267"/>
      <c r="K27" s="267"/>
      <c r="L27" s="267"/>
      <c r="M27" s="267"/>
      <c r="N27" s="267"/>
      <c r="O27" s="267"/>
      <c r="P27" s="267"/>
      <c r="Q27" s="267"/>
      <c r="R27" s="267"/>
      <c r="S27" s="267"/>
      <c r="T27" s="267"/>
      <c r="U27" s="267"/>
      <c r="V27" s="267"/>
      <c r="W27" s="267"/>
      <c r="X27" s="267"/>
    </row>
    <row r="28">
      <c r="A28" s="267"/>
      <c r="B28" s="305"/>
      <c r="C28" s="305"/>
      <c r="D28" s="305"/>
      <c r="E28" s="304"/>
      <c r="F28" s="305"/>
      <c r="G28" s="304"/>
      <c r="H28" s="304"/>
      <c r="I28" s="304"/>
      <c r="J28" s="267"/>
      <c r="K28" s="267"/>
      <c r="L28" s="267"/>
      <c r="M28" s="267"/>
      <c r="N28" s="267"/>
      <c r="O28" s="267"/>
      <c r="P28" s="267"/>
      <c r="Q28" s="267"/>
      <c r="R28" s="267"/>
      <c r="S28" s="267"/>
      <c r="T28" s="267"/>
      <c r="U28" s="267"/>
      <c r="V28" s="267"/>
      <c r="W28" s="267"/>
      <c r="X28" s="267"/>
    </row>
    <row r="29">
      <c r="A29" s="267"/>
      <c r="B29" s="305"/>
      <c r="C29" s="305"/>
      <c r="D29" s="305"/>
      <c r="E29" s="304"/>
      <c r="F29" s="305"/>
      <c r="G29" s="304"/>
      <c r="H29" s="304"/>
      <c r="I29" s="304"/>
      <c r="J29" s="267"/>
      <c r="K29" s="267"/>
      <c r="L29" s="267"/>
      <c r="M29" s="267"/>
      <c r="N29" s="267"/>
      <c r="O29" s="267"/>
      <c r="P29" s="267"/>
      <c r="Q29" s="267"/>
      <c r="R29" s="267"/>
      <c r="S29" s="267"/>
      <c r="T29" s="267"/>
      <c r="U29" s="267"/>
      <c r="V29" s="267"/>
      <c r="W29" s="267"/>
      <c r="X29" s="267"/>
    </row>
    <row r="30">
      <c r="A30" s="267"/>
      <c r="B30" s="305"/>
      <c r="C30" s="305"/>
      <c r="D30" s="305"/>
      <c r="E30" s="304"/>
      <c r="F30" s="305"/>
      <c r="G30" s="304"/>
      <c r="H30" s="304"/>
      <c r="I30" s="304"/>
      <c r="J30" s="267"/>
      <c r="K30" s="267"/>
      <c r="L30" s="267"/>
      <c r="M30" s="267"/>
      <c r="N30" s="267"/>
      <c r="O30" s="267"/>
      <c r="P30" s="267"/>
      <c r="Q30" s="267"/>
      <c r="R30" s="267"/>
      <c r="S30" s="267"/>
      <c r="T30" s="267"/>
      <c r="U30" s="267"/>
      <c r="V30" s="267"/>
      <c r="W30" s="267"/>
      <c r="X30" s="267"/>
    </row>
    <row r="31">
      <c r="A31" s="267"/>
      <c r="B31" s="305"/>
      <c r="C31" s="305"/>
      <c r="D31" s="305"/>
      <c r="E31" s="304"/>
      <c r="F31" s="305"/>
      <c r="G31" s="304"/>
      <c r="H31" s="304"/>
      <c r="I31" s="304"/>
      <c r="J31" s="267"/>
      <c r="K31" s="267"/>
      <c r="L31" s="267"/>
      <c r="M31" s="267"/>
      <c r="N31" s="267"/>
      <c r="O31" s="267"/>
      <c r="P31" s="267"/>
      <c r="Q31" s="267"/>
      <c r="R31" s="267"/>
      <c r="S31" s="267"/>
      <c r="T31" s="267"/>
      <c r="U31" s="267"/>
      <c r="V31" s="267"/>
      <c r="W31" s="267"/>
      <c r="X31" s="267"/>
    </row>
    <row r="32">
      <c r="A32" s="267"/>
      <c r="B32" s="305"/>
      <c r="C32" s="305"/>
      <c r="D32" s="305"/>
      <c r="E32" s="304"/>
      <c r="F32" s="305"/>
      <c r="G32" s="304"/>
      <c r="H32" s="304"/>
      <c r="I32" s="304"/>
      <c r="J32" s="267"/>
      <c r="K32" s="267"/>
      <c r="L32" s="267"/>
      <c r="M32" s="267"/>
      <c r="N32" s="267"/>
      <c r="O32" s="267"/>
      <c r="P32" s="267"/>
      <c r="Q32" s="267"/>
      <c r="R32" s="267"/>
      <c r="S32" s="267"/>
      <c r="T32" s="267"/>
      <c r="U32" s="267"/>
      <c r="V32" s="267"/>
      <c r="W32" s="267"/>
      <c r="X32" s="267"/>
    </row>
    <row r="33">
      <c r="A33" s="267"/>
      <c r="B33" s="305"/>
      <c r="C33" s="305"/>
      <c r="D33" s="305"/>
      <c r="E33" s="304"/>
      <c r="F33" s="305"/>
      <c r="G33" s="304"/>
      <c r="H33" s="304"/>
      <c r="I33" s="304"/>
      <c r="J33" s="267"/>
      <c r="K33" s="267"/>
      <c r="L33" s="267"/>
      <c r="M33" s="267"/>
      <c r="N33" s="267"/>
      <c r="O33" s="267"/>
      <c r="P33" s="267"/>
      <c r="Q33" s="267"/>
      <c r="R33" s="267"/>
      <c r="S33" s="267"/>
      <c r="T33" s="267"/>
      <c r="U33" s="267"/>
      <c r="V33" s="267"/>
      <c r="W33" s="267"/>
      <c r="X33" s="267"/>
    </row>
    <row r="34">
      <c r="A34" s="267"/>
      <c r="B34" s="305"/>
      <c r="C34" s="305"/>
      <c r="D34" s="305"/>
      <c r="E34" s="304"/>
      <c r="F34" s="305"/>
      <c r="G34" s="304"/>
      <c r="H34" s="304"/>
      <c r="I34" s="304"/>
      <c r="J34" s="267"/>
      <c r="K34" s="267"/>
      <c r="L34" s="267"/>
      <c r="M34" s="267"/>
      <c r="N34" s="267"/>
      <c r="O34" s="267"/>
      <c r="P34" s="267"/>
      <c r="Q34" s="267"/>
      <c r="R34" s="267"/>
      <c r="S34" s="267"/>
      <c r="T34" s="267"/>
      <c r="U34" s="267"/>
      <c r="V34" s="267"/>
      <c r="W34" s="267"/>
      <c r="X34" s="267"/>
    </row>
    <row r="35">
      <c r="A35" s="307"/>
      <c r="B35" s="51"/>
      <c r="C35" s="305"/>
      <c r="D35" s="305"/>
      <c r="E35" s="304"/>
      <c r="F35" s="305"/>
      <c r="G35" s="304"/>
      <c r="H35" s="304"/>
      <c r="I35" s="304"/>
      <c r="J35" s="267"/>
      <c r="K35" s="267"/>
      <c r="L35" s="267"/>
      <c r="M35" s="267"/>
      <c r="N35" s="267"/>
      <c r="O35" s="267"/>
      <c r="P35" s="267"/>
      <c r="Q35" s="267"/>
      <c r="R35" s="267"/>
      <c r="S35" s="267"/>
      <c r="T35" s="267"/>
      <c r="U35" s="267"/>
      <c r="V35" s="267"/>
      <c r="W35" s="267"/>
      <c r="X35" s="267"/>
    </row>
    <row r="36">
      <c r="A36" s="267"/>
      <c r="B36" s="305"/>
      <c r="C36" s="305"/>
      <c r="D36" s="305"/>
      <c r="E36" s="304"/>
      <c r="F36" s="305"/>
      <c r="G36" s="304"/>
      <c r="H36" s="304"/>
      <c r="I36" s="304"/>
      <c r="J36" s="267"/>
      <c r="K36" s="267"/>
      <c r="L36" s="267"/>
      <c r="M36" s="267"/>
      <c r="N36" s="267"/>
      <c r="O36" s="267"/>
      <c r="P36" s="267"/>
      <c r="Q36" s="267"/>
      <c r="R36" s="267"/>
      <c r="S36" s="267"/>
      <c r="T36" s="267"/>
      <c r="U36" s="267"/>
      <c r="V36" s="267"/>
      <c r="W36" s="267"/>
      <c r="X36" s="267"/>
    </row>
    <row r="37">
      <c r="A37" s="267"/>
      <c r="B37" s="305"/>
      <c r="C37" s="305"/>
      <c r="D37" s="305"/>
      <c r="E37" s="304"/>
      <c r="F37" s="305"/>
      <c r="G37" s="304"/>
      <c r="H37" s="304"/>
      <c r="I37" s="304"/>
      <c r="J37" s="267"/>
      <c r="K37" s="267"/>
      <c r="L37" s="267"/>
      <c r="M37" s="267"/>
      <c r="N37" s="267"/>
      <c r="O37" s="267"/>
      <c r="P37" s="267"/>
      <c r="Q37" s="267"/>
      <c r="R37" s="267"/>
      <c r="S37" s="267"/>
      <c r="T37" s="267"/>
      <c r="U37" s="267"/>
      <c r="V37" s="267"/>
      <c r="W37" s="267"/>
      <c r="X37" s="267"/>
    </row>
    <row r="38">
      <c r="A38" s="267"/>
      <c r="B38" s="305"/>
      <c r="C38" s="305"/>
      <c r="D38" s="305"/>
      <c r="E38" s="304"/>
      <c r="F38" s="305"/>
      <c r="G38" s="304"/>
      <c r="H38" s="304"/>
      <c r="I38" s="304"/>
      <c r="J38" s="267"/>
      <c r="K38" s="267"/>
      <c r="L38" s="267"/>
      <c r="M38" s="267"/>
      <c r="N38" s="267"/>
      <c r="O38" s="267"/>
      <c r="P38" s="267"/>
      <c r="Q38" s="267"/>
      <c r="R38" s="267"/>
      <c r="S38" s="267"/>
      <c r="T38" s="267"/>
      <c r="U38" s="267"/>
      <c r="V38" s="267"/>
      <c r="W38" s="267"/>
      <c r="X38" s="267"/>
    </row>
    <row r="39">
      <c r="A39" s="267"/>
      <c r="B39" s="305"/>
      <c r="C39" s="305"/>
      <c r="D39" s="305"/>
      <c r="E39" s="304"/>
      <c r="F39" s="305"/>
      <c r="G39" s="304"/>
      <c r="H39" s="304"/>
      <c r="I39" s="304"/>
      <c r="J39" s="267"/>
      <c r="K39" s="267"/>
      <c r="L39" s="267"/>
      <c r="M39" s="267"/>
      <c r="N39" s="267"/>
      <c r="O39" s="267"/>
      <c r="P39" s="267"/>
      <c r="Q39" s="267"/>
      <c r="R39" s="267"/>
      <c r="S39" s="267"/>
      <c r="T39" s="267"/>
      <c r="U39" s="267"/>
      <c r="V39" s="267"/>
      <c r="W39" s="267"/>
      <c r="X39" s="267"/>
    </row>
    <row r="40">
      <c r="A40" s="267"/>
      <c r="B40" s="305"/>
      <c r="C40" s="305"/>
      <c r="D40" s="305"/>
      <c r="E40" s="304"/>
      <c r="F40" s="305"/>
      <c r="G40" s="304"/>
      <c r="H40" s="304"/>
      <c r="I40" s="304"/>
      <c r="J40" s="267"/>
      <c r="K40" s="267"/>
      <c r="L40" s="267"/>
      <c r="M40" s="267"/>
      <c r="N40" s="267"/>
      <c r="O40" s="267"/>
      <c r="P40" s="267"/>
      <c r="Q40" s="267"/>
      <c r="R40" s="267"/>
      <c r="S40" s="267"/>
      <c r="T40" s="267"/>
      <c r="U40" s="267"/>
      <c r="V40" s="267"/>
      <c r="W40" s="267"/>
      <c r="X40" s="267"/>
    </row>
    <row r="41">
      <c r="A41" s="267"/>
      <c r="B41" s="305"/>
      <c r="C41" s="305"/>
      <c r="D41" s="305"/>
      <c r="E41" s="304"/>
      <c r="F41" s="305"/>
      <c r="G41" s="304"/>
      <c r="H41" s="304"/>
      <c r="I41" s="304"/>
      <c r="J41" s="267"/>
      <c r="K41" s="267"/>
      <c r="L41" s="267"/>
      <c r="M41" s="267"/>
      <c r="N41" s="267"/>
      <c r="O41" s="267"/>
      <c r="P41" s="267"/>
      <c r="Q41" s="267"/>
      <c r="R41" s="267"/>
      <c r="S41" s="267"/>
      <c r="T41" s="267"/>
      <c r="U41" s="267"/>
      <c r="V41" s="267"/>
      <c r="W41" s="267"/>
      <c r="X41" s="267"/>
    </row>
    <row r="42">
      <c r="A42" s="267"/>
      <c r="B42" s="305"/>
      <c r="C42" s="305"/>
      <c r="D42" s="305"/>
      <c r="E42" s="304"/>
      <c r="F42" s="305"/>
      <c r="G42" s="304"/>
      <c r="H42" s="304"/>
      <c r="I42" s="304"/>
      <c r="J42" s="267"/>
      <c r="K42" s="267"/>
      <c r="L42" s="267"/>
      <c r="M42" s="267"/>
      <c r="N42" s="267"/>
      <c r="O42" s="267"/>
      <c r="P42" s="267"/>
      <c r="Q42" s="267"/>
      <c r="R42" s="267"/>
      <c r="S42" s="267"/>
      <c r="T42" s="267"/>
      <c r="U42" s="267"/>
      <c r="V42" s="267"/>
      <c r="W42" s="267"/>
      <c r="X42" s="267"/>
    </row>
    <row r="43">
      <c r="A43" s="267"/>
      <c r="B43" s="305"/>
      <c r="C43" s="305"/>
      <c r="D43" s="305"/>
      <c r="E43" s="304"/>
      <c r="F43" s="305"/>
      <c r="G43" s="304"/>
      <c r="H43" s="304"/>
      <c r="I43" s="304"/>
      <c r="J43" s="267"/>
      <c r="K43" s="267"/>
      <c r="L43" s="267"/>
      <c r="M43" s="267"/>
      <c r="N43" s="267"/>
      <c r="O43" s="267"/>
      <c r="P43" s="267"/>
      <c r="Q43" s="267"/>
      <c r="R43" s="267"/>
      <c r="S43" s="267"/>
      <c r="T43" s="267"/>
      <c r="U43" s="267"/>
      <c r="V43" s="267"/>
      <c r="W43" s="267"/>
      <c r="X43" s="267"/>
    </row>
    <row r="44">
      <c r="A44" s="267"/>
      <c r="B44" s="305"/>
      <c r="C44" s="305"/>
      <c r="D44" s="305"/>
      <c r="E44" s="304"/>
      <c r="F44" s="305"/>
      <c r="G44" s="304"/>
      <c r="H44" s="304"/>
      <c r="I44" s="304"/>
      <c r="J44" s="267"/>
      <c r="K44" s="267"/>
      <c r="L44" s="267"/>
      <c r="M44" s="267"/>
      <c r="N44" s="267"/>
      <c r="O44" s="267"/>
      <c r="P44" s="267"/>
      <c r="Q44" s="267"/>
      <c r="R44" s="267"/>
      <c r="S44" s="267"/>
      <c r="T44" s="267"/>
      <c r="U44" s="267"/>
      <c r="V44" s="267"/>
      <c r="W44" s="267"/>
      <c r="X44" s="267"/>
    </row>
    <row r="45">
      <c r="A45" s="267"/>
      <c r="B45" s="305"/>
      <c r="C45" s="305"/>
      <c r="D45" s="305"/>
      <c r="E45" s="304"/>
      <c r="F45" s="305"/>
      <c r="G45" s="304"/>
      <c r="H45" s="304"/>
      <c r="I45" s="304"/>
      <c r="J45" s="267"/>
      <c r="K45" s="267"/>
      <c r="L45" s="267"/>
      <c r="M45" s="267"/>
      <c r="N45" s="267"/>
      <c r="O45" s="267"/>
      <c r="P45" s="267"/>
      <c r="Q45" s="267"/>
      <c r="R45" s="267"/>
      <c r="S45" s="267"/>
      <c r="T45" s="267"/>
      <c r="U45" s="267"/>
      <c r="V45" s="267"/>
      <c r="W45" s="267"/>
      <c r="X45" s="267"/>
    </row>
    <row r="46">
      <c r="A46" s="267"/>
      <c r="B46" s="87"/>
      <c r="C46" s="87"/>
      <c r="D46" s="87"/>
      <c r="E46" s="267"/>
      <c r="F46" s="87"/>
      <c r="G46" s="267"/>
      <c r="H46" s="267"/>
      <c r="I46" s="267"/>
      <c r="J46" s="267"/>
      <c r="K46" s="267"/>
      <c r="L46" s="267"/>
      <c r="M46" s="267"/>
      <c r="N46" s="267"/>
      <c r="O46" s="267"/>
      <c r="P46" s="267"/>
      <c r="Q46" s="267"/>
      <c r="R46" s="267"/>
      <c r="S46" s="267"/>
      <c r="T46" s="267"/>
      <c r="U46" s="267"/>
      <c r="V46" s="267"/>
      <c r="W46" s="267"/>
      <c r="X46" s="267"/>
    </row>
    <row r="47">
      <c r="A47" s="267"/>
      <c r="B47" s="87"/>
      <c r="C47" s="87"/>
      <c r="D47" s="87"/>
      <c r="E47" s="267"/>
      <c r="F47" s="87"/>
      <c r="G47" s="267"/>
      <c r="H47" s="267"/>
      <c r="I47" s="267"/>
      <c r="J47" s="267"/>
      <c r="K47" s="267"/>
      <c r="L47" s="267"/>
      <c r="M47" s="267"/>
      <c r="N47" s="267"/>
      <c r="O47" s="267"/>
      <c r="P47" s="267"/>
      <c r="Q47" s="267"/>
      <c r="R47" s="267"/>
      <c r="S47" s="267"/>
      <c r="T47" s="267"/>
      <c r="U47" s="267"/>
      <c r="V47" s="267"/>
      <c r="W47" s="267"/>
      <c r="X47" s="267"/>
    </row>
    <row r="48">
      <c r="A48" s="267"/>
      <c r="B48" s="87"/>
      <c r="C48" s="87"/>
      <c r="D48" s="87"/>
      <c r="E48" s="267"/>
      <c r="F48" s="87"/>
      <c r="G48" s="267"/>
      <c r="H48" s="267"/>
      <c r="I48" s="267"/>
      <c r="J48" s="267"/>
      <c r="K48" s="267"/>
      <c r="L48" s="267"/>
      <c r="M48" s="267"/>
      <c r="N48" s="267"/>
      <c r="O48" s="267"/>
      <c r="P48" s="267"/>
      <c r="Q48" s="267"/>
      <c r="R48" s="267"/>
      <c r="S48" s="267"/>
      <c r="T48" s="267"/>
      <c r="U48" s="267"/>
      <c r="V48" s="267"/>
      <c r="W48" s="267"/>
      <c r="X48" s="267"/>
    </row>
    <row r="49">
      <c r="A49" s="267"/>
      <c r="B49" s="87"/>
      <c r="C49" s="87"/>
      <c r="D49" s="87"/>
      <c r="E49" s="267"/>
      <c r="F49" s="87"/>
      <c r="G49" s="267"/>
      <c r="H49" s="267"/>
      <c r="I49" s="267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7"/>
      <c r="V49" s="267"/>
      <c r="W49" s="267"/>
      <c r="X49" s="267"/>
    </row>
    <row r="50">
      <c r="A50" s="267"/>
      <c r="B50" s="87"/>
      <c r="C50" s="87"/>
      <c r="D50" s="87"/>
      <c r="E50" s="267"/>
      <c r="F50" s="87"/>
      <c r="G50" s="267"/>
      <c r="H50" s="267"/>
      <c r="I50" s="267"/>
      <c r="J50" s="267"/>
      <c r="K50" s="267"/>
      <c r="L50" s="267"/>
      <c r="M50" s="267"/>
      <c r="N50" s="267"/>
      <c r="O50" s="267"/>
      <c r="P50" s="267"/>
      <c r="Q50" s="267"/>
      <c r="R50" s="267"/>
      <c r="S50" s="267"/>
      <c r="T50" s="267"/>
      <c r="U50" s="267"/>
      <c r="V50" s="267"/>
      <c r="W50" s="267"/>
      <c r="X50" s="267"/>
    </row>
    <row r="51">
      <c r="A51" s="267"/>
      <c r="B51" s="87"/>
      <c r="C51" s="87"/>
      <c r="D51" s="87"/>
      <c r="E51" s="267"/>
      <c r="F51" s="87"/>
      <c r="G51" s="267"/>
      <c r="H51" s="267"/>
      <c r="I51" s="267"/>
      <c r="J51" s="267"/>
      <c r="K51" s="267"/>
      <c r="L51" s="267"/>
      <c r="M51" s="267"/>
      <c r="N51" s="267"/>
      <c r="O51" s="267"/>
      <c r="P51" s="267"/>
      <c r="Q51" s="267"/>
      <c r="R51" s="267"/>
      <c r="S51" s="267"/>
      <c r="T51" s="267"/>
      <c r="U51" s="267"/>
      <c r="V51" s="267"/>
      <c r="W51" s="267"/>
      <c r="X51" s="267"/>
    </row>
    <row r="52">
      <c r="A52" s="267"/>
      <c r="B52" s="87"/>
      <c r="C52" s="87"/>
      <c r="D52" s="87"/>
      <c r="E52" s="267"/>
      <c r="F52" s="87"/>
      <c r="G52" s="267"/>
      <c r="H52" s="267"/>
      <c r="I52" s="267"/>
      <c r="J52" s="267"/>
      <c r="K52" s="267"/>
      <c r="L52" s="267"/>
      <c r="M52" s="267"/>
      <c r="N52" s="267"/>
      <c r="O52" s="267"/>
      <c r="P52" s="267"/>
      <c r="Q52" s="267"/>
      <c r="R52" s="267"/>
      <c r="S52" s="267"/>
      <c r="T52" s="267"/>
      <c r="U52" s="267"/>
      <c r="V52" s="267"/>
      <c r="W52" s="267"/>
      <c r="X52" s="267"/>
    </row>
    <row r="53">
      <c r="A53" s="267"/>
      <c r="B53" s="87"/>
      <c r="C53" s="87"/>
      <c r="D53" s="87"/>
      <c r="E53" s="267"/>
      <c r="F53" s="87"/>
      <c r="G53" s="267"/>
      <c r="H53" s="267"/>
      <c r="I53" s="267"/>
      <c r="J53" s="267"/>
      <c r="K53" s="267"/>
      <c r="L53" s="267"/>
      <c r="M53" s="267"/>
      <c r="N53" s="267"/>
      <c r="O53" s="267"/>
      <c r="P53" s="267"/>
      <c r="Q53" s="267"/>
      <c r="R53" s="267"/>
      <c r="S53" s="267"/>
      <c r="T53" s="267"/>
      <c r="U53" s="267"/>
      <c r="V53" s="267"/>
      <c r="W53" s="267"/>
      <c r="X53" s="267"/>
    </row>
    <row r="54">
      <c r="A54" s="267"/>
      <c r="B54" s="87"/>
      <c r="C54" s="87"/>
      <c r="D54" s="87"/>
      <c r="E54" s="267"/>
      <c r="F54" s="87"/>
      <c r="G54" s="267"/>
      <c r="H54" s="267"/>
      <c r="I54" s="267"/>
      <c r="J54" s="267"/>
      <c r="K54" s="267"/>
      <c r="L54" s="267"/>
      <c r="M54" s="267"/>
      <c r="N54" s="267"/>
      <c r="O54" s="267"/>
      <c r="P54" s="267"/>
      <c r="Q54" s="267"/>
      <c r="R54" s="267"/>
      <c r="S54" s="267"/>
      <c r="T54" s="267"/>
      <c r="U54" s="267"/>
      <c r="V54" s="267"/>
      <c r="W54" s="267"/>
      <c r="X54" s="267"/>
    </row>
    <row r="55">
      <c r="A55" s="267"/>
      <c r="B55" s="87"/>
      <c r="C55" s="87"/>
      <c r="D55" s="87"/>
      <c r="E55" s="267"/>
      <c r="F55" s="87"/>
      <c r="G55" s="267"/>
      <c r="H55" s="267"/>
      <c r="I55" s="267"/>
      <c r="J55" s="267"/>
      <c r="K55" s="267"/>
      <c r="L55" s="267"/>
      <c r="M55" s="267"/>
      <c r="N55" s="267"/>
      <c r="O55" s="267"/>
      <c r="P55" s="267"/>
      <c r="Q55" s="267"/>
      <c r="R55" s="267"/>
      <c r="S55" s="267"/>
      <c r="T55" s="267"/>
      <c r="U55" s="267"/>
      <c r="V55" s="267"/>
      <c r="W55" s="267"/>
      <c r="X55" s="267"/>
    </row>
    <row r="56">
      <c r="A56" s="267"/>
      <c r="B56" s="87"/>
      <c r="C56" s="87"/>
      <c r="D56" s="87"/>
      <c r="E56" s="267"/>
      <c r="F56" s="87"/>
      <c r="G56" s="267"/>
      <c r="H56" s="267"/>
      <c r="I56" s="267"/>
      <c r="J56" s="267"/>
      <c r="K56" s="267"/>
      <c r="L56" s="267"/>
      <c r="M56" s="267"/>
      <c r="N56" s="267"/>
      <c r="O56" s="267"/>
      <c r="P56" s="267"/>
      <c r="Q56" s="267"/>
      <c r="R56" s="267"/>
      <c r="S56" s="267"/>
      <c r="T56" s="267"/>
      <c r="U56" s="267"/>
      <c r="V56" s="267"/>
      <c r="W56" s="267"/>
      <c r="X56" s="267"/>
    </row>
    <row r="57">
      <c r="A57" s="267"/>
      <c r="B57" s="87"/>
      <c r="C57" s="87"/>
      <c r="D57" s="87"/>
      <c r="E57" s="267"/>
      <c r="F57" s="87"/>
      <c r="G57" s="267"/>
      <c r="H57" s="267"/>
      <c r="I57" s="267"/>
      <c r="J57" s="267"/>
      <c r="K57" s="267"/>
      <c r="L57" s="267"/>
      <c r="M57" s="267"/>
      <c r="N57" s="267"/>
      <c r="O57" s="267"/>
      <c r="P57" s="267"/>
      <c r="Q57" s="267"/>
      <c r="R57" s="267"/>
      <c r="S57" s="267"/>
      <c r="T57" s="267"/>
      <c r="U57" s="267"/>
      <c r="V57" s="267"/>
      <c r="W57" s="267"/>
      <c r="X57" s="267"/>
    </row>
    <row r="58">
      <c r="A58" s="267"/>
      <c r="B58" s="87"/>
      <c r="C58" s="87"/>
      <c r="D58" s="87"/>
      <c r="E58" s="267"/>
      <c r="F58" s="87"/>
      <c r="G58" s="267"/>
      <c r="H58" s="267"/>
      <c r="I58" s="267"/>
      <c r="J58" s="267"/>
      <c r="K58" s="267"/>
      <c r="L58" s="267"/>
      <c r="M58" s="267"/>
      <c r="N58" s="267"/>
      <c r="O58" s="267"/>
      <c r="P58" s="267"/>
      <c r="Q58" s="267"/>
      <c r="R58" s="267"/>
      <c r="S58" s="267"/>
      <c r="T58" s="267"/>
      <c r="U58" s="267"/>
      <c r="V58" s="267"/>
      <c r="W58" s="267"/>
      <c r="X58" s="267"/>
    </row>
    <row r="59">
      <c r="A59" s="267"/>
      <c r="B59" s="87"/>
      <c r="C59" s="87"/>
      <c r="D59" s="87"/>
      <c r="E59" s="267"/>
      <c r="F59" s="87"/>
      <c r="G59" s="267"/>
      <c r="H59" s="267"/>
      <c r="I59" s="267"/>
      <c r="J59" s="267"/>
      <c r="K59" s="267"/>
      <c r="L59" s="267"/>
      <c r="M59" s="267"/>
      <c r="N59" s="267"/>
      <c r="O59" s="267"/>
      <c r="P59" s="267"/>
      <c r="Q59" s="267"/>
      <c r="R59" s="267"/>
      <c r="S59" s="267"/>
      <c r="T59" s="267"/>
      <c r="U59" s="267"/>
      <c r="V59" s="267"/>
      <c r="W59" s="267"/>
      <c r="X59" s="267"/>
    </row>
    <row r="60">
      <c r="A60" s="267"/>
      <c r="B60" s="87"/>
      <c r="C60" s="87"/>
      <c r="D60" s="87"/>
      <c r="E60" s="267"/>
      <c r="F60" s="87"/>
      <c r="G60" s="267"/>
      <c r="H60" s="267"/>
      <c r="I60" s="267"/>
      <c r="J60" s="267"/>
      <c r="K60" s="267"/>
      <c r="L60" s="267"/>
      <c r="M60" s="267"/>
      <c r="N60" s="267"/>
      <c r="O60" s="267"/>
      <c r="P60" s="267"/>
      <c r="Q60" s="267"/>
      <c r="R60" s="267"/>
      <c r="S60" s="267"/>
      <c r="T60" s="267"/>
      <c r="U60" s="267"/>
      <c r="V60" s="267"/>
      <c r="W60" s="267"/>
      <c r="X60" s="267"/>
    </row>
    <row r="61">
      <c r="A61" s="267"/>
      <c r="B61" s="87"/>
      <c r="C61" s="87"/>
      <c r="D61" s="87"/>
      <c r="E61" s="267"/>
      <c r="F61" s="87"/>
      <c r="G61" s="267"/>
      <c r="H61" s="267"/>
      <c r="I61" s="267"/>
      <c r="J61" s="267"/>
      <c r="K61" s="267"/>
      <c r="L61" s="267"/>
      <c r="M61" s="267"/>
      <c r="N61" s="267"/>
      <c r="O61" s="267"/>
      <c r="P61" s="267"/>
      <c r="Q61" s="267"/>
      <c r="R61" s="267"/>
      <c r="S61" s="267"/>
      <c r="T61" s="267"/>
      <c r="U61" s="267"/>
      <c r="V61" s="267"/>
      <c r="W61" s="267"/>
      <c r="X61" s="267"/>
    </row>
    <row r="62">
      <c r="A62" s="267"/>
      <c r="B62" s="87"/>
      <c r="C62" s="87"/>
      <c r="D62" s="87"/>
      <c r="E62" s="267"/>
      <c r="F62" s="87"/>
      <c r="G62" s="267"/>
      <c r="H62" s="267"/>
      <c r="I62" s="267"/>
      <c r="J62" s="267"/>
      <c r="K62" s="267"/>
      <c r="L62" s="267"/>
      <c r="M62" s="267"/>
      <c r="N62" s="267"/>
      <c r="O62" s="267"/>
      <c r="P62" s="267"/>
      <c r="Q62" s="267"/>
      <c r="R62" s="267"/>
      <c r="S62" s="267"/>
      <c r="T62" s="267"/>
      <c r="U62" s="267"/>
      <c r="V62" s="267"/>
      <c r="W62" s="267"/>
      <c r="X62" s="267"/>
    </row>
    <row r="63">
      <c r="A63" s="267"/>
      <c r="B63" s="87"/>
      <c r="C63" s="87"/>
      <c r="D63" s="87"/>
      <c r="E63" s="267"/>
      <c r="F63" s="87"/>
      <c r="G63" s="267"/>
      <c r="H63" s="267"/>
      <c r="I63" s="267"/>
      <c r="J63" s="267"/>
      <c r="K63" s="267"/>
      <c r="L63" s="267"/>
      <c r="M63" s="267"/>
      <c r="N63" s="267"/>
      <c r="O63" s="267"/>
      <c r="P63" s="267"/>
      <c r="Q63" s="267"/>
      <c r="R63" s="267"/>
      <c r="S63" s="267"/>
      <c r="T63" s="267"/>
      <c r="U63" s="267"/>
      <c r="V63" s="267"/>
      <c r="W63" s="267"/>
      <c r="X63" s="267"/>
    </row>
    <row r="64">
      <c r="A64" s="267"/>
      <c r="B64" s="87"/>
      <c r="C64" s="87"/>
      <c r="D64" s="87"/>
      <c r="E64" s="267"/>
      <c r="F64" s="87"/>
      <c r="G64" s="267"/>
      <c r="H64" s="267"/>
      <c r="I64" s="267"/>
      <c r="J64" s="267"/>
      <c r="K64" s="267"/>
      <c r="L64" s="267"/>
      <c r="M64" s="267"/>
      <c r="N64" s="267"/>
      <c r="O64" s="267"/>
      <c r="P64" s="267"/>
      <c r="Q64" s="267"/>
      <c r="R64" s="267"/>
      <c r="S64" s="267"/>
      <c r="T64" s="267"/>
      <c r="U64" s="267"/>
      <c r="V64" s="267"/>
      <c r="W64" s="267"/>
      <c r="X64" s="267"/>
    </row>
    <row r="65">
      <c r="A65" s="267"/>
      <c r="B65" s="87"/>
      <c r="C65" s="87"/>
      <c r="D65" s="87"/>
      <c r="E65" s="267"/>
      <c r="F65" s="87"/>
      <c r="G65" s="267"/>
      <c r="H65" s="267"/>
      <c r="I65" s="267"/>
      <c r="J65" s="267"/>
      <c r="K65" s="267"/>
      <c r="L65" s="267"/>
      <c r="M65" s="267"/>
      <c r="N65" s="267"/>
      <c r="O65" s="267"/>
      <c r="P65" s="267"/>
      <c r="Q65" s="267"/>
      <c r="R65" s="267"/>
      <c r="S65" s="267"/>
      <c r="T65" s="267"/>
      <c r="U65" s="267"/>
      <c r="V65" s="267"/>
      <c r="W65" s="267"/>
      <c r="X65" s="267"/>
    </row>
    <row r="66">
      <c r="A66" s="267"/>
      <c r="B66" s="87"/>
      <c r="C66" s="87"/>
      <c r="D66" s="87"/>
      <c r="E66" s="267"/>
      <c r="F66" s="87"/>
      <c r="G66" s="267"/>
      <c r="H66" s="267"/>
      <c r="I66" s="267"/>
      <c r="J66" s="267"/>
      <c r="K66" s="267"/>
      <c r="L66" s="267"/>
      <c r="M66" s="267"/>
      <c r="N66" s="267"/>
      <c r="O66" s="267"/>
      <c r="P66" s="267"/>
      <c r="Q66" s="267"/>
      <c r="R66" s="267"/>
      <c r="S66" s="267"/>
      <c r="T66" s="267"/>
      <c r="U66" s="267"/>
      <c r="V66" s="267"/>
      <c r="W66" s="267"/>
      <c r="X66" s="267"/>
    </row>
    <row r="67">
      <c r="A67" s="267"/>
      <c r="B67" s="87"/>
      <c r="C67" s="87"/>
      <c r="D67" s="87"/>
      <c r="E67" s="267"/>
      <c r="F67" s="87"/>
      <c r="G67" s="267"/>
      <c r="H67" s="267"/>
      <c r="I67" s="267"/>
      <c r="J67" s="267"/>
      <c r="K67" s="267"/>
      <c r="L67" s="267"/>
      <c r="M67" s="267"/>
      <c r="N67" s="267"/>
      <c r="O67" s="267"/>
      <c r="P67" s="267"/>
      <c r="Q67" s="267"/>
      <c r="R67" s="267"/>
      <c r="S67" s="267"/>
      <c r="T67" s="267"/>
      <c r="U67" s="267"/>
      <c r="V67" s="267"/>
      <c r="W67" s="267"/>
      <c r="X67" s="267"/>
    </row>
    <row r="68">
      <c r="A68" s="267"/>
      <c r="B68" s="87"/>
      <c r="C68" s="87"/>
      <c r="D68" s="87"/>
      <c r="E68" s="267"/>
      <c r="F68" s="87"/>
      <c r="G68" s="267"/>
      <c r="H68" s="267"/>
      <c r="I68" s="267"/>
      <c r="J68" s="267"/>
      <c r="K68" s="267"/>
      <c r="L68" s="267"/>
      <c r="M68" s="267"/>
      <c r="N68" s="267"/>
      <c r="O68" s="267"/>
      <c r="P68" s="267"/>
      <c r="Q68" s="267"/>
      <c r="R68" s="267"/>
      <c r="S68" s="267"/>
      <c r="T68" s="267"/>
      <c r="U68" s="267"/>
      <c r="V68" s="267"/>
      <c r="W68" s="267"/>
      <c r="X68" s="267"/>
    </row>
    <row r="69">
      <c r="A69" s="267"/>
      <c r="B69" s="87"/>
      <c r="C69" s="87"/>
      <c r="D69" s="87"/>
      <c r="E69" s="267"/>
      <c r="F69" s="87"/>
      <c r="G69" s="267"/>
      <c r="H69" s="267"/>
      <c r="I69" s="267"/>
      <c r="J69" s="267"/>
      <c r="K69" s="267"/>
      <c r="L69" s="267"/>
      <c r="M69" s="267"/>
      <c r="N69" s="267"/>
      <c r="O69" s="267"/>
      <c r="P69" s="267"/>
      <c r="Q69" s="267"/>
      <c r="R69" s="267"/>
      <c r="S69" s="267"/>
      <c r="T69" s="267"/>
      <c r="U69" s="267"/>
      <c r="V69" s="267"/>
      <c r="W69" s="267"/>
      <c r="X69" s="267"/>
    </row>
    <row r="70">
      <c r="A70" s="267"/>
      <c r="B70" s="87"/>
      <c r="C70" s="87"/>
      <c r="D70" s="87"/>
      <c r="E70" s="267"/>
      <c r="F70" s="8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X70" s="267"/>
    </row>
    <row r="71">
      <c r="A71" s="267"/>
      <c r="B71" s="87"/>
      <c r="C71" s="87"/>
      <c r="D71" s="87"/>
      <c r="E71" s="267"/>
      <c r="F71" s="87"/>
      <c r="G71" s="267"/>
      <c r="H71" s="267"/>
      <c r="I71" s="267"/>
      <c r="J71" s="267"/>
      <c r="K71" s="267"/>
      <c r="L71" s="267"/>
      <c r="M71" s="267"/>
      <c r="N71" s="267"/>
      <c r="O71" s="267"/>
      <c r="P71" s="267"/>
      <c r="Q71" s="267"/>
      <c r="R71" s="267"/>
      <c r="S71" s="267"/>
      <c r="T71" s="267"/>
      <c r="U71" s="267"/>
      <c r="V71" s="267"/>
      <c r="W71" s="267"/>
      <c r="X71" s="267"/>
    </row>
    <row r="72">
      <c r="A72" s="267"/>
      <c r="B72" s="87"/>
      <c r="C72" s="87"/>
      <c r="D72" s="87"/>
      <c r="E72" s="267"/>
      <c r="F72" s="87"/>
      <c r="G72" s="267"/>
      <c r="H72" s="267"/>
      <c r="I72" s="267"/>
      <c r="J72" s="267"/>
      <c r="K72" s="267"/>
      <c r="L72" s="267"/>
      <c r="M72" s="267"/>
      <c r="N72" s="267"/>
      <c r="O72" s="267"/>
      <c r="P72" s="267"/>
      <c r="Q72" s="267"/>
      <c r="R72" s="267"/>
      <c r="S72" s="267"/>
      <c r="T72" s="267"/>
      <c r="U72" s="267"/>
      <c r="V72" s="267"/>
      <c r="W72" s="267"/>
      <c r="X72" s="267"/>
    </row>
    <row r="73">
      <c r="A73" s="267"/>
      <c r="B73" s="87"/>
      <c r="C73" s="87"/>
      <c r="D73" s="87"/>
      <c r="E73" s="267"/>
      <c r="F73" s="87"/>
      <c r="G73" s="267"/>
      <c r="H73" s="267"/>
      <c r="I73" s="267"/>
      <c r="J73" s="267"/>
      <c r="K73" s="267"/>
      <c r="L73" s="267"/>
      <c r="M73" s="267"/>
      <c r="N73" s="267"/>
      <c r="O73" s="267"/>
      <c r="P73" s="267"/>
      <c r="Q73" s="267"/>
      <c r="R73" s="267"/>
      <c r="S73" s="267"/>
      <c r="T73" s="267"/>
      <c r="U73" s="267"/>
      <c r="V73" s="267"/>
      <c r="W73" s="267"/>
      <c r="X73" s="267"/>
    </row>
    <row r="74">
      <c r="A74" s="267"/>
      <c r="B74" s="87"/>
      <c r="C74" s="87"/>
      <c r="D74" s="87"/>
      <c r="E74" s="267"/>
      <c r="F74" s="87"/>
      <c r="G74" s="267"/>
      <c r="H74" s="267"/>
      <c r="I74" s="267"/>
      <c r="J74" s="267"/>
      <c r="K74" s="267"/>
      <c r="L74" s="267"/>
      <c r="M74" s="267"/>
      <c r="N74" s="267"/>
      <c r="O74" s="267"/>
      <c r="P74" s="267"/>
      <c r="Q74" s="267"/>
      <c r="R74" s="267"/>
      <c r="S74" s="267"/>
      <c r="T74" s="267"/>
      <c r="U74" s="267"/>
      <c r="V74" s="267"/>
      <c r="W74" s="267"/>
      <c r="X74" s="267"/>
    </row>
    <row r="75">
      <c r="A75" s="267"/>
      <c r="B75" s="87"/>
      <c r="C75" s="87"/>
      <c r="D75" s="87"/>
      <c r="E75" s="267"/>
      <c r="F75" s="87"/>
      <c r="G75" s="267"/>
      <c r="H75" s="267"/>
      <c r="I75" s="267"/>
      <c r="J75" s="267"/>
      <c r="K75" s="267"/>
      <c r="L75" s="267"/>
      <c r="M75" s="267"/>
      <c r="N75" s="267"/>
      <c r="O75" s="267"/>
      <c r="P75" s="267"/>
      <c r="Q75" s="267"/>
      <c r="R75" s="267"/>
      <c r="S75" s="267"/>
      <c r="T75" s="267"/>
      <c r="U75" s="267"/>
      <c r="V75" s="267"/>
      <c r="W75" s="267"/>
      <c r="X75" s="267"/>
    </row>
    <row r="76">
      <c r="A76" s="267"/>
      <c r="B76" s="87"/>
      <c r="C76" s="87"/>
      <c r="D76" s="87"/>
      <c r="E76" s="267"/>
      <c r="F76" s="87"/>
      <c r="G76" s="267"/>
      <c r="H76" s="267"/>
      <c r="I76" s="267"/>
      <c r="J76" s="267"/>
      <c r="K76" s="267"/>
      <c r="L76" s="267"/>
      <c r="M76" s="267"/>
      <c r="N76" s="267"/>
      <c r="O76" s="267"/>
      <c r="P76" s="267"/>
      <c r="Q76" s="267"/>
      <c r="R76" s="267"/>
      <c r="S76" s="267"/>
      <c r="T76" s="267"/>
      <c r="U76" s="267"/>
      <c r="V76" s="267"/>
      <c r="W76" s="267"/>
      <c r="X76" s="267"/>
    </row>
    <row r="77">
      <c r="A77" s="267"/>
      <c r="B77" s="87"/>
      <c r="C77" s="87"/>
      <c r="D77" s="87"/>
      <c r="E77" s="267"/>
      <c r="F77" s="87"/>
      <c r="G77" s="267"/>
      <c r="H77" s="267"/>
      <c r="I77" s="267"/>
      <c r="J77" s="267"/>
      <c r="K77" s="267"/>
      <c r="L77" s="267"/>
      <c r="M77" s="267"/>
      <c r="N77" s="267"/>
      <c r="O77" s="267"/>
      <c r="P77" s="267"/>
      <c r="Q77" s="267"/>
      <c r="R77" s="267"/>
      <c r="S77" s="267"/>
      <c r="T77" s="267"/>
      <c r="U77" s="267"/>
      <c r="V77" s="267"/>
      <c r="W77" s="267"/>
      <c r="X77" s="267"/>
    </row>
    <row r="78">
      <c r="A78" s="267"/>
      <c r="B78" s="87"/>
      <c r="C78" s="87"/>
      <c r="D78" s="87"/>
      <c r="E78" s="267"/>
      <c r="F78" s="87"/>
      <c r="G78" s="267"/>
      <c r="H78" s="267"/>
      <c r="I78" s="267"/>
      <c r="J78" s="267"/>
      <c r="K78" s="267"/>
      <c r="L78" s="267"/>
      <c r="M78" s="267"/>
      <c r="N78" s="267"/>
      <c r="O78" s="267"/>
      <c r="P78" s="267"/>
      <c r="Q78" s="267"/>
      <c r="R78" s="267"/>
      <c r="S78" s="267"/>
      <c r="T78" s="267"/>
      <c r="U78" s="267"/>
      <c r="V78" s="267"/>
      <c r="W78" s="267"/>
      <c r="X78" s="267"/>
    </row>
    <row r="79">
      <c r="A79" s="267"/>
      <c r="B79" s="87"/>
      <c r="C79" s="87"/>
      <c r="D79" s="87"/>
      <c r="E79" s="267"/>
      <c r="F79" s="87"/>
      <c r="G79" s="267"/>
      <c r="H79" s="267"/>
      <c r="I79" s="267"/>
      <c r="J79" s="267"/>
      <c r="K79" s="267"/>
      <c r="L79" s="267"/>
      <c r="M79" s="267"/>
      <c r="N79" s="267"/>
      <c r="O79" s="267"/>
      <c r="P79" s="267"/>
      <c r="Q79" s="267"/>
      <c r="R79" s="267"/>
      <c r="S79" s="267"/>
      <c r="T79" s="267"/>
      <c r="U79" s="267"/>
      <c r="V79" s="267"/>
      <c r="W79" s="267"/>
      <c r="X79" s="267"/>
    </row>
    <row r="80">
      <c r="A80" s="267"/>
      <c r="B80" s="87"/>
      <c r="C80" s="87"/>
      <c r="D80" s="87"/>
      <c r="E80" s="267"/>
      <c r="F80" s="87"/>
      <c r="G80" s="267"/>
      <c r="H80" s="267"/>
      <c r="I80" s="267"/>
      <c r="J80" s="267"/>
      <c r="K80" s="267"/>
      <c r="L80" s="267"/>
      <c r="M80" s="267"/>
      <c r="N80" s="267"/>
      <c r="O80" s="267"/>
      <c r="P80" s="267"/>
      <c r="Q80" s="267"/>
      <c r="R80" s="267"/>
      <c r="S80" s="267"/>
      <c r="T80" s="267"/>
      <c r="U80" s="267"/>
      <c r="V80" s="267"/>
      <c r="W80" s="267"/>
      <c r="X80" s="267"/>
    </row>
    <row r="81">
      <c r="A81" s="267"/>
      <c r="B81" s="87"/>
      <c r="C81" s="87"/>
      <c r="D81" s="87"/>
      <c r="E81" s="267"/>
      <c r="F81" s="87"/>
      <c r="G81" s="267"/>
      <c r="H81" s="267"/>
      <c r="I81" s="267"/>
      <c r="J81" s="267"/>
      <c r="K81" s="267"/>
      <c r="L81" s="267"/>
      <c r="M81" s="267"/>
      <c r="N81" s="267"/>
      <c r="O81" s="267"/>
      <c r="P81" s="267"/>
      <c r="Q81" s="267"/>
      <c r="R81" s="267"/>
      <c r="S81" s="267"/>
      <c r="T81" s="267"/>
      <c r="U81" s="267"/>
      <c r="V81" s="267"/>
      <c r="W81" s="267"/>
      <c r="X81" s="267"/>
    </row>
    <row r="82">
      <c r="A82" s="267"/>
      <c r="B82" s="87"/>
      <c r="C82" s="87"/>
      <c r="D82" s="87"/>
      <c r="E82" s="267"/>
      <c r="F82" s="87"/>
      <c r="G82" s="267"/>
      <c r="H82" s="267"/>
      <c r="I82" s="267"/>
      <c r="J82" s="267"/>
      <c r="K82" s="267"/>
      <c r="L82" s="267"/>
      <c r="M82" s="267"/>
      <c r="N82" s="267"/>
      <c r="O82" s="267"/>
      <c r="P82" s="267"/>
      <c r="Q82" s="267"/>
      <c r="R82" s="267"/>
      <c r="S82" s="267"/>
      <c r="T82" s="267"/>
      <c r="U82" s="267"/>
      <c r="V82" s="267"/>
      <c r="W82" s="267"/>
      <c r="X82" s="267"/>
    </row>
    <row r="83">
      <c r="A83" s="267"/>
      <c r="B83" s="87"/>
      <c r="C83" s="87"/>
      <c r="D83" s="87"/>
      <c r="E83" s="267"/>
      <c r="F83" s="87"/>
      <c r="G83" s="267"/>
      <c r="H83" s="267"/>
      <c r="I83" s="267"/>
      <c r="J83" s="267"/>
      <c r="K83" s="267"/>
      <c r="L83" s="267"/>
      <c r="M83" s="267"/>
      <c r="N83" s="267"/>
      <c r="O83" s="267"/>
      <c r="P83" s="267"/>
      <c r="Q83" s="267"/>
      <c r="R83" s="267"/>
      <c r="S83" s="267"/>
      <c r="T83" s="267"/>
      <c r="U83" s="267"/>
      <c r="V83" s="267"/>
      <c r="W83" s="267"/>
      <c r="X83" s="267"/>
    </row>
    <row r="84">
      <c r="A84" s="267"/>
      <c r="B84" s="87"/>
      <c r="C84" s="87"/>
      <c r="D84" s="87"/>
      <c r="E84" s="267"/>
      <c r="F84" s="87"/>
      <c r="G84" s="267"/>
      <c r="H84" s="267"/>
      <c r="I84" s="267"/>
      <c r="J84" s="267"/>
      <c r="K84" s="267"/>
      <c r="L84" s="267"/>
      <c r="M84" s="267"/>
      <c r="N84" s="267"/>
      <c r="O84" s="267"/>
      <c r="P84" s="267"/>
      <c r="Q84" s="267"/>
      <c r="R84" s="267"/>
      <c r="S84" s="267"/>
      <c r="T84" s="267"/>
      <c r="U84" s="267"/>
      <c r="V84" s="267"/>
      <c r="W84" s="267"/>
      <c r="X84" s="267"/>
    </row>
    <row r="85">
      <c r="A85" s="267"/>
      <c r="B85" s="87"/>
      <c r="C85" s="87"/>
      <c r="D85" s="87"/>
      <c r="E85" s="267"/>
      <c r="F85" s="87"/>
      <c r="G85" s="267"/>
      <c r="H85" s="267"/>
      <c r="I85" s="267"/>
      <c r="J85" s="267"/>
      <c r="K85" s="267"/>
      <c r="L85" s="267"/>
      <c r="M85" s="267"/>
      <c r="N85" s="267"/>
      <c r="O85" s="267"/>
      <c r="P85" s="267"/>
      <c r="Q85" s="267"/>
      <c r="R85" s="267"/>
      <c r="S85" s="267"/>
      <c r="T85" s="267"/>
      <c r="U85" s="267"/>
      <c r="V85" s="267"/>
      <c r="W85" s="267"/>
      <c r="X85" s="267"/>
    </row>
    <row r="86">
      <c r="A86" s="267"/>
      <c r="B86" s="87"/>
      <c r="C86" s="87"/>
      <c r="D86" s="87"/>
      <c r="E86" s="267"/>
      <c r="F86" s="87"/>
      <c r="G86" s="267"/>
      <c r="H86" s="267"/>
      <c r="I86" s="267"/>
      <c r="J86" s="267"/>
      <c r="K86" s="267"/>
      <c r="L86" s="267"/>
      <c r="M86" s="267"/>
      <c r="N86" s="267"/>
      <c r="O86" s="267"/>
      <c r="P86" s="267"/>
      <c r="Q86" s="267"/>
      <c r="R86" s="267"/>
      <c r="S86" s="267"/>
      <c r="T86" s="267"/>
      <c r="U86" s="267"/>
      <c r="V86" s="267"/>
      <c r="W86" s="267"/>
      <c r="X86" s="267"/>
    </row>
    <row r="87">
      <c r="A87" s="267"/>
      <c r="B87" s="87"/>
      <c r="C87" s="87"/>
      <c r="D87" s="87"/>
      <c r="E87" s="267"/>
      <c r="F87" s="87"/>
      <c r="G87" s="267"/>
      <c r="H87" s="267"/>
      <c r="I87" s="267"/>
      <c r="J87" s="267"/>
      <c r="K87" s="267"/>
      <c r="L87" s="267"/>
      <c r="M87" s="267"/>
      <c r="N87" s="267"/>
      <c r="O87" s="267"/>
      <c r="P87" s="267"/>
      <c r="Q87" s="267"/>
      <c r="R87" s="267"/>
      <c r="S87" s="267"/>
      <c r="T87" s="267"/>
      <c r="U87" s="267"/>
      <c r="V87" s="267"/>
      <c r="W87" s="267"/>
      <c r="X87" s="267"/>
    </row>
    <row r="88">
      <c r="A88" s="267"/>
      <c r="B88" s="87"/>
      <c r="C88" s="87"/>
      <c r="D88" s="87"/>
      <c r="E88" s="267"/>
      <c r="F88" s="87"/>
      <c r="G88" s="267"/>
      <c r="H88" s="267"/>
      <c r="I88" s="267"/>
      <c r="J88" s="267"/>
      <c r="K88" s="267"/>
      <c r="L88" s="267"/>
      <c r="M88" s="267"/>
      <c r="N88" s="267"/>
      <c r="O88" s="267"/>
      <c r="P88" s="267"/>
      <c r="Q88" s="267"/>
      <c r="R88" s="267"/>
      <c r="S88" s="267"/>
      <c r="T88" s="267"/>
      <c r="U88" s="267"/>
      <c r="V88" s="267"/>
      <c r="W88" s="267"/>
      <c r="X88" s="267"/>
    </row>
    <row r="89">
      <c r="A89" s="267"/>
      <c r="B89" s="87"/>
      <c r="C89" s="87"/>
      <c r="D89" s="87"/>
      <c r="E89" s="267"/>
      <c r="F89" s="87"/>
      <c r="G89" s="267"/>
      <c r="H89" s="267"/>
      <c r="I89" s="267"/>
      <c r="J89" s="267"/>
      <c r="K89" s="267"/>
      <c r="L89" s="267"/>
      <c r="M89" s="267"/>
      <c r="N89" s="267"/>
      <c r="O89" s="267"/>
      <c r="P89" s="267"/>
      <c r="Q89" s="267"/>
      <c r="R89" s="267"/>
      <c r="S89" s="267"/>
      <c r="T89" s="267"/>
      <c r="U89" s="267"/>
      <c r="V89" s="267"/>
      <c r="W89" s="267"/>
      <c r="X89" s="267"/>
    </row>
    <row r="90">
      <c r="A90" s="267"/>
      <c r="B90" s="87"/>
      <c r="C90" s="87"/>
      <c r="D90" s="87"/>
      <c r="E90" s="267"/>
      <c r="F90" s="87"/>
      <c r="G90" s="267"/>
      <c r="H90" s="267"/>
      <c r="I90" s="267"/>
      <c r="J90" s="267"/>
      <c r="K90" s="267"/>
      <c r="L90" s="267"/>
      <c r="M90" s="267"/>
      <c r="N90" s="267"/>
      <c r="O90" s="267"/>
      <c r="P90" s="267"/>
      <c r="Q90" s="267"/>
      <c r="R90" s="267"/>
      <c r="S90" s="267"/>
      <c r="T90" s="267"/>
      <c r="U90" s="267"/>
      <c r="V90" s="267"/>
      <c r="W90" s="267"/>
      <c r="X90" s="267"/>
    </row>
    <row r="91">
      <c r="A91" s="267"/>
      <c r="B91" s="87"/>
      <c r="C91" s="87"/>
      <c r="D91" s="87"/>
      <c r="E91" s="267"/>
      <c r="F91" s="87"/>
      <c r="G91" s="267"/>
      <c r="H91" s="267"/>
      <c r="I91" s="267"/>
      <c r="J91" s="267"/>
      <c r="K91" s="267"/>
      <c r="L91" s="267"/>
      <c r="M91" s="267"/>
      <c r="N91" s="267"/>
      <c r="O91" s="267"/>
      <c r="P91" s="267"/>
      <c r="Q91" s="267"/>
      <c r="R91" s="267"/>
      <c r="S91" s="267"/>
      <c r="T91" s="267"/>
      <c r="U91" s="267"/>
      <c r="V91" s="267"/>
      <c r="W91" s="267"/>
      <c r="X91" s="267"/>
    </row>
    <row r="92">
      <c r="A92" s="267"/>
      <c r="B92" s="87"/>
      <c r="C92" s="87"/>
      <c r="D92" s="87"/>
      <c r="E92" s="267"/>
      <c r="F92" s="87"/>
      <c r="G92" s="267"/>
      <c r="H92" s="267"/>
      <c r="I92" s="267"/>
      <c r="J92" s="267"/>
      <c r="K92" s="267"/>
      <c r="L92" s="267"/>
      <c r="M92" s="267"/>
      <c r="N92" s="267"/>
      <c r="O92" s="267"/>
      <c r="P92" s="267"/>
      <c r="Q92" s="267"/>
      <c r="R92" s="267"/>
      <c r="S92" s="267"/>
      <c r="T92" s="267"/>
      <c r="U92" s="267"/>
      <c r="V92" s="267"/>
      <c r="W92" s="267"/>
      <c r="X92" s="267"/>
    </row>
    <row r="93">
      <c r="A93" s="267"/>
      <c r="B93" s="87"/>
      <c r="C93" s="87"/>
      <c r="D93" s="87"/>
      <c r="E93" s="267"/>
      <c r="F93" s="87"/>
      <c r="G93" s="267"/>
      <c r="H93" s="267"/>
      <c r="I93" s="267"/>
      <c r="J93" s="267"/>
      <c r="K93" s="267"/>
      <c r="L93" s="267"/>
      <c r="M93" s="267"/>
      <c r="N93" s="267"/>
      <c r="O93" s="267"/>
      <c r="P93" s="267"/>
      <c r="Q93" s="267"/>
      <c r="R93" s="267"/>
      <c r="S93" s="267"/>
      <c r="T93" s="267"/>
      <c r="U93" s="267"/>
      <c r="V93" s="267"/>
      <c r="W93" s="267"/>
      <c r="X93" s="267"/>
    </row>
    <row r="94">
      <c r="A94" s="267"/>
      <c r="B94" s="87"/>
      <c r="C94" s="87"/>
      <c r="D94" s="87"/>
      <c r="E94" s="267"/>
      <c r="F94" s="87"/>
      <c r="G94" s="267"/>
      <c r="H94" s="267"/>
      <c r="I94" s="267"/>
      <c r="J94" s="267"/>
      <c r="K94" s="267"/>
      <c r="L94" s="267"/>
      <c r="M94" s="267"/>
      <c r="N94" s="267"/>
      <c r="O94" s="267"/>
      <c r="P94" s="267"/>
      <c r="Q94" s="267"/>
      <c r="R94" s="267"/>
      <c r="S94" s="267"/>
      <c r="T94" s="267"/>
      <c r="U94" s="267"/>
      <c r="V94" s="267"/>
      <c r="W94" s="267"/>
      <c r="X94" s="267"/>
    </row>
    <row r="95">
      <c r="A95" s="267"/>
      <c r="B95" s="87"/>
      <c r="C95" s="87"/>
      <c r="D95" s="87"/>
      <c r="E95" s="267"/>
      <c r="F95" s="87"/>
      <c r="G95" s="267"/>
      <c r="H95" s="267"/>
      <c r="I95" s="267"/>
      <c r="J95" s="267"/>
      <c r="K95" s="267"/>
      <c r="L95" s="267"/>
      <c r="M95" s="267"/>
      <c r="N95" s="267"/>
      <c r="O95" s="267"/>
      <c r="P95" s="267"/>
      <c r="Q95" s="267"/>
      <c r="R95" s="267"/>
      <c r="S95" s="267"/>
      <c r="T95" s="267"/>
      <c r="U95" s="267"/>
      <c r="V95" s="267"/>
      <c r="W95" s="267"/>
      <c r="X95" s="267"/>
    </row>
    <row r="96">
      <c r="A96" s="267"/>
      <c r="B96" s="87"/>
      <c r="C96" s="87"/>
      <c r="D96" s="87"/>
      <c r="E96" s="267"/>
      <c r="F96" s="87"/>
      <c r="G96" s="267"/>
      <c r="H96" s="267"/>
      <c r="I96" s="267"/>
      <c r="J96" s="267"/>
      <c r="K96" s="267"/>
      <c r="L96" s="267"/>
      <c r="M96" s="267"/>
      <c r="N96" s="267"/>
      <c r="O96" s="267"/>
      <c r="P96" s="267"/>
      <c r="Q96" s="267"/>
      <c r="R96" s="267"/>
      <c r="S96" s="267"/>
      <c r="T96" s="267"/>
      <c r="U96" s="267"/>
      <c r="V96" s="267"/>
      <c r="W96" s="267"/>
      <c r="X96" s="267"/>
    </row>
    <row r="97">
      <c r="A97" s="267"/>
      <c r="B97" s="87"/>
      <c r="C97" s="87"/>
      <c r="D97" s="87"/>
      <c r="E97" s="267"/>
      <c r="F97" s="87"/>
      <c r="G97" s="267"/>
      <c r="H97" s="267"/>
      <c r="I97" s="267"/>
      <c r="J97" s="267"/>
      <c r="K97" s="267"/>
      <c r="L97" s="267"/>
      <c r="M97" s="267"/>
      <c r="N97" s="267"/>
      <c r="O97" s="267"/>
      <c r="P97" s="267"/>
      <c r="Q97" s="267"/>
      <c r="R97" s="267"/>
      <c r="S97" s="267"/>
      <c r="T97" s="267"/>
      <c r="U97" s="267"/>
      <c r="V97" s="267"/>
      <c r="W97" s="267"/>
      <c r="X97" s="267"/>
    </row>
    <row r="98">
      <c r="A98" s="267"/>
      <c r="B98" s="87"/>
      <c r="C98" s="87"/>
      <c r="D98" s="87"/>
      <c r="E98" s="267"/>
      <c r="F98" s="87"/>
      <c r="G98" s="267"/>
      <c r="H98" s="267"/>
      <c r="I98" s="267"/>
      <c r="J98" s="267"/>
      <c r="K98" s="267"/>
      <c r="L98" s="267"/>
      <c r="M98" s="267"/>
      <c r="N98" s="267"/>
      <c r="O98" s="267"/>
      <c r="P98" s="267"/>
      <c r="Q98" s="267"/>
      <c r="R98" s="267"/>
      <c r="S98" s="267"/>
      <c r="T98" s="267"/>
      <c r="U98" s="267"/>
      <c r="V98" s="267"/>
      <c r="W98" s="267"/>
      <c r="X98" s="267"/>
    </row>
    <row r="99">
      <c r="A99" s="267"/>
      <c r="B99" s="87"/>
      <c r="C99" s="87"/>
      <c r="D99" s="87"/>
      <c r="E99" s="267"/>
      <c r="F99" s="87"/>
      <c r="G99" s="267"/>
      <c r="H99" s="267"/>
      <c r="I99" s="267"/>
      <c r="J99" s="267"/>
      <c r="K99" s="267"/>
      <c r="L99" s="267"/>
      <c r="M99" s="267"/>
      <c r="N99" s="267"/>
      <c r="O99" s="267"/>
      <c r="P99" s="267"/>
      <c r="Q99" s="267"/>
      <c r="R99" s="267"/>
      <c r="S99" s="267"/>
      <c r="T99" s="267"/>
      <c r="U99" s="267"/>
      <c r="V99" s="267"/>
      <c r="W99" s="267"/>
      <c r="X99" s="267"/>
    </row>
    <row r="100">
      <c r="A100" s="267"/>
      <c r="B100" s="87"/>
      <c r="C100" s="87"/>
      <c r="D100" s="87"/>
      <c r="E100" s="267"/>
      <c r="F100" s="87"/>
      <c r="G100" s="267"/>
      <c r="H100" s="267"/>
      <c r="I100" s="267"/>
      <c r="J100" s="267"/>
      <c r="K100" s="267"/>
      <c r="L100" s="267"/>
      <c r="M100" s="267"/>
      <c r="N100" s="267"/>
      <c r="O100" s="267"/>
      <c r="P100" s="267"/>
      <c r="Q100" s="267"/>
      <c r="R100" s="267"/>
      <c r="S100" s="267"/>
      <c r="T100" s="267"/>
      <c r="U100" s="267"/>
      <c r="V100" s="267"/>
      <c r="W100" s="267"/>
      <c r="X100" s="267"/>
    </row>
    <row r="101">
      <c r="A101" s="267"/>
      <c r="B101" s="87"/>
      <c r="C101" s="87"/>
      <c r="D101" s="87"/>
      <c r="E101" s="267"/>
      <c r="F101" s="87"/>
      <c r="G101" s="267"/>
      <c r="H101" s="267"/>
      <c r="I101" s="267"/>
      <c r="J101" s="267"/>
      <c r="K101" s="267"/>
      <c r="L101" s="267"/>
      <c r="M101" s="267"/>
      <c r="N101" s="267"/>
      <c r="O101" s="267"/>
      <c r="P101" s="267"/>
      <c r="Q101" s="267"/>
      <c r="R101" s="267"/>
      <c r="S101" s="267"/>
      <c r="T101" s="267"/>
      <c r="U101" s="267"/>
      <c r="V101" s="267"/>
      <c r="W101" s="267"/>
      <c r="X101" s="267"/>
    </row>
    <row r="102">
      <c r="A102" s="267"/>
      <c r="B102" s="87"/>
      <c r="C102" s="87"/>
      <c r="D102" s="87"/>
      <c r="E102" s="267"/>
      <c r="F102" s="87"/>
      <c r="G102" s="267"/>
      <c r="H102" s="267"/>
      <c r="I102" s="267"/>
      <c r="J102" s="267"/>
      <c r="K102" s="267"/>
      <c r="L102" s="267"/>
      <c r="M102" s="267"/>
      <c r="N102" s="267"/>
      <c r="O102" s="267"/>
      <c r="P102" s="267"/>
      <c r="Q102" s="267"/>
      <c r="R102" s="267"/>
      <c r="S102" s="267"/>
      <c r="T102" s="267"/>
      <c r="U102" s="267"/>
      <c r="V102" s="267"/>
      <c r="W102" s="267"/>
      <c r="X102" s="267"/>
    </row>
    <row r="103">
      <c r="A103" s="267"/>
      <c r="B103" s="87"/>
      <c r="C103" s="87"/>
      <c r="D103" s="87"/>
      <c r="E103" s="267"/>
      <c r="F103" s="87"/>
      <c r="G103" s="267"/>
      <c r="H103" s="267"/>
      <c r="I103" s="267"/>
      <c r="J103" s="267"/>
      <c r="K103" s="267"/>
      <c r="L103" s="267"/>
      <c r="M103" s="267"/>
      <c r="N103" s="267"/>
      <c r="O103" s="267"/>
      <c r="P103" s="267"/>
      <c r="Q103" s="267"/>
      <c r="R103" s="267"/>
      <c r="S103" s="267"/>
      <c r="T103" s="267"/>
      <c r="U103" s="267"/>
      <c r="V103" s="267"/>
      <c r="W103" s="267"/>
      <c r="X103" s="267"/>
    </row>
    <row r="104">
      <c r="A104" s="267"/>
      <c r="B104" s="87"/>
      <c r="C104" s="87"/>
      <c r="D104" s="87"/>
      <c r="E104" s="267"/>
      <c r="F104" s="87"/>
      <c r="G104" s="267"/>
      <c r="H104" s="267"/>
      <c r="I104" s="267"/>
      <c r="J104" s="267"/>
      <c r="K104" s="267"/>
      <c r="L104" s="267"/>
      <c r="M104" s="267"/>
      <c r="N104" s="267"/>
      <c r="O104" s="267"/>
      <c r="P104" s="267"/>
      <c r="Q104" s="267"/>
      <c r="R104" s="267"/>
      <c r="S104" s="267"/>
      <c r="T104" s="267"/>
      <c r="U104" s="267"/>
      <c r="V104" s="267"/>
      <c r="W104" s="267"/>
      <c r="X104" s="267"/>
    </row>
    <row r="105">
      <c r="A105" s="267"/>
      <c r="B105" s="87"/>
      <c r="C105" s="87"/>
      <c r="D105" s="87"/>
      <c r="E105" s="267"/>
      <c r="F105" s="87"/>
      <c r="G105" s="267"/>
      <c r="H105" s="267"/>
      <c r="I105" s="267"/>
      <c r="J105" s="267"/>
      <c r="K105" s="267"/>
      <c r="L105" s="267"/>
      <c r="M105" s="267"/>
      <c r="N105" s="267"/>
      <c r="O105" s="267"/>
      <c r="P105" s="267"/>
      <c r="Q105" s="267"/>
      <c r="R105" s="267"/>
      <c r="S105" s="267"/>
      <c r="T105" s="267"/>
      <c r="U105" s="267"/>
      <c r="V105" s="267"/>
      <c r="W105" s="267"/>
      <c r="X105" s="267"/>
    </row>
    <row r="106">
      <c r="A106" s="267"/>
      <c r="B106" s="87"/>
      <c r="C106" s="87"/>
      <c r="D106" s="87"/>
      <c r="E106" s="267"/>
      <c r="F106" s="87"/>
      <c r="G106" s="267"/>
      <c r="H106" s="267"/>
      <c r="I106" s="267"/>
      <c r="J106" s="267"/>
      <c r="K106" s="267"/>
      <c r="L106" s="267"/>
      <c r="M106" s="267"/>
      <c r="N106" s="267"/>
      <c r="O106" s="267"/>
      <c r="P106" s="267"/>
      <c r="Q106" s="267"/>
      <c r="R106" s="267"/>
      <c r="S106" s="267"/>
      <c r="T106" s="267"/>
      <c r="U106" s="267"/>
      <c r="V106" s="267"/>
      <c r="W106" s="267"/>
      <c r="X106" s="267"/>
    </row>
    <row r="107">
      <c r="A107" s="267"/>
      <c r="B107" s="87"/>
      <c r="C107" s="87"/>
      <c r="D107" s="87"/>
      <c r="E107" s="267"/>
      <c r="F107" s="87"/>
      <c r="G107" s="267"/>
      <c r="H107" s="267"/>
      <c r="I107" s="267"/>
      <c r="J107" s="267"/>
      <c r="K107" s="267"/>
      <c r="L107" s="267"/>
      <c r="M107" s="267"/>
      <c r="N107" s="267"/>
      <c r="O107" s="267"/>
      <c r="P107" s="267"/>
      <c r="Q107" s="267"/>
      <c r="R107" s="267"/>
      <c r="S107" s="267"/>
      <c r="T107" s="267"/>
      <c r="U107" s="267"/>
      <c r="V107" s="267"/>
      <c r="W107" s="267"/>
      <c r="X107" s="267"/>
    </row>
    <row r="108">
      <c r="A108" s="267"/>
      <c r="B108" s="87"/>
      <c r="C108" s="87"/>
      <c r="D108" s="87"/>
      <c r="E108" s="267"/>
      <c r="F108" s="87"/>
      <c r="G108" s="267"/>
      <c r="H108" s="267"/>
      <c r="I108" s="267"/>
      <c r="J108" s="267"/>
      <c r="K108" s="267"/>
      <c r="L108" s="267"/>
      <c r="M108" s="267"/>
      <c r="N108" s="267"/>
      <c r="O108" s="267"/>
      <c r="P108" s="267"/>
      <c r="Q108" s="267"/>
      <c r="R108" s="267"/>
      <c r="S108" s="267"/>
      <c r="T108" s="267"/>
      <c r="U108" s="267"/>
      <c r="V108" s="267"/>
      <c r="W108" s="267"/>
      <c r="X108" s="267"/>
    </row>
    <row r="109">
      <c r="A109" s="267"/>
      <c r="B109" s="87"/>
      <c r="C109" s="87"/>
      <c r="D109" s="87"/>
      <c r="E109" s="267"/>
      <c r="F109" s="87"/>
      <c r="G109" s="267"/>
      <c r="H109" s="267"/>
      <c r="I109" s="267"/>
      <c r="J109" s="267"/>
      <c r="K109" s="267"/>
      <c r="L109" s="267"/>
      <c r="M109" s="267"/>
      <c r="N109" s="267"/>
      <c r="O109" s="267"/>
      <c r="P109" s="267"/>
      <c r="Q109" s="267"/>
      <c r="R109" s="267"/>
      <c r="S109" s="267"/>
      <c r="T109" s="267"/>
      <c r="U109" s="267"/>
      <c r="V109" s="267"/>
      <c r="W109" s="267"/>
      <c r="X109" s="267"/>
    </row>
    <row r="110">
      <c r="A110" s="267"/>
      <c r="B110" s="87"/>
      <c r="C110" s="87"/>
      <c r="D110" s="87"/>
      <c r="E110" s="267"/>
      <c r="F110" s="87"/>
      <c r="G110" s="267"/>
      <c r="H110" s="267"/>
      <c r="I110" s="267"/>
      <c r="J110" s="267"/>
      <c r="K110" s="267"/>
      <c r="L110" s="267"/>
      <c r="M110" s="267"/>
      <c r="N110" s="267"/>
      <c r="O110" s="267"/>
      <c r="P110" s="267"/>
      <c r="Q110" s="267"/>
      <c r="R110" s="267"/>
      <c r="S110" s="267"/>
      <c r="T110" s="267"/>
      <c r="U110" s="267"/>
      <c r="V110" s="267"/>
      <c r="W110" s="267"/>
      <c r="X110" s="267"/>
    </row>
    <row r="111">
      <c r="A111" s="267"/>
      <c r="B111" s="87"/>
      <c r="C111" s="87"/>
      <c r="D111" s="87"/>
      <c r="E111" s="267"/>
      <c r="F111" s="87"/>
      <c r="G111" s="267"/>
      <c r="H111" s="267"/>
      <c r="I111" s="267"/>
      <c r="J111" s="267"/>
      <c r="K111" s="267"/>
      <c r="L111" s="267"/>
      <c r="M111" s="267"/>
      <c r="N111" s="267"/>
      <c r="O111" s="267"/>
      <c r="P111" s="267"/>
      <c r="Q111" s="267"/>
      <c r="R111" s="267"/>
      <c r="S111" s="267"/>
      <c r="T111" s="267"/>
      <c r="U111" s="267"/>
      <c r="V111" s="267"/>
      <c r="W111" s="267"/>
      <c r="X111" s="267"/>
    </row>
    <row r="112">
      <c r="A112" s="267"/>
      <c r="B112" s="87"/>
      <c r="C112" s="87"/>
      <c r="D112" s="87"/>
      <c r="E112" s="267"/>
      <c r="F112" s="87"/>
      <c r="G112" s="267"/>
      <c r="H112" s="267"/>
      <c r="I112" s="267"/>
      <c r="J112" s="267"/>
      <c r="K112" s="267"/>
      <c r="L112" s="267"/>
      <c r="M112" s="267"/>
      <c r="N112" s="267"/>
      <c r="O112" s="267"/>
      <c r="P112" s="267"/>
      <c r="Q112" s="267"/>
      <c r="R112" s="267"/>
      <c r="S112" s="267"/>
      <c r="T112" s="267"/>
      <c r="U112" s="267"/>
      <c r="V112" s="267"/>
      <c r="W112" s="267"/>
      <c r="X112" s="267"/>
    </row>
    <row r="113">
      <c r="A113" s="267"/>
      <c r="B113" s="87"/>
      <c r="C113" s="87"/>
      <c r="D113" s="87"/>
      <c r="E113" s="267"/>
      <c r="F113" s="87"/>
      <c r="G113" s="267"/>
      <c r="H113" s="267"/>
      <c r="I113" s="267"/>
      <c r="J113" s="267"/>
      <c r="K113" s="267"/>
      <c r="L113" s="267"/>
      <c r="M113" s="267"/>
      <c r="N113" s="267"/>
      <c r="O113" s="267"/>
      <c r="P113" s="267"/>
      <c r="Q113" s="267"/>
      <c r="R113" s="267"/>
      <c r="S113" s="267"/>
      <c r="T113" s="267"/>
      <c r="U113" s="267"/>
      <c r="V113" s="267"/>
      <c r="W113" s="267"/>
      <c r="X113" s="267"/>
    </row>
    <row r="114">
      <c r="A114" s="267"/>
      <c r="B114" s="87"/>
      <c r="C114" s="87"/>
      <c r="D114" s="87"/>
      <c r="E114" s="267"/>
      <c r="F114" s="87"/>
      <c r="G114" s="267"/>
      <c r="H114" s="267"/>
      <c r="I114" s="267"/>
      <c r="J114" s="267"/>
      <c r="K114" s="267"/>
      <c r="L114" s="267"/>
      <c r="M114" s="267"/>
      <c r="N114" s="267"/>
      <c r="O114" s="267"/>
      <c r="P114" s="267"/>
      <c r="Q114" s="267"/>
      <c r="R114" s="267"/>
      <c r="S114" s="267"/>
      <c r="T114" s="267"/>
      <c r="U114" s="267"/>
      <c r="V114" s="267"/>
      <c r="W114" s="267"/>
      <c r="X114" s="267"/>
    </row>
    <row r="115">
      <c r="A115" s="267"/>
      <c r="B115" s="87"/>
      <c r="C115" s="87"/>
      <c r="D115" s="87"/>
      <c r="E115" s="267"/>
      <c r="F115" s="87"/>
      <c r="G115" s="267"/>
      <c r="H115" s="267"/>
      <c r="I115" s="267"/>
      <c r="J115" s="267"/>
      <c r="K115" s="267"/>
      <c r="L115" s="267"/>
      <c r="M115" s="267"/>
      <c r="N115" s="267"/>
      <c r="O115" s="267"/>
      <c r="P115" s="267"/>
      <c r="Q115" s="267"/>
      <c r="R115" s="267"/>
      <c r="S115" s="267"/>
      <c r="T115" s="267"/>
      <c r="U115" s="267"/>
      <c r="V115" s="267"/>
      <c r="W115" s="267"/>
      <c r="X115" s="267"/>
    </row>
    <row r="116">
      <c r="A116" s="267"/>
      <c r="B116" s="87"/>
      <c r="C116" s="87"/>
      <c r="D116" s="87"/>
      <c r="E116" s="267"/>
      <c r="F116" s="87"/>
      <c r="G116" s="267"/>
      <c r="H116" s="267"/>
      <c r="I116" s="267"/>
      <c r="J116" s="267"/>
      <c r="K116" s="267"/>
      <c r="L116" s="267"/>
      <c r="M116" s="267"/>
      <c r="N116" s="267"/>
      <c r="O116" s="267"/>
      <c r="P116" s="267"/>
      <c r="Q116" s="267"/>
      <c r="R116" s="267"/>
      <c r="S116" s="267"/>
      <c r="T116" s="267"/>
      <c r="U116" s="267"/>
      <c r="V116" s="267"/>
      <c r="W116" s="267"/>
      <c r="X116" s="267"/>
    </row>
    <row r="117">
      <c r="A117" s="267"/>
      <c r="B117" s="87"/>
      <c r="C117" s="87"/>
      <c r="D117" s="87"/>
      <c r="E117" s="267"/>
      <c r="F117" s="87"/>
      <c r="G117" s="267"/>
      <c r="H117" s="267"/>
      <c r="I117" s="267"/>
      <c r="J117" s="267"/>
      <c r="K117" s="267"/>
      <c r="L117" s="267"/>
      <c r="M117" s="267"/>
      <c r="N117" s="267"/>
      <c r="O117" s="267"/>
      <c r="P117" s="267"/>
      <c r="Q117" s="267"/>
      <c r="R117" s="267"/>
      <c r="S117" s="267"/>
      <c r="T117" s="267"/>
      <c r="U117" s="267"/>
      <c r="V117" s="267"/>
      <c r="W117" s="267"/>
      <c r="X117" s="267"/>
    </row>
    <row r="118">
      <c r="A118" s="267"/>
      <c r="B118" s="87"/>
      <c r="C118" s="87"/>
      <c r="D118" s="87"/>
      <c r="E118" s="267"/>
      <c r="F118" s="87"/>
      <c r="G118" s="267"/>
      <c r="H118" s="267"/>
      <c r="I118" s="267"/>
      <c r="J118" s="267"/>
      <c r="K118" s="267"/>
      <c r="L118" s="267"/>
      <c r="M118" s="267"/>
      <c r="N118" s="267"/>
      <c r="O118" s="267"/>
      <c r="P118" s="267"/>
      <c r="Q118" s="267"/>
      <c r="R118" s="267"/>
      <c r="S118" s="267"/>
      <c r="T118" s="267"/>
      <c r="U118" s="267"/>
      <c r="V118" s="267"/>
      <c r="W118" s="267"/>
      <c r="X118" s="267"/>
    </row>
    <row r="119">
      <c r="A119" s="267"/>
      <c r="B119" s="87"/>
      <c r="C119" s="87"/>
      <c r="D119" s="87"/>
      <c r="E119" s="267"/>
      <c r="F119" s="87"/>
      <c r="G119" s="267"/>
      <c r="H119" s="267"/>
      <c r="I119" s="267"/>
      <c r="J119" s="267"/>
      <c r="K119" s="267"/>
      <c r="L119" s="267"/>
      <c r="M119" s="267"/>
      <c r="N119" s="267"/>
      <c r="O119" s="267"/>
      <c r="P119" s="267"/>
      <c r="Q119" s="267"/>
      <c r="R119" s="267"/>
      <c r="S119" s="267"/>
      <c r="T119" s="267"/>
      <c r="U119" s="267"/>
      <c r="V119" s="267"/>
      <c r="W119" s="267"/>
      <c r="X119" s="267"/>
    </row>
    <row r="120">
      <c r="A120" s="267"/>
      <c r="B120" s="87"/>
      <c r="C120" s="87"/>
      <c r="D120" s="87"/>
      <c r="E120" s="267"/>
      <c r="F120" s="87"/>
      <c r="G120" s="267"/>
      <c r="H120" s="267"/>
      <c r="I120" s="267"/>
      <c r="J120" s="267"/>
      <c r="K120" s="267"/>
      <c r="L120" s="267"/>
      <c r="M120" s="267"/>
      <c r="N120" s="267"/>
      <c r="O120" s="267"/>
      <c r="P120" s="267"/>
      <c r="Q120" s="267"/>
      <c r="R120" s="267"/>
      <c r="S120" s="267"/>
      <c r="T120" s="267"/>
      <c r="U120" s="267"/>
      <c r="V120" s="267"/>
      <c r="W120" s="267"/>
      <c r="X120" s="267"/>
    </row>
    <row r="121">
      <c r="A121" s="267"/>
      <c r="B121" s="87"/>
      <c r="C121" s="87"/>
      <c r="D121" s="87"/>
      <c r="E121" s="267"/>
      <c r="F121" s="87"/>
      <c r="G121" s="267"/>
      <c r="H121" s="267"/>
      <c r="I121" s="267"/>
      <c r="J121" s="267"/>
      <c r="K121" s="267"/>
      <c r="L121" s="267"/>
      <c r="M121" s="267"/>
      <c r="N121" s="267"/>
      <c r="O121" s="267"/>
      <c r="P121" s="267"/>
      <c r="Q121" s="267"/>
      <c r="R121" s="267"/>
      <c r="S121" s="267"/>
      <c r="T121" s="267"/>
      <c r="U121" s="267"/>
      <c r="V121" s="267"/>
      <c r="W121" s="267"/>
      <c r="X121" s="267"/>
    </row>
    <row r="122">
      <c r="A122" s="267"/>
      <c r="B122" s="87"/>
      <c r="C122" s="87"/>
      <c r="D122" s="87"/>
      <c r="E122" s="267"/>
      <c r="F122" s="87"/>
      <c r="G122" s="267"/>
      <c r="H122" s="267"/>
      <c r="I122" s="267"/>
      <c r="J122" s="267"/>
      <c r="K122" s="267"/>
      <c r="L122" s="267"/>
      <c r="M122" s="267"/>
      <c r="N122" s="267"/>
      <c r="O122" s="267"/>
      <c r="P122" s="267"/>
      <c r="Q122" s="267"/>
      <c r="R122" s="267"/>
      <c r="S122" s="267"/>
      <c r="T122" s="267"/>
      <c r="U122" s="267"/>
      <c r="V122" s="267"/>
      <c r="W122" s="267"/>
      <c r="X122" s="267"/>
    </row>
    <row r="123">
      <c r="A123" s="267"/>
      <c r="B123" s="87"/>
      <c r="C123" s="87"/>
      <c r="D123" s="87"/>
      <c r="E123" s="267"/>
      <c r="F123" s="87"/>
      <c r="G123" s="267"/>
      <c r="H123" s="267"/>
      <c r="I123" s="267"/>
      <c r="J123" s="267"/>
      <c r="K123" s="267"/>
      <c r="L123" s="267"/>
      <c r="M123" s="267"/>
      <c r="N123" s="267"/>
      <c r="O123" s="267"/>
      <c r="P123" s="267"/>
      <c r="Q123" s="267"/>
      <c r="R123" s="267"/>
      <c r="S123" s="267"/>
      <c r="T123" s="267"/>
      <c r="U123" s="267"/>
      <c r="V123" s="267"/>
      <c r="W123" s="267"/>
      <c r="X123" s="267"/>
    </row>
    <row r="124">
      <c r="A124" s="267"/>
      <c r="B124" s="87"/>
      <c r="C124" s="87"/>
      <c r="D124" s="87"/>
      <c r="E124" s="267"/>
      <c r="F124" s="87"/>
      <c r="G124" s="267"/>
      <c r="H124" s="267"/>
      <c r="I124" s="267"/>
      <c r="J124" s="267"/>
      <c r="K124" s="267"/>
      <c r="L124" s="267"/>
      <c r="M124" s="267"/>
      <c r="N124" s="267"/>
      <c r="O124" s="267"/>
      <c r="P124" s="267"/>
      <c r="Q124" s="267"/>
      <c r="R124" s="267"/>
      <c r="S124" s="267"/>
      <c r="T124" s="267"/>
      <c r="U124" s="267"/>
      <c r="V124" s="267"/>
      <c r="W124" s="267"/>
      <c r="X124" s="267"/>
    </row>
    <row r="125">
      <c r="A125" s="267"/>
      <c r="B125" s="87"/>
      <c r="C125" s="87"/>
      <c r="D125" s="87"/>
      <c r="E125" s="267"/>
      <c r="F125" s="87"/>
      <c r="G125" s="267"/>
      <c r="H125" s="267"/>
      <c r="I125" s="267"/>
      <c r="J125" s="267"/>
      <c r="K125" s="267"/>
      <c r="L125" s="267"/>
      <c r="M125" s="267"/>
      <c r="N125" s="267"/>
      <c r="O125" s="267"/>
      <c r="P125" s="267"/>
      <c r="Q125" s="267"/>
      <c r="R125" s="267"/>
      <c r="S125" s="267"/>
      <c r="T125" s="267"/>
      <c r="U125" s="267"/>
      <c r="V125" s="267"/>
      <c r="W125" s="267"/>
      <c r="X125" s="267"/>
    </row>
    <row r="126">
      <c r="A126" s="267"/>
      <c r="B126" s="87"/>
      <c r="C126" s="87"/>
      <c r="D126" s="87"/>
      <c r="E126" s="267"/>
      <c r="F126" s="87"/>
      <c r="G126" s="267"/>
      <c r="H126" s="267"/>
      <c r="I126" s="267"/>
      <c r="J126" s="267"/>
      <c r="K126" s="267"/>
      <c r="L126" s="267"/>
      <c r="M126" s="267"/>
      <c r="N126" s="267"/>
      <c r="O126" s="267"/>
      <c r="P126" s="267"/>
      <c r="Q126" s="267"/>
      <c r="R126" s="267"/>
      <c r="S126" s="267"/>
      <c r="T126" s="267"/>
      <c r="U126" s="267"/>
      <c r="V126" s="267"/>
      <c r="W126" s="267"/>
      <c r="X126" s="267"/>
    </row>
    <row r="127">
      <c r="A127" s="267"/>
      <c r="B127" s="87"/>
      <c r="C127" s="87"/>
      <c r="D127" s="87"/>
      <c r="E127" s="267"/>
      <c r="F127" s="87"/>
      <c r="G127" s="267"/>
      <c r="H127" s="267"/>
      <c r="I127" s="267"/>
      <c r="J127" s="267"/>
      <c r="K127" s="267"/>
      <c r="L127" s="267"/>
      <c r="M127" s="267"/>
      <c r="N127" s="267"/>
      <c r="O127" s="267"/>
      <c r="P127" s="267"/>
      <c r="Q127" s="267"/>
      <c r="R127" s="267"/>
      <c r="S127" s="267"/>
      <c r="T127" s="267"/>
      <c r="U127" s="267"/>
      <c r="V127" s="267"/>
      <c r="W127" s="267"/>
      <c r="X127" s="267"/>
    </row>
    <row r="128">
      <c r="A128" s="267"/>
      <c r="B128" s="87"/>
      <c r="C128" s="87"/>
      <c r="D128" s="87"/>
      <c r="E128" s="267"/>
      <c r="F128" s="87"/>
      <c r="G128" s="267"/>
      <c r="H128" s="267"/>
      <c r="I128" s="267"/>
      <c r="J128" s="267"/>
      <c r="K128" s="267"/>
      <c r="L128" s="267"/>
      <c r="M128" s="267"/>
      <c r="N128" s="267"/>
      <c r="O128" s="267"/>
      <c r="P128" s="267"/>
      <c r="Q128" s="267"/>
      <c r="R128" s="267"/>
      <c r="S128" s="267"/>
      <c r="T128" s="267"/>
      <c r="U128" s="267"/>
      <c r="V128" s="267"/>
      <c r="W128" s="267"/>
      <c r="X128" s="267"/>
    </row>
    <row r="129">
      <c r="A129" s="267"/>
      <c r="B129" s="87"/>
      <c r="C129" s="87"/>
      <c r="D129" s="87"/>
      <c r="E129" s="267"/>
      <c r="F129" s="87"/>
      <c r="G129" s="267"/>
      <c r="H129" s="267"/>
      <c r="I129" s="267"/>
      <c r="J129" s="267"/>
      <c r="K129" s="267"/>
      <c r="L129" s="267"/>
      <c r="M129" s="267"/>
      <c r="N129" s="267"/>
      <c r="O129" s="267"/>
      <c r="P129" s="267"/>
      <c r="Q129" s="267"/>
      <c r="R129" s="267"/>
      <c r="S129" s="267"/>
      <c r="T129" s="267"/>
      <c r="U129" s="267"/>
      <c r="V129" s="267"/>
      <c r="W129" s="267"/>
      <c r="X129" s="267"/>
    </row>
    <row r="130">
      <c r="A130" s="267"/>
      <c r="B130" s="87"/>
      <c r="C130" s="87"/>
      <c r="D130" s="87"/>
      <c r="E130" s="267"/>
      <c r="F130" s="87"/>
      <c r="G130" s="267"/>
      <c r="H130" s="267"/>
      <c r="I130" s="267"/>
      <c r="J130" s="267"/>
      <c r="K130" s="267"/>
      <c r="L130" s="267"/>
      <c r="M130" s="267"/>
      <c r="N130" s="267"/>
      <c r="O130" s="267"/>
      <c r="P130" s="267"/>
      <c r="Q130" s="267"/>
      <c r="R130" s="267"/>
      <c r="S130" s="267"/>
      <c r="T130" s="267"/>
      <c r="U130" s="267"/>
      <c r="V130" s="267"/>
      <c r="W130" s="267"/>
      <c r="X130" s="267"/>
    </row>
    <row r="131">
      <c r="A131" s="267"/>
      <c r="B131" s="87"/>
      <c r="C131" s="87"/>
      <c r="D131" s="87"/>
      <c r="E131" s="267"/>
      <c r="F131" s="87"/>
      <c r="G131" s="267"/>
      <c r="H131" s="267"/>
      <c r="I131" s="267"/>
      <c r="J131" s="267"/>
      <c r="K131" s="267"/>
      <c r="L131" s="267"/>
      <c r="M131" s="267"/>
      <c r="N131" s="267"/>
      <c r="O131" s="267"/>
      <c r="P131" s="267"/>
      <c r="Q131" s="267"/>
      <c r="R131" s="267"/>
      <c r="S131" s="267"/>
      <c r="T131" s="267"/>
      <c r="U131" s="267"/>
      <c r="V131" s="267"/>
      <c r="W131" s="267"/>
      <c r="X131" s="267"/>
    </row>
    <row r="132">
      <c r="A132" s="267"/>
      <c r="B132" s="87"/>
      <c r="C132" s="87"/>
      <c r="D132" s="87"/>
      <c r="E132" s="267"/>
      <c r="F132" s="87"/>
      <c r="G132" s="267"/>
      <c r="H132" s="267"/>
      <c r="I132" s="267"/>
      <c r="J132" s="267"/>
      <c r="K132" s="267"/>
      <c r="L132" s="267"/>
      <c r="M132" s="267"/>
      <c r="N132" s="267"/>
      <c r="O132" s="267"/>
      <c r="P132" s="267"/>
      <c r="Q132" s="267"/>
      <c r="R132" s="267"/>
      <c r="S132" s="267"/>
      <c r="T132" s="267"/>
      <c r="U132" s="267"/>
      <c r="V132" s="267"/>
      <c r="W132" s="267"/>
      <c r="X132" s="267"/>
    </row>
    <row r="133">
      <c r="A133" s="267"/>
      <c r="B133" s="87"/>
      <c r="C133" s="87"/>
      <c r="D133" s="87"/>
      <c r="E133" s="267"/>
      <c r="F133" s="87"/>
      <c r="G133" s="267"/>
      <c r="H133" s="267"/>
      <c r="I133" s="267"/>
      <c r="J133" s="267"/>
      <c r="K133" s="267"/>
      <c r="L133" s="267"/>
      <c r="M133" s="267"/>
      <c r="N133" s="267"/>
      <c r="O133" s="267"/>
      <c r="P133" s="267"/>
      <c r="Q133" s="267"/>
      <c r="R133" s="267"/>
      <c r="S133" s="267"/>
      <c r="T133" s="267"/>
      <c r="U133" s="267"/>
      <c r="V133" s="267"/>
      <c r="W133" s="267"/>
      <c r="X133" s="267"/>
    </row>
    <row r="134">
      <c r="A134" s="267"/>
      <c r="B134" s="87"/>
      <c r="C134" s="87"/>
      <c r="D134" s="87"/>
      <c r="E134" s="267"/>
      <c r="F134" s="87"/>
      <c r="G134" s="267"/>
      <c r="H134" s="267"/>
      <c r="I134" s="267"/>
      <c r="J134" s="267"/>
      <c r="K134" s="267"/>
      <c r="L134" s="267"/>
      <c r="M134" s="267"/>
      <c r="N134" s="267"/>
      <c r="O134" s="267"/>
      <c r="P134" s="267"/>
      <c r="Q134" s="267"/>
      <c r="R134" s="267"/>
      <c r="S134" s="267"/>
      <c r="T134" s="267"/>
      <c r="U134" s="267"/>
      <c r="V134" s="267"/>
      <c r="W134" s="267"/>
      <c r="X134" s="267"/>
    </row>
    <row r="135">
      <c r="A135" s="267"/>
      <c r="B135" s="87"/>
      <c r="C135" s="87"/>
      <c r="D135" s="87"/>
      <c r="E135" s="267"/>
      <c r="F135" s="87"/>
      <c r="G135" s="267"/>
      <c r="H135" s="267"/>
      <c r="I135" s="267"/>
      <c r="J135" s="267"/>
      <c r="K135" s="267"/>
      <c r="L135" s="267"/>
      <c r="M135" s="267"/>
      <c r="N135" s="267"/>
      <c r="O135" s="267"/>
      <c r="P135" s="267"/>
      <c r="Q135" s="267"/>
      <c r="R135" s="267"/>
      <c r="S135" s="267"/>
      <c r="T135" s="267"/>
      <c r="U135" s="267"/>
      <c r="V135" s="267"/>
      <c r="W135" s="267"/>
      <c r="X135" s="267"/>
    </row>
    <row r="136">
      <c r="A136" s="267"/>
      <c r="B136" s="87"/>
      <c r="C136" s="87"/>
      <c r="D136" s="87"/>
      <c r="E136" s="267"/>
      <c r="F136" s="87"/>
      <c r="G136" s="267"/>
      <c r="H136" s="267"/>
      <c r="I136" s="267"/>
      <c r="J136" s="267"/>
      <c r="K136" s="267"/>
      <c r="L136" s="267"/>
      <c r="M136" s="267"/>
      <c r="N136" s="267"/>
      <c r="O136" s="267"/>
      <c r="P136" s="267"/>
      <c r="Q136" s="267"/>
      <c r="R136" s="267"/>
      <c r="S136" s="267"/>
      <c r="T136" s="267"/>
      <c r="U136" s="267"/>
      <c r="V136" s="267"/>
      <c r="W136" s="267"/>
      <c r="X136" s="267"/>
    </row>
    <row r="137">
      <c r="A137" s="267"/>
      <c r="B137" s="87"/>
      <c r="C137" s="87"/>
      <c r="D137" s="87"/>
      <c r="E137" s="267"/>
      <c r="F137" s="87"/>
      <c r="G137" s="267"/>
      <c r="H137" s="267"/>
      <c r="I137" s="267"/>
      <c r="J137" s="267"/>
      <c r="K137" s="267"/>
      <c r="L137" s="267"/>
      <c r="M137" s="267"/>
      <c r="N137" s="267"/>
      <c r="O137" s="267"/>
      <c r="P137" s="267"/>
      <c r="Q137" s="267"/>
      <c r="R137" s="267"/>
      <c r="S137" s="267"/>
      <c r="T137" s="267"/>
      <c r="U137" s="267"/>
      <c r="V137" s="267"/>
      <c r="W137" s="267"/>
      <c r="X137" s="267"/>
    </row>
    <row r="138">
      <c r="A138" s="267"/>
      <c r="B138" s="87"/>
      <c r="C138" s="87"/>
      <c r="D138" s="87"/>
      <c r="E138" s="267"/>
      <c r="F138" s="87"/>
      <c r="G138" s="267"/>
      <c r="H138" s="267"/>
      <c r="I138" s="267"/>
      <c r="J138" s="267"/>
      <c r="K138" s="267"/>
      <c r="L138" s="267"/>
      <c r="M138" s="267"/>
      <c r="N138" s="267"/>
      <c r="O138" s="267"/>
      <c r="P138" s="267"/>
      <c r="Q138" s="267"/>
      <c r="R138" s="267"/>
      <c r="S138" s="267"/>
      <c r="T138" s="267"/>
      <c r="U138" s="267"/>
      <c r="V138" s="267"/>
      <c r="W138" s="267"/>
      <c r="X138" s="267"/>
    </row>
    <row r="139">
      <c r="A139" s="267"/>
      <c r="B139" s="87"/>
      <c r="C139" s="87"/>
      <c r="D139" s="87"/>
      <c r="E139" s="267"/>
      <c r="F139" s="87"/>
      <c r="G139" s="267"/>
      <c r="H139" s="267"/>
      <c r="I139" s="267"/>
      <c r="J139" s="267"/>
      <c r="K139" s="267"/>
      <c r="L139" s="267"/>
      <c r="M139" s="267"/>
      <c r="N139" s="267"/>
      <c r="O139" s="267"/>
      <c r="P139" s="267"/>
      <c r="Q139" s="267"/>
      <c r="R139" s="267"/>
      <c r="S139" s="267"/>
      <c r="T139" s="267"/>
      <c r="U139" s="267"/>
      <c r="V139" s="267"/>
      <c r="W139" s="267"/>
      <c r="X139" s="267"/>
    </row>
    <row r="140">
      <c r="A140" s="267"/>
      <c r="B140" s="87"/>
      <c r="C140" s="87"/>
      <c r="D140" s="87"/>
      <c r="E140" s="267"/>
      <c r="F140" s="87"/>
      <c r="G140" s="267"/>
      <c r="H140" s="267"/>
      <c r="I140" s="267"/>
      <c r="J140" s="267"/>
      <c r="K140" s="267"/>
      <c r="L140" s="267"/>
      <c r="M140" s="267"/>
      <c r="N140" s="267"/>
      <c r="O140" s="267"/>
      <c r="P140" s="267"/>
      <c r="Q140" s="267"/>
      <c r="R140" s="267"/>
      <c r="S140" s="267"/>
      <c r="T140" s="267"/>
      <c r="U140" s="267"/>
      <c r="V140" s="267"/>
      <c r="W140" s="267"/>
      <c r="X140" s="267"/>
    </row>
    <row r="141">
      <c r="A141" s="267"/>
      <c r="B141" s="87"/>
      <c r="C141" s="87"/>
      <c r="D141" s="87"/>
      <c r="E141" s="267"/>
      <c r="F141" s="87"/>
      <c r="G141" s="267"/>
      <c r="H141" s="267"/>
      <c r="I141" s="267"/>
      <c r="J141" s="267"/>
      <c r="K141" s="267"/>
      <c r="L141" s="267"/>
      <c r="M141" s="267"/>
      <c r="N141" s="267"/>
      <c r="O141" s="267"/>
      <c r="P141" s="267"/>
      <c r="Q141" s="267"/>
      <c r="R141" s="267"/>
      <c r="S141" s="267"/>
      <c r="T141" s="267"/>
      <c r="U141" s="267"/>
      <c r="V141" s="267"/>
      <c r="W141" s="267"/>
      <c r="X141" s="267"/>
    </row>
    <row r="142">
      <c r="A142" s="267"/>
      <c r="B142" s="87"/>
      <c r="C142" s="87"/>
      <c r="D142" s="87"/>
      <c r="E142" s="267"/>
      <c r="F142" s="87"/>
      <c r="G142" s="267"/>
      <c r="H142" s="267"/>
      <c r="I142" s="267"/>
      <c r="J142" s="267"/>
      <c r="K142" s="267"/>
      <c r="L142" s="267"/>
      <c r="M142" s="267"/>
      <c r="N142" s="267"/>
      <c r="O142" s="267"/>
      <c r="P142" s="267"/>
      <c r="Q142" s="267"/>
      <c r="R142" s="267"/>
      <c r="S142" s="267"/>
      <c r="T142" s="267"/>
      <c r="U142" s="267"/>
      <c r="V142" s="267"/>
      <c r="W142" s="267"/>
      <c r="X142" s="267"/>
    </row>
    <row r="143">
      <c r="A143" s="267"/>
      <c r="B143" s="87"/>
      <c r="C143" s="87"/>
      <c r="D143" s="87"/>
      <c r="E143" s="267"/>
      <c r="F143" s="87"/>
      <c r="G143" s="267"/>
      <c r="H143" s="267"/>
      <c r="I143" s="267"/>
      <c r="J143" s="267"/>
      <c r="K143" s="267"/>
      <c r="L143" s="267"/>
      <c r="M143" s="267"/>
      <c r="N143" s="267"/>
      <c r="O143" s="267"/>
      <c r="P143" s="267"/>
      <c r="Q143" s="267"/>
      <c r="R143" s="267"/>
      <c r="S143" s="267"/>
      <c r="T143" s="267"/>
      <c r="U143" s="267"/>
      <c r="V143" s="267"/>
      <c r="W143" s="267"/>
      <c r="X143" s="267"/>
    </row>
    <row r="144">
      <c r="A144" s="267"/>
      <c r="B144" s="87"/>
      <c r="C144" s="87"/>
      <c r="D144" s="87"/>
      <c r="E144" s="267"/>
      <c r="F144" s="87"/>
      <c r="G144" s="267"/>
      <c r="H144" s="267"/>
      <c r="I144" s="267"/>
      <c r="J144" s="267"/>
      <c r="K144" s="267"/>
      <c r="L144" s="267"/>
      <c r="M144" s="267"/>
      <c r="N144" s="267"/>
      <c r="O144" s="267"/>
      <c r="P144" s="267"/>
      <c r="Q144" s="267"/>
      <c r="R144" s="267"/>
      <c r="S144" s="267"/>
      <c r="T144" s="267"/>
      <c r="U144" s="267"/>
      <c r="V144" s="267"/>
      <c r="W144" s="267"/>
      <c r="X144" s="267"/>
    </row>
    <row r="145">
      <c r="A145" s="267"/>
      <c r="B145" s="87"/>
      <c r="C145" s="87"/>
      <c r="D145" s="87"/>
      <c r="E145" s="267"/>
      <c r="F145" s="87"/>
      <c r="G145" s="267"/>
      <c r="H145" s="267"/>
      <c r="I145" s="267"/>
      <c r="J145" s="267"/>
      <c r="K145" s="267"/>
      <c r="L145" s="267"/>
      <c r="M145" s="267"/>
      <c r="N145" s="267"/>
      <c r="O145" s="267"/>
      <c r="P145" s="267"/>
      <c r="Q145" s="267"/>
      <c r="R145" s="267"/>
      <c r="S145" s="267"/>
      <c r="T145" s="267"/>
      <c r="U145" s="267"/>
      <c r="V145" s="267"/>
      <c r="W145" s="267"/>
      <c r="X145" s="267"/>
    </row>
    <row r="146">
      <c r="A146" s="267"/>
      <c r="B146" s="87"/>
      <c r="C146" s="87"/>
      <c r="D146" s="87"/>
      <c r="E146" s="267"/>
      <c r="F146" s="87"/>
      <c r="G146" s="267"/>
      <c r="H146" s="267"/>
      <c r="I146" s="267"/>
      <c r="J146" s="267"/>
      <c r="K146" s="267"/>
      <c r="L146" s="267"/>
      <c r="M146" s="267"/>
      <c r="N146" s="267"/>
      <c r="O146" s="267"/>
      <c r="P146" s="267"/>
      <c r="Q146" s="267"/>
      <c r="R146" s="267"/>
      <c r="S146" s="267"/>
      <c r="T146" s="267"/>
      <c r="U146" s="267"/>
      <c r="V146" s="267"/>
      <c r="W146" s="267"/>
      <c r="X146" s="267"/>
    </row>
    <row r="147">
      <c r="A147" s="267"/>
      <c r="B147" s="87"/>
      <c r="C147" s="87"/>
      <c r="D147" s="87"/>
      <c r="E147" s="267"/>
      <c r="F147" s="87"/>
      <c r="G147" s="267"/>
      <c r="H147" s="267"/>
      <c r="I147" s="267"/>
      <c r="J147" s="267"/>
      <c r="K147" s="267"/>
      <c r="L147" s="267"/>
      <c r="M147" s="267"/>
      <c r="N147" s="267"/>
      <c r="O147" s="267"/>
      <c r="P147" s="267"/>
      <c r="Q147" s="267"/>
      <c r="R147" s="267"/>
      <c r="S147" s="267"/>
      <c r="T147" s="267"/>
      <c r="U147" s="267"/>
      <c r="V147" s="267"/>
      <c r="W147" s="267"/>
      <c r="X147" s="267"/>
    </row>
    <row r="148">
      <c r="A148" s="267"/>
      <c r="B148" s="87"/>
      <c r="C148" s="87"/>
      <c r="D148" s="87"/>
      <c r="E148" s="267"/>
      <c r="F148" s="87"/>
      <c r="G148" s="267"/>
      <c r="H148" s="267"/>
      <c r="I148" s="267"/>
      <c r="J148" s="267"/>
      <c r="K148" s="267"/>
      <c r="L148" s="267"/>
      <c r="M148" s="267"/>
      <c r="N148" s="267"/>
      <c r="O148" s="267"/>
      <c r="P148" s="267"/>
      <c r="Q148" s="267"/>
      <c r="R148" s="267"/>
      <c r="S148" s="267"/>
      <c r="T148" s="267"/>
      <c r="U148" s="267"/>
      <c r="V148" s="267"/>
      <c r="W148" s="267"/>
      <c r="X148" s="267"/>
    </row>
    <row r="149">
      <c r="A149" s="267"/>
      <c r="B149" s="87"/>
      <c r="C149" s="87"/>
      <c r="D149" s="87"/>
      <c r="E149" s="267"/>
      <c r="F149" s="87"/>
      <c r="G149" s="267"/>
      <c r="H149" s="267"/>
      <c r="I149" s="267"/>
      <c r="J149" s="267"/>
      <c r="K149" s="267"/>
      <c r="L149" s="267"/>
      <c r="M149" s="267"/>
      <c r="N149" s="267"/>
      <c r="O149" s="267"/>
      <c r="P149" s="267"/>
      <c r="Q149" s="267"/>
      <c r="R149" s="267"/>
      <c r="S149" s="267"/>
      <c r="T149" s="267"/>
      <c r="U149" s="267"/>
      <c r="V149" s="267"/>
      <c r="W149" s="267"/>
      <c r="X149" s="267"/>
    </row>
    <row r="150">
      <c r="A150" s="267"/>
      <c r="B150" s="87"/>
      <c r="C150" s="87"/>
      <c r="D150" s="87"/>
      <c r="E150" s="267"/>
      <c r="F150" s="87"/>
      <c r="G150" s="267"/>
      <c r="H150" s="267"/>
      <c r="I150" s="267"/>
      <c r="J150" s="267"/>
      <c r="K150" s="267"/>
      <c r="L150" s="267"/>
      <c r="M150" s="267"/>
      <c r="N150" s="267"/>
      <c r="O150" s="267"/>
      <c r="P150" s="267"/>
      <c r="Q150" s="267"/>
      <c r="R150" s="267"/>
      <c r="S150" s="267"/>
      <c r="T150" s="267"/>
      <c r="U150" s="267"/>
      <c r="V150" s="267"/>
      <c r="W150" s="267"/>
      <c r="X150" s="267"/>
    </row>
    <row r="151">
      <c r="A151" s="267"/>
      <c r="B151" s="87"/>
      <c r="C151" s="87"/>
      <c r="D151" s="87"/>
      <c r="E151" s="267"/>
      <c r="F151" s="87"/>
      <c r="G151" s="267"/>
      <c r="H151" s="267"/>
      <c r="I151" s="267"/>
      <c r="J151" s="267"/>
      <c r="K151" s="267"/>
      <c r="L151" s="267"/>
      <c r="M151" s="267"/>
      <c r="N151" s="267"/>
      <c r="O151" s="267"/>
      <c r="P151" s="267"/>
      <c r="Q151" s="267"/>
      <c r="R151" s="267"/>
      <c r="S151" s="267"/>
      <c r="T151" s="267"/>
      <c r="U151" s="267"/>
      <c r="V151" s="267"/>
      <c r="W151" s="267"/>
      <c r="X151" s="267"/>
    </row>
    <row r="152">
      <c r="A152" s="267"/>
      <c r="B152" s="87"/>
      <c r="C152" s="87"/>
      <c r="D152" s="87"/>
      <c r="E152" s="267"/>
      <c r="F152" s="87"/>
      <c r="G152" s="267"/>
      <c r="H152" s="267"/>
      <c r="I152" s="267"/>
      <c r="J152" s="267"/>
      <c r="K152" s="267"/>
      <c r="L152" s="267"/>
      <c r="M152" s="267"/>
      <c r="N152" s="267"/>
      <c r="O152" s="267"/>
      <c r="P152" s="267"/>
      <c r="Q152" s="267"/>
      <c r="R152" s="267"/>
      <c r="S152" s="267"/>
      <c r="T152" s="267"/>
      <c r="U152" s="267"/>
      <c r="V152" s="267"/>
      <c r="W152" s="267"/>
      <c r="X152" s="267"/>
    </row>
    <row r="153">
      <c r="A153" s="267"/>
      <c r="B153" s="87"/>
      <c r="C153" s="87"/>
      <c r="D153" s="87"/>
      <c r="E153" s="267"/>
      <c r="F153" s="87"/>
      <c r="G153" s="267"/>
      <c r="H153" s="267"/>
      <c r="I153" s="267"/>
      <c r="J153" s="267"/>
      <c r="K153" s="267"/>
      <c r="L153" s="267"/>
      <c r="M153" s="267"/>
      <c r="N153" s="267"/>
      <c r="O153" s="267"/>
      <c r="P153" s="267"/>
      <c r="Q153" s="267"/>
      <c r="R153" s="267"/>
      <c r="S153" s="267"/>
      <c r="T153" s="267"/>
      <c r="U153" s="267"/>
      <c r="V153" s="267"/>
      <c r="W153" s="267"/>
      <c r="X153" s="267"/>
    </row>
    <row r="154">
      <c r="A154" s="267"/>
      <c r="B154" s="87"/>
      <c r="C154" s="87"/>
      <c r="D154" s="87"/>
      <c r="E154" s="267"/>
      <c r="F154" s="87"/>
      <c r="G154" s="267"/>
      <c r="H154" s="267"/>
      <c r="I154" s="267"/>
      <c r="J154" s="267"/>
      <c r="K154" s="267"/>
      <c r="L154" s="267"/>
      <c r="M154" s="267"/>
      <c r="N154" s="267"/>
      <c r="O154" s="267"/>
      <c r="P154" s="267"/>
      <c r="Q154" s="267"/>
      <c r="R154" s="267"/>
      <c r="S154" s="267"/>
      <c r="T154" s="267"/>
      <c r="U154" s="267"/>
      <c r="V154" s="267"/>
      <c r="W154" s="267"/>
      <c r="X154" s="267"/>
    </row>
    <row r="155">
      <c r="A155" s="267"/>
      <c r="B155" s="87"/>
      <c r="C155" s="87"/>
      <c r="D155" s="87"/>
      <c r="E155" s="267"/>
      <c r="F155" s="87"/>
      <c r="G155" s="267"/>
      <c r="H155" s="267"/>
      <c r="I155" s="267"/>
      <c r="J155" s="267"/>
      <c r="K155" s="267"/>
      <c r="L155" s="267"/>
      <c r="M155" s="267"/>
      <c r="N155" s="267"/>
      <c r="O155" s="267"/>
      <c r="P155" s="267"/>
      <c r="Q155" s="267"/>
      <c r="R155" s="267"/>
      <c r="S155" s="267"/>
      <c r="T155" s="267"/>
      <c r="U155" s="267"/>
      <c r="V155" s="267"/>
      <c r="W155" s="267"/>
      <c r="X155" s="267"/>
    </row>
    <row r="156">
      <c r="A156" s="267"/>
      <c r="B156" s="87"/>
      <c r="C156" s="87"/>
      <c r="D156" s="87"/>
      <c r="E156" s="267"/>
      <c r="F156" s="87"/>
      <c r="G156" s="267"/>
      <c r="H156" s="267"/>
      <c r="I156" s="267"/>
      <c r="J156" s="267"/>
      <c r="K156" s="267"/>
      <c r="L156" s="267"/>
      <c r="M156" s="267"/>
      <c r="N156" s="267"/>
      <c r="O156" s="267"/>
      <c r="P156" s="267"/>
      <c r="Q156" s="267"/>
      <c r="R156" s="267"/>
      <c r="S156" s="267"/>
      <c r="T156" s="267"/>
      <c r="U156" s="267"/>
      <c r="V156" s="267"/>
      <c r="W156" s="267"/>
      <c r="X156" s="267"/>
    </row>
    <row r="157">
      <c r="A157" s="267"/>
      <c r="B157" s="87"/>
      <c r="C157" s="87"/>
      <c r="D157" s="87"/>
      <c r="E157" s="267"/>
      <c r="F157" s="87"/>
      <c r="G157" s="267"/>
      <c r="H157" s="267"/>
      <c r="I157" s="267"/>
      <c r="J157" s="267"/>
      <c r="K157" s="267"/>
      <c r="L157" s="267"/>
      <c r="M157" s="267"/>
      <c r="N157" s="267"/>
      <c r="O157" s="267"/>
      <c r="P157" s="267"/>
      <c r="Q157" s="267"/>
      <c r="R157" s="267"/>
      <c r="S157" s="267"/>
      <c r="T157" s="267"/>
      <c r="U157" s="267"/>
      <c r="V157" s="267"/>
      <c r="W157" s="267"/>
      <c r="X157" s="267"/>
    </row>
    <row r="158">
      <c r="A158" s="267"/>
      <c r="B158" s="87"/>
      <c r="C158" s="87"/>
      <c r="D158" s="87"/>
      <c r="E158" s="267"/>
      <c r="F158" s="87"/>
      <c r="G158" s="267"/>
      <c r="H158" s="267"/>
      <c r="I158" s="267"/>
      <c r="J158" s="267"/>
      <c r="K158" s="267"/>
      <c r="L158" s="267"/>
      <c r="M158" s="267"/>
      <c r="N158" s="267"/>
      <c r="O158" s="267"/>
      <c r="P158" s="267"/>
      <c r="Q158" s="267"/>
      <c r="R158" s="267"/>
      <c r="S158" s="267"/>
      <c r="T158" s="267"/>
      <c r="U158" s="267"/>
      <c r="V158" s="267"/>
      <c r="W158" s="267"/>
      <c r="X158" s="267"/>
    </row>
    <row r="159">
      <c r="A159" s="267"/>
      <c r="B159" s="87"/>
      <c r="C159" s="87"/>
      <c r="D159" s="87"/>
      <c r="E159" s="267"/>
      <c r="F159" s="87"/>
      <c r="G159" s="267"/>
      <c r="H159" s="267"/>
      <c r="I159" s="267"/>
      <c r="J159" s="267"/>
      <c r="K159" s="267"/>
      <c r="L159" s="267"/>
      <c r="M159" s="267"/>
      <c r="N159" s="267"/>
      <c r="O159" s="267"/>
      <c r="P159" s="267"/>
      <c r="Q159" s="267"/>
      <c r="R159" s="267"/>
      <c r="S159" s="267"/>
      <c r="T159" s="267"/>
      <c r="U159" s="267"/>
      <c r="V159" s="267"/>
      <c r="W159" s="267"/>
      <c r="X159" s="267"/>
    </row>
    <row r="160">
      <c r="A160" s="267"/>
      <c r="B160" s="87"/>
      <c r="C160" s="87"/>
      <c r="D160" s="87"/>
      <c r="E160" s="267"/>
      <c r="F160" s="87"/>
      <c r="G160" s="267"/>
      <c r="H160" s="267"/>
      <c r="I160" s="267"/>
      <c r="J160" s="267"/>
      <c r="K160" s="267"/>
      <c r="L160" s="267"/>
      <c r="M160" s="267"/>
      <c r="N160" s="267"/>
      <c r="O160" s="267"/>
      <c r="P160" s="267"/>
      <c r="Q160" s="267"/>
      <c r="R160" s="267"/>
      <c r="S160" s="267"/>
      <c r="T160" s="267"/>
      <c r="U160" s="267"/>
      <c r="V160" s="267"/>
      <c r="W160" s="267"/>
      <c r="X160" s="267"/>
    </row>
    <row r="161">
      <c r="A161" s="267"/>
      <c r="B161" s="87"/>
      <c r="C161" s="87"/>
      <c r="D161" s="87"/>
      <c r="E161" s="267"/>
      <c r="F161" s="87"/>
      <c r="G161" s="267"/>
      <c r="H161" s="267"/>
      <c r="I161" s="267"/>
      <c r="J161" s="267"/>
      <c r="K161" s="267"/>
      <c r="L161" s="267"/>
      <c r="M161" s="267"/>
      <c r="N161" s="267"/>
      <c r="O161" s="267"/>
      <c r="P161" s="267"/>
      <c r="Q161" s="267"/>
      <c r="R161" s="267"/>
      <c r="S161" s="267"/>
      <c r="T161" s="267"/>
      <c r="U161" s="267"/>
      <c r="V161" s="267"/>
      <c r="W161" s="267"/>
      <c r="X161" s="267"/>
    </row>
    <row r="162">
      <c r="A162" s="267"/>
      <c r="B162" s="87"/>
      <c r="C162" s="87"/>
      <c r="D162" s="87"/>
      <c r="E162" s="267"/>
      <c r="F162" s="87"/>
      <c r="G162" s="267"/>
      <c r="H162" s="267"/>
      <c r="I162" s="267"/>
      <c r="J162" s="267"/>
      <c r="K162" s="267"/>
      <c r="L162" s="267"/>
      <c r="M162" s="267"/>
      <c r="N162" s="267"/>
      <c r="O162" s="267"/>
      <c r="P162" s="267"/>
      <c r="Q162" s="267"/>
      <c r="R162" s="267"/>
      <c r="S162" s="267"/>
      <c r="T162" s="267"/>
      <c r="U162" s="267"/>
      <c r="V162" s="267"/>
      <c r="W162" s="267"/>
      <c r="X162" s="267"/>
    </row>
    <row r="163">
      <c r="A163" s="267"/>
      <c r="B163" s="87"/>
      <c r="C163" s="87"/>
      <c r="D163" s="87"/>
      <c r="E163" s="267"/>
      <c r="F163" s="87"/>
      <c r="G163" s="267"/>
      <c r="H163" s="267"/>
      <c r="I163" s="267"/>
      <c r="J163" s="267"/>
      <c r="K163" s="267"/>
      <c r="L163" s="267"/>
      <c r="M163" s="267"/>
      <c r="N163" s="267"/>
      <c r="O163" s="267"/>
      <c r="P163" s="267"/>
      <c r="Q163" s="267"/>
      <c r="R163" s="267"/>
      <c r="S163" s="267"/>
      <c r="T163" s="267"/>
      <c r="U163" s="267"/>
      <c r="V163" s="267"/>
      <c r="W163" s="267"/>
      <c r="X163" s="267"/>
    </row>
    <row r="164">
      <c r="A164" s="267"/>
      <c r="B164" s="87"/>
      <c r="C164" s="87"/>
      <c r="D164" s="87"/>
      <c r="E164" s="267"/>
      <c r="F164" s="87"/>
      <c r="G164" s="267"/>
      <c r="H164" s="267"/>
      <c r="I164" s="267"/>
      <c r="J164" s="267"/>
      <c r="K164" s="267"/>
      <c r="L164" s="267"/>
      <c r="M164" s="267"/>
      <c r="N164" s="267"/>
      <c r="O164" s="267"/>
      <c r="P164" s="267"/>
      <c r="Q164" s="267"/>
      <c r="R164" s="267"/>
      <c r="S164" s="267"/>
      <c r="T164" s="267"/>
      <c r="U164" s="267"/>
      <c r="V164" s="267"/>
      <c r="W164" s="267"/>
      <c r="X164" s="267"/>
    </row>
    <row r="165">
      <c r="A165" s="267"/>
      <c r="B165" s="87"/>
      <c r="C165" s="87"/>
      <c r="D165" s="87"/>
      <c r="E165" s="267"/>
      <c r="F165" s="87"/>
      <c r="G165" s="267"/>
      <c r="H165" s="267"/>
      <c r="I165" s="267"/>
      <c r="J165" s="267"/>
      <c r="K165" s="267"/>
      <c r="L165" s="267"/>
      <c r="M165" s="267"/>
      <c r="N165" s="267"/>
      <c r="O165" s="267"/>
      <c r="P165" s="267"/>
      <c r="Q165" s="267"/>
      <c r="R165" s="267"/>
      <c r="S165" s="267"/>
      <c r="T165" s="267"/>
      <c r="U165" s="267"/>
      <c r="V165" s="267"/>
      <c r="W165" s="267"/>
      <c r="X165" s="267"/>
    </row>
    <row r="166">
      <c r="A166" s="267"/>
      <c r="B166" s="87"/>
      <c r="C166" s="87"/>
      <c r="D166" s="87"/>
      <c r="E166" s="267"/>
      <c r="F166" s="87"/>
      <c r="G166" s="267"/>
      <c r="H166" s="267"/>
      <c r="I166" s="267"/>
      <c r="J166" s="267"/>
      <c r="K166" s="267"/>
      <c r="L166" s="267"/>
      <c r="M166" s="267"/>
      <c r="N166" s="267"/>
      <c r="O166" s="267"/>
      <c r="P166" s="267"/>
      <c r="Q166" s="267"/>
      <c r="R166" s="267"/>
      <c r="S166" s="267"/>
      <c r="T166" s="267"/>
      <c r="U166" s="267"/>
      <c r="V166" s="267"/>
      <c r="W166" s="267"/>
      <c r="X166" s="267"/>
    </row>
    <row r="167">
      <c r="A167" s="267"/>
      <c r="B167" s="87"/>
      <c r="C167" s="87"/>
      <c r="D167" s="87"/>
      <c r="E167" s="267"/>
      <c r="F167" s="87"/>
      <c r="G167" s="267"/>
      <c r="H167" s="267"/>
      <c r="I167" s="267"/>
      <c r="J167" s="267"/>
      <c r="K167" s="267"/>
      <c r="L167" s="267"/>
      <c r="M167" s="267"/>
      <c r="N167" s="267"/>
      <c r="O167" s="267"/>
      <c r="P167" s="267"/>
      <c r="Q167" s="267"/>
      <c r="R167" s="267"/>
      <c r="S167" s="267"/>
      <c r="T167" s="267"/>
      <c r="U167" s="267"/>
      <c r="V167" s="267"/>
      <c r="W167" s="267"/>
      <c r="X167" s="267"/>
    </row>
    <row r="168">
      <c r="A168" s="267"/>
      <c r="B168" s="87"/>
      <c r="C168" s="87"/>
      <c r="D168" s="87"/>
      <c r="E168" s="267"/>
      <c r="F168" s="87"/>
      <c r="G168" s="267"/>
      <c r="H168" s="267"/>
      <c r="I168" s="267"/>
      <c r="J168" s="267"/>
      <c r="K168" s="267"/>
      <c r="L168" s="267"/>
      <c r="M168" s="267"/>
      <c r="N168" s="267"/>
      <c r="O168" s="267"/>
      <c r="P168" s="267"/>
      <c r="Q168" s="267"/>
      <c r="R168" s="267"/>
      <c r="S168" s="267"/>
      <c r="T168" s="267"/>
      <c r="U168" s="267"/>
      <c r="V168" s="267"/>
      <c r="W168" s="267"/>
      <c r="X168" s="267"/>
    </row>
    <row r="169">
      <c r="A169" s="267"/>
      <c r="B169" s="87"/>
      <c r="C169" s="87"/>
      <c r="D169" s="87"/>
      <c r="E169" s="267"/>
      <c r="F169" s="87"/>
      <c r="G169" s="267"/>
      <c r="H169" s="267"/>
      <c r="I169" s="267"/>
      <c r="J169" s="267"/>
      <c r="K169" s="267"/>
      <c r="L169" s="267"/>
      <c r="M169" s="267"/>
      <c r="N169" s="267"/>
      <c r="O169" s="267"/>
      <c r="P169" s="267"/>
      <c r="Q169" s="267"/>
      <c r="R169" s="267"/>
      <c r="S169" s="267"/>
      <c r="T169" s="267"/>
      <c r="U169" s="267"/>
      <c r="V169" s="267"/>
      <c r="W169" s="267"/>
      <c r="X169" s="267"/>
    </row>
    <row r="170">
      <c r="A170" s="267"/>
      <c r="B170" s="87"/>
      <c r="C170" s="87"/>
      <c r="D170" s="87"/>
      <c r="E170" s="267"/>
      <c r="F170" s="87"/>
      <c r="G170" s="267"/>
      <c r="H170" s="267"/>
      <c r="I170" s="267"/>
      <c r="J170" s="267"/>
      <c r="K170" s="267"/>
      <c r="L170" s="267"/>
      <c r="M170" s="267"/>
      <c r="N170" s="267"/>
      <c r="O170" s="267"/>
      <c r="P170" s="267"/>
      <c r="Q170" s="267"/>
      <c r="R170" s="267"/>
      <c r="S170" s="267"/>
      <c r="T170" s="267"/>
      <c r="U170" s="267"/>
      <c r="V170" s="267"/>
      <c r="W170" s="267"/>
      <c r="X170" s="267"/>
    </row>
    <row r="171">
      <c r="A171" s="267"/>
      <c r="B171" s="87"/>
      <c r="C171" s="87"/>
      <c r="D171" s="87"/>
      <c r="E171" s="267"/>
      <c r="F171" s="87"/>
      <c r="G171" s="267"/>
      <c r="H171" s="267"/>
      <c r="I171" s="267"/>
      <c r="J171" s="267"/>
      <c r="K171" s="267"/>
      <c r="L171" s="267"/>
      <c r="M171" s="267"/>
      <c r="N171" s="267"/>
      <c r="O171" s="267"/>
      <c r="P171" s="267"/>
      <c r="Q171" s="267"/>
      <c r="R171" s="267"/>
      <c r="S171" s="267"/>
      <c r="T171" s="267"/>
      <c r="U171" s="267"/>
      <c r="V171" s="267"/>
      <c r="W171" s="267"/>
      <c r="X171" s="267"/>
    </row>
    <row r="172">
      <c r="A172" s="267"/>
      <c r="B172" s="87"/>
      <c r="C172" s="87"/>
      <c r="D172" s="87"/>
      <c r="E172" s="267"/>
      <c r="F172" s="87"/>
      <c r="G172" s="267"/>
      <c r="H172" s="267"/>
      <c r="I172" s="267"/>
      <c r="J172" s="267"/>
      <c r="K172" s="267"/>
      <c r="L172" s="267"/>
      <c r="M172" s="267"/>
      <c r="N172" s="267"/>
      <c r="O172" s="267"/>
      <c r="P172" s="267"/>
      <c r="Q172" s="267"/>
      <c r="R172" s="267"/>
      <c r="S172" s="267"/>
      <c r="T172" s="267"/>
      <c r="U172" s="267"/>
      <c r="V172" s="267"/>
      <c r="W172" s="267"/>
      <c r="X172" s="267"/>
    </row>
    <row r="173">
      <c r="A173" s="267"/>
      <c r="B173" s="87"/>
      <c r="C173" s="87"/>
      <c r="D173" s="87"/>
      <c r="E173" s="267"/>
      <c r="F173" s="87"/>
      <c r="G173" s="267"/>
      <c r="H173" s="267"/>
      <c r="I173" s="267"/>
      <c r="J173" s="267"/>
      <c r="K173" s="267"/>
      <c r="L173" s="267"/>
      <c r="M173" s="267"/>
      <c r="N173" s="267"/>
      <c r="O173" s="267"/>
      <c r="P173" s="267"/>
      <c r="Q173" s="267"/>
      <c r="R173" s="267"/>
      <c r="S173" s="267"/>
      <c r="T173" s="267"/>
      <c r="U173" s="267"/>
      <c r="V173" s="267"/>
      <c r="W173" s="267"/>
      <c r="X173" s="267"/>
    </row>
    <row r="174">
      <c r="A174" s="267"/>
      <c r="B174" s="87"/>
      <c r="C174" s="87"/>
      <c r="D174" s="87"/>
      <c r="E174" s="267"/>
      <c r="F174" s="87"/>
      <c r="G174" s="267"/>
      <c r="H174" s="267"/>
      <c r="I174" s="267"/>
      <c r="J174" s="267"/>
      <c r="K174" s="267"/>
      <c r="L174" s="267"/>
      <c r="M174" s="267"/>
      <c r="N174" s="267"/>
      <c r="O174" s="267"/>
      <c r="P174" s="267"/>
      <c r="Q174" s="267"/>
      <c r="R174" s="267"/>
      <c r="S174" s="267"/>
      <c r="T174" s="267"/>
      <c r="U174" s="267"/>
      <c r="V174" s="267"/>
      <c r="W174" s="267"/>
      <c r="X174" s="267"/>
    </row>
    <row r="175">
      <c r="A175" s="267"/>
      <c r="B175" s="87"/>
      <c r="C175" s="87"/>
      <c r="D175" s="87"/>
      <c r="E175" s="267"/>
      <c r="F175" s="87"/>
      <c r="G175" s="267"/>
      <c r="H175" s="267"/>
      <c r="I175" s="267"/>
      <c r="J175" s="267"/>
      <c r="K175" s="267"/>
      <c r="L175" s="267"/>
      <c r="M175" s="267"/>
      <c r="N175" s="267"/>
      <c r="O175" s="267"/>
      <c r="P175" s="267"/>
      <c r="Q175" s="267"/>
      <c r="R175" s="267"/>
      <c r="S175" s="267"/>
      <c r="T175" s="267"/>
      <c r="U175" s="267"/>
      <c r="V175" s="267"/>
      <c r="W175" s="267"/>
      <c r="X175" s="267"/>
    </row>
    <row r="176">
      <c r="A176" s="267"/>
      <c r="B176" s="87"/>
      <c r="C176" s="87"/>
      <c r="D176" s="87"/>
      <c r="E176" s="267"/>
      <c r="F176" s="87"/>
      <c r="G176" s="267"/>
      <c r="H176" s="267"/>
      <c r="I176" s="267"/>
      <c r="J176" s="267"/>
      <c r="K176" s="267"/>
      <c r="L176" s="267"/>
      <c r="M176" s="267"/>
      <c r="N176" s="267"/>
      <c r="O176" s="267"/>
      <c r="P176" s="267"/>
      <c r="Q176" s="267"/>
      <c r="R176" s="267"/>
      <c r="S176" s="267"/>
      <c r="T176" s="267"/>
      <c r="U176" s="267"/>
      <c r="V176" s="267"/>
      <c r="W176" s="267"/>
      <c r="X176" s="267"/>
    </row>
    <row r="177">
      <c r="A177" s="267"/>
      <c r="B177" s="87"/>
      <c r="C177" s="87"/>
      <c r="D177" s="87"/>
      <c r="E177" s="267"/>
      <c r="F177" s="87"/>
      <c r="G177" s="267"/>
      <c r="H177" s="267"/>
      <c r="I177" s="267"/>
      <c r="J177" s="267"/>
      <c r="K177" s="267"/>
      <c r="L177" s="267"/>
      <c r="M177" s="267"/>
      <c r="N177" s="267"/>
      <c r="O177" s="267"/>
      <c r="P177" s="267"/>
      <c r="Q177" s="267"/>
      <c r="R177" s="267"/>
      <c r="S177" s="267"/>
      <c r="T177" s="267"/>
      <c r="U177" s="267"/>
      <c r="V177" s="267"/>
      <c r="W177" s="267"/>
      <c r="X177" s="267"/>
    </row>
    <row r="178">
      <c r="A178" s="267"/>
      <c r="B178" s="87"/>
      <c r="C178" s="87"/>
      <c r="D178" s="87"/>
      <c r="E178" s="267"/>
      <c r="F178" s="87"/>
      <c r="G178" s="267"/>
      <c r="H178" s="267"/>
      <c r="I178" s="267"/>
      <c r="J178" s="267"/>
      <c r="K178" s="267"/>
      <c r="L178" s="267"/>
      <c r="M178" s="267"/>
      <c r="N178" s="267"/>
      <c r="O178" s="267"/>
      <c r="P178" s="267"/>
      <c r="Q178" s="267"/>
      <c r="R178" s="267"/>
      <c r="S178" s="267"/>
      <c r="T178" s="267"/>
      <c r="U178" s="267"/>
      <c r="V178" s="267"/>
      <c r="W178" s="267"/>
      <c r="X178" s="267"/>
    </row>
    <row r="179">
      <c r="A179" s="267"/>
      <c r="B179" s="87"/>
      <c r="C179" s="87"/>
      <c r="D179" s="87"/>
      <c r="E179" s="267"/>
      <c r="F179" s="87"/>
      <c r="G179" s="267"/>
      <c r="H179" s="267"/>
      <c r="I179" s="267"/>
      <c r="J179" s="267"/>
      <c r="K179" s="267"/>
      <c r="L179" s="267"/>
      <c r="M179" s="267"/>
      <c r="N179" s="267"/>
      <c r="O179" s="267"/>
      <c r="P179" s="267"/>
      <c r="Q179" s="267"/>
      <c r="R179" s="267"/>
      <c r="S179" s="267"/>
      <c r="T179" s="267"/>
      <c r="U179" s="267"/>
      <c r="V179" s="267"/>
      <c r="W179" s="267"/>
      <c r="X179" s="267"/>
    </row>
    <row r="180">
      <c r="A180" s="267"/>
      <c r="B180" s="87"/>
      <c r="C180" s="87"/>
      <c r="D180" s="87"/>
      <c r="E180" s="267"/>
      <c r="F180" s="87"/>
      <c r="G180" s="267"/>
      <c r="H180" s="267"/>
      <c r="I180" s="267"/>
      <c r="J180" s="267"/>
      <c r="K180" s="267"/>
      <c r="L180" s="267"/>
      <c r="M180" s="267"/>
      <c r="N180" s="267"/>
      <c r="O180" s="267"/>
      <c r="P180" s="267"/>
      <c r="Q180" s="267"/>
      <c r="R180" s="267"/>
      <c r="S180" s="267"/>
      <c r="T180" s="267"/>
      <c r="U180" s="267"/>
      <c r="V180" s="267"/>
      <c r="W180" s="267"/>
      <c r="X180" s="267"/>
    </row>
    <row r="181">
      <c r="A181" s="267"/>
      <c r="B181" s="87"/>
      <c r="C181" s="87"/>
      <c r="D181" s="87"/>
      <c r="E181" s="267"/>
      <c r="F181" s="87"/>
      <c r="G181" s="267"/>
      <c r="H181" s="267"/>
      <c r="I181" s="267"/>
      <c r="J181" s="267"/>
      <c r="K181" s="267"/>
      <c r="L181" s="267"/>
      <c r="M181" s="267"/>
      <c r="N181" s="267"/>
      <c r="O181" s="267"/>
      <c r="P181" s="267"/>
      <c r="Q181" s="267"/>
      <c r="R181" s="267"/>
      <c r="S181" s="267"/>
      <c r="T181" s="267"/>
      <c r="U181" s="267"/>
      <c r="V181" s="267"/>
      <c r="W181" s="267"/>
      <c r="X181" s="267"/>
    </row>
    <row r="182">
      <c r="A182" s="267"/>
      <c r="B182" s="87"/>
      <c r="C182" s="87"/>
      <c r="D182" s="87"/>
      <c r="E182" s="267"/>
      <c r="F182" s="87"/>
      <c r="G182" s="267"/>
      <c r="H182" s="267"/>
      <c r="I182" s="267"/>
      <c r="J182" s="267"/>
      <c r="K182" s="267"/>
      <c r="L182" s="267"/>
      <c r="M182" s="267"/>
      <c r="N182" s="267"/>
      <c r="O182" s="267"/>
      <c r="P182" s="267"/>
      <c r="Q182" s="267"/>
      <c r="R182" s="267"/>
      <c r="S182" s="267"/>
      <c r="T182" s="267"/>
      <c r="U182" s="267"/>
      <c r="V182" s="267"/>
      <c r="W182" s="267"/>
      <c r="X182" s="267"/>
    </row>
    <row r="183">
      <c r="A183" s="267"/>
      <c r="B183" s="87"/>
      <c r="C183" s="87"/>
      <c r="D183" s="87"/>
      <c r="E183" s="267"/>
      <c r="F183" s="87"/>
      <c r="G183" s="267"/>
      <c r="H183" s="267"/>
      <c r="I183" s="267"/>
      <c r="J183" s="267"/>
      <c r="K183" s="267"/>
      <c r="L183" s="267"/>
      <c r="M183" s="267"/>
      <c r="N183" s="267"/>
      <c r="O183" s="267"/>
      <c r="P183" s="267"/>
      <c r="Q183" s="267"/>
      <c r="R183" s="267"/>
      <c r="S183" s="267"/>
      <c r="T183" s="267"/>
      <c r="U183" s="267"/>
      <c r="V183" s="267"/>
      <c r="W183" s="267"/>
      <c r="X183" s="267"/>
    </row>
    <row r="184">
      <c r="A184" s="267"/>
      <c r="B184" s="87"/>
      <c r="C184" s="87"/>
      <c r="D184" s="87"/>
      <c r="E184" s="267"/>
      <c r="F184" s="87"/>
      <c r="G184" s="267"/>
      <c r="H184" s="267"/>
      <c r="I184" s="267"/>
      <c r="J184" s="267"/>
      <c r="K184" s="267"/>
      <c r="L184" s="267"/>
      <c r="M184" s="267"/>
      <c r="N184" s="267"/>
      <c r="O184" s="267"/>
      <c r="P184" s="267"/>
      <c r="Q184" s="267"/>
      <c r="R184" s="267"/>
      <c r="S184" s="267"/>
      <c r="T184" s="267"/>
      <c r="U184" s="267"/>
      <c r="V184" s="267"/>
      <c r="W184" s="267"/>
      <c r="X184" s="267"/>
    </row>
    <row r="185">
      <c r="A185" s="267"/>
      <c r="B185" s="87"/>
      <c r="C185" s="87"/>
      <c r="D185" s="87"/>
      <c r="E185" s="267"/>
      <c r="F185" s="87"/>
      <c r="G185" s="267"/>
      <c r="H185" s="267"/>
      <c r="I185" s="267"/>
      <c r="J185" s="267"/>
      <c r="K185" s="267"/>
      <c r="L185" s="267"/>
      <c r="M185" s="267"/>
      <c r="N185" s="267"/>
      <c r="O185" s="267"/>
      <c r="P185" s="267"/>
      <c r="Q185" s="267"/>
      <c r="R185" s="267"/>
      <c r="S185" s="267"/>
      <c r="T185" s="267"/>
      <c r="U185" s="267"/>
      <c r="V185" s="267"/>
      <c r="W185" s="267"/>
      <c r="X185" s="267"/>
    </row>
    <row r="186">
      <c r="A186" s="267"/>
      <c r="B186" s="87"/>
      <c r="C186" s="87"/>
      <c r="D186" s="87"/>
      <c r="E186" s="267"/>
      <c r="F186" s="87"/>
      <c r="G186" s="267"/>
      <c r="H186" s="267"/>
      <c r="I186" s="267"/>
      <c r="J186" s="267"/>
      <c r="K186" s="267"/>
      <c r="L186" s="267"/>
      <c r="M186" s="267"/>
      <c r="N186" s="267"/>
      <c r="O186" s="267"/>
      <c r="P186" s="267"/>
      <c r="Q186" s="267"/>
      <c r="R186" s="267"/>
      <c r="S186" s="267"/>
      <c r="T186" s="267"/>
      <c r="U186" s="267"/>
      <c r="V186" s="267"/>
      <c r="W186" s="267"/>
      <c r="X186" s="267"/>
    </row>
    <row r="187">
      <c r="A187" s="267"/>
      <c r="B187" s="87"/>
      <c r="C187" s="87"/>
      <c r="D187" s="87"/>
      <c r="E187" s="267"/>
      <c r="F187" s="87"/>
      <c r="G187" s="267"/>
      <c r="H187" s="267"/>
      <c r="I187" s="267"/>
      <c r="J187" s="267"/>
      <c r="K187" s="267"/>
      <c r="L187" s="267"/>
      <c r="M187" s="267"/>
      <c r="N187" s="267"/>
      <c r="O187" s="267"/>
      <c r="P187" s="267"/>
      <c r="Q187" s="267"/>
      <c r="R187" s="267"/>
      <c r="S187" s="267"/>
      <c r="T187" s="267"/>
      <c r="U187" s="267"/>
      <c r="V187" s="267"/>
      <c r="W187" s="267"/>
      <c r="X187" s="267"/>
    </row>
    <row r="188">
      <c r="A188" s="267"/>
      <c r="B188" s="87"/>
      <c r="C188" s="87"/>
      <c r="D188" s="87"/>
      <c r="E188" s="267"/>
      <c r="F188" s="87"/>
      <c r="G188" s="267"/>
      <c r="H188" s="267"/>
      <c r="I188" s="267"/>
      <c r="J188" s="267"/>
      <c r="K188" s="267"/>
      <c r="L188" s="267"/>
      <c r="M188" s="267"/>
      <c r="N188" s="267"/>
      <c r="O188" s="267"/>
      <c r="P188" s="267"/>
      <c r="Q188" s="267"/>
      <c r="R188" s="267"/>
      <c r="S188" s="267"/>
      <c r="T188" s="267"/>
      <c r="U188" s="267"/>
      <c r="V188" s="267"/>
      <c r="W188" s="267"/>
      <c r="X188" s="267"/>
    </row>
    <row r="189">
      <c r="A189" s="267"/>
      <c r="B189" s="87"/>
      <c r="C189" s="87"/>
      <c r="D189" s="87"/>
      <c r="E189" s="267"/>
      <c r="F189" s="87"/>
      <c r="G189" s="267"/>
      <c r="H189" s="267"/>
      <c r="I189" s="267"/>
      <c r="J189" s="267"/>
      <c r="K189" s="267"/>
      <c r="L189" s="267"/>
      <c r="M189" s="267"/>
      <c r="N189" s="267"/>
      <c r="O189" s="267"/>
      <c r="P189" s="267"/>
      <c r="Q189" s="267"/>
      <c r="R189" s="267"/>
      <c r="S189" s="267"/>
      <c r="T189" s="267"/>
      <c r="U189" s="267"/>
      <c r="V189" s="267"/>
      <c r="W189" s="267"/>
      <c r="X189" s="267"/>
    </row>
    <row r="190">
      <c r="A190" s="267"/>
      <c r="B190" s="87"/>
      <c r="C190" s="87"/>
      <c r="D190" s="87"/>
      <c r="E190" s="267"/>
      <c r="F190" s="87"/>
      <c r="G190" s="267"/>
      <c r="H190" s="267"/>
      <c r="I190" s="267"/>
      <c r="J190" s="267"/>
      <c r="K190" s="267"/>
      <c r="L190" s="267"/>
      <c r="M190" s="267"/>
      <c r="N190" s="267"/>
      <c r="O190" s="267"/>
      <c r="P190" s="267"/>
      <c r="Q190" s="267"/>
      <c r="R190" s="267"/>
      <c r="S190" s="267"/>
      <c r="T190" s="267"/>
      <c r="U190" s="267"/>
      <c r="V190" s="267"/>
      <c r="W190" s="267"/>
      <c r="X190" s="267"/>
    </row>
    <row r="191">
      <c r="A191" s="267"/>
      <c r="B191" s="87"/>
      <c r="C191" s="87"/>
      <c r="D191" s="87"/>
      <c r="E191" s="267"/>
      <c r="F191" s="87"/>
      <c r="G191" s="267"/>
      <c r="H191" s="267"/>
      <c r="I191" s="267"/>
      <c r="J191" s="267"/>
      <c r="K191" s="267"/>
      <c r="L191" s="267"/>
      <c r="M191" s="267"/>
      <c r="N191" s="267"/>
      <c r="O191" s="267"/>
      <c r="P191" s="267"/>
      <c r="Q191" s="267"/>
      <c r="R191" s="267"/>
      <c r="S191" s="267"/>
      <c r="T191" s="267"/>
      <c r="U191" s="267"/>
      <c r="V191" s="267"/>
      <c r="W191" s="267"/>
      <c r="X191" s="267"/>
    </row>
    <row r="192">
      <c r="A192" s="267"/>
      <c r="B192" s="87"/>
      <c r="C192" s="87"/>
      <c r="D192" s="87"/>
      <c r="E192" s="267"/>
      <c r="F192" s="87"/>
      <c r="G192" s="267"/>
      <c r="H192" s="267"/>
      <c r="I192" s="267"/>
      <c r="J192" s="267"/>
      <c r="K192" s="267"/>
      <c r="L192" s="267"/>
      <c r="M192" s="267"/>
      <c r="N192" s="267"/>
      <c r="O192" s="267"/>
      <c r="P192" s="267"/>
      <c r="Q192" s="267"/>
      <c r="R192" s="267"/>
      <c r="S192" s="267"/>
      <c r="T192" s="267"/>
      <c r="U192" s="267"/>
      <c r="V192" s="267"/>
      <c r="W192" s="267"/>
      <c r="X192" s="267"/>
    </row>
    <row r="193">
      <c r="A193" s="267"/>
      <c r="B193" s="87"/>
      <c r="C193" s="87"/>
      <c r="D193" s="87"/>
      <c r="E193" s="267"/>
      <c r="F193" s="87"/>
      <c r="G193" s="267"/>
      <c r="H193" s="267"/>
      <c r="I193" s="267"/>
      <c r="J193" s="267"/>
      <c r="K193" s="267"/>
      <c r="L193" s="267"/>
      <c r="M193" s="267"/>
      <c r="N193" s="267"/>
      <c r="O193" s="267"/>
      <c r="P193" s="267"/>
      <c r="Q193" s="267"/>
      <c r="R193" s="267"/>
      <c r="S193" s="267"/>
      <c r="T193" s="267"/>
      <c r="U193" s="267"/>
      <c r="V193" s="267"/>
      <c r="W193" s="267"/>
      <c r="X193" s="267"/>
    </row>
    <row r="194">
      <c r="A194" s="267"/>
      <c r="B194" s="87"/>
      <c r="C194" s="87"/>
      <c r="D194" s="87"/>
      <c r="E194" s="267"/>
      <c r="F194" s="87"/>
      <c r="G194" s="267"/>
      <c r="H194" s="267"/>
      <c r="I194" s="267"/>
      <c r="J194" s="267"/>
      <c r="K194" s="267"/>
      <c r="L194" s="267"/>
      <c r="M194" s="267"/>
      <c r="N194" s="267"/>
      <c r="O194" s="267"/>
      <c r="P194" s="267"/>
      <c r="Q194" s="267"/>
      <c r="R194" s="267"/>
      <c r="S194" s="267"/>
      <c r="T194" s="267"/>
      <c r="U194" s="267"/>
      <c r="V194" s="267"/>
      <c r="W194" s="267"/>
      <c r="X194" s="267"/>
    </row>
    <row r="195">
      <c r="A195" s="267"/>
      <c r="B195" s="87"/>
      <c r="C195" s="87"/>
      <c r="D195" s="87"/>
      <c r="E195" s="267"/>
      <c r="F195" s="87"/>
      <c r="G195" s="267"/>
      <c r="H195" s="267"/>
      <c r="I195" s="267"/>
      <c r="J195" s="267"/>
      <c r="K195" s="267"/>
      <c r="L195" s="267"/>
      <c r="M195" s="267"/>
      <c r="N195" s="267"/>
      <c r="O195" s="267"/>
      <c r="P195" s="267"/>
      <c r="Q195" s="267"/>
      <c r="R195" s="267"/>
      <c r="S195" s="267"/>
      <c r="T195" s="267"/>
      <c r="U195" s="267"/>
      <c r="V195" s="267"/>
      <c r="W195" s="267"/>
      <c r="X195" s="267"/>
    </row>
    <row r="196">
      <c r="A196" s="267"/>
      <c r="B196" s="87"/>
      <c r="C196" s="87"/>
      <c r="D196" s="87"/>
      <c r="E196" s="267"/>
      <c r="F196" s="87"/>
      <c r="G196" s="267"/>
      <c r="H196" s="267"/>
      <c r="I196" s="267"/>
      <c r="J196" s="267"/>
      <c r="K196" s="267"/>
      <c r="L196" s="267"/>
      <c r="M196" s="267"/>
      <c r="N196" s="267"/>
      <c r="O196" s="267"/>
      <c r="P196" s="267"/>
      <c r="Q196" s="267"/>
      <c r="R196" s="267"/>
      <c r="S196" s="267"/>
      <c r="T196" s="267"/>
      <c r="U196" s="267"/>
      <c r="V196" s="267"/>
      <c r="W196" s="267"/>
      <c r="X196" s="267"/>
    </row>
    <row r="197">
      <c r="A197" s="267"/>
      <c r="B197" s="87"/>
      <c r="C197" s="87"/>
      <c r="D197" s="87"/>
      <c r="E197" s="267"/>
      <c r="F197" s="87"/>
      <c r="G197" s="267"/>
      <c r="H197" s="267"/>
      <c r="I197" s="267"/>
      <c r="J197" s="267"/>
      <c r="K197" s="267"/>
      <c r="L197" s="267"/>
      <c r="M197" s="267"/>
      <c r="N197" s="267"/>
      <c r="O197" s="267"/>
      <c r="P197" s="267"/>
      <c r="Q197" s="267"/>
      <c r="R197" s="267"/>
      <c r="S197" s="267"/>
      <c r="T197" s="267"/>
      <c r="U197" s="267"/>
      <c r="V197" s="267"/>
      <c r="W197" s="267"/>
      <c r="X197" s="267"/>
    </row>
    <row r="198">
      <c r="A198" s="267"/>
      <c r="B198" s="87"/>
      <c r="C198" s="87"/>
      <c r="D198" s="87"/>
      <c r="E198" s="267"/>
      <c r="F198" s="87"/>
      <c r="G198" s="267"/>
      <c r="H198" s="267"/>
      <c r="I198" s="267"/>
      <c r="J198" s="267"/>
      <c r="K198" s="267"/>
      <c r="L198" s="267"/>
      <c r="M198" s="267"/>
      <c r="N198" s="267"/>
      <c r="O198" s="267"/>
      <c r="P198" s="267"/>
      <c r="Q198" s="267"/>
      <c r="R198" s="267"/>
      <c r="S198" s="267"/>
      <c r="T198" s="267"/>
      <c r="U198" s="267"/>
      <c r="V198" s="267"/>
      <c r="W198" s="267"/>
      <c r="X198" s="267"/>
    </row>
    <row r="199">
      <c r="A199" s="267"/>
      <c r="B199" s="87"/>
      <c r="C199" s="87"/>
      <c r="D199" s="87"/>
      <c r="E199" s="267"/>
      <c r="F199" s="87"/>
      <c r="G199" s="267"/>
      <c r="H199" s="267"/>
      <c r="I199" s="267"/>
      <c r="J199" s="267"/>
      <c r="K199" s="267"/>
      <c r="L199" s="267"/>
      <c r="M199" s="267"/>
      <c r="N199" s="267"/>
      <c r="O199" s="267"/>
      <c r="P199" s="267"/>
      <c r="Q199" s="267"/>
      <c r="R199" s="267"/>
      <c r="S199" s="267"/>
      <c r="T199" s="267"/>
      <c r="U199" s="267"/>
      <c r="V199" s="267"/>
      <c r="W199" s="267"/>
      <c r="X199" s="267"/>
    </row>
    <row r="200">
      <c r="A200" s="267"/>
      <c r="B200" s="87"/>
      <c r="C200" s="87"/>
      <c r="D200" s="87"/>
      <c r="E200" s="267"/>
      <c r="F200" s="87"/>
      <c r="G200" s="267"/>
      <c r="H200" s="267"/>
      <c r="I200" s="267"/>
      <c r="J200" s="267"/>
      <c r="K200" s="267"/>
      <c r="L200" s="267"/>
      <c r="M200" s="267"/>
      <c r="N200" s="267"/>
      <c r="O200" s="267"/>
      <c r="P200" s="267"/>
      <c r="Q200" s="267"/>
      <c r="R200" s="267"/>
      <c r="S200" s="267"/>
      <c r="T200" s="267"/>
      <c r="U200" s="267"/>
      <c r="V200" s="267"/>
      <c r="W200" s="267"/>
      <c r="X200" s="267"/>
    </row>
    <row r="201">
      <c r="A201" s="267"/>
      <c r="B201" s="87"/>
      <c r="C201" s="87"/>
      <c r="D201" s="87"/>
      <c r="E201" s="267"/>
      <c r="F201" s="87"/>
      <c r="G201" s="267"/>
      <c r="H201" s="267"/>
      <c r="I201" s="267"/>
      <c r="J201" s="267"/>
      <c r="K201" s="267"/>
      <c r="L201" s="267"/>
      <c r="M201" s="267"/>
      <c r="N201" s="267"/>
      <c r="O201" s="267"/>
      <c r="P201" s="267"/>
      <c r="Q201" s="267"/>
      <c r="R201" s="267"/>
      <c r="S201" s="267"/>
      <c r="T201" s="267"/>
      <c r="U201" s="267"/>
      <c r="V201" s="267"/>
      <c r="W201" s="267"/>
      <c r="X201" s="267"/>
    </row>
    <row r="202">
      <c r="A202" s="267"/>
      <c r="B202" s="87"/>
      <c r="C202" s="87"/>
      <c r="D202" s="87"/>
      <c r="E202" s="267"/>
      <c r="F202" s="87"/>
      <c r="G202" s="267"/>
      <c r="H202" s="267"/>
      <c r="I202" s="267"/>
      <c r="J202" s="267"/>
      <c r="K202" s="267"/>
      <c r="L202" s="267"/>
      <c r="M202" s="267"/>
      <c r="N202" s="267"/>
      <c r="O202" s="267"/>
      <c r="P202" s="267"/>
      <c r="Q202" s="267"/>
      <c r="R202" s="267"/>
      <c r="S202" s="267"/>
      <c r="T202" s="267"/>
      <c r="U202" s="267"/>
      <c r="V202" s="267"/>
      <c r="W202" s="267"/>
      <c r="X202" s="267"/>
    </row>
    <row r="203">
      <c r="A203" s="267"/>
      <c r="B203" s="87"/>
      <c r="C203" s="87"/>
      <c r="D203" s="87"/>
      <c r="E203" s="267"/>
      <c r="F203" s="87"/>
      <c r="G203" s="267"/>
      <c r="H203" s="267"/>
      <c r="I203" s="267"/>
      <c r="J203" s="267"/>
      <c r="K203" s="267"/>
      <c r="L203" s="267"/>
      <c r="M203" s="267"/>
      <c r="N203" s="267"/>
      <c r="O203" s="267"/>
      <c r="P203" s="267"/>
      <c r="Q203" s="267"/>
      <c r="R203" s="267"/>
      <c r="S203" s="267"/>
      <c r="T203" s="267"/>
      <c r="U203" s="267"/>
      <c r="V203" s="267"/>
      <c r="W203" s="267"/>
      <c r="X203" s="267"/>
    </row>
    <row r="204">
      <c r="A204" s="267"/>
      <c r="B204" s="87"/>
      <c r="C204" s="87"/>
      <c r="D204" s="87"/>
      <c r="E204" s="267"/>
      <c r="F204" s="87"/>
      <c r="G204" s="267"/>
      <c r="H204" s="267"/>
      <c r="I204" s="267"/>
      <c r="J204" s="267"/>
      <c r="K204" s="267"/>
      <c r="L204" s="267"/>
      <c r="M204" s="267"/>
      <c r="N204" s="267"/>
      <c r="O204" s="267"/>
      <c r="P204" s="267"/>
      <c r="Q204" s="267"/>
      <c r="R204" s="267"/>
      <c r="S204" s="267"/>
      <c r="T204" s="267"/>
      <c r="U204" s="267"/>
      <c r="V204" s="267"/>
      <c r="W204" s="267"/>
      <c r="X204" s="267"/>
    </row>
    <row r="205">
      <c r="A205" s="267"/>
      <c r="B205" s="87"/>
      <c r="C205" s="87"/>
      <c r="D205" s="87"/>
      <c r="E205" s="267"/>
      <c r="F205" s="87"/>
      <c r="G205" s="267"/>
      <c r="H205" s="267"/>
      <c r="I205" s="267"/>
      <c r="J205" s="267"/>
      <c r="K205" s="267"/>
      <c r="L205" s="267"/>
      <c r="M205" s="267"/>
      <c r="N205" s="267"/>
      <c r="O205" s="267"/>
      <c r="P205" s="267"/>
      <c r="Q205" s="267"/>
      <c r="R205" s="267"/>
      <c r="S205" s="267"/>
      <c r="T205" s="267"/>
      <c r="U205" s="267"/>
      <c r="V205" s="267"/>
      <c r="W205" s="267"/>
      <c r="X205" s="267"/>
    </row>
    <row r="206">
      <c r="A206" s="267"/>
      <c r="B206" s="87"/>
      <c r="C206" s="87"/>
      <c r="D206" s="87"/>
      <c r="E206" s="267"/>
      <c r="F206" s="87"/>
      <c r="G206" s="267"/>
      <c r="H206" s="267"/>
      <c r="I206" s="267"/>
      <c r="J206" s="267"/>
      <c r="K206" s="267"/>
      <c r="L206" s="267"/>
      <c r="M206" s="267"/>
      <c r="N206" s="267"/>
      <c r="O206" s="267"/>
      <c r="P206" s="267"/>
      <c r="Q206" s="267"/>
      <c r="R206" s="267"/>
      <c r="S206" s="267"/>
      <c r="T206" s="267"/>
      <c r="U206" s="267"/>
      <c r="V206" s="267"/>
      <c r="W206" s="267"/>
      <c r="X206" s="267"/>
    </row>
    <row r="207">
      <c r="A207" s="267"/>
      <c r="B207" s="87"/>
      <c r="C207" s="87"/>
      <c r="D207" s="87"/>
      <c r="E207" s="267"/>
      <c r="F207" s="87"/>
      <c r="G207" s="267"/>
      <c r="H207" s="267"/>
      <c r="I207" s="267"/>
      <c r="J207" s="267"/>
      <c r="K207" s="267"/>
      <c r="L207" s="267"/>
      <c r="M207" s="267"/>
      <c r="N207" s="267"/>
      <c r="O207" s="267"/>
      <c r="P207" s="267"/>
      <c r="Q207" s="267"/>
      <c r="R207" s="267"/>
      <c r="S207" s="267"/>
      <c r="T207" s="267"/>
      <c r="U207" s="267"/>
      <c r="V207" s="267"/>
      <c r="W207" s="267"/>
      <c r="X207" s="267"/>
    </row>
    <row r="208">
      <c r="A208" s="267"/>
      <c r="B208" s="87"/>
      <c r="C208" s="87"/>
      <c r="D208" s="87"/>
      <c r="E208" s="267"/>
      <c r="F208" s="87"/>
      <c r="G208" s="267"/>
      <c r="H208" s="267"/>
      <c r="I208" s="267"/>
      <c r="J208" s="267"/>
      <c r="K208" s="267"/>
      <c r="L208" s="267"/>
      <c r="M208" s="267"/>
      <c r="N208" s="267"/>
      <c r="O208" s="267"/>
      <c r="P208" s="267"/>
      <c r="Q208" s="267"/>
      <c r="R208" s="267"/>
      <c r="S208" s="267"/>
      <c r="T208" s="267"/>
      <c r="U208" s="267"/>
      <c r="V208" s="267"/>
      <c r="W208" s="267"/>
      <c r="X208" s="267"/>
    </row>
    <row r="209">
      <c r="A209" s="267"/>
      <c r="B209" s="87"/>
      <c r="C209" s="87"/>
      <c r="D209" s="87"/>
      <c r="E209" s="267"/>
      <c r="F209" s="87"/>
      <c r="G209" s="267"/>
      <c r="H209" s="267"/>
      <c r="I209" s="267"/>
      <c r="J209" s="267"/>
      <c r="K209" s="267"/>
      <c r="L209" s="267"/>
      <c r="M209" s="267"/>
      <c r="N209" s="267"/>
      <c r="O209" s="267"/>
      <c r="P209" s="267"/>
      <c r="Q209" s="267"/>
      <c r="R209" s="267"/>
      <c r="S209" s="267"/>
      <c r="T209" s="267"/>
      <c r="U209" s="267"/>
      <c r="V209" s="267"/>
      <c r="W209" s="267"/>
      <c r="X209" s="267"/>
    </row>
    <row r="210">
      <c r="A210" s="267"/>
      <c r="B210" s="87"/>
      <c r="C210" s="87"/>
      <c r="D210" s="87"/>
      <c r="E210" s="267"/>
      <c r="F210" s="87"/>
      <c r="G210" s="267"/>
      <c r="H210" s="267"/>
      <c r="I210" s="267"/>
      <c r="J210" s="267"/>
      <c r="K210" s="267"/>
      <c r="L210" s="267"/>
      <c r="M210" s="267"/>
      <c r="N210" s="267"/>
      <c r="O210" s="267"/>
      <c r="P210" s="267"/>
      <c r="Q210" s="267"/>
      <c r="R210" s="267"/>
      <c r="S210" s="267"/>
      <c r="T210" s="267"/>
      <c r="U210" s="267"/>
      <c r="V210" s="267"/>
      <c r="W210" s="267"/>
      <c r="X210" s="267"/>
    </row>
    <row r="211">
      <c r="A211" s="267"/>
      <c r="B211" s="87"/>
      <c r="C211" s="87"/>
      <c r="D211" s="87"/>
      <c r="E211" s="267"/>
      <c r="F211" s="87"/>
      <c r="G211" s="267"/>
      <c r="H211" s="267"/>
      <c r="I211" s="267"/>
      <c r="J211" s="267"/>
      <c r="K211" s="267"/>
      <c r="L211" s="267"/>
      <c r="M211" s="267"/>
      <c r="N211" s="267"/>
      <c r="O211" s="267"/>
      <c r="P211" s="267"/>
      <c r="Q211" s="267"/>
      <c r="R211" s="267"/>
      <c r="S211" s="267"/>
      <c r="T211" s="267"/>
      <c r="U211" s="267"/>
      <c r="V211" s="267"/>
      <c r="W211" s="267"/>
      <c r="X211" s="267"/>
    </row>
    <row r="212">
      <c r="A212" s="267"/>
      <c r="B212" s="87"/>
      <c r="C212" s="87"/>
      <c r="D212" s="87"/>
      <c r="E212" s="267"/>
      <c r="F212" s="87"/>
      <c r="G212" s="267"/>
      <c r="H212" s="267"/>
      <c r="I212" s="267"/>
      <c r="J212" s="267"/>
      <c r="K212" s="267"/>
      <c r="L212" s="267"/>
      <c r="M212" s="267"/>
      <c r="N212" s="267"/>
      <c r="O212" s="267"/>
      <c r="P212" s="267"/>
      <c r="Q212" s="267"/>
      <c r="R212" s="267"/>
      <c r="S212" s="267"/>
      <c r="T212" s="267"/>
      <c r="U212" s="267"/>
      <c r="V212" s="267"/>
      <c r="W212" s="267"/>
      <c r="X212" s="267"/>
    </row>
    <row r="213">
      <c r="A213" s="267"/>
      <c r="B213" s="87"/>
      <c r="C213" s="87"/>
      <c r="D213" s="87"/>
      <c r="E213" s="267"/>
      <c r="F213" s="87"/>
      <c r="G213" s="267"/>
      <c r="H213" s="267"/>
      <c r="I213" s="267"/>
      <c r="J213" s="267"/>
      <c r="K213" s="267"/>
      <c r="L213" s="267"/>
      <c r="M213" s="267"/>
      <c r="N213" s="267"/>
      <c r="O213" s="267"/>
      <c r="P213" s="267"/>
      <c r="Q213" s="267"/>
      <c r="R213" s="267"/>
      <c r="S213" s="267"/>
      <c r="T213" s="267"/>
      <c r="U213" s="267"/>
      <c r="V213" s="267"/>
      <c r="W213" s="267"/>
      <c r="X213" s="267"/>
    </row>
    <row r="214">
      <c r="A214" s="267"/>
      <c r="B214" s="87"/>
      <c r="C214" s="87"/>
      <c r="D214" s="87"/>
      <c r="E214" s="267"/>
      <c r="F214" s="87"/>
      <c r="G214" s="267"/>
      <c r="H214" s="267"/>
      <c r="I214" s="267"/>
      <c r="J214" s="267"/>
      <c r="K214" s="267"/>
      <c r="L214" s="267"/>
      <c r="M214" s="267"/>
      <c r="N214" s="267"/>
      <c r="O214" s="267"/>
      <c r="P214" s="267"/>
      <c r="Q214" s="267"/>
      <c r="R214" s="267"/>
      <c r="S214" s="267"/>
      <c r="T214" s="267"/>
      <c r="U214" s="267"/>
      <c r="V214" s="267"/>
      <c r="W214" s="267"/>
      <c r="X214" s="267"/>
    </row>
    <row r="215">
      <c r="A215" s="267"/>
      <c r="B215" s="87"/>
      <c r="C215" s="87"/>
      <c r="D215" s="87"/>
      <c r="E215" s="267"/>
      <c r="F215" s="87"/>
      <c r="G215" s="267"/>
      <c r="H215" s="267"/>
      <c r="I215" s="267"/>
      <c r="J215" s="267"/>
      <c r="K215" s="267"/>
      <c r="L215" s="267"/>
      <c r="M215" s="267"/>
      <c r="N215" s="267"/>
      <c r="O215" s="267"/>
      <c r="P215" s="267"/>
      <c r="Q215" s="267"/>
      <c r="R215" s="267"/>
      <c r="S215" s="267"/>
      <c r="T215" s="267"/>
      <c r="U215" s="267"/>
      <c r="V215" s="267"/>
      <c r="W215" s="267"/>
      <c r="X215" s="267"/>
    </row>
    <row r="216">
      <c r="A216" s="267"/>
      <c r="B216" s="87"/>
      <c r="C216" s="87"/>
      <c r="D216" s="87"/>
      <c r="E216" s="267"/>
      <c r="F216" s="87"/>
      <c r="G216" s="267"/>
      <c r="H216" s="267"/>
      <c r="I216" s="267"/>
      <c r="J216" s="267"/>
      <c r="K216" s="267"/>
      <c r="L216" s="267"/>
      <c r="M216" s="267"/>
      <c r="N216" s="267"/>
      <c r="O216" s="267"/>
      <c r="P216" s="267"/>
      <c r="Q216" s="267"/>
      <c r="R216" s="267"/>
      <c r="S216" s="267"/>
      <c r="T216" s="267"/>
      <c r="U216" s="267"/>
      <c r="V216" s="267"/>
      <c r="W216" s="267"/>
      <c r="X216" s="267"/>
    </row>
    <row r="217">
      <c r="A217" s="267"/>
      <c r="B217" s="87"/>
      <c r="C217" s="87"/>
      <c r="D217" s="87"/>
      <c r="E217" s="267"/>
      <c r="F217" s="87"/>
      <c r="G217" s="267"/>
      <c r="H217" s="267"/>
      <c r="I217" s="267"/>
      <c r="J217" s="267"/>
      <c r="K217" s="267"/>
      <c r="L217" s="267"/>
      <c r="M217" s="267"/>
      <c r="N217" s="267"/>
      <c r="O217" s="267"/>
      <c r="P217" s="267"/>
      <c r="Q217" s="267"/>
      <c r="R217" s="267"/>
      <c r="S217" s="267"/>
      <c r="T217" s="267"/>
      <c r="U217" s="267"/>
      <c r="V217" s="267"/>
      <c r="W217" s="267"/>
      <c r="X217" s="267"/>
    </row>
    <row r="218">
      <c r="A218" s="267"/>
      <c r="B218" s="87"/>
      <c r="C218" s="87"/>
      <c r="D218" s="87"/>
      <c r="E218" s="267"/>
      <c r="F218" s="87"/>
      <c r="G218" s="267"/>
      <c r="H218" s="267"/>
      <c r="I218" s="267"/>
      <c r="J218" s="267"/>
      <c r="K218" s="267"/>
      <c r="L218" s="267"/>
      <c r="M218" s="267"/>
      <c r="N218" s="267"/>
      <c r="O218" s="267"/>
      <c r="P218" s="267"/>
      <c r="Q218" s="267"/>
      <c r="R218" s="267"/>
      <c r="S218" s="267"/>
      <c r="T218" s="267"/>
      <c r="U218" s="267"/>
      <c r="V218" s="267"/>
      <c r="W218" s="267"/>
      <c r="X218" s="267"/>
    </row>
    <row r="219">
      <c r="A219" s="267"/>
      <c r="B219" s="87"/>
      <c r="C219" s="87"/>
      <c r="D219" s="87"/>
      <c r="E219" s="267"/>
      <c r="F219" s="87"/>
      <c r="G219" s="267"/>
      <c r="H219" s="267"/>
      <c r="I219" s="267"/>
      <c r="J219" s="267"/>
      <c r="K219" s="267"/>
      <c r="L219" s="267"/>
      <c r="M219" s="267"/>
      <c r="N219" s="267"/>
      <c r="O219" s="267"/>
      <c r="P219" s="267"/>
      <c r="Q219" s="267"/>
      <c r="R219" s="267"/>
      <c r="S219" s="267"/>
      <c r="T219" s="267"/>
      <c r="U219" s="267"/>
      <c r="V219" s="267"/>
      <c r="W219" s="267"/>
      <c r="X219" s="267"/>
    </row>
    <row r="220">
      <c r="A220" s="267"/>
      <c r="B220" s="87"/>
      <c r="C220" s="87"/>
      <c r="D220" s="87"/>
      <c r="E220" s="267"/>
      <c r="F220" s="87"/>
      <c r="G220" s="267"/>
      <c r="H220" s="267"/>
      <c r="I220" s="267"/>
      <c r="J220" s="267"/>
      <c r="K220" s="267"/>
      <c r="L220" s="267"/>
      <c r="M220" s="267"/>
      <c r="N220" s="267"/>
      <c r="O220" s="267"/>
      <c r="P220" s="267"/>
      <c r="Q220" s="267"/>
      <c r="R220" s="267"/>
      <c r="S220" s="267"/>
      <c r="T220" s="267"/>
      <c r="U220" s="267"/>
      <c r="V220" s="267"/>
      <c r="W220" s="267"/>
      <c r="X220" s="267"/>
    </row>
    <row r="221">
      <c r="A221" s="267"/>
      <c r="B221" s="87"/>
      <c r="C221" s="87"/>
      <c r="D221" s="87"/>
      <c r="E221" s="267"/>
      <c r="F221" s="87"/>
      <c r="G221" s="267"/>
      <c r="H221" s="267"/>
      <c r="I221" s="267"/>
      <c r="J221" s="267"/>
      <c r="K221" s="267"/>
      <c r="L221" s="267"/>
      <c r="M221" s="267"/>
      <c r="N221" s="267"/>
      <c r="O221" s="267"/>
      <c r="P221" s="267"/>
      <c r="Q221" s="267"/>
      <c r="R221" s="267"/>
      <c r="S221" s="267"/>
      <c r="T221" s="267"/>
      <c r="U221" s="267"/>
      <c r="V221" s="267"/>
      <c r="W221" s="267"/>
      <c r="X221" s="267"/>
    </row>
    <row r="222">
      <c r="A222" s="267"/>
      <c r="B222" s="87"/>
      <c r="C222" s="87"/>
      <c r="D222" s="87"/>
      <c r="E222" s="267"/>
      <c r="F222" s="87"/>
      <c r="G222" s="267"/>
      <c r="H222" s="267"/>
      <c r="I222" s="267"/>
      <c r="J222" s="267"/>
      <c r="K222" s="267"/>
      <c r="L222" s="267"/>
      <c r="M222" s="267"/>
      <c r="N222" s="267"/>
      <c r="O222" s="267"/>
      <c r="P222" s="267"/>
      <c r="Q222" s="267"/>
      <c r="R222" s="267"/>
      <c r="S222" s="267"/>
      <c r="T222" s="267"/>
      <c r="U222" s="267"/>
      <c r="V222" s="267"/>
      <c r="W222" s="267"/>
      <c r="X222" s="267"/>
    </row>
    <row r="223">
      <c r="A223" s="267"/>
      <c r="B223" s="87"/>
      <c r="C223" s="87"/>
      <c r="D223" s="87"/>
      <c r="E223" s="267"/>
      <c r="F223" s="87"/>
      <c r="G223" s="267"/>
      <c r="H223" s="267"/>
      <c r="I223" s="267"/>
      <c r="J223" s="267"/>
      <c r="K223" s="267"/>
      <c r="L223" s="267"/>
      <c r="M223" s="267"/>
      <c r="N223" s="267"/>
      <c r="O223" s="267"/>
      <c r="P223" s="267"/>
      <c r="Q223" s="267"/>
      <c r="R223" s="267"/>
      <c r="S223" s="267"/>
      <c r="T223" s="267"/>
      <c r="U223" s="267"/>
      <c r="V223" s="267"/>
      <c r="W223" s="267"/>
      <c r="X223" s="267"/>
    </row>
    <row r="224">
      <c r="A224" s="267"/>
      <c r="B224" s="87"/>
      <c r="C224" s="87"/>
      <c r="D224" s="87"/>
      <c r="E224" s="267"/>
      <c r="F224" s="87"/>
      <c r="G224" s="267"/>
      <c r="H224" s="267"/>
      <c r="I224" s="267"/>
      <c r="J224" s="267"/>
      <c r="K224" s="267"/>
      <c r="L224" s="267"/>
      <c r="M224" s="267"/>
      <c r="N224" s="267"/>
      <c r="O224" s="267"/>
      <c r="P224" s="267"/>
      <c r="Q224" s="267"/>
      <c r="R224" s="267"/>
      <c r="S224" s="267"/>
      <c r="T224" s="267"/>
      <c r="U224" s="267"/>
      <c r="V224" s="267"/>
      <c r="W224" s="267"/>
      <c r="X224" s="267"/>
    </row>
    <row r="225">
      <c r="A225" s="267"/>
      <c r="B225" s="87"/>
      <c r="C225" s="87"/>
      <c r="D225" s="87"/>
      <c r="E225" s="267"/>
      <c r="F225" s="87"/>
      <c r="G225" s="267"/>
      <c r="H225" s="267"/>
      <c r="I225" s="267"/>
      <c r="J225" s="267"/>
      <c r="K225" s="267"/>
      <c r="L225" s="267"/>
      <c r="M225" s="267"/>
      <c r="N225" s="267"/>
      <c r="O225" s="267"/>
      <c r="P225" s="267"/>
      <c r="Q225" s="267"/>
      <c r="R225" s="267"/>
      <c r="S225" s="267"/>
      <c r="T225" s="267"/>
      <c r="U225" s="267"/>
      <c r="V225" s="267"/>
      <c r="W225" s="267"/>
      <c r="X225" s="267"/>
    </row>
    <row r="226">
      <c r="A226" s="267"/>
      <c r="B226" s="87"/>
      <c r="C226" s="87"/>
      <c r="D226" s="87"/>
      <c r="E226" s="267"/>
      <c r="F226" s="87"/>
      <c r="G226" s="267"/>
      <c r="H226" s="267"/>
      <c r="I226" s="267"/>
      <c r="J226" s="267"/>
      <c r="K226" s="267"/>
      <c r="L226" s="267"/>
      <c r="M226" s="267"/>
      <c r="N226" s="267"/>
      <c r="O226" s="267"/>
      <c r="P226" s="267"/>
      <c r="Q226" s="267"/>
      <c r="R226" s="267"/>
      <c r="S226" s="267"/>
      <c r="T226" s="267"/>
      <c r="U226" s="267"/>
      <c r="V226" s="267"/>
      <c r="W226" s="267"/>
      <c r="X226" s="267"/>
    </row>
    <row r="227">
      <c r="A227" s="267"/>
      <c r="B227" s="87"/>
      <c r="C227" s="87"/>
      <c r="D227" s="87"/>
      <c r="E227" s="267"/>
      <c r="F227" s="87"/>
      <c r="G227" s="267"/>
      <c r="H227" s="267"/>
      <c r="I227" s="267"/>
      <c r="J227" s="267"/>
      <c r="K227" s="267"/>
      <c r="L227" s="267"/>
      <c r="M227" s="267"/>
      <c r="N227" s="267"/>
      <c r="O227" s="267"/>
      <c r="P227" s="267"/>
      <c r="Q227" s="267"/>
      <c r="R227" s="267"/>
      <c r="S227" s="267"/>
      <c r="T227" s="267"/>
      <c r="U227" s="267"/>
      <c r="V227" s="267"/>
      <c r="W227" s="267"/>
      <c r="X227" s="267"/>
    </row>
    <row r="228">
      <c r="A228" s="267"/>
      <c r="B228" s="87"/>
      <c r="C228" s="87"/>
      <c r="D228" s="87"/>
      <c r="E228" s="267"/>
      <c r="F228" s="87"/>
      <c r="G228" s="267"/>
      <c r="H228" s="267"/>
      <c r="I228" s="267"/>
      <c r="J228" s="267"/>
      <c r="K228" s="267"/>
      <c r="L228" s="267"/>
      <c r="M228" s="267"/>
      <c r="N228" s="267"/>
      <c r="O228" s="267"/>
      <c r="P228" s="267"/>
      <c r="Q228" s="267"/>
      <c r="R228" s="267"/>
      <c r="S228" s="267"/>
      <c r="T228" s="267"/>
      <c r="U228" s="267"/>
      <c r="V228" s="267"/>
      <c r="W228" s="267"/>
      <c r="X228" s="267"/>
    </row>
    <row r="229">
      <c r="A229" s="267"/>
      <c r="B229" s="87"/>
      <c r="C229" s="87"/>
      <c r="D229" s="87"/>
      <c r="E229" s="267"/>
      <c r="F229" s="87"/>
      <c r="G229" s="267"/>
      <c r="H229" s="267"/>
      <c r="I229" s="267"/>
      <c r="J229" s="267"/>
      <c r="K229" s="267"/>
      <c r="L229" s="267"/>
      <c r="M229" s="267"/>
      <c r="N229" s="267"/>
      <c r="O229" s="267"/>
      <c r="P229" s="267"/>
      <c r="Q229" s="267"/>
      <c r="R229" s="267"/>
      <c r="S229" s="267"/>
      <c r="T229" s="267"/>
      <c r="U229" s="267"/>
      <c r="V229" s="267"/>
      <c r="W229" s="267"/>
      <c r="X229" s="267"/>
    </row>
    <row r="230">
      <c r="A230" s="267"/>
      <c r="B230" s="87"/>
      <c r="C230" s="87"/>
      <c r="D230" s="87"/>
      <c r="E230" s="267"/>
      <c r="F230" s="87"/>
      <c r="G230" s="267"/>
      <c r="H230" s="267"/>
      <c r="I230" s="267"/>
      <c r="J230" s="267"/>
      <c r="K230" s="267"/>
      <c r="L230" s="267"/>
      <c r="M230" s="267"/>
      <c r="N230" s="267"/>
      <c r="O230" s="267"/>
      <c r="P230" s="267"/>
      <c r="Q230" s="267"/>
      <c r="R230" s="267"/>
      <c r="S230" s="267"/>
      <c r="T230" s="267"/>
      <c r="U230" s="267"/>
      <c r="V230" s="267"/>
      <c r="W230" s="267"/>
      <c r="X230" s="267"/>
    </row>
    <row r="231">
      <c r="A231" s="267"/>
      <c r="B231" s="87"/>
      <c r="C231" s="87"/>
      <c r="D231" s="87"/>
      <c r="E231" s="267"/>
      <c r="F231" s="87"/>
      <c r="G231" s="267"/>
      <c r="H231" s="267"/>
      <c r="I231" s="267"/>
      <c r="J231" s="267"/>
      <c r="K231" s="267"/>
      <c r="L231" s="267"/>
      <c r="M231" s="267"/>
      <c r="N231" s="267"/>
      <c r="O231" s="267"/>
      <c r="P231" s="267"/>
      <c r="Q231" s="267"/>
      <c r="R231" s="267"/>
      <c r="S231" s="267"/>
      <c r="T231" s="267"/>
      <c r="U231" s="267"/>
      <c r="V231" s="267"/>
      <c r="W231" s="267"/>
      <c r="X231" s="267"/>
    </row>
    <row r="232">
      <c r="A232" s="267"/>
      <c r="B232" s="87"/>
      <c r="C232" s="87"/>
      <c r="D232" s="87"/>
      <c r="E232" s="267"/>
      <c r="F232" s="87"/>
      <c r="G232" s="267"/>
      <c r="H232" s="267"/>
      <c r="I232" s="267"/>
      <c r="J232" s="267"/>
      <c r="K232" s="267"/>
      <c r="L232" s="267"/>
      <c r="M232" s="267"/>
      <c r="N232" s="267"/>
      <c r="O232" s="267"/>
      <c r="P232" s="267"/>
      <c r="Q232" s="267"/>
      <c r="R232" s="267"/>
      <c r="S232" s="267"/>
      <c r="T232" s="267"/>
      <c r="U232" s="267"/>
      <c r="V232" s="267"/>
      <c r="W232" s="267"/>
      <c r="X232" s="267"/>
    </row>
    <row r="233">
      <c r="A233" s="267"/>
      <c r="B233" s="87"/>
      <c r="C233" s="87"/>
      <c r="D233" s="87"/>
      <c r="E233" s="267"/>
      <c r="F233" s="87"/>
      <c r="G233" s="267"/>
      <c r="H233" s="267"/>
      <c r="I233" s="267"/>
      <c r="J233" s="267"/>
      <c r="K233" s="267"/>
      <c r="L233" s="267"/>
      <c r="M233" s="267"/>
      <c r="N233" s="267"/>
      <c r="O233" s="267"/>
      <c r="P233" s="267"/>
      <c r="Q233" s="267"/>
      <c r="R233" s="267"/>
      <c r="S233" s="267"/>
      <c r="T233" s="267"/>
      <c r="U233" s="267"/>
      <c r="V233" s="267"/>
      <c r="W233" s="267"/>
      <c r="X233" s="267"/>
    </row>
    <row r="234">
      <c r="A234" s="267"/>
      <c r="B234" s="87"/>
      <c r="C234" s="87"/>
      <c r="D234" s="87"/>
      <c r="E234" s="267"/>
      <c r="F234" s="87"/>
      <c r="G234" s="267"/>
      <c r="H234" s="267"/>
      <c r="I234" s="267"/>
      <c r="J234" s="267"/>
      <c r="K234" s="267"/>
      <c r="L234" s="267"/>
      <c r="M234" s="267"/>
      <c r="N234" s="267"/>
      <c r="O234" s="267"/>
      <c r="P234" s="267"/>
      <c r="Q234" s="267"/>
      <c r="R234" s="267"/>
      <c r="S234" s="267"/>
      <c r="T234" s="267"/>
      <c r="U234" s="267"/>
      <c r="V234" s="267"/>
      <c r="W234" s="267"/>
      <c r="X234" s="267"/>
    </row>
    <row r="235">
      <c r="A235" s="267"/>
      <c r="B235" s="87"/>
      <c r="C235" s="87"/>
      <c r="D235" s="87"/>
      <c r="E235" s="267"/>
      <c r="F235" s="87"/>
      <c r="G235" s="267"/>
      <c r="H235" s="267"/>
      <c r="I235" s="267"/>
      <c r="J235" s="267"/>
      <c r="K235" s="267"/>
      <c r="L235" s="267"/>
      <c r="M235" s="267"/>
      <c r="N235" s="267"/>
      <c r="O235" s="267"/>
      <c r="P235" s="267"/>
      <c r="Q235" s="267"/>
      <c r="R235" s="267"/>
      <c r="S235" s="267"/>
      <c r="T235" s="267"/>
      <c r="U235" s="267"/>
      <c r="V235" s="267"/>
      <c r="W235" s="267"/>
      <c r="X235" s="267"/>
    </row>
    <row r="236">
      <c r="A236" s="267"/>
      <c r="B236" s="87"/>
      <c r="C236" s="87"/>
      <c r="D236" s="87"/>
      <c r="E236" s="267"/>
      <c r="F236" s="87"/>
      <c r="G236" s="267"/>
      <c r="H236" s="267"/>
      <c r="I236" s="267"/>
      <c r="J236" s="267"/>
      <c r="K236" s="267"/>
      <c r="L236" s="267"/>
      <c r="M236" s="267"/>
      <c r="N236" s="267"/>
      <c r="O236" s="267"/>
      <c r="P236" s="267"/>
      <c r="Q236" s="267"/>
      <c r="R236" s="267"/>
      <c r="S236" s="267"/>
      <c r="T236" s="267"/>
      <c r="U236" s="267"/>
      <c r="V236" s="267"/>
      <c r="W236" s="267"/>
      <c r="X236" s="267"/>
    </row>
    <row r="237">
      <c r="A237" s="267"/>
      <c r="B237" s="87"/>
      <c r="C237" s="87"/>
      <c r="D237" s="87"/>
      <c r="E237" s="267"/>
      <c r="F237" s="87"/>
      <c r="G237" s="267"/>
      <c r="H237" s="267"/>
      <c r="I237" s="267"/>
      <c r="J237" s="267"/>
      <c r="K237" s="267"/>
      <c r="L237" s="267"/>
      <c r="M237" s="267"/>
      <c r="N237" s="267"/>
      <c r="O237" s="267"/>
      <c r="P237" s="267"/>
      <c r="Q237" s="267"/>
      <c r="R237" s="267"/>
      <c r="S237" s="267"/>
      <c r="T237" s="267"/>
      <c r="U237" s="267"/>
      <c r="V237" s="267"/>
      <c r="W237" s="267"/>
      <c r="X237" s="267"/>
    </row>
    <row r="238">
      <c r="A238" s="267"/>
      <c r="B238" s="87"/>
      <c r="C238" s="87"/>
      <c r="D238" s="87"/>
      <c r="E238" s="267"/>
      <c r="F238" s="87"/>
      <c r="G238" s="267"/>
      <c r="H238" s="267"/>
      <c r="I238" s="267"/>
      <c r="J238" s="267"/>
      <c r="K238" s="267"/>
      <c r="L238" s="267"/>
      <c r="M238" s="267"/>
      <c r="N238" s="267"/>
      <c r="O238" s="267"/>
      <c r="P238" s="267"/>
      <c r="Q238" s="267"/>
      <c r="R238" s="267"/>
      <c r="S238" s="267"/>
      <c r="T238" s="267"/>
      <c r="U238" s="267"/>
      <c r="V238" s="267"/>
      <c r="W238" s="267"/>
      <c r="X238" s="267"/>
    </row>
    <row r="239">
      <c r="A239" s="267"/>
      <c r="B239" s="87"/>
      <c r="C239" s="87"/>
      <c r="D239" s="87"/>
      <c r="E239" s="267"/>
      <c r="F239" s="87"/>
      <c r="G239" s="267"/>
      <c r="H239" s="267"/>
      <c r="I239" s="267"/>
      <c r="J239" s="267"/>
      <c r="K239" s="267"/>
      <c r="L239" s="267"/>
      <c r="M239" s="267"/>
      <c r="N239" s="267"/>
      <c r="O239" s="267"/>
      <c r="P239" s="267"/>
      <c r="Q239" s="267"/>
      <c r="R239" s="267"/>
      <c r="S239" s="267"/>
      <c r="T239" s="267"/>
      <c r="U239" s="267"/>
      <c r="V239" s="267"/>
      <c r="W239" s="267"/>
      <c r="X239" s="267"/>
    </row>
    <row r="240">
      <c r="A240" s="267"/>
      <c r="B240" s="87"/>
      <c r="C240" s="87"/>
      <c r="D240" s="87"/>
      <c r="E240" s="267"/>
      <c r="F240" s="87"/>
      <c r="G240" s="267"/>
      <c r="H240" s="267"/>
      <c r="I240" s="267"/>
      <c r="J240" s="267"/>
      <c r="K240" s="267"/>
      <c r="L240" s="267"/>
      <c r="M240" s="267"/>
      <c r="N240" s="267"/>
      <c r="O240" s="267"/>
      <c r="P240" s="267"/>
      <c r="Q240" s="267"/>
      <c r="R240" s="267"/>
      <c r="S240" s="267"/>
      <c r="T240" s="267"/>
      <c r="U240" s="267"/>
      <c r="V240" s="267"/>
      <c r="W240" s="267"/>
      <c r="X240" s="267"/>
    </row>
    <row r="241">
      <c r="A241" s="267"/>
      <c r="B241" s="87"/>
      <c r="C241" s="87"/>
      <c r="D241" s="87"/>
      <c r="E241" s="267"/>
      <c r="F241" s="87"/>
      <c r="G241" s="267"/>
      <c r="H241" s="267"/>
      <c r="I241" s="267"/>
      <c r="J241" s="267"/>
      <c r="K241" s="267"/>
      <c r="L241" s="267"/>
      <c r="M241" s="267"/>
      <c r="N241" s="267"/>
      <c r="O241" s="267"/>
      <c r="P241" s="267"/>
      <c r="Q241" s="267"/>
      <c r="R241" s="267"/>
      <c r="S241" s="267"/>
      <c r="T241" s="267"/>
      <c r="U241" s="267"/>
      <c r="V241" s="267"/>
      <c r="W241" s="267"/>
      <c r="X241" s="267"/>
    </row>
    <row r="242">
      <c r="A242" s="267"/>
      <c r="B242" s="87"/>
      <c r="C242" s="87"/>
      <c r="D242" s="87"/>
      <c r="E242" s="267"/>
      <c r="F242" s="87"/>
      <c r="G242" s="267"/>
      <c r="H242" s="267"/>
      <c r="I242" s="267"/>
      <c r="J242" s="267"/>
      <c r="K242" s="267"/>
      <c r="L242" s="267"/>
      <c r="M242" s="267"/>
      <c r="N242" s="267"/>
      <c r="O242" s="267"/>
      <c r="P242" s="267"/>
      <c r="Q242" s="267"/>
      <c r="R242" s="267"/>
      <c r="S242" s="267"/>
      <c r="T242" s="267"/>
      <c r="U242" s="267"/>
      <c r="V242" s="267"/>
      <c r="W242" s="267"/>
      <c r="X242" s="267"/>
    </row>
    <row r="243">
      <c r="A243" s="267"/>
      <c r="B243" s="87"/>
      <c r="C243" s="87"/>
      <c r="D243" s="87"/>
      <c r="E243" s="267"/>
      <c r="F243" s="87"/>
      <c r="G243" s="267"/>
      <c r="H243" s="267"/>
      <c r="I243" s="267"/>
      <c r="J243" s="267"/>
      <c r="K243" s="267"/>
      <c r="L243" s="267"/>
      <c r="M243" s="267"/>
      <c r="N243" s="267"/>
      <c r="O243" s="267"/>
      <c r="P243" s="267"/>
      <c r="Q243" s="267"/>
      <c r="R243" s="267"/>
      <c r="S243" s="267"/>
      <c r="T243" s="267"/>
      <c r="U243" s="267"/>
      <c r="V243" s="267"/>
      <c r="W243" s="267"/>
      <c r="X243" s="267"/>
    </row>
    <row r="244">
      <c r="A244" s="267"/>
      <c r="B244" s="87"/>
      <c r="C244" s="87"/>
      <c r="D244" s="87"/>
      <c r="E244" s="267"/>
      <c r="F244" s="87"/>
      <c r="G244" s="267"/>
      <c r="H244" s="267"/>
      <c r="I244" s="267"/>
      <c r="J244" s="267"/>
      <c r="K244" s="267"/>
      <c r="L244" s="267"/>
      <c r="M244" s="267"/>
      <c r="N244" s="267"/>
      <c r="O244" s="267"/>
      <c r="P244" s="267"/>
      <c r="Q244" s="267"/>
      <c r="R244" s="267"/>
      <c r="S244" s="267"/>
      <c r="T244" s="267"/>
      <c r="U244" s="267"/>
      <c r="V244" s="267"/>
      <c r="W244" s="267"/>
      <c r="X244" s="267"/>
    </row>
    <row r="245">
      <c r="A245" s="267"/>
      <c r="B245" s="87"/>
      <c r="C245" s="87"/>
      <c r="D245" s="87"/>
      <c r="E245" s="267"/>
      <c r="F245" s="87"/>
      <c r="G245" s="267"/>
      <c r="H245" s="267"/>
      <c r="I245" s="267"/>
      <c r="J245" s="267"/>
      <c r="K245" s="267"/>
      <c r="L245" s="267"/>
      <c r="M245" s="267"/>
      <c r="N245" s="267"/>
      <c r="O245" s="267"/>
      <c r="P245" s="267"/>
      <c r="Q245" s="267"/>
      <c r="R245" s="267"/>
      <c r="S245" s="267"/>
      <c r="T245" s="267"/>
      <c r="U245" s="267"/>
      <c r="V245" s="267"/>
      <c r="W245" s="267"/>
      <c r="X245" s="267"/>
    </row>
    <row r="246">
      <c r="A246" s="267"/>
      <c r="B246" s="87"/>
      <c r="C246" s="87"/>
      <c r="D246" s="87"/>
      <c r="E246" s="267"/>
      <c r="F246" s="87"/>
      <c r="G246" s="267"/>
      <c r="H246" s="267"/>
      <c r="I246" s="267"/>
      <c r="J246" s="267"/>
      <c r="K246" s="267"/>
      <c r="L246" s="267"/>
      <c r="M246" s="267"/>
      <c r="N246" s="267"/>
      <c r="O246" s="267"/>
      <c r="P246" s="267"/>
      <c r="Q246" s="267"/>
      <c r="R246" s="267"/>
      <c r="S246" s="267"/>
      <c r="T246" s="267"/>
      <c r="U246" s="267"/>
      <c r="V246" s="267"/>
      <c r="W246" s="267"/>
      <c r="X246" s="267"/>
    </row>
    <row r="247">
      <c r="A247" s="267"/>
      <c r="B247" s="87"/>
      <c r="C247" s="87"/>
      <c r="D247" s="87"/>
      <c r="E247" s="267"/>
      <c r="F247" s="87"/>
      <c r="G247" s="267"/>
      <c r="H247" s="267"/>
      <c r="I247" s="267"/>
      <c r="J247" s="267"/>
      <c r="K247" s="267"/>
      <c r="L247" s="267"/>
      <c r="M247" s="267"/>
      <c r="N247" s="267"/>
      <c r="O247" s="267"/>
      <c r="P247" s="267"/>
      <c r="Q247" s="267"/>
      <c r="R247" s="267"/>
      <c r="S247" s="267"/>
      <c r="T247" s="267"/>
      <c r="U247" s="267"/>
      <c r="V247" s="267"/>
      <c r="W247" s="267"/>
      <c r="X247" s="267"/>
    </row>
    <row r="248">
      <c r="A248" s="267"/>
      <c r="B248" s="87"/>
      <c r="C248" s="87"/>
      <c r="D248" s="87"/>
      <c r="E248" s="267"/>
      <c r="F248" s="87"/>
      <c r="G248" s="267"/>
      <c r="H248" s="267"/>
      <c r="I248" s="267"/>
      <c r="J248" s="267"/>
      <c r="K248" s="267"/>
      <c r="L248" s="267"/>
      <c r="M248" s="267"/>
      <c r="N248" s="267"/>
      <c r="O248" s="267"/>
      <c r="P248" s="267"/>
      <c r="Q248" s="267"/>
      <c r="R248" s="267"/>
      <c r="S248" s="267"/>
      <c r="T248" s="267"/>
      <c r="U248" s="267"/>
      <c r="V248" s="267"/>
      <c r="W248" s="267"/>
      <c r="X248" s="267"/>
    </row>
    <row r="249">
      <c r="A249" s="267"/>
      <c r="B249" s="87"/>
      <c r="C249" s="87"/>
      <c r="D249" s="87"/>
      <c r="E249" s="267"/>
      <c r="F249" s="87"/>
      <c r="G249" s="267"/>
      <c r="H249" s="267"/>
      <c r="I249" s="267"/>
      <c r="J249" s="267"/>
      <c r="K249" s="267"/>
      <c r="L249" s="267"/>
      <c r="M249" s="267"/>
      <c r="N249" s="267"/>
      <c r="O249" s="267"/>
      <c r="P249" s="267"/>
      <c r="Q249" s="267"/>
      <c r="R249" s="267"/>
      <c r="S249" s="267"/>
      <c r="T249" s="267"/>
      <c r="U249" s="267"/>
      <c r="V249" s="267"/>
      <c r="W249" s="267"/>
      <c r="X249" s="267"/>
    </row>
    <row r="250">
      <c r="A250" s="267"/>
      <c r="B250" s="87"/>
      <c r="C250" s="87"/>
      <c r="D250" s="87"/>
      <c r="E250" s="267"/>
      <c r="F250" s="87"/>
      <c r="G250" s="267"/>
      <c r="H250" s="267"/>
      <c r="I250" s="267"/>
      <c r="J250" s="267"/>
      <c r="K250" s="267"/>
      <c r="L250" s="267"/>
      <c r="M250" s="267"/>
      <c r="N250" s="267"/>
      <c r="O250" s="267"/>
      <c r="P250" s="267"/>
      <c r="Q250" s="267"/>
      <c r="R250" s="267"/>
      <c r="S250" s="267"/>
      <c r="T250" s="267"/>
      <c r="U250" s="267"/>
      <c r="V250" s="267"/>
      <c r="W250" s="267"/>
      <c r="X250" s="267"/>
    </row>
    <row r="251">
      <c r="A251" s="267"/>
      <c r="B251" s="87"/>
      <c r="C251" s="87"/>
      <c r="D251" s="87"/>
      <c r="E251" s="267"/>
      <c r="F251" s="87"/>
      <c r="G251" s="267"/>
      <c r="H251" s="267"/>
      <c r="I251" s="267"/>
      <c r="J251" s="267"/>
      <c r="K251" s="267"/>
      <c r="L251" s="267"/>
      <c r="M251" s="267"/>
      <c r="N251" s="267"/>
      <c r="O251" s="267"/>
      <c r="P251" s="267"/>
      <c r="Q251" s="267"/>
      <c r="R251" s="267"/>
      <c r="S251" s="267"/>
      <c r="T251" s="267"/>
      <c r="U251" s="267"/>
      <c r="V251" s="267"/>
      <c r="W251" s="267"/>
      <c r="X251" s="267"/>
    </row>
    <row r="252">
      <c r="A252" s="267"/>
      <c r="B252" s="87"/>
      <c r="C252" s="87"/>
      <c r="D252" s="87"/>
      <c r="E252" s="267"/>
      <c r="F252" s="87"/>
      <c r="G252" s="267"/>
      <c r="H252" s="267"/>
      <c r="I252" s="267"/>
      <c r="J252" s="267"/>
      <c r="K252" s="267"/>
      <c r="L252" s="267"/>
      <c r="M252" s="267"/>
      <c r="N252" s="267"/>
      <c r="O252" s="267"/>
      <c r="P252" s="267"/>
      <c r="Q252" s="267"/>
      <c r="R252" s="267"/>
      <c r="S252" s="267"/>
      <c r="T252" s="267"/>
      <c r="U252" s="267"/>
      <c r="V252" s="267"/>
      <c r="W252" s="267"/>
      <c r="X252" s="267"/>
    </row>
    <row r="253">
      <c r="A253" s="267"/>
      <c r="B253" s="87"/>
      <c r="C253" s="87"/>
      <c r="D253" s="87"/>
      <c r="E253" s="267"/>
      <c r="F253" s="87"/>
      <c r="G253" s="267"/>
      <c r="H253" s="267"/>
      <c r="I253" s="267"/>
      <c r="J253" s="267"/>
      <c r="K253" s="267"/>
      <c r="L253" s="267"/>
      <c r="M253" s="267"/>
      <c r="N253" s="267"/>
      <c r="O253" s="267"/>
      <c r="P253" s="267"/>
      <c r="Q253" s="267"/>
      <c r="R253" s="267"/>
      <c r="S253" s="267"/>
      <c r="T253" s="267"/>
      <c r="U253" s="267"/>
      <c r="V253" s="267"/>
      <c r="W253" s="267"/>
      <c r="X253" s="267"/>
    </row>
    <row r="254">
      <c r="A254" s="267"/>
      <c r="B254" s="87"/>
      <c r="C254" s="87"/>
      <c r="D254" s="87"/>
      <c r="E254" s="267"/>
      <c r="F254" s="87"/>
      <c r="G254" s="267"/>
      <c r="H254" s="267"/>
      <c r="I254" s="267"/>
      <c r="J254" s="267"/>
      <c r="K254" s="267"/>
      <c r="L254" s="267"/>
      <c r="M254" s="267"/>
      <c r="N254" s="267"/>
      <c r="O254" s="267"/>
      <c r="P254" s="267"/>
      <c r="Q254" s="267"/>
      <c r="R254" s="267"/>
      <c r="S254" s="267"/>
      <c r="T254" s="267"/>
      <c r="U254" s="267"/>
      <c r="V254" s="267"/>
      <c r="W254" s="267"/>
      <c r="X254" s="267"/>
    </row>
    <row r="255">
      <c r="A255" s="267"/>
      <c r="B255" s="87"/>
      <c r="C255" s="87"/>
      <c r="D255" s="87"/>
      <c r="E255" s="267"/>
      <c r="F255" s="87"/>
      <c r="G255" s="267"/>
      <c r="H255" s="267"/>
      <c r="I255" s="267"/>
      <c r="J255" s="267"/>
      <c r="K255" s="267"/>
      <c r="L255" s="267"/>
      <c r="M255" s="267"/>
      <c r="N255" s="267"/>
      <c r="O255" s="267"/>
      <c r="P255" s="267"/>
      <c r="Q255" s="267"/>
      <c r="R255" s="267"/>
      <c r="S255" s="267"/>
      <c r="T255" s="267"/>
      <c r="U255" s="267"/>
      <c r="V255" s="267"/>
      <c r="W255" s="267"/>
      <c r="X255" s="267"/>
    </row>
    <row r="256">
      <c r="A256" s="267"/>
      <c r="B256" s="87"/>
      <c r="C256" s="87"/>
      <c r="D256" s="87"/>
      <c r="E256" s="267"/>
      <c r="F256" s="87"/>
      <c r="G256" s="267"/>
      <c r="H256" s="267"/>
      <c r="I256" s="267"/>
      <c r="J256" s="267"/>
      <c r="K256" s="267"/>
      <c r="L256" s="267"/>
      <c r="M256" s="267"/>
      <c r="N256" s="267"/>
      <c r="O256" s="267"/>
      <c r="P256" s="267"/>
      <c r="Q256" s="267"/>
      <c r="R256" s="267"/>
      <c r="S256" s="267"/>
      <c r="T256" s="267"/>
      <c r="U256" s="267"/>
      <c r="V256" s="267"/>
      <c r="W256" s="267"/>
      <c r="X256" s="267"/>
    </row>
    <row r="257">
      <c r="A257" s="267"/>
      <c r="B257" s="87"/>
      <c r="C257" s="87"/>
      <c r="D257" s="87"/>
      <c r="E257" s="267"/>
      <c r="F257" s="87"/>
      <c r="G257" s="267"/>
      <c r="H257" s="267"/>
      <c r="I257" s="267"/>
      <c r="J257" s="267"/>
      <c r="K257" s="267"/>
      <c r="L257" s="267"/>
      <c r="M257" s="267"/>
      <c r="N257" s="267"/>
      <c r="O257" s="267"/>
      <c r="P257" s="267"/>
      <c r="Q257" s="267"/>
      <c r="R257" s="267"/>
      <c r="S257" s="267"/>
      <c r="T257" s="267"/>
      <c r="U257" s="267"/>
      <c r="V257" s="267"/>
      <c r="W257" s="267"/>
      <c r="X257" s="267"/>
    </row>
    <row r="258">
      <c r="A258" s="267"/>
      <c r="B258" s="87"/>
      <c r="C258" s="87"/>
      <c r="D258" s="87"/>
      <c r="E258" s="267"/>
      <c r="F258" s="87"/>
      <c r="G258" s="267"/>
      <c r="H258" s="267"/>
      <c r="I258" s="267"/>
      <c r="J258" s="267"/>
      <c r="K258" s="267"/>
      <c r="L258" s="267"/>
      <c r="M258" s="267"/>
      <c r="N258" s="267"/>
      <c r="O258" s="267"/>
      <c r="P258" s="267"/>
      <c r="Q258" s="267"/>
      <c r="R258" s="267"/>
      <c r="S258" s="267"/>
      <c r="T258" s="267"/>
      <c r="U258" s="267"/>
      <c r="V258" s="267"/>
      <c r="W258" s="267"/>
      <c r="X258" s="267"/>
    </row>
    <row r="259">
      <c r="A259" s="267"/>
      <c r="B259" s="87"/>
      <c r="C259" s="87"/>
      <c r="D259" s="87"/>
      <c r="E259" s="267"/>
      <c r="F259" s="87"/>
      <c r="G259" s="267"/>
      <c r="H259" s="267"/>
      <c r="I259" s="267"/>
      <c r="J259" s="267"/>
      <c r="K259" s="267"/>
      <c r="L259" s="267"/>
      <c r="M259" s="267"/>
      <c r="N259" s="267"/>
      <c r="O259" s="267"/>
      <c r="P259" s="267"/>
      <c r="Q259" s="267"/>
      <c r="R259" s="267"/>
      <c r="S259" s="267"/>
      <c r="T259" s="267"/>
      <c r="U259" s="267"/>
      <c r="V259" s="267"/>
      <c r="W259" s="267"/>
      <c r="X259" s="267"/>
    </row>
    <row r="260">
      <c r="A260" s="267"/>
      <c r="B260" s="87"/>
      <c r="C260" s="87"/>
      <c r="D260" s="87"/>
      <c r="E260" s="267"/>
      <c r="F260" s="87"/>
      <c r="G260" s="267"/>
      <c r="H260" s="267"/>
      <c r="I260" s="267"/>
      <c r="J260" s="267"/>
      <c r="K260" s="267"/>
      <c r="L260" s="267"/>
      <c r="M260" s="267"/>
      <c r="N260" s="267"/>
      <c r="O260" s="267"/>
      <c r="P260" s="267"/>
      <c r="Q260" s="267"/>
      <c r="R260" s="267"/>
      <c r="S260" s="267"/>
      <c r="T260" s="267"/>
      <c r="U260" s="267"/>
      <c r="V260" s="267"/>
      <c r="W260" s="267"/>
      <c r="X260" s="267"/>
    </row>
    <row r="261">
      <c r="A261" s="267"/>
      <c r="B261" s="87"/>
      <c r="C261" s="87"/>
      <c r="D261" s="87"/>
      <c r="E261" s="267"/>
      <c r="F261" s="87"/>
      <c r="G261" s="267"/>
      <c r="H261" s="267"/>
      <c r="I261" s="267"/>
      <c r="J261" s="267"/>
      <c r="K261" s="267"/>
      <c r="L261" s="267"/>
      <c r="M261" s="267"/>
      <c r="N261" s="267"/>
      <c r="O261" s="267"/>
      <c r="P261" s="267"/>
      <c r="Q261" s="267"/>
      <c r="R261" s="267"/>
      <c r="S261" s="267"/>
      <c r="T261" s="267"/>
      <c r="U261" s="267"/>
      <c r="V261" s="267"/>
      <c r="W261" s="267"/>
      <c r="X261" s="267"/>
    </row>
    <row r="262">
      <c r="A262" s="267"/>
      <c r="B262" s="87"/>
      <c r="C262" s="87"/>
      <c r="D262" s="87"/>
      <c r="E262" s="267"/>
      <c r="F262" s="87"/>
      <c r="G262" s="267"/>
      <c r="H262" s="267"/>
      <c r="I262" s="267"/>
      <c r="J262" s="267"/>
      <c r="K262" s="267"/>
      <c r="L262" s="267"/>
      <c r="M262" s="267"/>
      <c r="N262" s="267"/>
      <c r="O262" s="267"/>
      <c r="P262" s="267"/>
      <c r="Q262" s="267"/>
      <c r="R262" s="267"/>
      <c r="S262" s="267"/>
      <c r="T262" s="267"/>
      <c r="U262" s="267"/>
      <c r="V262" s="267"/>
      <c r="W262" s="267"/>
      <c r="X262" s="267"/>
    </row>
    <row r="263">
      <c r="A263" s="267"/>
      <c r="B263" s="87"/>
      <c r="C263" s="87"/>
      <c r="D263" s="87"/>
      <c r="E263" s="267"/>
      <c r="F263" s="87"/>
      <c r="G263" s="267"/>
      <c r="H263" s="267"/>
      <c r="I263" s="267"/>
      <c r="J263" s="267"/>
      <c r="K263" s="267"/>
      <c r="L263" s="267"/>
      <c r="M263" s="267"/>
      <c r="N263" s="267"/>
      <c r="O263" s="267"/>
      <c r="P263" s="267"/>
      <c r="Q263" s="267"/>
      <c r="R263" s="267"/>
      <c r="S263" s="267"/>
      <c r="T263" s="267"/>
      <c r="U263" s="267"/>
      <c r="V263" s="267"/>
      <c r="W263" s="267"/>
      <c r="X263" s="267"/>
    </row>
    <row r="264">
      <c r="A264" s="267"/>
      <c r="B264" s="87"/>
      <c r="C264" s="87"/>
      <c r="D264" s="87"/>
      <c r="E264" s="267"/>
      <c r="F264" s="87"/>
      <c r="G264" s="267"/>
      <c r="H264" s="267"/>
      <c r="I264" s="267"/>
      <c r="J264" s="267"/>
      <c r="K264" s="267"/>
      <c r="L264" s="267"/>
      <c r="M264" s="267"/>
      <c r="N264" s="267"/>
      <c r="O264" s="267"/>
      <c r="P264" s="267"/>
      <c r="Q264" s="267"/>
      <c r="R264" s="267"/>
      <c r="S264" s="267"/>
      <c r="T264" s="267"/>
      <c r="U264" s="267"/>
      <c r="V264" s="267"/>
      <c r="W264" s="267"/>
      <c r="X264" s="267"/>
    </row>
    <row r="265">
      <c r="A265" s="267"/>
      <c r="B265" s="87"/>
      <c r="C265" s="87"/>
      <c r="D265" s="87"/>
      <c r="E265" s="267"/>
      <c r="F265" s="87"/>
      <c r="G265" s="267"/>
      <c r="H265" s="267"/>
      <c r="I265" s="267"/>
      <c r="J265" s="267"/>
      <c r="K265" s="267"/>
      <c r="L265" s="267"/>
      <c r="M265" s="267"/>
      <c r="N265" s="267"/>
      <c r="O265" s="267"/>
      <c r="P265" s="267"/>
      <c r="Q265" s="267"/>
      <c r="R265" s="267"/>
      <c r="S265" s="267"/>
      <c r="T265" s="267"/>
      <c r="U265" s="267"/>
      <c r="V265" s="267"/>
      <c r="W265" s="267"/>
      <c r="X265" s="267"/>
    </row>
    <row r="266">
      <c r="A266" s="267"/>
      <c r="B266" s="87"/>
      <c r="C266" s="87"/>
      <c r="D266" s="87"/>
      <c r="E266" s="267"/>
      <c r="F266" s="87"/>
      <c r="G266" s="267"/>
      <c r="H266" s="267"/>
      <c r="I266" s="267"/>
      <c r="J266" s="267"/>
      <c r="K266" s="267"/>
      <c r="L266" s="267"/>
      <c r="M266" s="267"/>
      <c r="N266" s="267"/>
      <c r="O266" s="267"/>
      <c r="P266" s="267"/>
      <c r="Q266" s="267"/>
      <c r="R266" s="267"/>
      <c r="S266" s="267"/>
      <c r="T266" s="267"/>
      <c r="U266" s="267"/>
      <c r="V266" s="267"/>
      <c r="W266" s="267"/>
      <c r="X266" s="267"/>
    </row>
    <row r="267">
      <c r="A267" s="267"/>
      <c r="B267" s="87"/>
      <c r="C267" s="87"/>
      <c r="D267" s="87"/>
      <c r="E267" s="267"/>
      <c r="F267" s="87"/>
      <c r="G267" s="267"/>
      <c r="H267" s="267"/>
      <c r="I267" s="267"/>
      <c r="J267" s="267"/>
      <c r="K267" s="267"/>
      <c r="L267" s="267"/>
      <c r="M267" s="267"/>
      <c r="N267" s="267"/>
      <c r="O267" s="267"/>
      <c r="P267" s="267"/>
      <c r="Q267" s="267"/>
      <c r="R267" s="267"/>
      <c r="S267" s="267"/>
      <c r="T267" s="267"/>
      <c r="U267" s="267"/>
      <c r="V267" s="267"/>
      <c r="W267" s="267"/>
      <c r="X267" s="267"/>
    </row>
    <row r="268">
      <c r="A268" s="267"/>
      <c r="B268" s="87"/>
      <c r="C268" s="87"/>
      <c r="D268" s="87"/>
      <c r="E268" s="267"/>
      <c r="F268" s="87"/>
      <c r="G268" s="267"/>
      <c r="H268" s="267"/>
      <c r="I268" s="267"/>
      <c r="J268" s="267"/>
      <c r="K268" s="267"/>
      <c r="L268" s="267"/>
      <c r="M268" s="267"/>
      <c r="N268" s="267"/>
      <c r="O268" s="267"/>
      <c r="P268" s="267"/>
      <c r="Q268" s="267"/>
      <c r="R268" s="267"/>
      <c r="S268" s="267"/>
      <c r="T268" s="267"/>
      <c r="U268" s="267"/>
      <c r="V268" s="267"/>
      <c r="W268" s="267"/>
      <c r="X268" s="267"/>
    </row>
    <row r="269">
      <c r="A269" s="267"/>
      <c r="B269" s="87"/>
      <c r="C269" s="87"/>
      <c r="D269" s="87"/>
      <c r="E269" s="267"/>
      <c r="F269" s="87"/>
      <c r="G269" s="267"/>
      <c r="H269" s="267"/>
      <c r="I269" s="267"/>
      <c r="J269" s="267"/>
      <c r="K269" s="267"/>
      <c r="L269" s="267"/>
      <c r="M269" s="267"/>
      <c r="N269" s="267"/>
      <c r="O269" s="267"/>
      <c r="P269" s="267"/>
      <c r="Q269" s="267"/>
      <c r="R269" s="267"/>
      <c r="S269" s="267"/>
      <c r="T269" s="267"/>
      <c r="U269" s="267"/>
      <c r="V269" s="267"/>
      <c r="W269" s="267"/>
      <c r="X269" s="267"/>
    </row>
    <row r="270">
      <c r="A270" s="267"/>
      <c r="B270" s="87"/>
      <c r="C270" s="87"/>
      <c r="D270" s="87"/>
      <c r="E270" s="267"/>
      <c r="F270" s="87"/>
      <c r="G270" s="267"/>
      <c r="H270" s="267"/>
      <c r="I270" s="267"/>
      <c r="J270" s="267"/>
      <c r="K270" s="267"/>
      <c r="L270" s="267"/>
      <c r="M270" s="267"/>
      <c r="N270" s="267"/>
      <c r="O270" s="267"/>
      <c r="P270" s="267"/>
      <c r="Q270" s="267"/>
      <c r="R270" s="267"/>
      <c r="S270" s="267"/>
      <c r="T270" s="267"/>
      <c r="U270" s="267"/>
      <c r="V270" s="267"/>
      <c r="W270" s="267"/>
      <c r="X270" s="267"/>
    </row>
    <row r="271">
      <c r="A271" s="267"/>
      <c r="B271" s="87"/>
      <c r="C271" s="87"/>
      <c r="D271" s="87"/>
      <c r="E271" s="267"/>
      <c r="F271" s="87"/>
      <c r="G271" s="267"/>
      <c r="H271" s="267"/>
      <c r="I271" s="267"/>
      <c r="J271" s="267"/>
      <c r="K271" s="267"/>
      <c r="L271" s="267"/>
      <c r="M271" s="267"/>
      <c r="N271" s="267"/>
      <c r="O271" s="267"/>
      <c r="P271" s="267"/>
      <c r="Q271" s="267"/>
      <c r="R271" s="267"/>
      <c r="S271" s="267"/>
      <c r="T271" s="267"/>
      <c r="U271" s="267"/>
      <c r="V271" s="267"/>
      <c r="W271" s="267"/>
      <c r="X271" s="267"/>
    </row>
    <row r="272">
      <c r="A272" s="267"/>
      <c r="B272" s="87"/>
      <c r="C272" s="87"/>
      <c r="D272" s="87"/>
      <c r="E272" s="267"/>
      <c r="F272" s="87"/>
      <c r="G272" s="267"/>
      <c r="H272" s="267"/>
      <c r="I272" s="267"/>
      <c r="J272" s="267"/>
      <c r="K272" s="267"/>
      <c r="L272" s="267"/>
      <c r="M272" s="267"/>
      <c r="N272" s="267"/>
      <c r="O272" s="267"/>
      <c r="P272" s="267"/>
      <c r="Q272" s="267"/>
      <c r="R272" s="267"/>
      <c r="S272" s="267"/>
      <c r="T272" s="267"/>
      <c r="U272" s="267"/>
      <c r="V272" s="267"/>
      <c r="W272" s="267"/>
      <c r="X272" s="267"/>
    </row>
    <row r="273">
      <c r="A273" s="267"/>
      <c r="B273" s="87"/>
      <c r="C273" s="87"/>
      <c r="D273" s="87"/>
      <c r="E273" s="267"/>
      <c r="F273" s="87"/>
      <c r="G273" s="267"/>
      <c r="H273" s="267"/>
      <c r="I273" s="267"/>
      <c r="J273" s="267"/>
      <c r="K273" s="267"/>
      <c r="L273" s="267"/>
      <c r="M273" s="267"/>
      <c r="N273" s="267"/>
      <c r="O273" s="267"/>
      <c r="P273" s="267"/>
      <c r="Q273" s="267"/>
      <c r="R273" s="267"/>
      <c r="S273" s="267"/>
      <c r="T273" s="267"/>
      <c r="U273" s="267"/>
      <c r="V273" s="267"/>
      <c r="W273" s="267"/>
      <c r="X273" s="267"/>
    </row>
    <row r="274">
      <c r="A274" s="267"/>
      <c r="B274" s="87"/>
      <c r="C274" s="87"/>
      <c r="D274" s="87"/>
      <c r="E274" s="267"/>
      <c r="F274" s="87"/>
      <c r="G274" s="267"/>
      <c r="H274" s="267"/>
      <c r="I274" s="267"/>
      <c r="J274" s="267"/>
      <c r="K274" s="267"/>
      <c r="L274" s="267"/>
      <c r="M274" s="267"/>
      <c r="N274" s="267"/>
      <c r="O274" s="267"/>
      <c r="P274" s="267"/>
      <c r="Q274" s="267"/>
      <c r="R274" s="267"/>
      <c r="S274" s="267"/>
      <c r="T274" s="267"/>
      <c r="U274" s="267"/>
      <c r="V274" s="267"/>
      <c r="W274" s="267"/>
      <c r="X274" s="267"/>
    </row>
    <row r="275">
      <c r="A275" s="267"/>
      <c r="B275" s="87"/>
      <c r="C275" s="87"/>
      <c r="D275" s="87"/>
      <c r="E275" s="267"/>
      <c r="F275" s="87"/>
      <c r="G275" s="267"/>
      <c r="H275" s="267"/>
      <c r="I275" s="267"/>
      <c r="J275" s="267"/>
      <c r="K275" s="267"/>
      <c r="L275" s="267"/>
      <c r="M275" s="267"/>
      <c r="N275" s="267"/>
      <c r="O275" s="267"/>
      <c r="P275" s="267"/>
      <c r="Q275" s="267"/>
      <c r="R275" s="267"/>
      <c r="S275" s="267"/>
      <c r="T275" s="267"/>
      <c r="U275" s="267"/>
      <c r="V275" s="267"/>
      <c r="W275" s="267"/>
      <c r="X275" s="267"/>
    </row>
    <row r="276">
      <c r="A276" s="267"/>
      <c r="B276" s="87"/>
      <c r="C276" s="87"/>
      <c r="D276" s="87"/>
      <c r="E276" s="267"/>
      <c r="F276" s="87"/>
      <c r="G276" s="267"/>
      <c r="H276" s="267"/>
      <c r="I276" s="267"/>
      <c r="J276" s="267"/>
      <c r="K276" s="267"/>
      <c r="L276" s="267"/>
      <c r="M276" s="267"/>
      <c r="N276" s="267"/>
      <c r="O276" s="267"/>
      <c r="P276" s="267"/>
      <c r="Q276" s="267"/>
      <c r="R276" s="267"/>
      <c r="S276" s="267"/>
      <c r="T276" s="267"/>
      <c r="U276" s="267"/>
      <c r="V276" s="267"/>
      <c r="W276" s="267"/>
      <c r="X276" s="267"/>
    </row>
    <row r="277">
      <c r="A277" s="267"/>
      <c r="B277" s="87"/>
      <c r="C277" s="87"/>
      <c r="D277" s="87"/>
      <c r="E277" s="267"/>
      <c r="F277" s="87"/>
      <c r="G277" s="267"/>
      <c r="H277" s="267"/>
      <c r="I277" s="267"/>
      <c r="J277" s="267"/>
      <c r="K277" s="267"/>
      <c r="L277" s="267"/>
      <c r="M277" s="267"/>
      <c r="N277" s="267"/>
      <c r="O277" s="267"/>
      <c r="P277" s="267"/>
      <c r="Q277" s="267"/>
      <c r="R277" s="267"/>
      <c r="S277" s="267"/>
      <c r="T277" s="267"/>
      <c r="U277" s="267"/>
      <c r="V277" s="267"/>
      <c r="W277" s="267"/>
      <c r="X277" s="267"/>
    </row>
    <row r="278">
      <c r="A278" s="267"/>
      <c r="B278" s="87"/>
      <c r="C278" s="87"/>
      <c r="D278" s="87"/>
      <c r="E278" s="267"/>
      <c r="F278" s="87"/>
      <c r="G278" s="267"/>
      <c r="H278" s="267"/>
      <c r="I278" s="267"/>
      <c r="J278" s="267"/>
      <c r="K278" s="267"/>
      <c r="L278" s="267"/>
      <c r="M278" s="267"/>
      <c r="N278" s="267"/>
      <c r="O278" s="267"/>
      <c r="P278" s="267"/>
      <c r="Q278" s="267"/>
      <c r="R278" s="267"/>
      <c r="S278" s="267"/>
      <c r="T278" s="267"/>
      <c r="U278" s="267"/>
      <c r="V278" s="267"/>
      <c r="W278" s="267"/>
      <c r="X278" s="267"/>
    </row>
    <row r="279">
      <c r="A279" s="267"/>
      <c r="B279" s="87"/>
      <c r="C279" s="87"/>
      <c r="D279" s="87"/>
      <c r="E279" s="267"/>
      <c r="F279" s="87"/>
      <c r="G279" s="267"/>
      <c r="H279" s="267"/>
      <c r="I279" s="267"/>
      <c r="J279" s="267"/>
      <c r="K279" s="267"/>
      <c r="L279" s="267"/>
      <c r="M279" s="267"/>
      <c r="N279" s="267"/>
      <c r="O279" s="267"/>
      <c r="P279" s="267"/>
      <c r="Q279" s="267"/>
      <c r="R279" s="267"/>
      <c r="S279" s="267"/>
      <c r="T279" s="267"/>
      <c r="U279" s="267"/>
      <c r="V279" s="267"/>
      <c r="W279" s="267"/>
      <c r="X279" s="267"/>
    </row>
    <row r="280">
      <c r="A280" s="267"/>
      <c r="B280" s="87"/>
      <c r="C280" s="87"/>
      <c r="D280" s="87"/>
      <c r="E280" s="267"/>
      <c r="F280" s="87"/>
      <c r="G280" s="267"/>
      <c r="H280" s="267"/>
      <c r="I280" s="267"/>
      <c r="J280" s="267"/>
      <c r="K280" s="267"/>
      <c r="L280" s="267"/>
      <c r="M280" s="267"/>
      <c r="N280" s="267"/>
      <c r="O280" s="267"/>
      <c r="P280" s="267"/>
      <c r="Q280" s="267"/>
      <c r="R280" s="267"/>
      <c r="S280" s="267"/>
      <c r="T280" s="267"/>
      <c r="U280" s="267"/>
      <c r="V280" s="267"/>
      <c r="W280" s="267"/>
      <c r="X280" s="267"/>
    </row>
    <row r="281">
      <c r="A281" s="267"/>
      <c r="B281" s="87"/>
      <c r="C281" s="87"/>
      <c r="D281" s="87"/>
      <c r="E281" s="267"/>
      <c r="F281" s="87"/>
      <c r="G281" s="267"/>
      <c r="H281" s="267"/>
      <c r="I281" s="267"/>
      <c r="J281" s="267"/>
      <c r="K281" s="267"/>
      <c r="L281" s="267"/>
      <c r="M281" s="267"/>
      <c r="N281" s="267"/>
      <c r="O281" s="267"/>
      <c r="P281" s="267"/>
      <c r="Q281" s="267"/>
      <c r="R281" s="267"/>
      <c r="S281" s="267"/>
      <c r="T281" s="267"/>
      <c r="U281" s="267"/>
      <c r="V281" s="267"/>
      <c r="W281" s="267"/>
      <c r="X281" s="267"/>
    </row>
    <row r="282">
      <c r="A282" s="267"/>
      <c r="B282" s="87"/>
      <c r="C282" s="87"/>
      <c r="D282" s="87"/>
      <c r="E282" s="267"/>
      <c r="F282" s="87"/>
      <c r="G282" s="267"/>
      <c r="H282" s="267"/>
      <c r="I282" s="267"/>
      <c r="J282" s="267"/>
      <c r="K282" s="267"/>
      <c r="L282" s="267"/>
      <c r="M282" s="267"/>
      <c r="N282" s="267"/>
      <c r="O282" s="267"/>
      <c r="P282" s="267"/>
      <c r="Q282" s="267"/>
      <c r="R282" s="267"/>
      <c r="S282" s="267"/>
      <c r="T282" s="267"/>
      <c r="U282" s="267"/>
      <c r="V282" s="267"/>
      <c r="W282" s="267"/>
      <c r="X282" s="267"/>
    </row>
    <row r="283">
      <c r="A283" s="267"/>
      <c r="B283" s="87"/>
      <c r="C283" s="87"/>
      <c r="D283" s="87"/>
      <c r="E283" s="267"/>
      <c r="F283" s="87"/>
      <c r="G283" s="267"/>
      <c r="H283" s="267"/>
      <c r="I283" s="267"/>
      <c r="J283" s="267"/>
      <c r="K283" s="267"/>
      <c r="L283" s="267"/>
      <c r="M283" s="267"/>
      <c r="N283" s="267"/>
      <c r="O283" s="267"/>
      <c r="P283" s="267"/>
      <c r="Q283" s="267"/>
      <c r="R283" s="267"/>
      <c r="S283" s="267"/>
      <c r="T283" s="267"/>
      <c r="U283" s="267"/>
      <c r="V283" s="267"/>
      <c r="W283" s="267"/>
      <c r="X283" s="267"/>
    </row>
    <row r="284">
      <c r="A284" s="267"/>
      <c r="B284" s="87"/>
      <c r="C284" s="87"/>
      <c r="D284" s="87"/>
      <c r="E284" s="267"/>
      <c r="F284" s="87"/>
      <c r="G284" s="267"/>
      <c r="H284" s="267"/>
      <c r="I284" s="267"/>
      <c r="J284" s="267"/>
      <c r="K284" s="267"/>
      <c r="L284" s="267"/>
      <c r="M284" s="267"/>
      <c r="N284" s="267"/>
      <c r="O284" s="267"/>
      <c r="P284" s="267"/>
      <c r="Q284" s="267"/>
      <c r="R284" s="267"/>
      <c r="S284" s="267"/>
      <c r="T284" s="267"/>
      <c r="U284" s="267"/>
      <c r="V284" s="267"/>
      <c r="W284" s="267"/>
      <c r="X284" s="267"/>
    </row>
    <row r="285">
      <c r="A285" s="267"/>
      <c r="B285" s="87"/>
      <c r="C285" s="87"/>
      <c r="D285" s="87"/>
      <c r="E285" s="267"/>
      <c r="F285" s="87"/>
      <c r="G285" s="267"/>
      <c r="H285" s="267"/>
      <c r="I285" s="267"/>
      <c r="J285" s="267"/>
      <c r="K285" s="267"/>
      <c r="L285" s="267"/>
      <c r="M285" s="267"/>
      <c r="N285" s="267"/>
      <c r="O285" s="267"/>
      <c r="P285" s="267"/>
      <c r="Q285" s="267"/>
      <c r="R285" s="267"/>
      <c r="S285" s="267"/>
      <c r="T285" s="267"/>
      <c r="U285" s="267"/>
      <c r="V285" s="267"/>
      <c r="W285" s="267"/>
      <c r="X285" s="267"/>
    </row>
    <row r="286">
      <c r="A286" s="267"/>
      <c r="B286" s="87"/>
      <c r="C286" s="87"/>
      <c r="D286" s="87"/>
      <c r="E286" s="267"/>
      <c r="F286" s="87"/>
      <c r="G286" s="267"/>
      <c r="H286" s="267"/>
      <c r="I286" s="267"/>
      <c r="J286" s="267"/>
      <c r="K286" s="267"/>
      <c r="L286" s="267"/>
      <c r="M286" s="267"/>
      <c r="N286" s="267"/>
      <c r="O286" s="267"/>
      <c r="P286" s="267"/>
      <c r="Q286" s="267"/>
      <c r="R286" s="267"/>
      <c r="S286" s="267"/>
      <c r="T286" s="267"/>
      <c r="U286" s="267"/>
      <c r="V286" s="267"/>
      <c r="W286" s="267"/>
      <c r="X286" s="267"/>
    </row>
    <row r="287">
      <c r="A287" s="267"/>
      <c r="B287" s="87"/>
      <c r="C287" s="87"/>
      <c r="D287" s="87"/>
      <c r="E287" s="267"/>
      <c r="F287" s="87"/>
      <c r="G287" s="267"/>
      <c r="H287" s="267"/>
      <c r="I287" s="267"/>
      <c r="J287" s="267"/>
      <c r="K287" s="267"/>
      <c r="L287" s="267"/>
      <c r="M287" s="267"/>
      <c r="N287" s="267"/>
      <c r="O287" s="267"/>
      <c r="P287" s="267"/>
      <c r="Q287" s="267"/>
      <c r="R287" s="267"/>
      <c r="S287" s="267"/>
      <c r="T287" s="267"/>
      <c r="U287" s="267"/>
      <c r="V287" s="267"/>
      <c r="W287" s="267"/>
      <c r="X287" s="267"/>
    </row>
    <row r="288">
      <c r="A288" s="267"/>
      <c r="B288" s="87"/>
      <c r="C288" s="87"/>
      <c r="D288" s="87"/>
      <c r="E288" s="267"/>
      <c r="F288" s="87"/>
      <c r="G288" s="267"/>
      <c r="H288" s="267"/>
      <c r="I288" s="267"/>
      <c r="J288" s="267"/>
      <c r="K288" s="267"/>
      <c r="L288" s="267"/>
      <c r="M288" s="267"/>
      <c r="N288" s="267"/>
      <c r="O288" s="267"/>
      <c r="P288" s="267"/>
      <c r="Q288" s="267"/>
      <c r="R288" s="267"/>
      <c r="S288" s="267"/>
      <c r="T288" s="267"/>
      <c r="U288" s="267"/>
      <c r="V288" s="267"/>
      <c r="W288" s="267"/>
      <c r="X288" s="267"/>
    </row>
    <row r="289">
      <c r="A289" s="267"/>
      <c r="B289" s="87"/>
      <c r="C289" s="87"/>
      <c r="D289" s="87"/>
      <c r="E289" s="267"/>
      <c r="F289" s="87"/>
      <c r="G289" s="267"/>
      <c r="H289" s="267"/>
      <c r="I289" s="267"/>
      <c r="J289" s="267"/>
      <c r="K289" s="267"/>
      <c r="L289" s="267"/>
      <c r="M289" s="267"/>
      <c r="N289" s="267"/>
      <c r="O289" s="267"/>
      <c r="P289" s="267"/>
      <c r="Q289" s="267"/>
      <c r="R289" s="267"/>
      <c r="S289" s="267"/>
      <c r="T289" s="267"/>
      <c r="U289" s="267"/>
      <c r="V289" s="267"/>
      <c r="W289" s="267"/>
      <c r="X289" s="267"/>
    </row>
    <row r="290">
      <c r="A290" s="267"/>
      <c r="B290" s="87"/>
      <c r="C290" s="87"/>
      <c r="D290" s="87"/>
      <c r="E290" s="267"/>
      <c r="F290" s="87"/>
      <c r="G290" s="267"/>
      <c r="H290" s="267"/>
      <c r="I290" s="267"/>
      <c r="J290" s="267"/>
      <c r="K290" s="267"/>
      <c r="L290" s="267"/>
      <c r="M290" s="267"/>
      <c r="N290" s="267"/>
      <c r="O290" s="267"/>
      <c r="P290" s="267"/>
      <c r="Q290" s="267"/>
      <c r="R290" s="267"/>
      <c r="S290" s="267"/>
      <c r="T290" s="267"/>
      <c r="U290" s="267"/>
      <c r="V290" s="267"/>
      <c r="W290" s="267"/>
      <c r="X290" s="267"/>
    </row>
    <row r="291">
      <c r="A291" s="267"/>
      <c r="B291" s="87"/>
      <c r="C291" s="87"/>
      <c r="D291" s="87"/>
      <c r="E291" s="267"/>
      <c r="F291" s="87"/>
      <c r="G291" s="267"/>
      <c r="H291" s="267"/>
      <c r="I291" s="267"/>
      <c r="J291" s="267"/>
      <c r="K291" s="267"/>
      <c r="L291" s="267"/>
      <c r="M291" s="267"/>
      <c r="N291" s="267"/>
      <c r="O291" s="267"/>
      <c r="P291" s="267"/>
      <c r="Q291" s="267"/>
      <c r="R291" s="267"/>
      <c r="S291" s="267"/>
      <c r="T291" s="267"/>
      <c r="U291" s="267"/>
      <c r="V291" s="267"/>
      <c r="W291" s="267"/>
      <c r="X291" s="267"/>
    </row>
    <row r="292">
      <c r="A292" s="267"/>
      <c r="B292" s="87"/>
      <c r="C292" s="87"/>
      <c r="D292" s="87"/>
      <c r="E292" s="267"/>
      <c r="F292" s="87"/>
      <c r="G292" s="267"/>
      <c r="H292" s="267"/>
      <c r="I292" s="267"/>
      <c r="J292" s="267"/>
      <c r="K292" s="267"/>
      <c r="L292" s="267"/>
      <c r="M292" s="267"/>
      <c r="N292" s="267"/>
      <c r="O292" s="267"/>
      <c r="P292" s="267"/>
      <c r="Q292" s="267"/>
      <c r="R292" s="267"/>
      <c r="S292" s="267"/>
      <c r="T292" s="267"/>
      <c r="U292" s="267"/>
      <c r="V292" s="267"/>
      <c r="W292" s="267"/>
      <c r="X292" s="267"/>
    </row>
    <row r="293">
      <c r="A293" s="267"/>
      <c r="B293" s="87"/>
      <c r="C293" s="87"/>
      <c r="D293" s="87"/>
      <c r="E293" s="267"/>
      <c r="F293" s="87"/>
      <c r="G293" s="267"/>
      <c r="H293" s="267"/>
      <c r="I293" s="267"/>
      <c r="J293" s="267"/>
      <c r="K293" s="267"/>
      <c r="L293" s="267"/>
      <c r="M293" s="267"/>
      <c r="N293" s="267"/>
      <c r="O293" s="267"/>
      <c r="P293" s="267"/>
      <c r="Q293" s="267"/>
      <c r="R293" s="267"/>
      <c r="S293" s="267"/>
      <c r="T293" s="267"/>
      <c r="U293" s="267"/>
      <c r="V293" s="267"/>
      <c r="W293" s="267"/>
      <c r="X293" s="267"/>
    </row>
    <row r="294">
      <c r="A294" s="267"/>
      <c r="B294" s="87"/>
      <c r="C294" s="87"/>
      <c r="D294" s="87"/>
      <c r="E294" s="267"/>
      <c r="F294" s="87"/>
      <c r="G294" s="267"/>
      <c r="H294" s="267"/>
      <c r="I294" s="267"/>
      <c r="J294" s="267"/>
      <c r="K294" s="267"/>
      <c r="L294" s="267"/>
      <c r="M294" s="267"/>
      <c r="N294" s="267"/>
      <c r="O294" s="267"/>
      <c r="P294" s="267"/>
      <c r="Q294" s="267"/>
      <c r="R294" s="267"/>
      <c r="S294" s="267"/>
      <c r="T294" s="267"/>
      <c r="U294" s="267"/>
      <c r="V294" s="267"/>
      <c r="W294" s="267"/>
      <c r="X294" s="267"/>
    </row>
    <row r="295">
      <c r="A295" s="267"/>
      <c r="B295" s="87"/>
      <c r="C295" s="87"/>
      <c r="D295" s="87"/>
      <c r="E295" s="267"/>
      <c r="F295" s="87"/>
      <c r="G295" s="267"/>
      <c r="H295" s="267"/>
      <c r="I295" s="267"/>
      <c r="J295" s="267"/>
      <c r="K295" s="267"/>
      <c r="L295" s="267"/>
      <c r="M295" s="267"/>
      <c r="N295" s="267"/>
      <c r="O295" s="267"/>
      <c r="P295" s="267"/>
      <c r="Q295" s="267"/>
      <c r="R295" s="267"/>
      <c r="S295" s="267"/>
      <c r="T295" s="267"/>
      <c r="U295" s="267"/>
      <c r="V295" s="267"/>
      <c r="W295" s="267"/>
      <c r="X295" s="267"/>
    </row>
    <row r="296">
      <c r="A296" s="267"/>
      <c r="B296" s="87"/>
      <c r="C296" s="87"/>
      <c r="D296" s="87"/>
      <c r="E296" s="267"/>
      <c r="F296" s="87"/>
      <c r="G296" s="267"/>
      <c r="H296" s="267"/>
      <c r="I296" s="267"/>
      <c r="J296" s="267"/>
      <c r="K296" s="267"/>
      <c r="L296" s="267"/>
      <c r="M296" s="267"/>
      <c r="N296" s="267"/>
      <c r="O296" s="267"/>
      <c r="P296" s="267"/>
      <c r="Q296" s="267"/>
      <c r="R296" s="267"/>
      <c r="S296" s="267"/>
      <c r="T296" s="267"/>
      <c r="U296" s="267"/>
      <c r="V296" s="267"/>
      <c r="W296" s="267"/>
      <c r="X296" s="267"/>
    </row>
    <row r="297">
      <c r="A297" s="267"/>
      <c r="B297" s="87"/>
      <c r="C297" s="87"/>
      <c r="D297" s="87"/>
      <c r="E297" s="267"/>
      <c r="F297" s="87"/>
      <c r="G297" s="267"/>
      <c r="H297" s="267"/>
      <c r="I297" s="267"/>
      <c r="J297" s="267"/>
      <c r="K297" s="267"/>
      <c r="L297" s="267"/>
      <c r="M297" s="267"/>
      <c r="N297" s="267"/>
      <c r="O297" s="267"/>
      <c r="P297" s="267"/>
      <c r="Q297" s="267"/>
      <c r="R297" s="267"/>
      <c r="S297" s="267"/>
      <c r="T297" s="267"/>
      <c r="U297" s="267"/>
      <c r="V297" s="267"/>
      <c r="W297" s="267"/>
      <c r="X297" s="267"/>
    </row>
    <row r="298">
      <c r="A298" s="267"/>
      <c r="B298" s="87"/>
      <c r="C298" s="87"/>
      <c r="D298" s="87"/>
      <c r="E298" s="267"/>
      <c r="F298" s="87"/>
      <c r="G298" s="267"/>
      <c r="H298" s="267"/>
      <c r="I298" s="267"/>
      <c r="J298" s="267"/>
      <c r="K298" s="267"/>
      <c r="L298" s="267"/>
      <c r="M298" s="267"/>
      <c r="N298" s="267"/>
      <c r="O298" s="267"/>
      <c r="P298" s="267"/>
      <c r="Q298" s="267"/>
      <c r="R298" s="267"/>
      <c r="S298" s="267"/>
      <c r="T298" s="267"/>
      <c r="U298" s="267"/>
      <c r="V298" s="267"/>
      <c r="W298" s="267"/>
      <c r="X298" s="267"/>
    </row>
    <row r="299">
      <c r="A299" s="267"/>
      <c r="B299" s="87"/>
      <c r="C299" s="87"/>
      <c r="D299" s="87"/>
      <c r="E299" s="267"/>
      <c r="F299" s="87"/>
      <c r="G299" s="267"/>
      <c r="H299" s="267"/>
      <c r="I299" s="267"/>
      <c r="J299" s="267"/>
      <c r="K299" s="267"/>
      <c r="L299" s="267"/>
      <c r="M299" s="267"/>
      <c r="N299" s="267"/>
      <c r="O299" s="267"/>
      <c r="P299" s="267"/>
      <c r="Q299" s="267"/>
      <c r="R299" s="267"/>
      <c r="S299" s="267"/>
      <c r="T299" s="267"/>
      <c r="U299" s="267"/>
      <c r="V299" s="267"/>
      <c r="W299" s="267"/>
      <c r="X299" s="267"/>
    </row>
    <row r="300">
      <c r="A300" s="267"/>
      <c r="B300" s="87"/>
      <c r="C300" s="87"/>
      <c r="D300" s="87"/>
      <c r="E300" s="267"/>
      <c r="F300" s="87"/>
      <c r="G300" s="267"/>
      <c r="H300" s="267"/>
      <c r="I300" s="267"/>
      <c r="J300" s="267"/>
      <c r="K300" s="267"/>
      <c r="L300" s="267"/>
      <c r="M300" s="267"/>
      <c r="N300" s="267"/>
      <c r="O300" s="267"/>
      <c r="P300" s="267"/>
      <c r="Q300" s="267"/>
      <c r="R300" s="267"/>
      <c r="S300" s="267"/>
      <c r="T300" s="267"/>
      <c r="U300" s="267"/>
      <c r="V300" s="267"/>
      <c r="W300" s="267"/>
      <c r="X300" s="267"/>
    </row>
    <row r="301">
      <c r="A301" s="267"/>
      <c r="B301" s="87"/>
      <c r="C301" s="87"/>
      <c r="D301" s="87"/>
      <c r="E301" s="267"/>
      <c r="F301" s="87"/>
      <c r="G301" s="267"/>
      <c r="H301" s="267"/>
      <c r="I301" s="267"/>
      <c r="J301" s="267"/>
      <c r="K301" s="267"/>
      <c r="L301" s="267"/>
      <c r="M301" s="267"/>
      <c r="N301" s="267"/>
      <c r="O301" s="267"/>
      <c r="P301" s="267"/>
      <c r="Q301" s="267"/>
      <c r="R301" s="267"/>
      <c r="S301" s="267"/>
      <c r="T301" s="267"/>
      <c r="U301" s="267"/>
      <c r="V301" s="267"/>
      <c r="W301" s="267"/>
      <c r="X301" s="267"/>
    </row>
    <row r="302">
      <c r="A302" s="267"/>
      <c r="B302" s="87"/>
      <c r="C302" s="87"/>
      <c r="D302" s="87"/>
      <c r="E302" s="267"/>
      <c r="F302" s="87"/>
      <c r="G302" s="267"/>
      <c r="H302" s="267"/>
      <c r="I302" s="267"/>
      <c r="J302" s="267"/>
      <c r="K302" s="267"/>
      <c r="L302" s="267"/>
      <c r="M302" s="267"/>
      <c r="N302" s="267"/>
      <c r="O302" s="267"/>
      <c r="P302" s="267"/>
      <c r="Q302" s="267"/>
      <c r="R302" s="267"/>
      <c r="S302" s="267"/>
      <c r="T302" s="267"/>
      <c r="U302" s="267"/>
      <c r="V302" s="267"/>
      <c r="W302" s="267"/>
      <c r="X302" s="267"/>
    </row>
    <row r="303">
      <c r="A303" s="267"/>
      <c r="B303" s="87"/>
      <c r="C303" s="87"/>
      <c r="D303" s="87"/>
      <c r="E303" s="267"/>
      <c r="F303" s="87"/>
      <c r="G303" s="267"/>
      <c r="H303" s="267"/>
      <c r="I303" s="267"/>
      <c r="J303" s="267"/>
      <c r="K303" s="267"/>
      <c r="L303" s="267"/>
      <c r="M303" s="267"/>
      <c r="N303" s="267"/>
      <c r="O303" s="267"/>
      <c r="P303" s="267"/>
      <c r="Q303" s="267"/>
      <c r="R303" s="267"/>
      <c r="S303" s="267"/>
      <c r="T303" s="267"/>
      <c r="U303" s="267"/>
      <c r="V303" s="267"/>
      <c r="W303" s="267"/>
      <c r="X303" s="267"/>
    </row>
    <row r="304">
      <c r="A304" s="267"/>
      <c r="B304" s="87"/>
      <c r="C304" s="87"/>
      <c r="D304" s="87"/>
      <c r="E304" s="267"/>
      <c r="F304" s="87"/>
      <c r="G304" s="267"/>
      <c r="H304" s="267"/>
      <c r="I304" s="267"/>
      <c r="J304" s="267"/>
      <c r="K304" s="267"/>
      <c r="L304" s="267"/>
      <c r="M304" s="267"/>
      <c r="N304" s="267"/>
      <c r="O304" s="267"/>
      <c r="P304" s="267"/>
      <c r="Q304" s="267"/>
      <c r="R304" s="267"/>
      <c r="S304" s="267"/>
      <c r="T304" s="267"/>
      <c r="U304" s="267"/>
      <c r="V304" s="267"/>
      <c r="W304" s="267"/>
      <c r="X304" s="267"/>
    </row>
    <row r="305">
      <c r="A305" s="267"/>
      <c r="B305" s="87"/>
      <c r="C305" s="87"/>
      <c r="D305" s="87"/>
      <c r="E305" s="267"/>
      <c r="F305" s="87"/>
      <c r="G305" s="267"/>
      <c r="H305" s="267"/>
      <c r="I305" s="267"/>
      <c r="J305" s="267"/>
      <c r="K305" s="267"/>
      <c r="L305" s="267"/>
      <c r="M305" s="267"/>
      <c r="N305" s="267"/>
      <c r="O305" s="267"/>
      <c r="P305" s="267"/>
      <c r="Q305" s="267"/>
      <c r="R305" s="267"/>
      <c r="S305" s="267"/>
      <c r="T305" s="267"/>
      <c r="U305" s="267"/>
      <c r="V305" s="267"/>
      <c r="W305" s="267"/>
      <c r="X305" s="267"/>
    </row>
    <row r="306">
      <c r="A306" s="267"/>
      <c r="B306" s="87"/>
      <c r="C306" s="87"/>
      <c r="D306" s="87"/>
      <c r="E306" s="267"/>
      <c r="F306" s="87"/>
      <c r="G306" s="267"/>
      <c r="H306" s="267"/>
      <c r="I306" s="267"/>
      <c r="J306" s="267"/>
      <c r="K306" s="267"/>
      <c r="L306" s="267"/>
      <c r="M306" s="267"/>
      <c r="N306" s="267"/>
      <c r="O306" s="267"/>
      <c r="P306" s="267"/>
      <c r="Q306" s="267"/>
      <c r="R306" s="267"/>
      <c r="S306" s="267"/>
      <c r="T306" s="267"/>
      <c r="U306" s="267"/>
      <c r="V306" s="267"/>
      <c r="W306" s="267"/>
      <c r="X306" s="267"/>
    </row>
    <row r="307">
      <c r="A307" s="267"/>
      <c r="B307" s="87"/>
      <c r="C307" s="87"/>
      <c r="D307" s="87"/>
      <c r="E307" s="267"/>
      <c r="F307" s="87"/>
      <c r="G307" s="267"/>
      <c r="H307" s="267"/>
      <c r="I307" s="267"/>
      <c r="J307" s="267"/>
      <c r="K307" s="267"/>
      <c r="L307" s="267"/>
      <c r="M307" s="267"/>
      <c r="N307" s="267"/>
      <c r="O307" s="267"/>
      <c r="P307" s="267"/>
      <c r="Q307" s="267"/>
      <c r="R307" s="267"/>
      <c r="S307" s="267"/>
      <c r="T307" s="267"/>
      <c r="U307" s="267"/>
      <c r="V307" s="267"/>
      <c r="W307" s="267"/>
      <c r="X307" s="267"/>
    </row>
    <row r="308">
      <c r="A308" s="267"/>
      <c r="B308" s="87"/>
      <c r="C308" s="87"/>
      <c r="D308" s="87"/>
      <c r="E308" s="267"/>
      <c r="F308" s="87"/>
      <c r="G308" s="267"/>
      <c r="H308" s="267"/>
      <c r="I308" s="267"/>
      <c r="J308" s="267"/>
      <c r="K308" s="267"/>
      <c r="L308" s="267"/>
      <c r="M308" s="267"/>
      <c r="N308" s="267"/>
      <c r="O308" s="267"/>
      <c r="P308" s="267"/>
      <c r="Q308" s="267"/>
      <c r="R308" s="267"/>
      <c r="S308" s="267"/>
      <c r="T308" s="267"/>
      <c r="U308" s="267"/>
      <c r="V308" s="267"/>
      <c r="W308" s="267"/>
      <c r="X308" s="267"/>
    </row>
    <row r="309">
      <c r="A309" s="267"/>
      <c r="B309" s="87"/>
      <c r="C309" s="87"/>
      <c r="D309" s="87"/>
      <c r="E309" s="267"/>
      <c r="F309" s="87"/>
      <c r="G309" s="267"/>
      <c r="H309" s="267"/>
      <c r="I309" s="267"/>
      <c r="J309" s="267"/>
      <c r="K309" s="267"/>
      <c r="L309" s="267"/>
      <c r="M309" s="267"/>
      <c r="N309" s="267"/>
      <c r="O309" s="267"/>
      <c r="P309" s="267"/>
      <c r="Q309" s="267"/>
      <c r="R309" s="267"/>
      <c r="S309" s="267"/>
      <c r="T309" s="267"/>
      <c r="U309" s="267"/>
      <c r="V309" s="267"/>
      <c r="W309" s="267"/>
      <c r="X309" s="267"/>
    </row>
    <row r="310">
      <c r="A310" s="267"/>
      <c r="B310" s="87"/>
      <c r="C310" s="87"/>
      <c r="D310" s="87"/>
      <c r="E310" s="267"/>
      <c r="F310" s="87"/>
      <c r="G310" s="267"/>
      <c r="H310" s="267"/>
      <c r="I310" s="267"/>
      <c r="J310" s="267"/>
      <c r="K310" s="267"/>
      <c r="L310" s="267"/>
      <c r="M310" s="267"/>
      <c r="N310" s="267"/>
      <c r="O310" s="267"/>
      <c r="P310" s="267"/>
      <c r="Q310" s="267"/>
      <c r="R310" s="267"/>
      <c r="S310" s="267"/>
      <c r="T310" s="267"/>
      <c r="U310" s="267"/>
      <c r="V310" s="267"/>
      <c r="W310" s="267"/>
      <c r="X310" s="267"/>
    </row>
    <row r="311">
      <c r="A311" s="267"/>
      <c r="B311" s="87"/>
      <c r="C311" s="87"/>
      <c r="D311" s="87"/>
      <c r="E311" s="267"/>
      <c r="F311" s="87"/>
      <c r="G311" s="267"/>
      <c r="H311" s="267"/>
      <c r="I311" s="267"/>
      <c r="J311" s="267"/>
      <c r="K311" s="267"/>
      <c r="L311" s="267"/>
      <c r="M311" s="267"/>
      <c r="N311" s="267"/>
      <c r="O311" s="267"/>
      <c r="P311" s="267"/>
      <c r="Q311" s="267"/>
      <c r="R311" s="267"/>
      <c r="S311" s="267"/>
      <c r="T311" s="267"/>
      <c r="U311" s="267"/>
      <c r="V311" s="267"/>
      <c r="W311" s="267"/>
      <c r="X311" s="267"/>
    </row>
    <row r="312">
      <c r="A312" s="267"/>
      <c r="B312" s="87"/>
      <c r="C312" s="87"/>
      <c r="D312" s="87"/>
      <c r="E312" s="267"/>
      <c r="F312" s="87"/>
      <c r="G312" s="267"/>
      <c r="H312" s="267"/>
      <c r="I312" s="267"/>
      <c r="J312" s="267"/>
      <c r="K312" s="267"/>
      <c r="L312" s="267"/>
      <c r="M312" s="267"/>
      <c r="N312" s="267"/>
      <c r="O312" s="267"/>
      <c r="P312" s="267"/>
      <c r="Q312" s="267"/>
      <c r="R312" s="267"/>
      <c r="S312" s="267"/>
      <c r="T312" s="267"/>
      <c r="U312" s="267"/>
      <c r="V312" s="267"/>
      <c r="W312" s="267"/>
      <c r="X312" s="267"/>
    </row>
    <row r="313">
      <c r="A313" s="267"/>
      <c r="B313" s="87"/>
      <c r="C313" s="87"/>
      <c r="D313" s="87"/>
      <c r="E313" s="267"/>
      <c r="F313" s="87"/>
      <c r="G313" s="267"/>
      <c r="H313" s="267"/>
      <c r="I313" s="267"/>
      <c r="J313" s="267"/>
      <c r="K313" s="267"/>
      <c r="L313" s="267"/>
      <c r="M313" s="267"/>
      <c r="N313" s="267"/>
      <c r="O313" s="267"/>
      <c r="P313" s="267"/>
      <c r="Q313" s="267"/>
      <c r="R313" s="267"/>
      <c r="S313" s="267"/>
      <c r="T313" s="267"/>
      <c r="U313" s="267"/>
      <c r="V313" s="267"/>
      <c r="W313" s="267"/>
      <c r="X313" s="267"/>
    </row>
    <row r="314">
      <c r="A314" s="267"/>
      <c r="B314" s="87"/>
      <c r="C314" s="87"/>
      <c r="D314" s="87"/>
      <c r="E314" s="267"/>
      <c r="F314" s="87"/>
      <c r="G314" s="267"/>
      <c r="H314" s="267"/>
      <c r="I314" s="267"/>
      <c r="J314" s="267"/>
      <c r="K314" s="267"/>
      <c r="L314" s="267"/>
      <c r="M314" s="267"/>
      <c r="N314" s="267"/>
      <c r="O314" s="267"/>
      <c r="P314" s="267"/>
      <c r="Q314" s="267"/>
      <c r="R314" s="267"/>
      <c r="S314" s="267"/>
      <c r="T314" s="267"/>
      <c r="U314" s="267"/>
      <c r="V314" s="267"/>
      <c r="W314" s="267"/>
      <c r="X314" s="267"/>
    </row>
    <row r="315">
      <c r="A315" s="267"/>
      <c r="B315" s="87"/>
      <c r="C315" s="87"/>
      <c r="D315" s="87"/>
      <c r="E315" s="267"/>
      <c r="F315" s="87"/>
      <c r="G315" s="267"/>
      <c r="H315" s="267"/>
      <c r="I315" s="267"/>
      <c r="J315" s="267"/>
      <c r="K315" s="267"/>
      <c r="L315" s="267"/>
      <c r="M315" s="267"/>
      <c r="N315" s="267"/>
      <c r="O315" s="267"/>
      <c r="P315" s="267"/>
      <c r="Q315" s="267"/>
      <c r="R315" s="267"/>
      <c r="S315" s="267"/>
      <c r="T315" s="267"/>
      <c r="U315" s="267"/>
      <c r="V315" s="267"/>
      <c r="W315" s="267"/>
      <c r="X315" s="267"/>
    </row>
    <row r="316">
      <c r="A316" s="267"/>
      <c r="B316" s="87"/>
      <c r="C316" s="87"/>
      <c r="D316" s="87"/>
      <c r="E316" s="267"/>
      <c r="F316" s="87"/>
      <c r="G316" s="267"/>
      <c r="H316" s="267"/>
      <c r="I316" s="267"/>
      <c r="J316" s="267"/>
      <c r="K316" s="267"/>
      <c r="L316" s="267"/>
      <c r="M316" s="267"/>
      <c r="N316" s="267"/>
      <c r="O316" s="267"/>
      <c r="P316" s="267"/>
      <c r="Q316" s="267"/>
      <c r="R316" s="267"/>
      <c r="S316" s="267"/>
      <c r="T316" s="267"/>
      <c r="U316" s="267"/>
      <c r="V316" s="267"/>
      <c r="W316" s="267"/>
      <c r="X316" s="267"/>
    </row>
    <row r="317">
      <c r="A317" s="267"/>
      <c r="B317" s="87"/>
      <c r="C317" s="87"/>
      <c r="D317" s="87"/>
      <c r="E317" s="267"/>
      <c r="F317" s="87"/>
      <c r="G317" s="267"/>
      <c r="H317" s="267"/>
      <c r="I317" s="267"/>
      <c r="J317" s="267"/>
      <c r="K317" s="267"/>
      <c r="L317" s="267"/>
      <c r="M317" s="267"/>
      <c r="N317" s="267"/>
      <c r="O317" s="267"/>
      <c r="P317" s="267"/>
      <c r="Q317" s="267"/>
      <c r="R317" s="267"/>
      <c r="S317" s="267"/>
      <c r="T317" s="267"/>
      <c r="U317" s="267"/>
      <c r="V317" s="267"/>
      <c r="W317" s="267"/>
      <c r="X317" s="267"/>
    </row>
    <row r="318">
      <c r="A318" s="267"/>
      <c r="B318" s="87"/>
      <c r="C318" s="87"/>
      <c r="D318" s="87"/>
      <c r="E318" s="267"/>
      <c r="F318" s="87"/>
      <c r="G318" s="267"/>
      <c r="H318" s="267"/>
      <c r="I318" s="267"/>
      <c r="J318" s="267"/>
      <c r="K318" s="267"/>
      <c r="L318" s="267"/>
      <c r="M318" s="267"/>
      <c r="N318" s="267"/>
      <c r="O318" s="267"/>
      <c r="P318" s="267"/>
      <c r="Q318" s="267"/>
      <c r="R318" s="267"/>
      <c r="S318" s="267"/>
      <c r="T318" s="267"/>
      <c r="U318" s="267"/>
      <c r="V318" s="267"/>
      <c r="W318" s="267"/>
      <c r="X318" s="267"/>
    </row>
    <row r="319">
      <c r="A319" s="267"/>
      <c r="B319" s="87"/>
      <c r="C319" s="87"/>
      <c r="D319" s="87"/>
      <c r="E319" s="267"/>
      <c r="F319" s="87"/>
      <c r="G319" s="267"/>
      <c r="H319" s="267"/>
      <c r="I319" s="267"/>
      <c r="J319" s="267"/>
      <c r="K319" s="267"/>
      <c r="L319" s="267"/>
      <c r="M319" s="267"/>
      <c r="N319" s="267"/>
      <c r="O319" s="267"/>
      <c r="P319" s="267"/>
      <c r="Q319" s="267"/>
      <c r="R319" s="267"/>
      <c r="S319" s="267"/>
      <c r="T319" s="267"/>
      <c r="U319" s="267"/>
      <c r="V319" s="267"/>
      <c r="W319" s="267"/>
      <c r="X319" s="267"/>
    </row>
    <row r="320">
      <c r="A320" s="267"/>
      <c r="B320" s="87"/>
      <c r="C320" s="87"/>
      <c r="D320" s="87"/>
      <c r="E320" s="267"/>
      <c r="F320" s="87"/>
      <c r="G320" s="267"/>
      <c r="H320" s="267"/>
      <c r="I320" s="267"/>
      <c r="J320" s="267"/>
      <c r="K320" s="267"/>
      <c r="L320" s="267"/>
      <c r="M320" s="267"/>
      <c r="N320" s="267"/>
      <c r="O320" s="267"/>
      <c r="P320" s="267"/>
      <c r="Q320" s="267"/>
      <c r="R320" s="267"/>
      <c r="S320" s="267"/>
      <c r="T320" s="267"/>
      <c r="U320" s="267"/>
      <c r="V320" s="267"/>
      <c r="W320" s="267"/>
      <c r="X320" s="267"/>
    </row>
    <row r="321">
      <c r="A321" s="267"/>
      <c r="B321" s="87"/>
      <c r="C321" s="87"/>
      <c r="D321" s="87"/>
      <c r="E321" s="267"/>
      <c r="F321" s="87"/>
      <c r="G321" s="267"/>
      <c r="H321" s="267"/>
      <c r="I321" s="267"/>
      <c r="J321" s="267"/>
      <c r="K321" s="267"/>
      <c r="L321" s="267"/>
      <c r="M321" s="267"/>
      <c r="N321" s="267"/>
      <c r="O321" s="267"/>
      <c r="P321" s="267"/>
      <c r="Q321" s="267"/>
      <c r="R321" s="267"/>
      <c r="S321" s="267"/>
      <c r="T321" s="267"/>
      <c r="U321" s="267"/>
      <c r="V321" s="267"/>
      <c r="W321" s="267"/>
      <c r="X321" s="267"/>
    </row>
    <row r="322">
      <c r="A322" s="267"/>
      <c r="B322" s="87"/>
      <c r="C322" s="87"/>
      <c r="D322" s="87"/>
      <c r="E322" s="267"/>
      <c r="F322" s="87"/>
      <c r="G322" s="267"/>
      <c r="H322" s="267"/>
      <c r="I322" s="267"/>
      <c r="J322" s="267"/>
      <c r="K322" s="267"/>
      <c r="L322" s="267"/>
      <c r="M322" s="267"/>
      <c r="N322" s="267"/>
      <c r="O322" s="267"/>
      <c r="P322" s="267"/>
      <c r="Q322" s="267"/>
      <c r="R322" s="267"/>
      <c r="S322" s="267"/>
      <c r="T322" s="267"/>
      <c r="U322" s="267"/>
      <c r="V322" s="267"/>
      <c r="W322" s="267"/>
      <c r="X322" s="267"/>
    </row>
    <row r="323">
      <c r="A323" s="267"/>
      <c r="B323" s="87"/>
      <c r="C323" s="87"/>
      <c r="D323" s="87"/>
      <c r="E323" s="267"/>
      <c r="F323" s="87"/>
      <c r="G323" s="267"/>
      <c r="H323" s="267"/>
      <c r="I323" s="267"/>
      <c r="J323" s="267"/>
      <c r="K323" s="267"/>
      <c r="L323" s="267"/>
      <c r="M323" s="267"/>
      <c r="N323" s="267"/>
      <c r="O323" s="267"/>
      <c r="P323" s="267"/>
      <c r="Q323" s="267"/>
      <c r="R323" s="267"/>
      <c r="S323" s="267"/>
      <c r="T323" s="267"/>
      <c r="U323" s="267"/>
      <c r="V323" s="267"/>
      <c r="W323" s="267"/>
      <c r="X323" s="267"/>
    </row>
    <row r="324">
      <c r="A324" s="267"/>
      <c r="B324" s="87"/>
      <c r="C324" s="87"/>
      <c r="D324" s="87"/>
      <c r="E324" s="267"/>
      <c r="F324" s="87"/>
      <c r="G324" s="267"/>
      <c r="H324" s="267"/>
      <c r="I324" s="267"/>
      <c r="J324" s="267"/>
      <c r="K324" s="267"/>
      <c r="L324" s="267"/>
      <c r="M324" s="267"/>
      <c r="N324" s="267"/>
      <c r="O324" s="267"/>
      <c r="P324" s="267"/>
      <c r="Q324" s="267"/>
      <c r="R324" s="267"/>
      <c r="S324" s="267"/>
      <c r="T324" s="267"/>
      <c r="U324" s="267"/>
      <c r="V324" s="267"/>
      <c r="W324" s="267"/>
      <c r="X324" s="267"/>
    </row>
    <row r="325">
      <c r="A325" s="267"/>
      <c r="B325" s="87"/>
      <c r="C325" s="87"/>
      <c r="D325" s="87"/>
      <c r="E325" s="267"/>
      <c r="F325" s="87"/>
      <c r="G325" s="267"/>
      <c r="H325" s="267"/>
      <c r="I325" s="267"/>
      <c r="J325" s="267"/>
      <c r="K325" s="267"/>
      <c r="L325" s="267"/>
      <c r="M325" s="267"/>
      <c r="N325" s="267"/>
      <c r="O325" s="267"/>
      <c r="P325" s="267"/>
      <c r="Q325" s="267"/>
      <c r="R325" s="267"/>
      <c r="S325" s="267"/>
      <c r="T325" s="267"/>
      <c r="U325" s="267"/>
      <c r="V325" s="267"/>
      <c r="W325" s="267"/>
      <c r="X325" s="267"/>
    </row>
    <row r="326">
      <c r="A326" s="267"/>
      <c r="B326" s="87"/>
      <c r="C326" s="87"/>
      <c r="D326" s="87"/>
      <c r="E326" s="267"/>
      <c r="F326" s="87"/>
      <c r="G326" s="267"/>
      <c r="H326" s="267"/>
      <c r="I326" s="267"/>
      <c r="J326" s="267"/>
      <c r="K326" s="267"/>
      <c r="L326" s="267"/>
      <c r="M326" s="267"/>
      <c r="N326" s="267"/>
      <c r="O326" s="267"/>
      <c r="P326" s="267"/>
      <c r="Q326" s="267"/>
      <c r="R326" s="267"/>
      <c r="S326" s="267"/>
      <c r="T326" s="267"/>
      <c r="U326" s="267"/>
      <c r="V326" s="267"/>
      <c r="W326" s="267"/>
      <c r="X326" s="267"/>
    </row>
    <row r="327">
      <c r="A327" s="267"/>
      <c r="B327" s="87"/>
      <c r="C327" s="87"/>
      <c r="D327" s="87"/>
      <c r="E327" s="267"/>
      <c r="F327" s="87"/>
      <c r="G327" s="267"/>
      <c r="H327" s="267"/>
      <c r="I327" s="267"/>
      <c r="J327" s="267"/>
      <c r="K327" s="267"/>
      <c r="L327" s="267"/>
      <c r="M327" s="267"/>
      <c r="N327" s="267"/>
      <c r="O327" s="267"/>
      <c r="P327" s="267"/>
      <c r="Q327" s="267"/>
      <c r="R327" s="267"/>
      <c r="S327" s="267"/>
      <c r="T327" s="267"/>
      <c r="U327" s="267"/>
      <c r="V327" s="267"/>
      <c r="W327" s="267"/>
      <c r="X327" s="267"/>
    </row>
    <row r="328">
      <c r="A328" s="267"/>
      <c r="B328" s="87"/>
      <c r="C328" s="87"/>
      <c r="D328" s="87"/>
      <c r="E328" s="267"/>
      <c r="F328" s="87"/>
      <c r="G328" s="267"/>
      <c r="H328" s="267"/>
      <c r="I328" s="267"/>
      <c r="J328" s="267"/>
      <c r="K328" s="267"/>
      <c r="L328" s="267"/>
      <c r="M328" s="267"/>
      <c r="N328" s="267"/>
      <c r="O328" s="267"/>
      <c r="P328" s="267"/>
      <c r="Q328" s="267"/>
      <c r="R328" s="267"/>
      <c r="S328" s="267"/>
      <c r="T328" s="267"/>
      <c r="U328" s="267"/>
      <c r="V328" s="267"/>
      <c r="W328" s="267"/>
      <c r="X328" s="267"/>
    </row>
    <row r="329">
      <c r="A329" s="267"/>
      <c r="B329" s="87"/>
      <c r="C329" s="87"/>
      <c r="D329" s="87"/>
      <c r="E329" s="267"/>
      <c r="F329" s="87"/>
      <c r="G329" s="267"/>
      <c r="H329" s="267"/>
      <c r="I329" s="267"/>
      <c r="J329" s="267"/>
      <c r="K329" s="267"/>
      <c r="L329" s="267"/>
      <c r="M329" s="267"/>
      <c r="N329" s="267"/>
      <c r="O329" s="267"/>
      <c r="P329" s="267"/>
      <c r="Q329" s="267"/>
      <c r="R329" s="267"/>
      <c r="S329" s="267"/>
      <c r="T329" s="267"/>
      <c r="U329" s="267"/>
      <c r="V329" s="267"/>
      <c r="W329" s="267"/>
      <c r="X329" s="267"/>
    </row>
    <row r="330">
      <c r="A330" s="267"/>
      <c r="B330" s="87"/>
      <c r="C330" s="87"/>
      <c r="D330" s="87"/>
      <c r="E330" s="267"/>
      <c r="F330" s="87"/>
      <c r="G330" s="267"/>
      <c r="H330" s="267"/>
      <c r="I330" s="267"/>
      <c r="J330" s="267"/>
      <c r="K330" s="267"/>
      <c r="L330" s="267"/>
      <c r="M330" s="267"/>
      <c r="N330" s="267"/>
      <c r="O330" s="267"/>
      <c r="P330" s="267"/>
      <c r="Q330" s="267"/>
      <c r="R330" s="267"/>
      <c r="S330" s="267"/>
      <c r="T330" s="267"/>
      <c r="U330" s="267"/>
      <c r="V330" s="267"/>
      <c r="W330" s="267"/>
      <c r="X330" s="267"/>
    </row>
    <row r="331">
      <c r="A331" s="267"/>
      <c r="B331" s="87"/>
      <c r="C331" s="87"/>
      <c r="D331" s="87"/>
      <c r="E331" s="267"/>
      <c r="F331" s="87"/>
      <c r="G331" s="267"/>
      <c r="H331" s="267"/>
      <c r="I331" s="267"/>
      <c r="J331" s="267"/>
      <c r="K331" s="267"/>
      <c r="L331" s="267"/>
      <c r="M331" s="267"/>
      <c r="N331" s="267"/>
      <c r="O331" s="267"/>
      <c r="P331" s="267"/>
      <c r="Q331" s="267"/>
      <c r="R331" s="267"/>
      <c r="S331" s="267"/>
      <c r="T331" s="267"/>
      <c r="U331" s="267"/>
      <c r="V331" s="267"/>
      <c r="W331" s="267"/>
      <c r="X331" s="267"/>
    </row>
    <row r="332">
      <c r="A332" s="267"/>
      <c r="B332" s="87"/>
      <c r="C332" s="87"/>
      <c r="D332" s="87"/>
      <c r="E332" s="267"/>
      <c r="F332" s="87"/>
      <c r="G332" s="267"/>
      <c r="H332" s="267"/>
      <c r="I332" s="267"/>
      <c r="J332" s="267"/>
      <c r="K332" s="267"/>
      <c r="L332" s="267"/>
      <c r="M332" s="267"/>
      <c r="N332" s="267"/>
      <c r="O332" s="267"/>
      <c r="P332" s="267"/>
      <c r="Q332" s="267"/>
      <c r="R332" s="267"/>
      <c r="S332" s="267"/>
      <c r="T332" s="267"/>
      <c r="U332" s="267"/>
      <c r="V332" s="267"/>
      <c r="W332" s="267"/>
      <c r="X332" s="267"/>
    </row>
    <row r="333">
      <c r="A333" s="267"/>
      <c r="B333" s="87"/>
      <c r="C333" s="87"/>
      <c r="D333" s="87"/>
      <c r="E333" s="267"/>
      <c r="F333" s="87"/>
      <c r="G333" s="267"/>
      <c r="H333" s="267"/>
      <c r="I333" s="267"/>
      <c r="J333" s="267"/>
      <c r="K333" s="267"/>
      <c r="L333" s="267"/>
      <c r="M333" s="267"/>
      <c r="N333" s="267"/>
      <c r="O333" s="267"/>
      <c r="P333" s="267"/>
      <c r="Q333" s="267"/>
      <c r="R333" s="267"/>
      <c r="S333" s="267"/>
      <c r="T333" s="267"/>
      <c r="U333" s="267"/>
      <c r="V333" s="267"/>
      <c r="W333" s="267"/>
      <c r="X333" s="267"/>
    </row>
    <row r="334">
      <c r="A334" s="267"/>
      <c r="B334" s="87"/>
      <c r="C334" s="87"/>
      <c r="D334" s="87"/>
      <c r="E334" s="267"/>
      <c r="F334" s="87"/>
      <c r="G334" s="267"/>
      <c r="H334" s="267"/>
      <c r="I334" s="267"/>
      <c r="J334" s="267"/>
      <c r="K334" s="267"/>
      <c r="L334" s="267"/>
      <c r="M334" s="267"/>
      <c r="N334" s="267"/>
      <c r="O334" s="267"/>
      <c r="P334" s="267"/>
      <c r="Q334" s="267"/>
      <c r="R334" s="267"/>
      <c r="S334" s="267"/>
      <c r="T334" s="267"/>
      <c r="U334" s="267"/>
      <c r="V334" s="267"/>
      <c r="W334" s="267"/>
      <c r="X334" s="267"/>
    </row>
    <row r="335">
      <c r="A335" s="267"/>
      <c r="B335" s="87"/>
      <c r="C335" s="87"/>
      <c r="D335" s="87"/>
      <c r="E335" s="267"/>
      <c r="F335" s="87"/>
      <c r="G335" s="267"/>
      <c r="H335" s="267"/>
      <c r="I335" s="267"/>
      <c r="J335" s="267"/>
      <c r="K335" s="267"/>
      <c r="L335" s="267"/>
      <c r="M335" s="267"/>
      <c r="N335" s="267"/>
      <c r="O335" s="267"/>
      <c r="P335" s="267"/>
      <c r="Q335" s="267"/>
      <c r="R335" s="267"/>
      <c r="S335" s="267"/>
      <c r="T335" s="267"/>
      <c r="U335" s="267"/>
      <c r="V335" s="267"/>
      <c r="W335" s="267"/>
      <c r="X335" s="267"/>
    </row>
    <row r="336">
      <c r="A336" s="267"/>
      <c r="B336" s="87"/>
      <c r="C336" s="87"/>
      <c r="D336" s="87"/>
      <c r="E336" s="267"/>
      <c r="F336" s="87"/>
      <c r="G336" s="267"/>
      <c r="H336" s="267"/>
      <c r="I336" s="267"/>
      <c r="J336" s="267"/>
      <c r="K336" s="267"/>
      <c r="L336" s="267"/>
      <c r="M336" s="267"/>
      <c r="N336" s="267"/>
      <c r="O336" s="267"/>
      <c r="P336" s="267"/>
      <c r="Q336" s="267"/>
      <c r="R336" s="267"/>
      <c r="S336" s="267"/>
      <c r="T336" s="267"/>
      <c r="U336" s="267"/>
      <c r="V336" s="267"/>
      <c r="W336" s="267"/>
      <c r="X336" s="267"/>
    </row>
    <row r="337">
      <c r="A337" s="267"/>
      <c r="B337" s="87"/>
      <c r="C337" s="87"/>
      <c r="D337" s="87"/>
      <c r="E337" s="267"/>
      <c r="F337" s="87"/>
      <c r="G337" s="267"/>
      <c r="H337" s="267"/>
      <c r="I337" s="267"/>
      <c r="J337" s="267"/>
      <c r="K337" s="267"/>
      <c r="L337" s="267"/>
      <c r="M337" s="267"/>
      <c r="N337" s="267"/>
      <c r="O337" s="267"/>
      <c r="P337" s="267"/>
      <c r="Q337" s="267"/>
      <c r="R337" s="267"/>
      <c r="S337" s="267"/>
      <c r="T337" s="267"/>
      <c r="U337" s="267"/>
      <c r="V337" s="267"/>
      <c r="W337" s="267"/>
      <c r="X337" s="267"/>
    </row>
    <row r="338">
      <c r="A338" s="267"/>
      <c r="B338" s="87"/>
      <c r="C338" s="87"/>
      <c r="D338" s="87"/>
      <c r="E338" s="267"/>
      <c r="F338" s="87"/>
      <c r="G338" s="267"/>
      <c r="H338" s="267"/>
      <c r="I338" s="267"/>
      <c r="J338" s="267"/>
      <c r="K338" s="267"/>
      <c r="L338" s="267"/>
      <c r="M338" s="267"/>
      <c r="N338" s="267"/>
      <c r="O338" s="267"/>
      <c r="P338" s="267"/>
      <c r="Q338" s="267"/>
      <c r="R338" s="267"/>
      <c r="S338" s="267"/>
      <c r="T338" s="267"/>
      <c r="U338" s="267"/>
      <c r="V338" s="267"/>
      <c r="W338" s="267"/>
      <c r="X338" s="267"/>
    </row>
    <row r="339">
      <c r="A339" s="267"/>
      <c r="B339" s="87"/>
      <c r="C339" s="87"/>
      <c r="D339" s="87"/>
      <c r="E339" s="267"/>
      <c r="F339" s="87"/>
      <c r="G339" s="267"/>
      <c r="H339" s="267"/>
      <c r="I339" s="267"/>
      <c r="J339" s="267"/>
      <c r="K339" s="267"/>
      <c r="L339" s="267"/>
      <c r="M339" s="267"/>
      <c r="N339" s="267"/>
      <c r="O339" s="267"/>
      <c r="P339" s="267"/>
      <c r="Q339" s="267"/>
      <c r="R339" s="267"/>
      <c r="S339" s="267"/>
      <c r="T339" s="267"/>
      <c r="U339" s="267"/>
      <c r="V339" s="267"/>
      <c r="W339" s="267"/>
      <c r="X339" s="267"/>
    </row>
    <row r="340">
      <c r="A340" s="267"/>
      <c r="B340" s="87"/>
      <c r="C340" s="87"/>
      <c r="D340" s="87"/>
      <c r="E340" s="267"/>
      <c r="F340" s="87"/>
      <c r="G340" s="267"/>
      <c r="H340" s="267"/>
      <c r="I340" s="267"/>
      <c r="J340" s="267"/>
      <c r="K340" s="267"/>
      <c r="L340" s="267"/>
      <c r="M340" s="267"/>
      <c r="N340" s="267"/>
      <c r="O340" s="267"/>
      <c r="P340" s="267"/>
      <c r="Q340" s="267"/>
      <c r="R340" s="267"/>
      <c r="S340" s="267"/>
      <c r="T340" s="267"/>
      <c r="U340" s="267"/>
      <c r="V340" s="267"/>
      <c r="W340" s="267"/>
      <c r="X340" s="267"/>
    </row>
    <row r="341">
      <c r="A341" s="267"/>
      <c r="B341" s="87"/>
      <c r="C341" s="87"/>
      <c r="D341" s="87"/>
      <c r="E341" s="267"/>
      <c r="F341" s="87"/>
      <c r="G341" s="267"/>
      <c r="H341" s="267"/>
      <c r="I341" s="267"/>
      <c r="J341" s="267"/>
      <c r="K341" s="267"/>
      <c r="L341" s="267"/>
      <c r="M341" s="267"/>
      <c r="N341" s="267"/>
      <c r="O341" s="267"/>
      <c r="P341" s="267"/>
      <c r="Q341" s="267"/>
      <c r="R341" s="267"/>
      <c r="S341" s="267"/>
      <c r="T341" s="267"/>
      <c r="U341" s="267"/>
      <c r="V341" s="267"/>
      <c r="W341" s="267"/>
      <c r="X341" s="267"/>
    </row>
    <row r="342">
      <c r="A342" s="267"/>
      <c r="B342" s="87"/>
      <c r="C342" s="87"/>
      <c r="D342" s="87"/>
      <c r="E342" s="267"/>
      <c r="F342" s="87"/>
      <c r="G342" s="267"/>
      <c r="H342" s="267"/>
      <c r="I342" s="267"/>
      <c r="J342" s="267"/>
      <c r="K342" s="267"/>
      <c r="L342" s="267"/>
      <c r="M342" s="267"/>
      <c r="N342" s="267"/>
      <c r="O342" s="267"/>
      <c r="P342" s="267"/>
      <c r="Q342" s="267"/>
      <c r="R342" s="267"/>
      <c r="S342" s="267"/>
      <c r="T342" s="267"/>
      <c r="U342" s="267"/>
      <c r="V342" s="267"/>
      <c r="W342" s="267"/>
      <c r="X342" s="267"/>
    </row>
    <row r="343">
      <c r="A343" s="267"/>
      <c r="B343" s="87"/>
      <c r="C343" s="87"/>
      <c r="D343" s="87"/>
      <c r="E343" s="267"/>
      <c r="F343" s="87"/>
      <c r="G343" s="267"/>
      <c r="H343" s="267"/>
      <c r="I343" s="267"/>
      <c r="J343" s="267"/>
      <c r="K343" s="267"/>
      <c r="L343" s="267"/>
      <c r="M343" s="267"/>
      <c r="N343" s="267"/>
      <c r="O343" s="267"/>
      <c r="P343" s="267"/>
      <c r="Q343" s="267"/>
      <c r="R343" s="267"/>
      <c r="S343" s="267"/>
      <c r="T343" s="267"/>
      <c r="U343" s="267"/>
      <c r="V343" s="267"/>
      <c r="W343" s="267"/>
      <c r="X343" s="267"/>
    </row>
    <row r="344">
      <c r="A344" s="267"/>
      <c r="B344" s="87"/>
      <c r="C344" s="87"/>
      <c r="D344" s="87"/>
      <c r="E344" s="267"/>
      <c r="F344" s="87"/>
      <c r="G344" s="267"/>
      <c r="H344" s="267"/>
      <c r="I344" s="267"/>
      <c r="J344" s="267"/>
      <c r="K344" s="267"/>
      <c r="L344" s="267"/>
      <c r="M344" s="267"/>
      <c r="N344" s="267"/>
      <c r="O344" s="267"/>
      <c r="P344" s="267"/>
      <c r="Q344" s="267"/>
      <c r="R344" s="267"/>
      <c r="S344" s="267"/>
      <c r="T344" s="267"/>
      <c r="U344" s="267"/>
      <c r="V344" s="267"/>
      <c r="W344" s="267"/>
      <c r="X344" s="267"/>
    </row>
    <row r="345">
      <c r="A345" s="267"/>
      <c r="B345" s="87"/>
      <c r="C345" s="87"/>
      <c r="D345" s="87"/>
      <c r="E345" s="267"/>
      <c r="F345" s="87"/>
      <c r="G345" s="267"/>
      <c r="H345" s="267"/>
      <c r="I345" s="267"/>
      <c r="J345" s="267"/>
      <c r="K345" s="267"/>
      <c r="L345" s="267"/>
      <c r="M345" s="267"/>
      <c r="N345" s="267"/>
      <c r="O345" s="267"/>
      <c r="P345" s="267"/>
      <c r="Q345" s="267"/>
      <c r="R345" s="267"/>
      <c r="S345" s="267"/>
      <c r="T345" s="267"/>
      <c r="U345" s="267"/>
      <c r="V345" s="267"/>
      <c r="W345" s="267"/>
      <c r="X345" s="267"/>
    </row>
    <row r="346">
      <c r="A346" s="267"/>
      <c r="B346" s="87"/>
      <c r="C346" s="87"/>
      <c r="D346" s="87"/>
      <c r="E346" s="267"/>
      <c r="F346" s="87"/>
      <c r="G346" s="267"/>
      <c r="H346" s="267"/>
      <c r="I346" s="267"/>
      <c r="J346" s="267"/>
      <c r="K346" s="267"/>
      <c r="L346" s="267"/>
      <c r="M346" s="267"/>
      <c r="N346" s="267"/>
      <c r="O346" s="267"/>
      <c r="P346" s="267"/>
      <c r="Q346" s="267"/>
      <c r="R346" s="267"/>
      <c r="S346" s="267"/>
      <c r="T346" s="267"/>
      <c r="U346" s="267"/>
      <c r="V346" s="267"/>
      <c r="W346" s="267"/>
      <c r="X346" s="267"/>
    </row>
    <row r="347">
      <c r="A347" s="267"/>
      <c r="B347" s="87"/>
      <c r="C347" s="87"/>
      <c r="D347" s="87"/>
      <c r="E347" s="267"/>
      <c r="F347" s="87"/>
      <c r="G347" s="267"/>
      <c r="H347" s="267"/>
      <c r="I347" s="267"/>
      <c r="J347" s="267"/>
      <c r="K347" s="267"/>
      <c r="L347" s="267"/>
      <c r="M347" s="267"/>
      <c r="N347" s="267"/>
      <c r="O347" s="267"/>
      <c r="P347" s="267"/>
      <c r="Q347" s="267"/>
      <c r="R347" s="267"/>
      <c r="S347" s="267"/>
      <c r="T347" s="267"/>
      <c r="U347" s="267"/>
      <c r="V347" s="267"/>
      <c r="W347" s="267"/>
      <c r="X347" s="267"/>
    </row>
    <row r="348">
      <c r="A348" s="267"/>
      <c r="B348" s="87"/>
      <c r="C348" s="87"/>
      <c r="D348" s="87"/>
      <c r="E348" s="267"/>
      <c r="F348" s="87"/>
      <c r="G348" s="267"/>
      <c r="H348" s="267"/>
      <c r="I348" s="267"/>
      <c r="J348" s="267"/>
      <c r="K348" s="267"/>
      <c r="L348" s="267"/>
      <c r="M348" s="267"/>
      <c r="N348" s="267"/>
      <c r="O348" s="267"/>
      <c r="P348" s="267"/>
      <c r="Q348" s="267"/>
      <c r="R348" s="267"/>
      <c r="S348" s="267"/>
      <c r="T348" s="267"/>
      <c r="U348" s="267"/>
      <c r="V348" s="267"/>
      <c r="W348" s="267"/>
      <c r="X348" s="267"/>
    </row>
    <row r="349">
      <c r="A349" s="267"/>
      <c r="B349" s="87"/>
      <c r="C349" s="87"/>
      <c r="D349" s="87"/>
      <c r="E349" s="267"/>
      <c r="F349" s="87"/>
      <c r="G349" s="267"/>
      <c r="H349" s="267"/>
      <c r="I349" s="267"/>
      <c r="J349" s="267"/>
      <c r="K349" s="267"/>
      <c r="L349" s="267"/>
      <c r="M349" s="267"/>
      <c r="N349" s="267"/>
      <c r="O349" s="267"/>
      <c r="P349" s="267"/>
      <c r="Q349" s="267"/>
      <c r="R349" s="267"/>
      <c r="S349" s="267"/>
      <c r="T349" s="267"/>
      <c r="U349" s="267"/>
      <c r="V349" s="267"/>
      <c r="W349" s="267"/>
      <c r="X349" s="267"/>
    </row>
    <row r="350">
      <c r="A350" s="267"/>
      <c r="B350" s="87"/>
      <c r="C350" s="87"/>
      <c r="D350" s="87"/>
      <c r="E350" s="267"/>
      <c r="F350" s="87"/>
      <c r="G350" s="267"/>
      <c r="H350" s="267"/>
      <c r="I350" s="267"/>
      <c r="J350" s="267"/>
      <c r="K350" s="267"/>
      <c r="L350" s="267"/>
      <c r="M350" s="267"/>
      <c r="N350" s="267"/>
      <c r="O350" s="267"/>
      <c r="P350" s="267"/>
      <c r="Q350" s="267"/>
      <c r="R350" s="267"/>
      <c r="S350" s="267"/>
      <c r="T350" s="267"/>
      <c r="U350" s="267"/>
      <c r="V350" s="267"/>
      <c r="W350" s="267"/>
      <c r="X350" s="267"/>
    </row>
    <row r="351">
      <c r="A351" s="267"/>
      <c r="B351" s="87"/>
      <c r="C351" s="87"/>
      <c r="D351" s="87"/>
      <c r="E351" s="267"/>
      <c r="F351" s="87"/>
      <c r="G351" s="267"/>
      <c r="H351" s="267"/>
      <c r="I351" s="267"/>
      <c r="J351" s="267"/>
      <c r="K351" s="267"/>
      <c r="L351" s="267"/>
      <c r="M351" s="267"/>
      <c r="N351" s="267"/>
      <c r="O351" s="267"/>
      <c r="P351" s="267"/>
      <c r="Q351" s="267"/>
      <c r="R351" s="267"/>
      <c r="S351" s="267"/>
      <c r="T351" s="267"/>
      <c r="U351" s="267"/>
      <c r="V351" s="267"/>
      <c r="W351" s="267"/>
      <c r="X351" s="267"/>
    </row>
    <row r="352">
      <c r="A352" s="267"/>
      <c r="B352" s="87"/>
      <c r="C352" s="87"/>
      <c r="D352" s="87"/>
      <c r="E352" s="267"/>
      <c r="F352" s="87"/>
      <c r="G352" s="267"/>
      <c r="H352" s="267"/>
      <c r="I352" s="267"/>
      <c r="J352" s="267"/>
      <c r="K352" s="267"/>
      <c r="L352" s="267"/>
      <c r="M352" s="267"/>
      <c r="N352" s="267"/>
      <c r="O352" s="267"/>
      <c r="P352" s="267"/>
      <c r="Q352" s="267"/>
      <c r="R352" s="267"/>
      <c r="S352" s="267"/>
      <c r="T352" s="267"/>
      <c r="U352" s="267"/>
      <c r="V352" s="267"/>
      <c r="W352" s="267"/>
      <c r="X352" s="267"/>
    </row>
    <row r="353">
      <c r="A353" s="267"/>
      <c r="B353" s="87"/>
      <c r="C353" s="87"/>
      <c r="D353" s="87"/>
      <c r="E353" s="267"/>
      <c r="F353" s="87"/>
      <c r="G353" s="267"/>
      <c r="H353" s="267"/>
      <c r="I353" s="267"/>
      <c r="J353" s="267"/>
      <c r="K353" s="267"/>
      <c r="L353" s="267"/>
      <c r="M353" s="267"/>
      <c r="N353" s="267"/>
      <c r="O353" s="267"/>
      <c r="P353" s="267"/>
      <c r="Q353" s="267"/>
      <c r="R353" s="267"/>
      <c r="S353" s="267"/>
      <c r="T353" s="267"/>
      <c r="U353" s="267"/>
      <c r="V353" s="267"/>
      <c r="W353" s="267"/>
      <c r="X353" s="267"/>
    </row>
    <row r="354">
      <c r="A354" s="267"/>
      <c r="B354" s="87"/>
      <c r="C354" s="87"/>
      <c r="D354" s="87"/>
      <c r="E354" s="267"/>
      <c r="F354" s="87"/>
      <c r="G354" s="267"/>
      <c r="H354" s="267"/>
      <c r="I354" s="267"/>
      <c r="J354" s="267"/>
      <c r="K354" s="267"/>
      <c r="L354" s="267"/>
      <c r="M354" s="267"/>
      <c r="N354" s="267"/>
      <c r="O354" s="267"/>
      <c r="P354" s="267"/>
      <c r="Q354" s="267"/>
      <c r="R354" s="267"/>
      <c r="S354" s="267"/>
      <c r="T354" s="267"/>
      <c r="U354" s="267"/>
      <c r="V354" s="267"/>
      <c r="W354" s="267"/>
      <c r="X354" s="267"/>
    </row>
    <row r="355">
      <c r="A355" s="267"/>
      <c r="B355" s="87"/>
      <c r="C355" s="87"/>
      <c r="D355" s="87"/>
      <c r="E355" s="267"/>
      <c r="F355" s="87"/>
      <c r="G355" s="267"/>
      <c r="H355" s="267"/>
      <c r="I355" s="267"/>
      <c r="J355" s="267"/>
      <c r="K355" s="267"/>
      <c r="L355" s="267"/>
      <c r="M355" s="267"/>
      <c r="N355" s="267"/>
      <c r="O355" s="267"/>
      <c r="P355" s="267"/>
      <c r="Q355" s="267"/>
      <c r="R355" s="267"/>
      <c r="S355" s="267"/>
      <c r="T355" s="267"/>
      <c r="U355" s="267"/>
      <c r="V355" s="267"/>
      <c r="W355" s="267"/>
      <c r="X355" s="267"/>
    </row>
    <row r="356">
      <c r="A356" s="267"/>
      <c r="B356" s="87"/>
      <c r="C356" s="87"/>
      <c r="D356" s="87"/>
      <c r="E356" s="267"/>
      <c r="F356" s="87"/>
      <c r="G356" s="267"/>
      <c r="H356" s="267"/>
      <c r="I356" s="267"/>
      <c r="J356" s="267"/>
      <c r="K356" s="267"/>
      <c r="L356" s="267"/>
      <c r="M356" s="267"/>
      <c r="N356" s="267"/>
      <c r="O356" s="267"/>
      <c r="P356" s="267"/>
      <c r="Q356" s="267"/>
      <c r="R356" s="267"/>
      <c r="S356" s="267"/>
      <c r="T356" s="267"/>
      <c r="U356" s="267"/>
      <c r="V356" s="267"/>
      <c r="W356" s="267"/>
      <c r="X356" s="267"/>
    </row>
    <row r="357">
      <c r="A357" s="267"/>
      <c r="B357" s="87"/>
      <c r="C357" s="87"/>
      <c r="D357" s="87"/>
      <c r="E357" s="267"/>
      <c r="F357" s="87"/>
      <c r="G357" s="267"/>
      <c r="H357" s="267"/>
      <c r="I357" s="267"/>
      <c r="J357" s="267"/>
      <c r="K357" s="267"/>
      <c r="L357" s="267"/>
      <c r="M357" s="267"/>
      <c r="N357" s="267"/>
      <c r="O357" s="267"/>
      <c r="P357" s="267"/>
      <c r="Q357" s="267"/>
      <c r="R357" s="267"/>
      <c r="S357" s="267"/>
      <c r="T357" s="267"/>
      <c r="U357" s="267"/>
      <c r="V357" s="267"/>
      <c r="W357" s="267"/>
      <c r="X357" s="267"/>
    </row>
    <row r="358">
      <c r="A358" s="267"/>
      <c r="B358" s="87"/>
      <c r="C358" s="87"/>
      <c r="D358" s="87"/>
      <c r="E358" s="267"/>
      <c r="F358" s="87"/>
      <c r="G358" s="267"/>
      <c r="H358" s="267"/>
      <c r="I358" s="267"/>
      <c r="J358" s="267"/>
      <c r="K358" s="267"/>
      <c r="L358" s="267"/>
      <c r="M358" s="267"/>
      <c r="N358" s="267"/>
      <c r="O358" s="267"/>
      <c r="P358" s="267"/>
      <c r="Q358" s="267"/>
      <c r="R358" s="267"/>
      <c r="S358" s="267"/>
      <c r="T358" s="267"/>
      <c r="U358" s="267"/>
      <c r="V358" s="267"/>
      <c r="W358" s="267"/>
      <c r="X358" s="267"/>
    </row>
    <row r="359">
      <c r="A359" s="267"/>
      <c r="B359" s="87"/>
      <c r="C359" s="87"/>
      <c r="D359" s="87"/>
      <c r="E359" s="267"/>
      <c r="F359" s="87"/>
      <c r="G359" s="267"/>
      <c r="H359" s="267"/>
      <c r="I359" s="267"/>
      <c r="J359" s="267"/>
      <c r="K359" s="267"/>
      <c r="L359" s="267"/>
      <c r="M359" s="267"/>
      <c r="N359" s="267"/>
      <c r="O359" s="267"/>
      <c r="P359" s="267"/>
      <c r="Q359" s="267"/>
      <c r="R359" s="267"/>
      <c r="S359" s="267"/>
      <c r="T359" s="267"/>
      <c r="U359" s="267"/>
      <c r="V359" s="267"/>
      <c r="W359" s="267"/>
      <c r="X359" s="267"/>
    </row>
    <row r="360">
      <c r="A360" s="267"/>
      <c r="B360" s="87"/>
      <c r="C360" s="87"/>
      <c r="D360" s="87"/>
      <c r="E360" s="267"/>
      <c r="F360" s="87"/>
      <c r="G360" s="267"/>
      <c r="H360" s="267"/>
      <c r="I360" s="267"/>
      <c r="J360" s="267"/>
      <c r="K360" s="267"/>
      <c r="L360" s="267"/>
      <c r="M360" s="267"/>
      <c r="N360" s="267"/>
      <c r="O360" s="267"/>
      <c r="P360" s="267"/>
      <c r="Q360" s="267"/>
      <c r="R360" s="267"/>
      <c r="S360" s="267"/>
      <c r="T360" s="267"/>
      <c r="U360" s="267"/>
      <c r="V360" s="267"/>
      <c r="W360" s="267"/>
      <c r="X360" s="267"/>
    </row>
    <row r="361">
      <c r="A361" s="267"/>
      <c r="B361" s="87"/>
      <c r="C361" s="87"/>
      <c r="D361" s="87"/>
      <c r="E361" s="267"/>
      <c r="F361" s="87"/>
      <c r="G361" s="267"/>
      <c r="H361" s="267"/>
      <c r="I361" s="267"/>
      <c r="J361" s="267"/>
      <c r="K361" s="267"/>
      <c r="L361" s="267"/>
      <c r="M361" s="267"/>
      <c r="N361" s="267"/>
      <c r="O361" s="267"/>
      <c r="P361" s="267"/>
      <c r="Q361" s="267"/>
      <c r="R361" s="267"/>
      <c r="S361" s="267"/>
      <c r="T361" s="267"/>
      <c r="U361" s="267"/>
      <c r="V361" s="267"/>
      <c r="W361" s="267"/>
      <c r="X361" s="267"/>
    </row>
    <row r="362">
      <c r="A362" s="267"/>
      <c r="B362" s="87"/>
      <c r="C362" s="87"/>
      <c r="D362" s="87"/>
      <c r="E362" s="267"/>
      <c r="F362" s="87"/>
      <c r="G362" s="267"/>
      <c r="H362" s="267"/>
      <c r="I362" s="267"/>
      <c r="J362" s="267"/>
      <c r="K362" s="267"/>
      <c r="L362" s="267"/>
      <c r="M362" s="267"/>
      <c r="N362" s="267"/>
      <c r="O362" s="267"/>
      <c r="P362" s="267"/>
      <c r="Q362" s="267"/>
      <c r="R362" s="267"/>
      <c r="S362" s="267"/>
      <c r="T362" s="267"/>
      <c r="U362" s="267"/>
      <c r="V362" s="267"/>
      <c r="W362" s="267"/>
      <c r="X362" s="267"/>
    </row>
    <row r="363">
      <c r="A363" s="267"/>
      <c r="B363" s="87"/>
      <c r="C363" s="87"/>
      <c r="D363" s="87"/>
      <c r="E363" s="267"/>
      <c r="F363" s="87"/>
      <c r="G363" s="267"/>
      <c r="H363" s="267"/>
      <c r="I363" s="267"/>
      <c r="J363" s="267"/>
      <c r="K363" s="267"/>
      <c r="L363" s="267"/>
      <c r="M363" s="267"/>
      <c r="N363" s="267"/>
      <c r="O363" s="267"/>
      <c r="P363" s="267"/>
      <c r="Q363" s="267"/>
      <c r="R363" s="267"/>
      <c r="S363" s="267"/>
      <c r="T363" s="267"/>
      <c r="U363" s="267"/>
      <c r="V363" s="267"/>
      <c r="W363" s="267"/>
      <c r="X363" s="267"/>
    </row>
    <row r="364">
      <c r="A364" s="267"/>
      <c r="B364" s="87"/>
      <c r="C364" s="87"/>
      <c r="D364" s="87"/>
      <c r="E364" s="267"/>
      <c r="F364" s="87"/>
      <c r="G364" s="267"/>
      <c r="H364" s="267"/>
      <c r="I364" s="267"/>
      <c r="J364" s="267"/>
      <c r="K364" s="267"/>
      <c r="L364" s="267"/>
      <c r="M364" s="267"/>
      <c r="N364" s="267"/>
      <c r="O364" s="267"/>
      <c r="P364" s="267"/>
      <c r="Q364" s="267"/>
      <c r="R364" s="267"/>
      <c r="S364" s="267"/>
      <c r="T364" s="267"/>
      <c r="U364" s="267"/>
      <c r="V364" s="267"/>
      <c r="W364" s="267"/>
      <c r="X364" s="267"/>
    </row>
    <row r="365">
      <c r="A365" s="267"/>
      <c r="B365" s="87"/>
      <c r="C365" s="87"/>
      <c r="D365" s="87"/>
      <c r="E365" s="267"/>
      <c r="F365" s="87"/>
      <c r="G365" s="267"/>
      <c r="H365" s="267"/>
      <c r="I365" s="267"/>
      <c r="J365" s="267"/>
      <c r="K365" s="267"/>
      <c r="L365" s="267"/>
      <c r="M365" s="267"/>
      <c r="N365" s="267"/>
      <c r="O365" s="267"/>
      <c r="P365" s="267"/>
      <c r="Q365" s="267"/>
      <c r="R365" s="267"/>
      <c r="S365" s="267"/>
      <c r="T365" s="267"/>
      <c r="U365" s="267"/>
      <c r="V365" s="267"/>
      <c r="W365" s="267"/>
      <c r="X365" s="267"/>
    </row>
    <row r="366">
      <c r="A366" s="267"/>
      <c r="B366" s="87"/>
      <c r="C366" s="87"/>
      <c r="D366" s="87"/>
      <c r="E366" s="267"/>
      <c r="F366" s="87"/>
      <c r="G366" s="267"/>
      <c r="H366" s="267"/>
      <c r="I366" s="267"/>
      <c r="J366" s="267"/>
      <c r="K366" s="267"/>
      <c r="L366" s="267"/>
      <c r="M366" s="267"/>
      <c r="N366" s="267"/>
      <c r="O366" s="267"/>
      <c r="P366" s="267"/>
      <c r="Q366" s="267"/>
      <c r="R366" s="267"/>
      <c r="S366" s="267"/>
      <c r="T366" s="267"/>
      <c r="U366" s="267"/>
      <c r="V366" s="267"/>
      <c r="W366" s="267"/>
      <c r="X366" s="267"/>
    </row>
    <row r="367">
      <c r="A367" s="267"/>
      <c r="B367" s="87"/>
      <c r="C367" s="87"/>
      <c r="D367" s="87"/>
      <c r="E367" s="267"/>
      <c r="F367" s="87"/>
      <c r="G367" s="267"/>
      <c r="H367" s="267"/>
      <c r="I367" s="267"/>
      <c r="J367" s="267"/>
      <c r="K367" s="267"/>
      <c r="L367" s="267"/>
      <c r="M367" s="267"/>
      <c r="N367" s="267"/>
      <c r="O367" s="267"/>
      <c r="P367" s="267"/>
      <c r="Q367" s="267"/>
      <c r="R367" s="267"/>
      <c r="S367" s="267"/>
      <c r="T367" s="267"/>
      <c r="U367" s="267"/>
      <c r="V367" s="267"/>
      <c r="W367" s="267"/>
      <c r="X367" s="267"/>
    </row>
    <row r="368">
      <c r="A368" s="267"/>
      <c r="B368" s="87"/>
      <c r="C368" s="87"/>
      <c r="D368" s="87"/>
      <c r="E368" s="267"/>
      <c r="F368" s="87"/>
      <c r="G368" s="267"/>
      <c r="H368" s="267"/>
      <c r="I368" s="267"/>
      <c r="J368" s="267"/>
      <c r="K368" s="267"/>
      <c r="L368" s="267"/>
      <c r="M368" s="267"/>
      <c r="N368" s="267"/>
      <c r="O368" s="267"/>
      <c r="P368" s="267"/>
      <c r="Q368" s="267"/>
      <c r="R368" s="267"/>
      <c r="S368" s="267"/>
      <c r="T368" s="267"/>
      <c r="U368" s="267"/>
      <c r="V368" s="267"/>
      <c r="W368" s="267"/>
      <c r="X368" s="267"/>
    </row>
    <row r="369">
      <c r="A369" s="267"/>
      <c r="B369" s="87"/>
      <c r="C369" s="87"/>
      <c r="D369" s="87"/>
      <c r="E369" s="267"/>
      <c r="F369" s="87"/>
      <c r="G369" s="267"/>
      <c r="H369" s="267"/>
      <c r="I369" s="267"/>
      <c r="J369" s="267"/>
      <c r="K369" s="267"/>
      <c r="L369" s="267"/>
      <c r="M369" s="267"/>
      <c r="N369" s="267"/>
      <c r="O369" s="267"/>
      <c r="P369" s="267"/>
      <c r="Q369" s="267"/>
      <c r="R369" s="267"/>
      <c r="S369" s="267"/>
      <c r="T369" s="267"/>
      <c r="U369" s="267"/>
      <c r="V369" s="267"/>
      <c r="W369" s="267"/>
      <c r="X369" s="267"/>
    </row>
    <row r="370">
      <c r="A370" s="267"/>
      <c r="B370" s="87"/>
      <c r="C370" s="87"/>
      <c r="D370" s="87"/>
      <c r="E370" s="267"/>
      <c r="F370" s="87"/>
      <c r="G370" s="267"/>
      <c r="H370" s="267"/>
      <c r="I370" s="267"/>
      <c r="J370" s="267"/>
      <c r="K370" s="267"/>
      <c r="L370" s="267"/>
      <c r="M370" s="267"/>
      <c r="N370" s="267"/>
      <c r="O370" s="267"/>
      <c r="P370" s="267"/>
      <c r="Q370" s="267"/>
      <c r="R370" s="267"/>
      <c r="S370" s="267"/>
      <c r="T370" s="267"/>
      <c r="U370" s="267"/>
      <c r="V370" s="267"/>
      <c r="W370" s="267"/>
      <c r="X370" s="267"/>
    </row>
    <row r="371">
      <c r="A371" s="267"/>
      <c r="B371" s="87"/>
      <c r="C371" s="87"/>
      <c r="D371" s="87"/>
      <c r="E371" s="267"/>
      <c r="F371" s="87"/>
      <c r="G371" s="267"/>
      <c r="H371" s="267"/>
      <c r="I371" s="267"/>
      <c r="J371" s="267"/>
      <c r="K371" s="267"/>
      <c r="L371" s="267"/>
      <c r="M371" s="267"/>
      <c r="N371" s="267"/>
      <c r="O371" s="267"/>
      <c r="P371" s="267"/>
      <c r="Q371" s="267"/>
      <c r="R371" s="267"/>
      <c r="S371" s="267"/>
      <c r="T371" s="267"/>
      <c r="U371" s="267"/>
      <c r="V371" s="267"/>
      <c r="W371" s="267"/>
      <c r="X371" s="267"/>
    </row>
    <row r="372">
      <c r="A372" s="267"/>
      <c r="B372" s="87"/>
      <c r="C372" s="87"/>
      <c r="D372" s="87"/>
      <c r="E372" s="267"/>
      <c r="F372" s="87"/>
      <c r="G372" s="267"/>
      <c r="H372" s="267"/>
      <c r="I372" s="267"/>
      <c r="J372" s="267"/>
      <c r="K372" s="267"/>
      <c r="L372" s="267"/>
      <c r="M372" s="267"/>
      <c r="N372" s="267"/>
      <c r="O372" s="267"/>
      <c r="P372" s="267"/>
      <c r="Q372" s="267"/>
      <c r="R372" s="267"/>
      <c r="S372" s="267"/>
      <c r="T372" s="267"/>
      <c r="U372" s="267"/>
      <c r="V372" s="267"/>
      <c r="W372" s="267"/>
      <c r="X372" s="267"/>
    </row>
    <row r="373">
      <c r="A373" s="267"/>
      <c r="B373" s="87"/>
      <c r="C373" s="87"/>
      <c r="D373" s="87"/>
      <c r="E373" s="267"/>
      <c r="F373" s="87"/>
      <c r="G373" s="267"/>
      <c r="H373" s="267"/>
      <c r="I373" s="267"/>
      <c r="J373" s="267"/>
      <c r="K373" s="267"/>
      <c r="L373" s="267"/>
      <c r="M373" s="267"/>
      <c r="N373" s="267"/>
      <c r="O373" s="267"/>
      <c r="P373" s="267"/>
      <c r="Q373" s="267"/>
      <c r="R373" s="267"/>
      <c r="S373" s="267"/>
      <c r="T373" s="267"/>
      <c r="U373" s="267"/>
      <c r="V373" s="267"/>
      <c r="W373" s="267"/>
      <c r="X373" s="267"/>
    </row>
    <row r="374">
      <c r="A374" s="267"/>
      <c r="B374" s="87"/>
      <c r="C374" s="87"/>
      <c r="D374" s="87"/>
      <c r="E374" s="267"/>
      <c r="F374" s="87"/>
      <c r="G374" s="267"/>
      <c r="H374" s="267"/>
      <c r="I374" s="267"/>
      <c r="J374" s="267"/>
      <c r="K374" s="267"/>
      <c r="L374" s="267"/>
      <c r="M374" s="267"/>
      <c r="N374" s="267"/>
      <c r="O374" s="267"/>
      <c r="P374" s="267"/>
      <c r="Q374" s="267"/>
      <c r="R374" s="267"/>
      <c r="S374" s="267"/>
      <c r="T374" s="267"/>
      <c r="U374" s="267"/>
      <c r="V374" s="267"/>
      <c r="W374" s="267"/>
      <c r="X374" s="267"/>
    </row>
    <row r="375">
      <c r="A375" s="267"/>
      <c r="B375" s="87"/>
      <c r="C375" s="87"/>
      <c r="D375" s="87"/>
      <c r="E375" s="267"/>
      <c r="F375" s="87"/>
      <c r="G375" s="267"/>
      <c r="H375" s="267"/>
      <c r="I375" s="267"/>
      <c r="J375" s="267"/>
      <c r="K375" s="267"/>
      <c r="L375" s="267"/>
      <c r="M375" s="267"/>
      <c r="N375" s="267"/>
      <c r="O375" s="267"/>
      <c r="P375" s="267"/>
      <c r="Q375" s="267"/>
      <c r="R375" s="267"/>
      <c r="S375" s="267"/>
      <c r="T375" s="267"/>
      <c r="U375" s="267"/>
      <c r="V375" s="267"/>
      <c r="W375" s="267"/>
      <c r="X375" s="267"/>
    </row>
    <row r="376">
      <c r="A376" s="267"/>
      <c r="B376" s="87"/>
      <c r="C376" s="87"/>
      <c r="D376" s="87"/>
      <c r="E376" s="267"/>
      <c r="F376" s="87"/>
      <c r="G376" s="267"/>
      <c r="H376" s="267"/>
      <c r="I376" s="267"/>
      <c r="J376" s="267"/>
      <c r="K376" s="267"/>
      <c r="L376" s="267"/>
      <c r="M376" s="267"/>
      <c r="N376" s="267"/>
      <c r="O376" s="267"/>
      <c r="P376" s="267"/>
      <c r="Q376" s="267"/>
      <c r="R376" s="267"/>
      <c r="S376" s="267"/>
      <c r="T376" s="267"/>
      <c r="U376" s="267"/>
      <c r="V376" s="267"/>
      <c r="W376" s="267"/>
      <c r="X376" s="267"/>
    </row>
    <row r="377">
      <c r="A377" s="267"/>
      <c r="B377" s="87"/>
      <c r="C377" s="87"/>
      <c r="D377" s="87"/>
      <c r="E377" s="267"/>
      <c r="F377" s="87"/>
      <c r="G377" s="267"/>
      <c r="H377" s="267"/>
      <c r="I377" s="267"/>
      <c r="J377" s="267"/>
      <c r="K377" s="267"/>
      <c r="L377" s="267"/>
      <c r="M377" s="267"/>
      <c r="N377" s="267"/>
      <c r="O377" s="267"/>
      <c r="P377" s="267"/>
      <c r="Q377" s="267"/>
      <c r="R377" s="267"/>
      <c r="S377" s="267"/>
      <c r="T377" s="267"/>
      <c r="U377" s="267"/>
      <c r="V377" s="267"/>
      <c r="W377" s="267"/>
      <c r="X377" s="267"/>
    </row>
    <row r="378">
      <c r="A378" s="267"/>
      <c r="B378" s="87"/>
      <c r="C378" s="87"/>
      <c r="D378" s="87"/>
      <c r="E378" s="267"/>
      <c r="F378" s="87"/>
      <c r="G378" s="267"/>
      <c r="H378" s="267"/>
      <c r="I378" s="267"/>
      <c r="J378" s="267"/>
      <c r="K378" s="267"/>
      <c r="L378" s="267"/>
      <c r="M378" s="267"/>
      <c r="N378" s="267"/>
      <c r="O378" s="267"/>
      <c r="P378" s="267"/>
      <c r="Q378" s="267"/>
      <c r="R378" s="267"/>
      <c r="S378" s="267"/>
      <c r="T378" s="267"/>
      <c r="U378" s="267"/>
      <c r="V378" s="267"/>
      <c r="W378" s="267"/>
      <c r="X378" s="267"/>
    </row>
    <row r="379">
      <c r="A379" s="267"/>
      <c r="B379" s="87"/>
      <c r="C379" s="87"/>
      <c r="D379" s="87"/>
      <c r="E379" s="267"/>
      <c r="F379" s="87"/>
      <c r="G379" s="267"/>
      <c r="H379" s="267"/>
      <c r="I379" s="267"/>
      <c r="J379" s="267"/>
      <c r="K379" s="267"/>
      <c r="L379" s="267"/>
      <c r="M379" s="267"/>
      <c r="N379" s="267"/>
      <c r="O379" s="267"/>
      <c r="P379" s="267"/>
      <c r="Q379" s="267"/>
      <c r="R379" s="267"/>
      <c r="S379" s="267"/>
      <c r="T379" s="267"/>
      <c r="U379" s="267"/>
      <c r="V379" s="267"/>
      <c r="W379" s="267"/>
      <c r="X379" s="267"/>
    </row>
    <row r="380">
      <c r="A380" s="267"/>
      <c r="B380" s="87"/>
      <c r="C380" s="87"/>
      <c r="D380" s="87"/>
      <c r="E380" s="267"/>
      <c r="F380" s="87"/>
      <c r="G380" s="267"/>
      <c r="H380" s="267"/>
      <c r="I380" s="267"/>
      <c r="J380" s="267"/>
      <c r="K380" s="267"/>
      <c r="L380" s="267"/>
      <c r="M380" s="267"/>
      <c r="N380" s="267"/>
      <c r="O380" s="267"/>
      <c r="P380" s="267"/>
      <c r="Q380" s="267"/>
      <c r="R380" s="267"/>
      <c r="S380" s="267"/>
      <c r="T380" s="267"/>
      <c r="U380" s="267"/>
      <c r="V380" s="267"/>
      <c r="W380" s="267"/>
      <c r="X380" s="267"/>
    </row>
    <row r="381">
      <c r="A381" s="267"/>
      <c r="B381" s="87"/>
      <c r="C381" s="87"/>
      <c r="D381" s="87"/>
      <c r="E381" s="267"/>
      <c r="F381" s="87"/>
      <c r="G381" s="267"/>
      <c r="H381" s="267"/>
      <c r="I381" s="267"/>
      <c r="J381" s="267"/>
      <c r="K381" s="267"/>
      <c r="L381" s="267"/>
      <c r="M381" s="267"/>
      <c r="N381" s="267"/>
      <c r="O381" s="267"/>
      <c r="P381" s="267"/>
      <c r="Q381" s="267"/>
      <c r="R381" s="267"/>
      <c r="S381" s="267"/>
      <c r="T381" s="267"/>
      <c r="U381" s="267"/>
      <c r="V381" s="267"/>
      <c r="W381" s="267"/>
      <c r="X381" s="267"/>
    </row>
    <row r="382">
      <c r="A382" s="267"/>
      <c r="B382" s="87"/>
      <c r="C382" s="87"/>
      <c r="D382" s="87"/>
      <c r="E382" s="267"/>
      <c r="F382" s="87"/>
      <c r="G382" s="267"/>
      <c r="H382" s="267"/>
      <c r="I382" s="267"/>
      <c r="J382" s="267"/>
      <c r="K382" s="267"/>
      <c r="L382" s="267"/>
      <c r="M382" s="267"/>
      <c r="N382" s="267"/>
      <c r="O382" s="267"/>
      <c r="P382" s="267"/>
      <c r="Q382" s="267"/>
      <c r="R382" s="267"/>
      <c r="S382" s="267"/>
      <c r="T382" s="267"/>
      <c r="U382" s="267"/>
      <c r="V382" s="267"/>
      <c r="W382" s="267"/>
      <c r="X382" s="267"/>
    </row>
    <row r="383">
      <c r="A383" s="267"/>
      <c r="B383" s="87"/>
      <c r="C383" s="87"/>
      <c r="D383" s="87"/>
      <c r="E383" s="267"/>
      <c r="F383" s="87"/>
      <c r="G383" s="267"/>
      <c r="H383" s="267"/>
      <c r="I383" s="267"/>
      <c r="J383" s="267"/>
      <c r="K383" s="267"/>
      <c r="L383" s="267"/>
      <c r="M383" s="267"/>
      <c r="N383" s="267"/>
      <c r="O383" s="267"/>
      <c r="P383" s="267"/>
      <c r="Q383" s="267"/>
      <c r="R383" s="267"/>
      <c r="S383" s="267"/>
      <c r="T383" s="267"/>
      <c r="U383" s="267"/>
      <c r="V383" s="267"/>
      <c r="W383" s="267"/>
      <c r="X383" s="267"/>
    </row>
    <row r="384">
      <c r="A384" s="267"/>
      <c r="B384" s="87"/>
      <c r="C384" s="87"/>
      <c r="D384" s="87"/>
      <c r="E384" s="267"/>
      <c r="F384" s="87"/>
      <c r="G384" s="267"/>
      <c r="H384" s="267"/>
      <c r="I384" s="267"/>
      <c r="J384" s="267"/>
      <c r="K384" s="267"/>
      <c r="L384" s="267"/>
      <c r="M384" s="267"/>
      <c r="N384" s="267"/>
      <c r="O384" s="267"/>
      <c r="P384" s="267"/>
      <c r="Q384" s="267"/>
      <c r="R384" s="267"/>
      <c r="S384" s="267"/>
      <c r="T384" s="267"/>
      <c r="U384" s="267"/>
      <c r="V384" s="267"/>
      <c r="W384" s="267"/>
      <c r="X384" s="267"/>
    </row>
    <row r="385">
      <c r="A385" s="267"/>
      <c r="B385" s="87"/>
      <c r="C385" s="87"/>
      <c r="D385" s="87"/>
      <c r="E385" s="267"/>
      <c r="F385" s="87"/>
      <c r="G385" s="267"/>
      <c r="H385" s="267"/>
      <c r="I385" s="267"/>
      <c r="J385" s="267"/>
      <c r="K385" s="267"/>
      <c r="L385" s="267"/>
      <c r="M385" s="267"/>
      <c r="N385" s="267"/>
      <c r="O385" s="267"/>
      <c r="P385" s="267"/>
      <c r="Q385" s="267"/>
      <c r="R385" s="267"/>
      <c r="S385" s="267"/>
      <c r="T385" s="267"/>
      <c r="U385" s="267"/>
      <c r="V385" s="267"/>
      <c r="W385" s="267"/>
      <c r="X385" s="267"/>
    </row>
    <row r="386">
      <c r="A386" s="267"/>
      <c r="B386" s="87"/>
      <c r="C386" s="87"/>
      <c r="D386" s="87"/>
      <c r="E386" s="267"/>
      <c r="F386" s="87"/>
      <c r="G386" s="267"/>
      <c r="H386" s="267"/>
      <c r="I386" s="267"/>
      <c r="J386" s="267"/>
      <c r="K386" s="267"/>
      <c r="L386" s="267"/>
      <c r="M386" s="267"/>
      <c r="N386" s="267"/>
      <c r="O386" s="267"/>
      <c r="P386" s="267"/>
      <c r="Q386" s="267"/>
      <c r="R386" s="267"/>
      <c r="S386" s="267"/>
      <c r="T386" s="267"/>
      <c r="U386" s="267"/>
      <c r="V386" s="267"/>
      <c r="W386" s="267"/>
      <c r="X386" s="267"/>
    </row>
    <row r="387">
      <c r="A387" s="267"/>
      <c r="B387" s="87"/>
      <c r="C387" s="87"/>
      <c r="D387" s="87"/>
      <c r="E387" s="267"/>
      <c r="F387" s="87"/>
      <c r="G387" s="267"/>
      <c r="H387" s="267"/>
      <c r="I387" s="267"/>
      <c r="J387" s="267"/>
      <c r="K387" s="267"/>
      <c r="L387" s="267"/>
      <c r="M387" s="267"/>
      <c r="N387" s="267"/>
      <c r="O387" s="267"/>
      <c r="P387" s="267"/>
      <c r="Q387" s="267"/>
      <c r="R387" s="267"/>
      <c r="S387" s="267"/>
      <c r="T387" s="267"/>
      <c r="U387" s="267"/>
      <c r="V387" s="267"/>
      <c r="W387" s="267"/>
      <c r="X387" s="267"/>
    </row>
    <row r="388">
      <c r="A388" s="267"/>
      <c r="B388" s="87"/>
      <c r="C388" s="87"/>
      <c r="D388" s="87"/>
      <c r="E388" s="267"/>
      <c r="F388" s="87"/>
      <c r="G388" s="267"/>
      <c r="H388" s="267"/>
      <c r="I388" s="267"/>
      <c r="J388" s="267"/>
      <c r="K388" s="267"/>
      <c r="L388" s="267"/>
      <c r="M388" s="267"/>
      <c r="N388" s="267"/>
      <c r="O388" s="267"/>
      <c r="P388" s="267"/>
      <c r="Q388" s="267"/>
      <c r="R388" s="267"/>
      <c r="S388" s="267"/>
      <c r="T388" s="267"/>
      <c r="U388" s="267"/>
      <c r="V388" s="267"/>
      <c r="W388" s="267"/>
      <c r="X388" s="267"/>
    </row>
    <row r="389">
      <c r="A389" s="267"/>
      <c r="B389" s="87"/>
      <c r="C389" s="87"/>
      <c r="D389" s="87"/>
      <c r="E389" s="267"/>
      <c r="F389" s="87"/>
      <c r="G389" s="267"/>
      <c r="H389" s="267"/>
      <c r="I389" s="267"/>
      <c r="J389" s="267"/>
      <c r="K389" s="267"/>
      <c r="L389" s="267"/>
      <c r="M389" s="267"/>
      <c r="N389" s="267"/>
      <c r="O389" s="267"/>
      <c r="P389" s="267"/>
      <c r="Q389" s="267"/>
      <c r="R389" s="267"/>
      <c r="S389" s="267"/>
      <c r="T389" s="267"/>
      <c r="U389" s="267"/>
      <c r="V389" s="267"/>
      <c r="W389" s="267"/>
      <c r="X389" s="267"/>
    </row>
    <row r="390">
      <c r="A390" s="267"/>
      <c r="B390" s="87"/>
      <c r="C390" s="87"/>
      <c r="D390" s="87"/>
      <c r="E390" s="267"/>
      <c r="F390" s="87"/>
      <c r="G390" s="267"/>
      <c r="H390" s="267"/>
      <c r="I390" s="267"/>
      <c r="J390" s="267"/>
      <c r="K390" s="267"/>
      <c r="L390" s="267"/>
      <c r="M390" s="267"/>
      <c r="N390" s="267"/>
      <c r="O390" s="267"/>
      <c r="P390" s="267"/>
      <c r="Q390" s="267"/>
      <c r="R390" s="267"/>
      <c r="S390" s="267"/>
      <c r="T390" s="267"/>
      <c r="U390" s="267"/>
      <c r="V390" s="267"/>
      <c r="W390" s="267"/>
      <c r="X390" s="267"/>
    </row>
    <row r="391">
      <c r="A391" s="267"/>
      <c r="B391" s="87"/>
      <c r="C391" s="87"/>
      <c r="D391" s="87"/>
      <c r="E391" s="267"/>
      <c r="F391" s="87"/>
      <c r="G391" s="267"/>
      <c r="H391" s="267"/>
      <c r="I391" s="267"/>
      <c r="J391" s="267"/>
      <c r="K391" s="267"/>
      <c r="L391" s="267"/>
      <c r="M391" s="267"/>
      <c r="N391" s="267"/>
      <c r="O391" s="267"/>
      <c r="P391" s="267"/>
      <c r="Q391" s="267"/>
      <c r="R391" s="267"/>
      <c r="S391" s="267"/>
      <c r="T391" s="267"/>
      <c r="U391" s="267"/>
      <c r="V391" s="267"/>
      <c r="W391" s="267"/>
      <c r="X391" s="267"/>
    </row>
    <row r="392">
      <c r="A392" s="267"/>
      <c r="B392" s="87"/>
      <c r="C392" s="87"/>
      <c r="D392" s="87"/>
      <c r="E392" s="267"/>
      <c r="F392" s="87"/>
      <c r="G392" s="267"/>
      <c r="H392" s="267"/>
      <c r="I392" s="267"/>
      <c r="J392" s="267"/>
      <c r="K392" s="267"/>
      <c r="L392" s="267"/>
      <c r="M392" s="267"/>
      <c r="N392" s="267"/>
      <c r="O392" s="267"/>
      <c r="P392" s="267"/>
      <c r="Q392" s="267"/>
      <c r="R392" s="267"/>
      <c r="S392" s="267"/>
      <c r="T392" s="267"/>
      <c r="U392" s="267"/>
      <c r="V392" s="267"/>
      <c r="W392" s="267"/>
      <c r="X392" s="267"/>
    </row>
    <row r="393">
      <c r="A393" s="267"/>
      <c r="B393" s="87"/>
      <c r="C393" s="87"/>
      <c r="D393" s="87"/>
      <c r="E393" s="267"/>
      <c r="F393" s="87"/>
      <c r="G393" s="267"/>
      <c r="H393" s="267"/>
      <c r="I393" s="267"/>
      <c r="J393" s="267"/>
      <c r="K393" s="267"/>
      <c r="L393" s="267"/>
      <c r="M393" s="267"/>
      <c r="N393" s="267"/>
      <c r="O393" s="267"/>
      <c r="P393" s="267"/>
      <c r="Q393" s="267"/>
      <c r="R393" s="267"/>
      <c r="S393" s="267"/>
      <c r="T393" s="267"/>
      <c r="U393" s="267"/>
      <c r="V393" s="267"/>
      <c r="W393" s="267"/>
      <c r="X393" s="267"/>
    </row>
    <row r="394">
      <c r="A394" s="267"/>
      <c r="B394" s="87"/>
      <c r="C394" s="87"/>
      <c r="D394" s="87"/>
      <c r="E394" s="267"/>
      <c r="F394" s="87"/>
      <c r="G394" s="267"/>
      <c r="H394" s="267"/>
      <c r="I394" s="267"/>
      <c r="J394" s="267"/>
      <c r="K394" s="267"/>
      <c r="L394" s="267"/>
      <c r="M394" s="267"/>
      <c r="N394" s="267"/>
      <c r="O394" s="267"/>
      <c r="P394" s="267"/>
      <c r="Q394" s="267"/>
      <c r="R394" s="267"/>
      <c r="S394" s="267"/>
      <c r="T394" s="267"/>
      <c r="U394" s="267"/>
      <c r="V394" s="267"/>
      <c r="W394" s="267"/>
      <c r="X394" s="267"/>
    </row>
    <row r="395">
      <c r="A395" s="267"/>
      <c r="B395" s="87"/>
      <c r="C395" s="87"/>
      <c r="D395" s="87"/>
      <c r="E395" s="267"/>
      <c r="F395" s="87"/>
      <c r="G395" s="267"/>
      <c r="H395" s="267"/>
      <c r="I395" s="267"/>
      <c r="J395" s="267"/>
      <c r="K395" s="267"/>
      <c r="L395" s="267"/>
      <c r="M395" s="267"/>
      <c r="N395" s="267"/>
      <c r="O395" s="267"/>
      <c r="P395" s="267"/>
      <c r="Q395" s="267"/>
      <c r="R395" s="267"/>
      <c r="S395" s="267"/>
      <c r="T395" s="267"/>
      <c r="U395" s="267"/>
      <c r="V395" s="267"/>
      <c r="W395" s="267"/>
      <c r="X395" s="267"/>
    </row>
    <row r="396">
      <c r="A396" s="267"/>
      <c r="B396" s="87"/>
      <c r="C396" s="87"/>
      <c r="D396" s="87"/>
      <c r="E396" s="267"/>
      <c r="F396" s="87"/>
      <c r="G396" s="267"/>
      <c r="H396" s="267"/>
      <c r="I396" s="267"/>
      <c r="J396" s="267"/>
      <c r="K396" s="267"/>
      <c r="L396" s="267"/>
      <c r="M396" s="267"/>
      <c r="N396" s="267"/>
      <c r="O396" s="267"/>
      <c r="P396" s="267"/>
      <c r="Q396" s="267"/>
      <c r="R396" s="267"/>
      <c r="S396" s="267"/>
      <c r="T396" s="267"/>
      <c r="U396" s="267"/>
      <c r="V396" s="267"/>
      <c r="W396" s="267"/>
      <c r="X396" s="267"/>
    </row>
    <row r="397">
      <c r="A397" s="267"/>
      <c r="B397" s="87"/>
      <c r="C397" s="87"/>
      <c r="D397" s="87"/>
      <c r="E397" s="267"/>
      <c r="F397" s="87"/>
      <c r="G397" s="267"/>
      <c r="H397" s="267"/>
      <c r="I397" s="267"/>
      <c r="J397" s="267"/>
      <c r="K397" s="267"/>
      <c r="L397" s="267"/>
      <c r="M397" s="267"/>
      <c r="N397" s="267"/>
      <c r="O397" s="267"/>
      <c r="P397" s="267"/>
      <c r="Q397" s="267"/>
      <c r="R397" s="267"/>
      <c r="S397" s="267"/>
      <c r="T397" s="267"/>
      <c r="U397" s="267"/>
      <c r="V397" s="267"/>
      <c r="W397" s="267"/>
      <c r="X397" s="267"/>
    </row>
    <row r="398">
      <c r="A398" s="267"/>
      <c r="B398" s="87"/>
      <c r="C398" s="87"/>
      <c r="D398" s="87"/>
      <c r="E398" s="267"/>
      <c r="F398" s="87"/>
      <c r="G398" s="267"/>
      <c r="H398" s="267"/>
      <c r="I398" s="267"/>
      <c r="J398" s="267"/>
      <c r="K398" s="267"/>
      <c r="L398" s="267"/>
      <c r="M398" s="267"/>
      <c r="N398" s="267"/>
      <c r="O398" s="267"/>
      <c r="P398" s="267"/>
      <c r="Q398" s="267"/>
      <c r="R398" s="267"/>
      <c r="S398" s="267"/>
      <c r="T398" s="267"/>
      <c r="U398" s="267"/>
      <c r="V398" s="267"/>
      <c r="W398" s="267"/>
      <c r="X398" s="267"/>
    </row>
    <row r="399">
      <c r="A399" s="267"/>
      <c r="B399" s="87"/>
      <c r="C399" s="87"/>
      <c r="D399" s="87"/>
      <c r="E399" s="267"/>
      <c r="F399" s="87"/>
      <c r="G399" s="267"/>
      <c r="H399" s="267"/>
      <c r="I399" s="267"/>
      <c r="J399" s="267"/>
      <c r="K399" s="267"/>
      <c r="L399" s="267"/>
      <c r="M399" s="267"/>
      <c r="N399" s="267"/>
      <c r="O399" s="267"/>
      <c r="P399" s="267"/>
      <c r="Q399" s="267"/>
      <c r="R399" s="267"/>
      <c r="S399" s="267"/>
      <c r="T399" s="267"/>
      <c r="U399" s="267"/>
      <c r="V399" s="267"/>
      <c r="W399" s="267"/>
      <c r="X399" s="267"/>
    </row>
    <row r="400">
      <c r="A400" s="267"/>
      <c r="B400" s="87"/>
      <c r="C400" s="87"/>
      <c r="D400" s="87"/>
      <c r="E400" s="267"/>
      <c r="F400" s="87"/>
      <c r="G400" s="267"/>
      <c r="H400" s="267"/>
      <c r="I400" s="267"/>
      <c r="J400" s="267"/>
      <c r="K400" s="267"/>
      <c r="L400" s="267"/>
      <c r="M400" s="267"/>
      <c r="N400" s="267"/>
      <c r="O400" s="267"/>
      <c r="P400" s="267"/>
      <c r="Q400" s="267"/>
      <c r="R400" s="267"/>
      <c r="S400" s="267"/>
      <c r="T400" s="267"/>
      <c r="U400" s="267"/>
      <c r="V400" s="267"/>
      <c r="W400" s="267"/>
      <c r="X400" s="267"/>
    </row>
    <row r="401">
      <c r="A401" s="267"/>
      <c r="B401" s="87"/>
      <c r="C401" s="87"/>
      <c r="D401" s="87"/>
      <c r="E401" s="267"/>
      <c r="F401" s="87"/>
      <c r="G401" s="267"/>
      <c r="H401" s="267"/>
      <c r="I401" s="267"/>
      <c r="J401" s="267"/>
      <c r="K401" s="267"/>
      <c r="L401" s="267"/>
      <c r="M401" s="267"/>
      <c r="N401" s="267"/>
      <c r="O401" s="267"/>
      <c r="P401" s="267"/>
      <c r="Q401" s="267"/>
      <c r="R401" s="267"/>
      <c r="S401" s="267"/>
      <c r="T401" s="267"/>
      <c r="U401" s="267"/>
      <c r="V401" s="267"/>
      <c r="W401" s="267"/>
      <c r="X401" s="267"/>
    </row>
    <row r="402">
      <c r="A402" s="267"/>
      <c r="B402" s="87"/>
      <c r="C402" s="87"/>
      <c r="D402" s="87"/>
      <c r="E402" s="267"/>
      <c r="F402" s="87"/>
      <c r="G402" s="267"/>
      <c r="H402" s="267"/>
      <c r="I402" s="267"/>
      <c r="J402" s="267"/>
      <c r="K402" s="267"/>
      <c r="L402" s="267"/>
      <c r="M402" s="267"/>
      <c r="N402" s="267"/>
      <c r="O402" s="267"/>
      <c r="P402" s="267"/>
      <c r="Q402" s="267"/>
      <c r="R402" s="267"/>
      <c r="S402" s="267"/>
      <c r="T402" s="267"/>
      <c r="U402" s="267"/>
      <c r="V402" s="267"/>
      <c r="W402" s="267"/>
      <c r="X402" s="267"/>
    </row>
    <row r="403">
      <c r="A403" s="267"/>
      <c r="B403" s="87"/>
      <c r="C403" s="87"/>
      <c r="D403" s="87"/>
      <c r="E403" s="267"/>
      <c r="F403" s="87"/>
      <c r="G403" s="267"/>
      <c r="H403" s="267"/>
      <c r="I403" s="267"/>
      <c r="J403" s="267"/>
      <c r="K403" s="267"/>
      <c r="L403" s="267"/>
      <c r="M403" s="267"/>
      <c r="N403" s="267"/>
      <c r="O403" s="267"/>
      <c r="P403" s="267"/>
      <c r="Q403" s="267"/>
      <c r="R403" s="267"/>
      <c r="S403" s="267"/>
      <c r="T403" s="267"/>
      <c r="U403" s="267"/>
      <c r="V403" s="267"/>
      <c r="W403" s="267"/>
      <c r="X403" s="267"/>
    </row>
    <row r="404">
      <c r="A404" s="267"/>
      <c r="B404" s="87"/>
      <c r="C404" s="87"/>
      <c r="D404" s="87"/>
      <c r="E404" s="267"/>
      <c r="F404" s="87"/>
      <c r="G404" s="267"/>
      <c r="H404" s="267"/>
      <c r="I404" s="267"/>
      <c r="J404" s="267"/>
      <c r="K404" s="267"/>
      <c r="L404" s="267"/>
      <c r="M404" s="267"/>
      <c r="N404" s="267"/>
      <c r="O404" s="267"/>
      <c r="P404" s="267"/>
      <c r="Q404" s="267"/>
      <c r="R404" s="267"/>
      <c r="S404" s="267"/>
      <c r="T404" s="267"/>
      <c r="U404" s="267"/>
      <c r="V404" s="267"/>
      <c r="W404" s="267"/>
      <c r="X404" s="267"/>
    </row>
    <row r="405">
      <c r="A405" s="267"/>
      <c r="B405" s="87"/>
      <c r="C405" s="87"/>
      <c r="D405" s="87"/>
      <c r="E405" s="267"/>
      <c r="F405" s="87"/>
      <c r="G405" s="267"/>
      <c r="H405" s="267"/>
      <c r="I405" s="267"/>
      <c r="J405" s="267"/>
      <c r="K405" s="267"/>
      <c r="L405" s="267"/>
      <c r="M405" s="267"/>
      <c r="N405" s="267"/>
      <c r="O405" s="267"/>
      <c r="P405" s="267"/>
      <c r="Q405" s="267"/>
      <c r="R405" s="267"/>
      <c r="S405" s="267"/>
      <c r="T405" s="267"/>
      <c r="U405" s="267"/>
      <c r="V405" s="267"/>
      <c r="W405" s="267"/>
      <c r="X405" s="267"/>
    </row>
    <row r="406">
      <c r="A406" s="267"/>
      <c r="B406" s="87"/>
      <c r="C406" s="87"/>
      <c r="D406" s="87"/>
      <c r="E406" s="267"/>
      <c r="F406" s="87"/>
      <c r="G406" s="267"/>
      <c r="H406" s="267"/>
      <c r="I406" s="267"/>
      <c r="J406" s="267"/>
      <c r="K406" s="267"/>
      <c r="L406" s="267"/>
      <c r="M406" s="267"/>
      <c r="N406" s="267"/>
      <c r="O406" s="267"/>
      <c r="P406" s="267"/>
      <c r="Q406" s="267"/>
      <c r="R406" s="267"/>
      <c r="S406" s="267"/>
      <c r="T406" s="267"/>
      <c r="U406" s="267"/>
      <c r="V406" s="267"/>
      <c r="W406" s="267"/>
      <c r="X406" s="267"/>
    </row>
    <row r="407">
      <c r="A407" s="267"/>
      <c r="B407" s="87"/>
      <c r="C407" s="87"/>
      <c r="D407" s="87"/>
      <c r="E407" s="267"/>
      <c r="F407" s="87"/>
      <c r="G407" s="267"/>
      <c r="H407" s="267"/>
      <c r="I407" s="267"/>
      <c r="J407" s="267"/>
      <c r="K407" s="267"/>
      <c r="L407" s="267"/>
      <c r="M407" s="267"/>
      <c r="N407" s="267"/>
      <c r="O407" s="267"/>
      <c r="P407" s="267"/>
      <c r="Q407" s="267"/>
      <c r="R407" s="267"/>
      <c r="S407" s="267"/>
      <c r="T407" s="267"/>
      <c r="U407" s="267"/>
      <c r="V407" s="267"/>
      <c r="W407" s="267"/>
      <c r="X407" s="267"/>
    </row>
    <row r="408">
      <c r="A408" s="267"/>
      <c r="B408" s="87"/>
      <c r="C408" s="87"/>
      <c r="D408" s="87"/>
      <c r="E408" s="267"/>
      <c r="F408" s="87"/>
      <c r="G408" s="267"/>
      <c r="H408" s="267"/>
      <c r="I408" s="267"/>
      <c r="J408" s="267"/>
      <c r="K408" s="267"/>
      <c r="L408" s="267"/>
      <c r="M408" s="267"/>
      <c r="N408" s="267"/>
      <c r="O408" s="267"/>
      <c r="P408" s="267"/>
      <c r="Q408" s="267"/>
      <c r="R408" s="267"/>
      <c r="S408" s="267"/>
      <c r="T408" s="267"/>
      <c r="U408" s="267"/>
      <c r="V408" s="267"/>
      <c r="W408" s="267"/>
      <c r="X408" s="267"/>
    </row>
    <row r="409">
      <c r="A409" s="267"/>
      <c r="B409" s="87"/>
      <c r="C409" s="87"/>
      <c r="D409" s="87"/>
      <c r="E409" s="267"/>
      <c r="F409" s="87"/>
      <c r="G409" s="267"/>
      <c r="H409" s="267"/>
      <c r="I409" s="267"/>
      <c r="J409" s="267"/>
      <c r="K409" s="267"/>
      <c r="L409" s="267"/>
      <c r="M409" s="267"/>
      <c r="N409" s="267"/>
      <c r="O409" s="267"/>
      <c r="P409" s="267"/>
      <c r="Q409" s="267"/>
      <c r="R409" s="267"/>
      <c r="S409" s="267"/>
      <c r="T409" s="267"/>
      <c r="U409" s="267"/>
      <c r="V409" s="267"/>
      <c r="W409" s="267"/>
      <c r="X409" s="267"/>
    </row>
    <row r="410">
      <c r="A410" s="267"/>
      <c r="B410" s="87"/>
      <c r="C410" s="87"/>
      <c r="D410" s="87"/>
      <c r="E410" s="267"/>
      <c r="F410" s="87"/>
      <c r="G410" s="267"/>
      <c r="H410" s="267"/>
      <c r="I410" s="267"/>
      <c r="J410" s="267"/>
      <c r="K410" s="267"/>
      <c r="L410" s="267"/>
      <c r="M410" s="267"/>
      <c r="N410" s="267"/>
      <c r="O410" s="267"/>
      <c r="P410" s="267"/>
      <c r="Q410" s="267"/>
      <c r="R410" s="267"/>
      <c r="S410" s="267"/>
      <c r="T410" s="267"/>
      <c r="U410" s="267"/>
      <c r="V410" s="267"/>
      <c r="W410" s="267"/>
      <c r="X410" s="267"/>
    </row>
    <row r="411">
      <c r="A411" s="267"/>
      <c r="B411" s="87"/>
      <c r="C411" s="87"/>
      <c r="D411" s="87"/>
      <c r="E411" s="267"/>
      <c r="F411" s="87"/>
      <c r="G411" s="267"/>
      <c r="H411" s="267"/>
      <c r="I411" s="267"/>
      <c r="J411" s="267"/>
      <c r="K411" s="267"/>
      <c r="L411" s="267"/>
      <c r="M411" s="267"/>
      <c r="N411" s="267"/>
      <c r="O411" s="267"/>
      <c r="P411" s="267"/>
      <c r="Q411" s="267"/>
      <c r="R411" s="267"/>
      <c r="S411" s="267"/>
      <c r="T411" s="267"/>
      <c r="U411" s="267"/>
      <c r="V411" s="267"/>
      <c r="W411" s="267"/>
      <c r="X411" s="267"/>
    </row>
    <row r="412">
      <c r="A412" s="267"/>
      <c r="B412" s="87"/>
      <c r="C412" s="87"/>
      <c r="D412" s="87"/>
      <c r="E412" s="267"/>
      <c r="F412" s="87"/>
      <c r="G412" s="267"/>
      <c r="H412" s="267"/>
      <c r="I412" s="267"/>
      <c r="J412" s="267"/>
      <c r="K412" s="267"/>
      <c r="L412" s="267"/>
      <c r="M412" s="267"/>
      <c r="N412" s="267"/>
      <c r="O412" s="267"/>
      <c r="P412" s="267"/>
      <c r="Q412" s="267"/>
      <c r="R412" s="267"/>
      <c r="S412" s="267"/>
      <c r="T412" s="267"/>
      <c r="U412" s="267"/>
      <c r="V412" s="267"/>
      <c r="W412" s="267"/>
      <c r="X412" s="267"/>
    </row>
    <row r="413">
      <c r="A413" s="267"/>
      <c r="B413" s="87"/>
      <c r="C413" s="87"/>
      <c r="D413" s="87"/>
      <c r="E413" s="267"/>
      <c r="F413" s="87"/>
      <c r="G413" s="267"/>
      <c r="H413" s="267"/>
      <c r="I413" s="267"/>
      <c r="J413" s="267"/>
      <c r="K413" s="267"/>
      <c r="L413" s="267"/>
      <c r="M413" s="267"/>
      <c r="N413" s="267"/>
      <c r="O413" s="267"/>
      <c r="P413" s="267"/>
      <c r="Q413" s="267"/>
      <c r="R413" s="267"/>
      <c r="S413" s="267"/>
      <c r="T413" s="267"/>
      <c r="U413" s="267"/>
      <c r="V413" s="267"/>
      <c r="W413" s="267"/>
      <c r="X413" s="267"/>
    </row>
    <row r="414">
      <c r="A414" s="267"/>
      <c r="B414" s="87"/>
      <c r="C414" s="87"/>
      <c r="D414" s="87"/>
      <c r="E414" s="267"/>
      <c r="F414" s="87"/>
      <c r="G414" s="267"/>
      <c r="H414" s="267"/>
      <c r="I414" s="267"/>
      <c r="J414" s="267"/>
      <c r="K414" s="267"/>
      <c r="L414" s="267"/>
      <c r="M414" s="267"/>
      <c r="N414" s="267"/>
      <c r="O414" s="267"/>
      <c r="P414" s="267"/>
      <c r="Q414" s="267"/>
      <c r="R414" s="267"/>
      <c r="S414" s="267"/>
      <c r="T414" s="267"/>
      <c r="U414" s="267"/>
      <c r="V414" s="267"/>
      <c r="W414" s="267"/>
      <c r="X414" s="267"/>
    </row>
    <row r="415">
      <c r="A415" s="267"/>
      <c r="B415" s="87"/>
      <c r="C415" s="87"/>
      <c r="D415" s="87"/>
      <c r="E415" s="267"/>
      <c r="F415" s="87"/>
      <c r="G415" s="267"/>
      <c r="H415" s="267"/>
      <c r="I415" s="267"/>
      <c r="J415" s="267"/>
      <c r="K415" s="267"/>
      <c r="L415" s="267"/>
      <c r="M415" s="267"/>
      <c r="N415" s="267"/>
      <c r="O415" s="267"/>
      <c r="P415" s="267"/>
      <c r="Q415" s="267"/>
      <c r="R415" s="267"/>
      <c r="S415" s="267"/>
      <c r="T415" s="267"/>
      <c r="U415" s="267"/>
      <c r="V415" s="267"/>
      <c r="W415" s="267"/>
      <c r="X415" s="267"/>
    </row>
    <row r="416">
      <c r="A416" s="267"/>
      <c r="B416" s="87"/>
      <c r="C416" s="87"/>
      <c r="D416" s="87"/>
      <c r="E416" s="267"/>
      <c r="F416" s="87"/>
      <c r="G416" s="267"/>
      <c r="H416" s="267"/>
      <c r="I416" s="267"/>
      <c r="J416" s="267"/>
      <c r="K416" s="267"/>
      <c r="L416" s="267"/>
      <c r="M416" s="267"/>
      <c r="N416" s="267"/>
      <c r="O416" s="267"/>
      <c r="P416" s="267"/>
      <c r="Q416" s="267"/>
      <c r="R416" s="267"/>
      <c r="S416" s="267"/>
      <c r="T416" s="267"/>
      <c r="U416" s="267"/>
      <c r="V416" s="267"/>
      <c r="W416" s="267"/>
      <c r="X416" s="267"/>
    </row>
    <row r="417">
      <c r="A417" s="267"/>
      <c r="B417" s="87"/>
      <c r="C417" s="87"/>
      <c r="D417" s="87"/>
      <c r="E417" s="267"/>
      <c r="F417" s="87"/>
      <c r="G417" s="267"/>
      <c r="H417" s="267"/>
      <c r="I417" s="267"/>
      <c r="J417" s="267"/>
      <c r="K417" s="267"/>
      <c r="L417" s="267"/>
      <c r="M417" s="267"/>
      <c r="N417" s="267"/>
      <c r="O417" s="267"/>
      <c r="P417" s="267"/>
      <c r="Q417" s="267"/>
      <c r="R417" s="267"/>
      <c r="S417" s="267"/>
      <c r="T417" s="267"/>
      <c r="U417" s="267"/>
      <c r="V417" s="267"/>
      <c r="W417" s="267"/>
      <c r="X417" s="267"/>
    </row>
    <row r="418">
      <c r="A418" s="267"/>
      <c r="B418" s="87"/>
      <c r="C418" s="87"/>
      <c r="D418" s="87"/>
      <c r="E418" s="267"/>
      <c r="F418" s="87"/>
      <c r="G418" s="267"/>
      <c r="H418" s="267"/>
      <c r="I418" s="267"/>
      <c r="J418" s="267"/>
      <c r="K418" s="267"/>
      <c r="L418" s="267"/>
      <c r="M418" s="267"/>
      <c r="N418" s="267"/>
      <c r="O418" s="267"/>
      <c r="P418" s="267"/>
      <c r="Q418" s="267"/>
      <c r="R418" s="267"/>
      <c r="S418" s="267"/>
      <c r="T418" s="267"/>
      <c r="U418" s="267"/>
      <c r="V418" s="267"/>
      <c r="W418" s="267"/>
      <c r="X418" s="267"/>
    </row>
    <row r="419">
      <c r="A419" s="267"/>
      <c r="B419" s="87"/>
      <c r="C419" s="87"/>
      <c r="D419" s="87"/>
      <c r="E419" s="267"/>
      <c r="F419" s="87"/>
      <c r="G419" s="267"/>
      <c r="H419" s="267"/>
      <c r="I419" s="267"/>
      <c r="J419" s="267"/>
      <c r="K419" s="267"/>
      <c r="L419" s="267"/>
      <c r="M419" s="267"/>
      <c r="N419" s="267"/>
      <c r="O419" s="267"/>
      <c r="P419" s="267"/>
      <c r="Q419" s="267"/>
      <c r="R419" s="267"/>
      <c r="S419" s="267"/>
      <c r="T419" s="267"/>
      <c r="U419" s="267"/>
      <c r="V419" s="267"/>
      <c r="W419" s="267"/>
      <c r="X419" s="267"/>
    </row>
    <row r="420">
      <c r="A420" s="267"/>
      <c r="B420" s="87"/>
      <c r="C420" s="87"/>
      <c r="D420" s="87"/>
      <c r="E420" s="267"/>
      <c r="F420" s="87"/>
      <c r="G420" s="267"/>
      <c r="H420" s="267"/>
      <c r="I420" s="267"/>
      <c r="J420" s="267"/>
      <c r="K420" s="267"/>
      <c r="L420" s="267"/>
      <c r="M420" s="267"/>
      <c r="N420" s="267"/>
      <c r="O420" s="267"/>
      <c r="P420" s="267"/>
      <c r="Q420" s="267"/>
      <c r="R420" s="267"/>
      <c r="S420" s="267"/>
      <c r="T420" s="267"/>
      <c r="U420" s="267"/>
      <c r="V420" s="267"/>
      <c r="W420" s="267"/>
      <c r="X420" s="267"/>
    </row>
    <row r="421">
      <c r="A421" s="267"/>
      <c r="B421" s="87"/>
      <c r="C421" s="87"/>
      <c r="D421" s="87"/>
      <c r="E421" s="267"/>
      <c r="F421" s="87"/>
      <c r="G421" s="267"/>
      <c r="H421" s="267"/>
      <c r="I421" s="267"/>
      <c r="J421" s="267"/>
      <c r="K421" s="267"/>
      <c r="L421" s="267"/>
      <c r="M421" s="267"/>
      <c r="N421" s="267"/>
      <c r="O421" s="267"/>
      <c r="P421" s="267"/>
      <c r="Q421" s="267"/>
      <c r="R421" s="267"/>
      <c r="S421" s="267"/>
      <c r="T421" s="267"/>
      <c r="U421" s="267"/>
      <c r="V421" s="267"/>
      <c r="W421" s="267"/>
      <c r="X421" s="267"/>
    </row>
    <row r="422">
      <c r="A422" s="267"/>
      <c r="B422" s="87"/>
      <c r="C422" s="87"/>
      <c r="D422" s="87"/>
      <c r="E422" s="267"/>
      <c r="F422" s="87"/>
      <c r="G422" s="267"/>
      <c r="H422" s="267"/>
      <c r="I422" s="267"/>
      <c r="J422" s="267"/>
      <c r="K422" s="267"/>
      <c r="L422" s="267"/>
      <c r="M422" s="267"/>
      <c r="N422" s="267"/>
      <c r="O422" s="267"/>
      <c r="P422" s="267"/>
      <c r="Q422" s="267"/>
      <c r="R422" s="267"/>
      <c r="S422" s="267"/>
      <c r="T422" s="267"/>
      <c r="U422" s="267"/>
      <c r="V422" s="267"/>
      <c r="W422" s="267"/>
      <c r="X422" s="267"/>
    </row>
    <row r="423">
      <c r="A423" s="267"/>
      <c r="B423" s="87"/>
      <c r="C423" s="87"/>
      <c r="D423" s="87"/>
      <c r="E423" s="267"/>
      <c r="F423" s="87"/>
      <c r="G423" s="267"/>
      <c r="H423" s="267"/>
      <c r="I423" s="267"/>
      <c r="J423" s="267"/>
      <c r="K423" s="267"/>
      <c r="L423" s="267"/>
      <c r="M423" s="267"/>
      <c r="N423" s="267"/>
      <c r="O423" s="267"/>
      <c r="P423" s="267"/>
      <c r="Q423" s="267"/>
      <c r="R423" s="267"/>
      <c r="S423" s="267"/>
      <c r="T423" s="267"/>
      <c r="U423" s="267"/>
      <c r="V423" s="267"/>
      <c r="W423" s="267"/>
      <c r="X423" s="267"/>
    </row>
    <row r="424">
      <c r="A424" s="267"/>
      <c r="B424" s="87"/>
      <c r="C424" s="87"/>
      <c r="D424" s="87"/>
      <c r="E424" s="267"/>
      <c r="F424" s="87"/>
      <c r="G424" s="267"/>
      <c r="H424" s="267"/>
      <c r="I424" s="267"/>
      <c r="J424" s="267"/>
      <c r="K424" s="267"/>
      <c r="L424" s="267"/>
      <c r="M424" s="267"/>
      <c r="N424" s="267"/>
      <c r="O424" s="267"/>
      <c r="P424" s="267"/>
      <c r="Q424" s="267"/>
      <c r="R424" s="267"/>
      <c r="S424" s="267"/>
      <c r="T424" s="267"/>
      <c r="U424" s="267"/>
      <c r="V424" s="267"/>
      <c r="W424" s="267"/>
      <c r="X424" s="267"/>
    </row>
    <row r="425">
      <c r="A425" s="267"/>
      <c r="B425" s="87"/>
      <c r="C425" s="87"/>
      <c r="D425" s="87"/>
      <c r="E425" s="267"/>
      <c r="F425" s="87"/>
      <c r="G425" s="267"/>
      <c r="H425" s="267"/>
      <c r="I425" s="267"/>
      <c r="J425" s="267"/>
      <c r="K425" s="267"/>
      <c r="L425" s="267"/>
      <c r="M425" s="267"/>
      <c r="N425" s="267"/>
      <c r="O425" s="267"/>
      <c r="P425" s="267"/>
      <c r="Q425" s="267"/>
      <c r="R425" s="267"/>
      <c r="S425" s="267"/>
      <c r="T425" s="267"/>
      <c r="U425" s="267"/>
      <c r="V425" s="267"/>
      <c r="W425" s="267"/>
      <c r="X425" s="267"/>
    </row>
    <row r="426">
      <c r="A426" s="267"/>
      <c r="B426" s="87"/>
      <c r="C426" s="87"/>
      <c r="D426" s="87"/>
      <c r="E426" s="267"/>
      <c r="F426" s="87"/>
      <c r="G426" s="267"/>
      <c r="H426" s="267"/>
      <c r="I426" s="267"/>
      <c r="J426" s="267"/>
      <c r="K426" s="267"/>
      <c r="L426" s="267"/>
      <c r="M426" s="267"/>
      <c r="N426" s="267"/>
      <c r="O426" s="267"/>
      <c r="P426" s="267"/>
      <c r="Q426" s="267"/>
      <c r="R426" s="267"/>
      <c r="S426" s="267"/>
      <c r="T426" s="267"/>
      <c r="U426" s="267"/>
      <c r="V426" s="267"/>
      <c r="W426" s="267"/>
      <c r="X426" s="267"/>
    </row>
    <row r="427">
      <c r="A427" s="267"/>
      <c r="B427" s="87"/>
      <c r="C427" s="87"/>
      <c r="D427" s="87"/>
      <c r="E427" s="267"/>
      <c r="F427" s="87"/>
      <c r="G427" s="267"/>
      <c r="H427" s="267"/>
      <c r="I427" s="267"/>
      <c r="J427" s="267"/>
      <c r="K427" s="267"/>
      <c r="L427" s="267"/>
      <c r="M427" s="267"/>
      <c r="N427" s="267"/>
      <c r="O427" s="267"/>
      <c r="P427" s="267"/>
      <c r="Q427" s="267"/>
      <c r="R427" s="267"/>
      <c r="S427" s="267"/>
      <c r="T427" s="267"/>
      <c r="U427" s="267"/>
      <c r="V427" s="267"/>
      <c r="W427" s="267"/>
      <c r="X427" s="267"/>
    </row>
    <row r="428">
      <c r="A428" s="267"/>
      <c r="B428" s="87"/>
      <c r="C428" s="87"/>
      <c r="D428" s="87"/>
      <c r="E428" s="267"/>
      <c r="F428" s="87"/>
      <c r="G428" s="267"/>
      <c r="H428" s="267"/>
      <c r="I428" s="267"/>
      <c r="J428" s="267"/>
      <c r="K428" s="267"/>
      <c r="L428" s="267"/>
      <c r="M428" s="267"/>
      <c r="N428" s="267"/>
      <c r="O428" s="267"/>
      <c r="P428" s="267"/>
      <c r="Q428" s="267"/>
      <c r="R428" s="267"/>
      <c r="S428" s="267"/>
      <c r="T428" s="267"/>
      <c r="U428" s="267"/>
      <c r="V428" s="267"/>
      <c r="W428" s="267"/>
      <c r="X428" s="267"/>
    </row>
    <row r="429">
      <c r="A429" s="267"/>
      <c r="B429" s="87"/>
      <c r="C429" s="87"/>
      <c r="D429" s="87"/>
      <c r="E429" s="267"/>
      <c r="F429" s="87"/>
      <c r="G429" s="267"/>
      <c r="H429" s="267"/>
      <c r="I429" s="267"/>
      <c r="J429" s="267"/>
      <c r="K429" s="267"/>
      <c r="L429" s="267"/>
      <c r="M429" s="267"/>
      <c r="N429" s="267"/>
      <c r="O429" s="267"/>
      <c r="P429" s="267"/>
      <c r="Q429" s="267"/>
      <c r="R429" s="267"/>
      <c r="S429" s="267"/>
      <c r="T429" s="267"/>
      <c r="U429" s="267"/>
      <c r="V429" s="267"/>
      <c r="W429" s="267"/>
      <c r="X429" s="267"/>
    </row>
    <row r="430">
      <c r="A430" s="267"/>
      <c r="B430" s="87"/>
      <c r="C430" s="87"/>
      <c r="D430" s="87"/>
      <c r="E430" s="267"/>
      <c r="F430" s="87"/>
      <c r="G430" s="267"/>
      <c r="H430" s="267"/>
      <c r="I430" s="267"/>
      <c r="J430" s="267"/>
      <c r="K430" s="267"/>
      <c r="L430" s="267"/>
      <c r="M430" s="267"/>
      <c r="N430" s="267"/>
      <c r="O430" s="267"/>
      <c r="P430" s="267"/>
      <c r="Q430" s="267"/>
      <c r="R430" s="267"/>
      <c r="S430" s="267"/>
      <c r="T430" s="267"/>
      <c r="U430" s="267"/>
      <c r="V430" s="267"/>
      <c r="W430" s="267"/>
      <c r="X430" s="267"/>
    </row>
    <row r="431">
      <c r="A431" s="267"/>
      <c r="B431" s="87"/>
      <c r="C431" s="87"/>
      <c r="D431" s="87"/>
      <c r="E431" s="267"/>
      <c r="F431" s="87"/>
      <c r="G431" s="267"/>
      <c r="H431" s="267"/>
      <c r="I431" s="267"/>
      <c r="J431" s="267"/>
      <c r="K431" s="267"/>
      <c r="L431" s="267"/>
      <c r="M431" s="267"/>
      <c r="N431" s="267"/>
      <c r="O431" s="267"/>
      <c r="P431" s="267"/>
      <c r="Q431" s="267"/>
      <c r="R431" s="267"/>
      <c r="S431" s="267"/>
      <c r="T431" s="267"/>
      <c r="U431" s="267"/>
      <c r="V431" s="267"/>
      <c r="W431" s="267"/>
      <c r="X431" s="267"/>
    </row>
    <row r="432">
      <c r="A432" s="267"/>
      <c r="B432" s="87"/>
      <c r="C432" s="87"/>
      <c r="D432" s="87"/>
      <c r="E432" s="267"/>
      <c r="F432" s="87"/>
      <c r="G432" s="267"/>
      <c r="H432" s="267"/>
      <c r="I432" s="267"/>
      <c r="J432" s="267"/>
      <c r="K432" s="267"/>
      <c r="L432" s="267"/>
      <c r="M432" s="267"/>
      <c r="N432" s="267"/>
      <c r="O432" s="267"/>
      <c r="P432" s="267"/>
      <c r="Q432" s="267"/>
      <c r="R432" s="267"/>
      <c r="S432" s="267"/>
      <c r="T432" s="267"/>
      <c r="U432" s="267"/>
      <c r="V432" s="267"/>
      <c r="W432" s="267"/>
      <c r="X432" s="267"/>
    </row>
    <row r="433">
      <c r="A433" s="267"/>
      <c r="B433" s="87"/>
      <c r="C433" s="87"/>
      <c r="D433" s="87"/>
      <c r="E433" s="267"/>
      <c r="F433" s="87"/>
      <c r="G433" s="267"/>
      <c r="H433" s="267"/>
      <c r="I433" s="267"/>
      <c r="J433" s="267"/>
      <c r="K433" s="267"/>
      <c r="L433" s="267"/>
      <c r="M433" s="267"/>
      <c r="N433" s="267"/>
      <c r="O433" s="267"/>
      <c r="P433" s="267"/>
      <c r="Q433" s="267"/>
      <c r="R433" s="267"/>
      <c r="S433" s="267"/>
      <c r="T433" s="267"/>
      <c r="U433" s="267"/>
      <c r="V433" s="267"/>
      <c r="W433" s="267"/>
      <c r="X433" s="267"/>
    </row>
    <row r="434">
      <c r="A434" s="267"/>
      <c r="B434" s="87"/>
      <c r="C434" s="87"/>
      <c r="D434" s="87"/>
      <c r="E434" s="267"/>
      <c r="F434" s="87"/>
      <c r="G434" s="267"/>
      <c r="H434" s="267"/>
      <c r="I434" s="267"/>
      <c r="J434" s="267"/>
      <c r="K434" s="267"/>
      <c r="L434" s="267"/>
      <c r="M434" s="267"/>
      <c r="N434" s="267"/>
      <c r="O434" s="267"/>
      <c r="P434" s="267"/>
      <c r="Q434" s="267"/>
      <c r="R434" s="267"/>
      <c r="S434" s="267"/>
      <c r="T434" s="267"/>
      <c r="U434" s="267"/>
      <c r="V434" s="267"/>
      <c r="W434" s="267"/>
      <c r="X434" s="267"/>
    </row>
    <row r="435">
      <c r="A435" s="267"/>
      <c r="B435" s="87"/>
      <c r="C435" s="87"/>
      <c r="D435" s="87"/>
      <c r="E435" s="267"/>
      <c r="F435" s="87"/>
      <c r="G435" s="267"/>
      <c r="H435" s="267"/>
      <c r="I435" s="267"/>
      <c r="J435" s="267"/>
      <c r="K435" s="267"/>
      <c r="L435" s="267"/>
      <c r="M435" s="267"/>
      <c r="N435" s="267"/>
      <c r="O435" s="267"/>
      <c r="P435" s="267"/>
      <c r="Q435" s="267"/>
      <c r="R435" s="267"/>
      <c r="S435" s="267"/>
      <c r="T435" s="267"/>
      <c r="U435" s="267"/>
      <c r="V435" s="267"/>
      <c r="W435" s="267"/>
      <c r="X435" s="267"/>
    </row>
    <row r="436">
      <c r="A436" s="267"/>
      <c r="B436" s="87"/>
      <c r="C436" s="87"/>
      <c r="D436" s="87"/>
      <c r="E436" s="267"/>
      <c r="F436" s="87"/>
      <c r="G436" s="267"/>
      <c r="H436" s="267"/>
      <c r="I436" s="267"/>
      <c r="J436" s="267"/>
      <c r="K436" s="267"/>
      <c r="L436" s="267"/>
      <c r="M436" s="267"/>
      <c r="N436" s="267"/>
      <c r="O436" s="267"/>
      <c r="P436" s="267"/>
      <c r="Q436" s="267"/>
      <c r="R436" s="267"/>
      <c r="S436" s="267"/>
      <c r="T436" s="267"/>
      <c r="U436" s="267"/>
      <c r="V436" s="267"/>
      <c r="W436" s="267"/>
      <c r="X436" s="267"/>
    </row>
    <row r="437">
      <c r="A437" s="267"/>
      <c r="B437" s="87"/>
      <c r="C437" s="87"/>
      <c r="D437" s="87"/>
      <c r="E437" s="267"/>
      <c r="F437" s="87"/>
      <c r="G437" s="267"/>
      <c r="H437" s="267"/>
      <c r="I437" s="267"/>
      <c r="J437" s="267"/>
      <c r="K437" s="267"/>
      <c r="L437" s="267"/>
      <c r="M437" s="267"/>
      <c r="N437" s="267"/>
      <c r="O437" s="267"/>
      <c r="P437" s="267"/>
      <c r="Q437" s="267"/>
      <c r="R437" s="267"/>
      <c r="S437" s="267"/>
      <c r="T437" s="267"/>
      <c r="U437" s="267"/>
      <c r="V437" s="267"/>
      <c r="W437" s="267"/>
      <c r="X437" s="267"/>
    </row>
    <row r="438">
      <c r="A438" s="267"/>
      <c r="B438" s="87"/>
      <c r="C438" s="87"/>
      <c r="D438" s="87"/>
      <c r="E438" s="267"/>
      <c r="F438" s="87"/>
      <c r="G438" s="267"/>
      <c r="H438" s="267"/>
      <c r="I438" s="267"/>
      <c r="J438" s="267"/>
      <c r="K438" s="267"/>
      <c r="L438" s="267"/>
      <c r="M438" s="267"/>
      <c r="N438" s="267"/>
      <c r="O438" s="267"/>
      <c r="P438" s="267"/>
      <c r="Q438" s="267"/>
      <c r="R438" s="267"/>
      <c r="S438" s="267"/>
      <c r="T438" s="267"/>
      <c r="U438" s="267"/>
      <c r="V438" s="267"/>
      <c r="W438" s="267"/>
      <c r="X438" s="267"/>
    </row>
    <row r="439">
      <c r="A439" s="267"/>
      <c r="B439" s="87"/>
      <c r="C439" s="87"/>
      <c r="D439" s="87"/>
      <c r="E439" s="267"/>
      <c r="F439" s="87"/>
      <c r="G439" s="267"/>
      <c r="H439" s="267"/>
      <c r="I439" s="267"/>
      <c r="J439" s="267"/>
      <c r="K439" s="267"/>
      <c r="L439" s="267"/>
      <c r="M439" s="267"/>
      <c r="N439" s="267"/>
      <c r="O439" s="267"/>
      <c r="P439" s="267"/>
      <c r="Q439" s="267"/>
      <c r="R439" s="267"/>
      <c r="S439" s="267"/>
      <c r="T439" s="267"/>
      <c r="U439" s="267"/>
      <c r="V439" s="267"/>
      <c r="W439" s="267"/>
      <c r="X439" s="267"/>
    </row>
    <row r="440">
      <c r="A440" s="267"/>
      <c r="B440" s="87"/>
      <c r="C440" s="87"/>
      <c r="D440" s="87"/>
      <c r="E440" s="267"/>
      <c r="F440" s="87"/>
      <c r="G440" s="267"/>
      <c r="H440" s="267"/>
      <c r="I440" s="267"/>
      <c r="J440" s="267"/>
      <c r="K440" s="267"/>
      <c r="L440" s="267"/>
      <c r="M440" s="267"/>
      <c r="N440" s="267"/>
      <c r="O440" s="267"/>
      <c r="P440" s="267"/>
      <c r="Q440" s="267"/>
      <c r="R440" s="267"/>
      <c r="S440" s="267"/>
      <c r="T440" s="267"/>
      <c r="U440" s="267"/>
      <c r="V440" s="267"/>
      <c r="W440" s="267"/>
      <c r="X440" s="267"/>
    </row>
    <row r="441">
      <c r="A441" s="267"/>
      <c r="B441" s="87"/>
      <c r="C441" s="87"/>
      <c r="D441" s="87"/>
      <c r="E441" s="267"/>
      <c r="F441" s="87"/>
      <c r="G441" s="267"/>
      <c r="H441" s="267"/>
      <c r="I441" s="267"/>
      <c r="J441" s="267"/>
      <c r="K441" s="267"/>
      <c r="L441" s="267"/>
      <c r="M441" s="267"/>
      <c r="N441" s="267"/>
      <c r="O441" s="267"/>
      <c r="P441" s="267"/>
      <c r="Q441" s="267"/>
      <c r="R441" s="267"/>
      <c r="S441" s="267"/>
      <c r="T441" s="267"/>
      <c r="U441" s="267"/>
      <c r="V441" s="267"/>
      <c r="W441" s="267"/>
      <c r="X441" s="267"/>
    </row>
    <row r="442">
      <c r="A442" s="267"/>
      <c r="B442" s="87"/>
      <c r="C442" s="87"/>
      <c r="D442" s="87"/>
      <c r="E442" s="267"/>
      <c r="F442" s="87"/>
      <c r="G442" s="267"/>
      <c r="H442" s="267"/>
      <c r="I442" s="267"/>
      <c r="J442" s="267"/>
      <c r="K442" s="267"/>
      <c r="L442" s="267"/>
      <c r="M442" s="267"/>
      <c r="N442" s="267"/>
      <c r="O442" s="267"/>
      <c r="P442" s="267"/>
      <c r="Q442" s="267"/>
      <c r="R442" s="267"/>
      <c r="S442" s="267"/>
      <c r="T442" s="267"/>
      <c r="U442" s="267"/>
      <c r="V442" s="267"/>
      <c r="W442" s="267"/>
      <c r="X442" s="267"/>
    </row>
    <row r="443">
      <c r="A443" s="267"/>
      <c r="B443" s="87"/>
      <c r="C443" s="87"/>
      <c r="D443" s="87"/>
      <c r="E443" s="267"/>
      <c r="F443" s="87"/>
      <c r="G443" s="267"/>
      <c r="H443" s="267"/>
      <c r="I443" s="267"/>
      <c r="J443" s="267"/>
      <c r="K443" s="267"/>
      <c r="L443" s="267"/>
      <c r="M443" s="267"/>
      <c r="N443" s="267"/>
      <c r="O443" s="267"/>
      <c r="P443" s="267"/>
      <c r="Q443" s="267"/>
      <c r="R443" s="267"/>
      <c r="S443" s="267"/>
      <c r="T443" s="267"/>
      <c r="U443" s="267"/>
      <c r="V443" s="267"/>
      <c r="W443" s="267"/>
      <c r="X443" s="267"/>
    </row>
    <row r="444">
      <c r="A444" s="267"/>
      <c r="B444" s="87"/>
      <c r="C444" s="87"/>
      <c r="D444" s="87"/>
      <c r="E444" s="267"/>
      <c r="F444" s="87"/>
      <c r="G444" s="267"/>
      <c r="H444" s="267"/>
      <c r="I444" s="267"/>
      <c r="J444" s="267"/>
      <c r="K444" s="267"/>
      <c r="L444" s="267"/>
      <c r="M444" s="267"/>
      <c r="N444" s="267"/>
      <c r="O444" s="267"/>
      <c r="P444" s="267"/>
      <c r="Q444" s="267"/>
      <c r="R444" s="267"/>
      <c r="S444" s="267"/>
      <c r="T444" s="267"/>
      <c r="U444" s="267"/>
      <c r="V444" s="267"/>
      <c r="W444" s="267"/>
      <c r="X444" s="267"/>
    </row>
    <row r="445">
      <c r="A445" s="267"/>
      <c r="B445" s="87"/>
      <c r="C445" s="87"/>
      <c r="D445" s="87"/>
      <c r="E445" s="267"/>
      <c r="F445" s="87"/>
      <c r="G445" s="267"/>
      <c r="H445" s="267"/>
      <c r="I445" s="267"/>
      <c r="J445" s="267"/>
      <c r="K445" s="267"/>
      <c r="L445" s="267"/>
      <c r="M445" s="267"/>
      <c r="N445" s="267"/>
      <c r="O445" s="267"/>
      <c r="P445" s="267"/>
      <c r="Q445" s="267"/>
      <c r="R445" s="267"/>
      <c r="S445" s="267"/>
      <c r="T445" s="267"/>
      <c r="U445" s="267"/>
      <c r="V445" s="267"/>
      <c r="W445" s="267"/>
      <c r="X445" s="267"/>
    </row>
    <row r="446">
      <c r="A446" s="267"/>
      <c r="B446" s="87"/>
      <c r="C446" s="87"/>
      <c r="D446" s="87"/>
      <c r="E446" s="267"/>
      <c r="F446" s="87"/>
      <c r="G446" s="267"/>
      <c r="H446" s="267"/>
      <c r="I446" s="267"/>
      <c r="J446" s="267"/>
      <c r="K446" s="267"/>
      <c r="L446" s="267"/>
      <c r="M446" s="267"/>
      <c r="N446" s="267"/>
      <c r="O446" s="267"/>
      <c r="P446" s="267"/>
      <c r="Q446" s="267"/>
      <c r="R446" s="267"/>
      <c r="S446" s="267"/>
      <c r="T446" s="267"/>
      <c r="U446" s="267"/>
      <c r="V446" s="267"/>
      <c r="W446" s="267"/>
      <c r="X446" s="267"/>
    </row>
    <row r="447">
      <c r="A447" s="267"/>
      <c r="B447" s="87"/>
      <c r="C447" s="87"/>
      <c r="D447" s="87"/>
      <c r="E447" s="267"/>
      <c r="F447" s="87"/>
      <c r="G447" s="267"/>
      <c r="H447" s="267"/>
      <c r="I447" s="267"/>
      <c r="J447" s="267"/>
      <c r="K447" s="267"/>
      <c r="L447" s="267"/>
      <c r="M447" s="267"/>
      <c r="N447" s="267"/>
      <c r="O447" s="267"/>
      <c r="P447" s="267"/>
      <c r="Q447" s="267"/>
      <c r="R447" s="267"/>
      <c r="S447" s="267"/>
      <c r="T447" s="267"/>
      <c r="U447" s="267"/>
      <c r="V447" s="267"/>
      <c r="W447" s="267"/>
      <c r="X447" s="267"/>
    </row>
    <row r="448">
      <c r="A448" s="267"/>
      <c r="B448" s="87"/>
      <c r="C448" s="87"/>
      <c r="D448" s="87"/>
      <c r="E448" s="267"/>
      <c r="F448" s="87"/>
      <c r="G448" s="267"/>
      <c r="H448" s="267"/>
      <c r="I448" s="267"/>
      <c r="J448" s="267"/>
      <c r="K448" s="267"/>
      <c r="L448" s="267"/>
      <c r="M448" s="267"/>
      <c r="N448" s="267"/>
      <c r="O448" s="267"/>
      <c r="P448" s="267"/>
      <c r="Q448" s="267"/>
      <c r="R448" s="267"/>
      <c r="S448" s="267"/>
      <c r="T448" s="267"/>
      <c r="U448" s="267"/>
      <c r="V448" s="267"/>
      <c r="W448" s="267"/>
      <c r="X448" s="267"/>
    </row>
    <row r="449">
      <c r="A449" s="267"/>
      <c r="B449" s="87"/>
      <c r="C449" s="87"/>
      <c r="D449" s="87"/>
      <c r="E449" s="267"/>
      <c r="F449" s="87"/>
      <c r="G449" s="267"/>
      <c r="H449" s="267"/>
      <c r="I449" s="267"/>
      <c r="J449" s="267"/>
      <c r="K449" s="267"/>
      <c r="L449" s="267"/>
      <c r="M449" s="267"/>
      <c r="N449" s="267"/>
      <c r="O449" s="267"/>
      <c r="P449" s="267"/>
      <c r="Q449" s="267"/>
      <c r="R449" s="267"/>
      <c r="S449" s="267"/>
      <c r="T449" s="267"/>
      <c r="U449" s="267"/>
      <c r="V449" s="267"/>
      <c r="W449" s="267"/>
      <c r="X449" s="267"/>
    </row>
    <row r="450">
      <c r="A450" s="267"/>
      <c r="B450" s="87"/>
      <c r="C450" s="87"/>
      <c r="D450" s="87"/>
      <c r="E450" s="267"/>
      <c r="F450" s="87"/>
      <c r="G450" s="267"/>
      <c r="H450" s="267"/>
      <c r="I450" s="267"/>
      <c r="J450" s="267"/>
      <c r="K450" s="267"/>
      <c r="L450" s="267"/>
      <c r="M450" s="267"/>
      <c r="N450" s="267"/>
      <c r="O450" s="267"/>
      <c r="P450" s="267"/>
      <c r="Q450" s="267"/>
      <c r="R450" s="267"/>
      <c r="S450" s="267"/>
      <c r="T450" s="267"/>
      <c r="U450" s="267"/>
      <c r="V450" s="267"/>
      <c r="W450" s="267"/>
      <c r="X450" s="267"/>
    </row>
    <row r="451">
      <c r="A451" s="267"/>
      <c r="B451" s="87"/>
      <c r="C451" s="87"/>
      <c r="D451" s="87"/>
      <c r="E451" s="267"/>
      <c r="F451" s="87"/>
      <c r="G451" s="267"/>
      <c r="H451" s="267"/>
      <c r="I451" s="267"/>
      <c r="J451" s="267"/>
      <c r="K451" s="267"/>
      <c r="L451" s="267"/>
      <c r="M451" s="267"/>
      <c r="N451" s="267"/>
      <c r="O451" s="267"/>
      <c r="P451" s="267"/>
      <c r="Q451" s="267"/>
      <c r="R451" s="267"/>
      <c r="S451" s="267"/>
      <c r="T451" s="267"/>
      <c r="U451" s="267"/>
      <c r="V451" s="267"/>
      <c r="W451" s="267"/>
      <c r="X451" s="267"/>
    </row>
    <row r="452">
      <c r="A452" s="267"/>
      <c r="B452" s="87"/>
      <c r="C452" s="87"/>
      <c r="D452" s="87"/>
      <c r="E452" s="267"/>
      <c r="F452" s="87"/>
      <c r="G452" s="267"/>
      <c r="H452" s="267"/>
      <c r="I452" s="267"/>
      <c r="J452" s="267"/>
      <c r="K452" s="267"/>
      <c r="L452" s="267"/>
      <c r="M452" s="267"/>
      <c r="N452" s="267"/>
      <c r="O452" s="267"/>
      <c r="P452" s="267"/>
      <c r="Q452" s="267"/>
      <c r="R452" s="267"/>
      <c r="S452" s="267"/>
      <c r="T452" s="267"/>
      <c r="U452" s="267"/>
      <c r="V452" s="267"/>
      <c r="W452" s="267"/>
      <c r="X452" s="267"/>
    </row>
    <row r="453">
      <c r="A453" s="267"/>
      <c r="B453" s="87"/>
      <c r="C453" s="87"/>
      <c r="D453" s="87"/>
      <c r="E453" s="267"/>
      <c r="F453" s="87"/>
      <c r="G453" s="267"/>
      <c r="H453" s="267"/>
      <c r="I453" s="267"/>
      <c r="J453" s="267"/>
      <c r="K453" s="267"/>
      <c r="L453" s="267"/>
      <c r="M453" s="267"/>
      <c r="N453" s="267"/>
      <c r="O453" s="267"/>
      <c r="P453" s="267"/>
      <c r="Q453" s="267"/>
      <c r="R453" s="267"/>
      <c r="S453" s="267"/>
      <c r="T453" s="267"/>
      <c r="U453" s="267"/>
      <c r="V453" s="267"/>
      <c r="W453" s="267"/>
      <c r="X453" s="267"/>
    </row>
    <row r="454">
      <c r="A454" s="267"/>
      <c r="B454" s="87"/>
      <c r="C454" s="87"/>
      <c r="D454" s="87"/>
      <c r="E454" s="267"/>
      <c r="F454" s="87"/>
      <c r="G454" s="267"/>
      <c r="H454" s="267"/>
      <c r="I454" s="267"/>
      <c r="J454" s="267"/>
      <c r="K454" s="267"/>
      <c r="L454" s="267"/>
      <c r="M454" s="267"/>
      <c r="N454" s="267"/>
      <c r="O454" s="267"/>
      <c r="P454" s="267"/>
      <c r="Q454" s="267"/>
      <c r="R454" s="267"/>
      <c r="S454" s="267"/>
      <c r="T454" s="267"/>
      <c r="U454" s="267"/>
      <c r="V454" s="267"/>
      <c r="W454" s="267"/>
      <c r="X454" s="267"/>
    </row>
    <row r="455">
      <c r="A455" s="267"/>
      <c r="B455" s="87"/>
      <c r="C455" s="87"/>
      <c r="D455" s="87"/>
      <c r="E455" s="267"/>
      <c r="F455" s="87"/>
      <c r="G455" s="267"/>
      <c r="H455" s="267"/>
      <c r="I455" s="267"/>
      <c r="J455" s="267"/>
      <c r="K455" s="267"/>
      <c r="L455" s="267"/>
      <c r="M455" s="267"/>
      <c r="N455" s="267"/>
      <c r="O455" s="267"/>
      <c r="P455" s="267"/>
      <c r="Q455" s="267"/>
      <c r="R455" s="267"/>
      <c r="S455" s="267"/>
      <c r="T455" s="267"/>
      <c r="U455" s="267"/>
      <c r="V455" s="267"/>
      <c r="W455" s="267"/>
      <c r="X455" s="267"/>
    </row>
    <row r="456">
      <c r="A456" s="267"/>
      <c r="B456" s="87"/>
      <c r="C456" s="87"/>
      <c r="D456" s="87"/>
      <c r="E456" s="267"/>
      <c r="F456" s="87"/>
      <c r="G456" s="267"/>
      <c r="H456" s="267"/>
      <c r="I456" s="267"/>
      <c r="J456" s="267"/>
      <c r="K456" s="267"/>
      <c r="L456" s="267"/>
      <c r="M456" s="267"/>
      <c r="N456" s="267"/>
      <c r="O456" s="267"/>
      <c r="P456" s="267"/>
      <c r="Q456" s="267"/>
      <c r="R456" s="267"/>
      <c r="S456" s="267"/>
      <c r="T456" s="267"/>
      <c r="U456" s="267"/>
      <c r="V456" s="267"/>
      <c r="W456" s="267"/>
      <c r="X456" s="267"/>
    </row>
    <row r="457">
      <c r="A457" s="267"/>
      <c r="B457" s="87"/>
      <c r="C457" s="87"/>
      <c r="D457" s="87"/>
      <c r="E457" s="267"/>
      <c r="F457" s="87"/>
      <c r="G457" s="267"/>
      <c r="H457" s="267"/>
      <c r="I457" s="267"/>
      <c r="J457" s="267"/>
      <c r="K457" s="267"/>
      <c r="L457" s="267"/>
      <c r="M457" s="267"/>
      <c r="N457" s="267"/>
      <c r="O457" s="267"/>
      <c r="P457" s="267"/>
      <c r="Q457" s="267"/>
      <c r="R457" s="267"/>
      <c r="S457" s="267"/>
      <c r="T457" s="267"/>
      <c r="U457" s="267"/>
      <c r="V457" s="267"/>
      <c r="W457" s="267"/>
      <c r="X457" s="267"/>
    </row>
    <row r="458">
      <c r="A458" s="267"/>
      <c r="B458" s="87"/>
      <c r="C458" s="87"/>
      <c r="D458" s="87"/>
      <c r="E458" s="267"/>
      <c r="F458" s="87"/>
      <c r="G458" s="267"/>
      <c r="H458" s="267"/>
      <c r="I458" s="267"/>
      <c r="J458" s="267"/>
      <c r="K458" s="267"/>
      <c r="L458" s="267"/>
      <c r="M458" s="267"/>
      <c r="N458" s="267"/>
      <c r="O458" s="267"/>
      <c r="P458" s="267"/>
      <c r="Q458" s="267"/>
      <c r="R458" s="267"/>
      <c r="S458" s="267"/>
      <c r="T458" s="267"/>
      <c r="U458" s="267"/>
      <c r="V458" s="267"/>
      <c r="W458" s="267"/>
      <c r="X458" s="267"/>
    </row>
    <row r="459">
      <c r="A459" s="267"/>
      <c r="B459" s="87"/>
      <c r="C459" s="87"/>
      <c r="D459" s="87"/>
      <c r="E459" s="267"/>
      <c r="F459" s="87"/>
      <c r="G459" s="267"/>
      <c r="H459" s="267"/>
      <c r="I459" s="267"/>
      <c r="J459" s="267"/>
      <c r="K459" s="267"/>
      <c r="L459" s="267"/>
      <c r="M459" s="267"/>
      <c r="N459" s="267"/>
      <c r="O459" s="267"/>
      <c r="P459" s="267"/>
      <c r="Q459" s="267"/>
      <c r="R459" s="267"/>
      <c r="S459" s="267"/>
      <c r="T459" s="267"/>
      <c r="U459" s="267"/>
      <c r="V459" s="267"/>
      <c r="W459" s="267"/>
      <c r="X459" s="267"/>
    </row>
    <row r="460">
      <c r="A460" s="267"/>
      <c r="B460" s="87"/>
      <c r="C460" s="87"/>
      <c r="D460" s="87"/>
      <c r="E460" s="267"/>
      <c r="F460" s="87"/>
      <c r="G460" s="267"/>
      <c r="H460" s="267"/>
      <c r="I460" s="267"/>
      <c r="J460" s="267"/>
      <c r="K460" s="267"/>
      <c r="L460" s="267"/>
      <c r="M460" s="267"/>
      <c r="N460" s="267"/>
      <c r="O460" s="267"/>
      <c r="P460" s="267"/>
      <c r="Q460" s="267"/>
      <c r="R460" s="267"/>
      <c r="S460" s="267"/>
      <c r="T460" s="267"/>
      <c r="U460" s="267"/>
      <c r="V460" s="267"/>
      <c r="W460" s="267"/>
      <c r="X460" s="267"/>
    </row>
    <row r="461">
      <c r="A461" s="267"/>
      <c r="B461" s="87"/>
      <c r="C461" s="87"/>
      <c r="D461" s="87"/>
      <c r="E461" s="267"/>
      <c r="F461" s="87"/>
      <c r="G461" s="267"/>
      <c r="H461" s="267"/>
      <c r="I461" s="267"/>
      <c r="J461" s="267"/>
      <c r="K461" s="267"/>
      <c r="L461" s="267"/>
      <c r="M461" s="267"/>
      <c r="N461" s="267"/>
      <c r="O461" s="267"/>
      <c r="P461" s="267"/>
      <c r="Q461" s="267"/>
      <c r="R461" s="267"/>
      <c r="S461" s="267"/>
      <c r="T461" s="267"/>
      <c r="U461" s="267"/>
      <c r="V461" s="267"/>
      <c r="W461" s="267"/>
      <c r="X461" s="267"/>
    </row>
    <row r="462">
      <c r="A462" s="267"/>
      <c r="B462" s="87"/>
      <c r="C462" s="87"/>
      <c r="D462" s="87"/>
      <c r="E462" s="267"/>
      <c r="F462" s="87"/>
      <c r="G462" s="267"/>
      <c r="H462" s="267"/>
      <c r="I462" s="267"/>
      <c r="J462" s="267"/>
      <c r="K462" s="267"/>
      <c r="L462" s="267"/>
      <c r="M462" s="267"/>
      <c r="N462" s="267"/>
      <c r="O462" s="267"/>
      <c r="P462" s="267"/>
      <c r="Q462" s="267"/>
      <c r="R462" s="267"/>
      <c r="S462" s="267"/>
      <c r="T462" s="267"/>
      <c r="U462" s="267"/>
      <c r="V462" s="267"/>
      <c r="W462" s="267"/>
      <c r="X462" s="267"/>
    </row>
    <row r="463">
      <c r="A463" s="267"/>
      <c r="B463" s="87"/>
      <c r="C463" s="87"/>
      <c r="D463" s="87"/>
      <c r="E463" s="267"/>
      <c r="F463" s="87"/>
      <c r="G463" s="267"/>
      <c r="H463" s="267"/>
      <c r="I463" s="267"/>
      <c r="J463" s="267"/>
      <c r="K463" s="267"/>
      <c r="L463" s="267"/>
      <c r="M463" s="267"/>
      <c r="N463" s="267"/>
      <c r="O463" s="267"/>
      <c r="P463" s="267"/>
      <c r="Q463" s="267"/>
      <c r="R463" s="267"/>
      <c r="S463" s="267"/>
      <c r="T463" s="267"/>
      <c r="U463" s="267"/>
      <c r="V463" s="267"/>
      <c r="W463" s="267"/>
      <c r="X463" s="267"/>
    </row>
    <row r="464">
      <c r="A464" s="267"/>
      <c r="B464" s="87"/>
      <c r="C464" s="87"/>
      <c r="D464" s="87"/>
      <c r="E464" s="267"/>
      <c r="F464" s="87"/>
      <c r="G464" s="267"/>
      <c r="H464" s="267"/>
      <c r="I464" s="267"/>
      <c r="J464" s="267"/>
      <c r="K464" s="267"/>
      <c r="L464" s="267"/>
      <c r="M464" s="267"/>
      <c r="N464" s="267"/>
      <c r="O464" s="267"/>
      <c r="P464" s="267"/>
      <c r="Q464" s="267"/>
      <c r="R464" s="267"/>
      <c r="S464" s="267"/>
      <c r="T464" s="267"/>
      <c r="U464" s="267"/>
      <c r="V464" s="267"/>
      <c r="W464" s="267"/>
      <c r="X464" s="267"/>
    </row>
    <row r="465">
      <c r="A465" s="267"/>
      <c r="B465" s="87"/>
      <c r="C465" s="87"/>
      <c r="D465" s="87"/>
      <c r="E465" s="267"/>
      <c r="F465" s="87"/>
      <c r="G465" s="267"/>
      <c r="H465" s="267"/>
      <c r="I465" s="267"/>
      <c r="J465" s="267"/>
      <c r="K465" s="267"/>
      <c r="L465" s="267"/>
      <c r="M465" s="267"/>
      <c r="N465" s="267"/>
      <c r="O465" s="267"/>
      <c r="P465" s="267"/>
      <c r="Q465" s="267"/>
      <c r="R465" s="267"/>
      <c r="S465" s="267"/>
      <c r="T465" s="267"/>
      <c r="U465" s="267"/>
      <c r="V465" s="267"/>
      <c r="W465" s="267"/>
      <c r="X465" s="267"/>
    </row>
    <row r="466">
      <c r="A466" s="267"/>
      <c r="B466" s="87"/>
      <c r="C466" s="87"/>
      <c r="D466" s="87"/>
      <c r="E466" s="267"/>
      <c r="F466" s="87"/>
      <c r="G466" s="267"/>
      <c r="H466" s="267"/>
      <c r="I466" s="267"/>
      <c r="J466" s="267"/>
      <c r="K466" s="267"/>
      <c r="L466" s="267"/>
      <c r="M466" s="267"/>
      <c r="N466" s="267"/>
      <c r="O466" s="267"/>
      <c r="P466" s="267"/>
      <c r="Q466" s="267"/>
      <c r="R466" s="267"/>
      <c r="S466" s="267"/>
      <c r="T466" s="267"/>
      <c r="U466" s="267"/>
      <c r="V466" s="267"/>
      <c r="W466" s="267"/>
      <c r="X466" s="267"/>
    </row>
    <row r="467">
      <c r="A467" s="267"/>
      <c r="B467" s="87"/>
      <c r="C467" s="87"/>
      <c r="D467" s="87"/>
      <c r="E467" s="267"/>
      <c r="F467" s="87"/>
      <c r="G467" s="267"/>
      <c r="H467" s="267"/>
      <c r="I467" s="267"/>
      <c r="J467" s="267"/>
      <c r="K467" s="267"/>
      <c r="L467" s="267"/>
      <c r="M467" s="267"/>
      <c r="N467" s="267"/>
      <c r="O467" s="267"/>
      <c r="P467" s="267"/>
      <c r="Q467" s="267"/>
      <c r="R467" s="267"/>
      <c r="S467" s="267"/>
      <c r="T467" s="267"/>
      <c r="U467" s="267"/>
      <c r="V467" s="267"/>
      <c r="W467" s="267"/>
      <c r="X467" s="267"/>
    </row>
    <row r="468">
      <c r="A468" s="267"/>
      <c r="B468" s="87"/>
      <c r="C468" s="87"/>
      <c r="D468" s="87"/>
      <c r="E468" s="267"/>
      <c r="F468" s="87"/>
      <c r="G468" s="267"/>
      <c r="H468" s="267"/>
      <c r="I468" s="267"/>
      <c r="J468" s="267"/>
      <c r="K468" s="267"/>
      <c r="L468" s="267"/>
      <c r="M468" s="267"/>
      <c r="N468" s="267"/>
      <c r="O468" s="267"/>
      <c r="P468" s="267"/>
      <c r="Q468" s="267"/>
      <c r="R468" s="267"/>
      <c r="S468" s="267"/>
      <c r="T468" s="267"/>
      <c r="U468" s="267"/>
      <c r="V468" s="267"/>
      <c r="W468" s="267"/>
      <c r="X468" s="267"/>
    </row>
    <row r="469">
      <c r="A469" s="267"/>
      <c r="B469" s="87"/>
      <c r="C469" s="87"/>
      <c r="D469" s="87"/>
      <c r="E469" s="267"/>
      <c r="F469" s="87"/>
      <c r="G469" s="267"/>
      <c r="H469" s="267"/>
      <c r="I469" s="267"/>
      <c r="J469" s="267"/>
      <c r="K469" s="267"/>
      <c r="L469" s="267"/>
      <c r="M469" s="267"/>
      <c r="N469" s="267"/>
      <c r="O469" s="267"/>
      <c r="P469" s="267"/>
      <c r="Q469" s="267"/>
      <c r="R469" s="267"/>
      <c r="S469" s="267"/>
      <c r="T469" s="267"/>
      <c r="U469" s="267"/>
      <c r="V469" s="267"/>
      <c r="W469" s="267"/>
      <c r="X469" s="267"/>
    </row>
    <row r="470">
      <c r="A470" s="267"/>
      <c r="B470" s="87"/>
      <c r="C470" s="87"/>
      <c r="D470" s="87"/>
      <c r="E470" s="267"/>
      <c r="F470" s="87"/>
      <c r="G470" s="267"/>
      <c r="H470" s="267"/>
      <c r="I470" s="267"/>
      <c r="J470" s="267"/>
      <c r="K470" s="267"/>
      <c r="L470" s="267"/>
      <c r="M470" s="267"/>
      <c r="N470" s="267"/>
      <c r="O470" s="267"/>
      <c r="P470" s="267"/>
      <c r="Q470" s="267"/>
      <c r="R470" s="267"/>
      <c r="S470" s="267"/>
      <c r="T470" s="267"/>
      <c r="U470" s="267"/>
      <c r="V470" s="267"/>
      <c r="W470" s="267"/>
      <c r="X470" s="267"/>
    </row>
    <row r="471">
      <c r="A471" s="267"/>
      <c r="B471" s="87"/>
      <c r="C471" s="87"/>
      <c r="D471" s="87"/>
      <c r="E471" s="267"/>
      <c r="F471" s="87"/>
      <c r="G471" s="267"/>
      <c r="H471" s="267"/>
      <c r="I471" s="267"/>
      <c r="J471" s="267"/>
      <c r="K471" s="267"/>
      <c r="L471" s="267"/>
      <c r="M471" s="267"/>
      <c r="N471" s="267"/>
      <c r="O471" s="267"/>
      <c r="P471" s="267"/>
      <c r="Q471" s="267"/>
      <c r="R471" s="267"/>
      <c r="S471" s="267"/>
      <c r="T471" s="267"/>
      <c r="U471" s="267"/>
      <c r="V471" s="267"/>
      <c r="W471" s="267"/>
      <c r="X471" s="267"/>
    </row>
    <row r="472">
      <c r="A472" s="267"/>
      <c r="B472" s="87"/>
      <c r="C472" s="87"/>
      <c r="D472" s="87"/>
      <c r="E472" s="267"/>
      <c r="F472" s="87"/>
      <c r="G472" s="267"/>
      <c r="H472" s="267"/>
      <c r="I472" s="267"/>
      <c r="J472" s="267"/>
      <c r="K472" s="267"/>
      <c r="L472" s="267"/>
      <c r="M472" s="267"/>
      <c r="N472" s="267"/>
      <c r="O472" s="267"/>
      <c r="P472" s="267"/>
      <c r="Q472" s="267"/>
      <c r="R472" s="267"/>
      <c r="S472" s="267"/>
      <c r="T472" s="267"/>
      <c r="U472" s="267"/>
      <c r="V472" s="267"/>
      <c r="W472" s="267"/>
      <c r="X472" s="267"/>
    </row>
    <row r="473">
      <c r="A473" s="267"/>
      <c r="B473" s="87"/>
      <c r="C473" s="87"/>
      <c r="D473" s="87"/>
      <c r="E473" s="267"/>
      <c r="F473" s="87"/>
      <c r="G473" s="267"/>
      <c r="H473" s="267"/>
      <c r="I473" s="267"/>
      <c r="J473" s="267"/>
      <c r="K473" s="267"/>
      <c r="L473" s="267"/>
      <c r="M473" s="267"/>
      <c r="N473" s="267"/>
      <c r="O473" s="267"/>
      <c r="P473" s="267"/>
      <c r="Q473" s="267"/>
      <c r="R473" s="267"/>
      <c r="S473" s="267"/>
      <c r="T473" s="267"/>
      <c r="U473" s="267"/>
      <c r="V473" s="267"/>
      <c r="W473" s="267"/>
      <c r="X473" s="267"/>
    </row>
    <row r="474">
      <c r="A474" s="267"/>
      <c r="B474" s="87"/>
      <c r="C474" s="87"/>
      <c r="D474" s="87"/>
      <c r="E474" s="267"/>
      <c r="F474" s="87"/>
      <c r="G474" s="267"/>
      <c r="H474" s="267"/>
      <c r="I474" s="267"/>
      <c r="J474" s="267"/>
      <c r="K474" s="267"/>
      <c r="L474" s="267"/>
      <c r="M474" s="267"/>
      <c r="N474" s="267"/>
      <c r="O474" s="267"/>
      <c r="P474" s="267"/>
      <c r="Q474" s="267"/>
      <c r="R474" s="267"/>
      <c r="S474" s="267"/>
      <c r="T474" s="267"/>
      <c r="U474" s="267"/>
      <c r="V474" s="267"/>
      <c r="W474" s="267"/>
      <c r="X474" s="267"/>
    </row>
    <row r="475">
      <c r="A475" s="267"/>
      <c r="B475" s="87"/>
      <c r="C475" s="87"/>
      <c r="D475" s="87"/>
      <c r="E475" s="267"/>
      <c r="F475" s="87"/>
      <c r="G475" s="267"/>
      <c r="H475" s="267"/>
      <c r="I475" s="267"/>
      <c r="J475" s="267"/>
      <c r="K475" s="267"/>
      <c r="L475" s="267"/>
      <c r="M475" s="267"/>
      <c r="N475" s="267"/>
      <c r="O475" s="267"/>
      <c r="P475" s="267"/>
      <c r="Q475" s="267"/>
      <c r="R475" s="267"/>
      <c r="S475" s="267"/>
      <c r="T475" s="267"/>
      <c r="U475" s="267"/>
      <c r="V475" s="267"/>
      <c r="W475" s="267"/>
      <c r="X475" s="267"/>
    </row>
    <row r="476">
      <c r="A476" s="267"/>
      <c r="B476" s="87"/>
      <c r="C476" s="87"/>
      <c r="D476" s="87"/>
      <c r="E476" s="267"/>
      <c r="F476" s="87"/>
      <c r="G476" s="267"/>
      <c r="H476" s="267"/>
      <c r="I476" s="267"/>
      <c r="J476" s="267"/>
      <c r="K476" s="267"/>
      <c r="L476" s="267"/>
      <c r="M476" s="267"/>
      <c r="N476" s="267"/>
      <c r="O476" s="267"/>
      <c r="P476" s="267"/>
      <c r="Q476" s="267"/>
      <c r="R476" s="267"/>
      <c r="S476" s="267"/>
      <c r="T476" s="267"/>
      <c r="U476" s="267"/>
      <c r="V476" s="267"/>
      <c r="W476" s="267"/>
      <c r="X476" s="267"/>
    </row>
    <row r="477">
      <c r="A477" s="267"/>
      <c r="B477" s="87"/>
      <c r="C477" s="87"/>
      <c r="D477" s="87"/>
      <c r="E477" s="267"/>
      <c r="F477" s="87"/>
      <c r="G477" s="267"/>
      <c r="H477" s="267"/>
      <c r="I477" s="267"/>
      <c r="J477" s="267"/>
      <c r="K477" s="267"/>
      <c r="L477" s="267"/>
      <c r="M477" s="267"/>
      <c r="N477" s="267"/>
      <c r="O477" s="267"/>
      <c r="P477" s="267"/>
      <c r="Q477" s="267"/>
      <c r="R477" s="267"/>
      <c r="S477" s="267"/>
      <c r="T477" s="267"/>
      <c r="U477" s="267"/>
      <c r="V477" s="267"/>
      <c r="W477" s="267"/>
      <c r="X477" s="267"/>
    </row>
    <row r="478">
      <c r="A478" s="267"/>
      <c r="B478" s="87"/>
      <c r="C478" s="87"/>
      <c r="D478" s="87"/>
      <c r="E478" s="267"/>
      <c r="F478" s="87"/>
      <c r="G478" s="267"/>
      <c r="H478" s="267"/>
      <c r="I478" s="267"/>
      <c r="J478" s="267"/>
      <c r="K478" s="267"/>
      <c r="L478" s="267"/>
      <c r="M478" s="267"/>
      <c r="N478" s="267"/>
      <c r="O478" s="267"/>
      <c r="P478" s="267"/>
      <c r="Q478" s="267"/>
      <c r="R478" s="267"/>
      <c r="S478" s="267"/>
      <c r="T478" s="267"/>
      <c r="U478" s="267"/>
      <c r="V478" s="267"/>
      <c r="W478" s="267"/>
      <c r="X478" s="267"/>
    </row>
    <row r="479">
      <c r="A479" s="267"/>
      <c r="B479" s="87"/>
      <c r="C479" s="87"/>
      <c r="D479" s="87"/>
      <c r="E479" s="267"/>
      <c r="F479" s="87"/>
      <c r="G479" s="267"/>
      <c r="H479" s="267"/>
      <c r="I479" s="267"/>
      <c r="J479" s="267"/>
      <c r="K479" s="267"/>
      <c r="L479" s="267"/>
      <c r="M479" s="267"/>
      <c r="N479" s="267"/>
      <c r="O479" s="267"/>
      <c r="P479" s="267"/>
      <c r="Q479" s="267"/>
      <c r="R479" s="267"/>
      <c r="S479" s="267"/>
      <c r="T479" s="267"/>
      <c r="U479" s="267"/>
      <c r="V479" s="267"/>
      <c r="W479" s="267"/>
      <c r="X479" s="267"/>
    </row>
    <row r="480">
      <c r="A480" s="267"/>
      <c r="B480" s="87"/>
      <c r="C480" s="87"/>
      <c r="D480" s="87"/>
      <c r="E480" s="267"/>
      <c r="F480" s="87"/>
      <c r="G480" s="267"/>
      <c r="H480" s="267"/>
      <c r="I480" s="267"/>
      <c r="J480" s="267"/>
      <c r="K480" s="267"/>
      <c r="L480" s="267"/>
      <c r="M480" s="267"/>
      <c r="N480" s="267"/>
      <c r="O480" s="267"/>
      <c r="P480" s="267"/>
      <c r="Q480" s="267"/>
      <c r="R480" s="267"/>
      <c r="S480" s="267"/>
      <c r="T480" s="267"/>
      <c r="U480" s="267"/>
      <c r="V480" s="267"/>
      <c r="W480" s="267"/>
      <c r="X480" s="267"/>
    </row>
    <row r="481">
      <c r="A481" s="267"/>
      <c r="B481" s="87"/>
      <c r="C481" s="87"/>
      <c r="D481" s="87"/>
      <c r="E481" s="267"/>
      <c r="F481" s="87"/>
      <c r="G481" s="267"/>
      <c r="H481" s="267"/>
      <c r="I481" s="267"/>
      <c r="J481" s="267"/>
      <c r="K481" s="267"/>
      <c r="L481" s="267"/>
      <c r="M481" s="267"/>
      <c r="N481" s="267"/>
      <c r="O481" s="267"/>
      <c r="P481" s="267"/>
      <c r="Q481" s="267"/>
      <c r="R481" s="267"/>
      <c r="S481" s="267"/>
      <c r="T481" s="267"/>
      <c r="U481" s="267"/>
      <c r="V481" s="267"/>
      <c r="W481" s="267"/>
      <c r="X481" s="267"/>
    </row>
    <row r="482">
      <c r="A482" s="267"/>
      <c r="B482" s="87"/>
      <c r="C482" s="87"/>
      <c r="D482" s="87"/>
      <c r="E482" s="267"/>
      <c r="F482" s="87"/>
      <c r="G482" s="267"/>
      <c r="H482" s="267"/>
      <c r="I482" s="267"/>
      <c r="J482" s="267"/>
      <c r="K482" s="267"/>
      <c r="L482" s="267"/>
      <c r="M482" s="267"/>
      <c r="N482" s="267"/>
      <c r="O482" s="267"/>
      <c r="P482" s="267"/>
      <c r="Q482" s="267"/>
      <c r="R482" s="267"/>
      <c r="S482" s="267"/>
      <c r="T482" s="267"/>
      <c r="U482" s="267"/>
      <c r="V482" s="267"/>
      <c r="W482" s="267"/>
      <c r="X482" s="267"/>
    </row>
    <row r="483">
      <c r="A483" s="267"/>
      <c r="B483" s="87"/>
      <c r="C483" s="87"/>
      <c r="D483" s="87"/>
      <c r="E483" s="267"/>
      <c r="F483" s="87"/>
      <c r="G483" s="267"/>
      <c r="H483" s="267"/>
      <c r="I483" s="267"/>
      <c r="J483" s="267"/>
      <c r="K483" s="267"/>
      <c r="L483" s="267"/>
      <c r="M483" s="267"/>
      <c r="N483" s="267"/>
      <c r="O483" s="267"/>
      <c r="P483" s="267"/>
      <c r="Q483" s="267"/>
      <c r="R483" s="267"/>
      <c r="S483" s="267"/>
      <c r="T483" s="267"/>
      <c r="U483" s="267"/>
      <c r="V483" s="267"/>
      <c r="W483" s="267"/>
      <c r="X483" s="267"/>
    </row>
    <row r="484">
      <c r="A484" s="267"/>
      <c r="B484" s="87"/>
      <c r="C484" s="87"/>
      <c r="D484" s="87"/>
      <c r="E484" s="267"/>
      <c r="F484" s="87"/>
      <c r="G484" s="267"/>
      <c r="H484" s="267"/>
      <c r="I484" s="267"/>
      <c r="J484" s="267"/>
      <c r="K484" s="267"/>
      <c r="L484" s="267"/>
      <c r="M484" s="267"/>
      <c r="N484" s="267"/>
      <c r="O484" s="267"/>
      <c r="P484" s="267"/>
      <c r="Q484" s="267"/>
      <c r="R484" s="267"/>
      <c r="S484" s="267"/>
      <c r="T484" s="267"/>
      <c r="U484" s="267"/>
      <c r="V484" s="267"/>
      <c r="W484" s="267"/>
      <c r="X484" s="267"/>
    </row>
    <row r="485">
      <c r="A485" s="267"/>
      <c r="B485" s="87"/>
      <c r="C485" s="87"/>
      <c r="D485" s="87"/>
      <c r="E485" s="267"/>
      <c r="F485" s="87"/>
      <c r="G485" s="267"/>
      <c r="H485" s="267"/>
      <c r="I485" s="267"/>
      <c r="J485" s="267"/>
      <c r="K485" s="267"/>
      <c r="L485" s="267"/>
      <c r="M485" s="267"/>
      <c r="N485" s="267"/>
      <c r="O485" s="267"/>
      <c r="P485" s="267"/>
      <c r="Q485" s="267"/>
      <c r="R485" s="267"/>
      <c r="S485" s="267"/>
      <c r="T485" s="267"/>
      <c r="U485" s="267"/>
      <c r="V485" s="267"/>
      <c r="W485" s="267"/>
      <c r="X485" s="267"/>
    </row>
    <row r="486">
      <c r="A486" s="267"/>
      <c r="B486" s="87"/>
      <c r="C486" s="87"/>
      <c r="D486" s="87"/>
      <c r="E486" s="267"/>
      <c r="F486" s="87"/>
      <c r="G486" s="267"/>
      <c r="H486" s="267"/>
      <c r="I486" s="267"/>
      <c r="J486" s="267"/>
      <c r="K486" s="267"/>
      <c r="L486" s="267"/>
      <c r="M486" s="267"/>
      <c r="N486" s="267"/>
      <c r="O486" s="267"/>
      <c r="P486" s="267"/>
      <c r="Q486" s="267"/>
      <c r="R486" s="267"/>
      <c r="S486" s="267"/>
      <c r="T486" s="267"/>
      <c r="U486" s="267"/>
      <c r="V486" s="267"/>
      <c r="W486" s="267"/>
      <c r="X486" s="267"/>
    </row>
    <row r="487">
      <c r="A487" s="267"/>
      <c r="B487" s="87"/>
      <c r="C487" s="87"/>
      <c r="D487" s="87"/>
      <c r="E487" s="267"/>
      <c r="F487" s="87"/>
      <c r="G487" s="267"/>
      <c r="H487" s="267"/>
      <c r="I487" s="267"/>
      <c r="J487" s="267"/>
      <c r="K487" s="267"/>
      <c r="L487" s="267"/>
      <c r="M487" s="267"/>
      <c r="N487" s="267"/>
      <c r="O487" s="267"/>
      <c r="P487" s="267"/>
      <c r="Q487" s="267"/>
      <c r="R487" s="267"/>
      <c r="S487" s="267"/>
      <c r="T487" s="267"/>
      <c r="U487" s="267"/>
      <c r="V487" s="267"/>
      <c r="W487" s="267"/>
      <c r="X487" s="267"/>
    </row>
    <row r="488">
      <c r="A488" s="267"/>
      <c r="B488" s="87"/>
      <c r="C488" s="87"/>
      <c r="D488" s="87"/>
      <c r="E488" s="267"/>
      <c r="F488" s="87"/>
      <c r="G488" s="267"/>
      <c r="H488" s="267"/>
      <c r="I488" s="267"/>
      <c r="J488" s="267"/>
      <c r="K488" s="267"/>
      <c r="L488" s="267"/>
      <c r="M488" s="267"/>
      <c r="N488" s="267"/>
      <c r="O488" s="267"/>
      <c r="P488" s="267"/>
      <c r="Q488" s="267"/>
      <c r="R488" s="267"/>
      <c r="S488" s="267"/>
      <c r="T488" s="267"/>
      <c r="U488" s="267"/>
      <c r="V488" s="267"/>
      <c r="W488" s="267"/>
      <c r="X488" s="267"/>
    </row>
    <row r="489">
      <c r="A489" s="267"/>
      <c r="B489" s="87"/>
      <c r="C489" s="87"/>
      <c r="D489" s="87"/>
      <c r="E489" s="267"/>
      <c r="F489" s="87"/>
      <c r="G489" s="267"/>
      <c r="H489" s="267"/>
      <c r="I489" s="267"/>
      <c r="J489" s="267"/>
      <c r="K489" s="267"/>
      <c r="L489" s="267"/>
      <c r="M489" s="267"/>
      <c r="N489" s="267"/>
      <c r="O489" s="267"/>
      <c r="P489" s="267"/>
      <c r="Q489" s="267"/>
      <c r="R489" s="267"/>
      <c r="S489" s="267"/>
      <c r="T489" s="267"/>
      <c r="U489" s="267"/>
      <c r="V489" s="267"/>
      <c r="W489" s="267"/>
      <c r="X489" s="267"/>
    </row>
    <row r="490">
      <c r="A490" s="267"/>
      <c r="B490" s="87"/>
      <c r="C490" s="87"/>
      <c r="D490" s="87"/>
      <c r="E490" s="267"/>
      <c r="F490" s="87"/>
      <c r="G490" s="267"/>
      <c r="H490" s="267"/>
      <c r="I490" s="267"/>
      <c r="J490" s="267"/>
      <c r="K490" s="267"/>
      <c r="L490" s="267"/>
      <c r="M490" s="267"/>
      <c r="N490" s="267"/>
      <c r="O490" s="267"/>
      <c r="P490" s="267"/>
      <c r="Q490" s="267"/>
      <c r="R490" s="267"/>
      <c r="S490" s="267"/>
      <c r="T490" s="267"/>
      <c r="U490" s="267"/>
      <c r="V490" s="267"/>
      <c r="W490" s="267"/>
      <c r="X490" s="267"/>
    </row>
    <row r="491">
      <c r="A491" s="267"/>
      <c r="B491" s="87"/>
      <c r="C491" s="87"/>
      <c r="D491" s="87"/>
      <c r="E491" s="267"/>
      <c r="F491" s="87"/>
      <c r="G491" s="267"/>
      <c r="H491" s="267"/>
      <c r="I491" s="267"/>
      <c r="J491" s="267"/>
      <c r="K491" s="267"/>
      <c r="L491" s="267"/>
      <c r="M491" s="267"/>
      <c r="N491" s="267"/>
      <c r="O491" s="267"/>
      <c r="P491" s="267"/>
      <c r="Q491" s="267"/>
      <c r="R491" s="267"/>
      <c r="S491" s="267"/>
      <c r="T491" s="267"/>
      <c r="U491" s="267"/>
      <c r="V491" s="267"/>
      <c r="W491" s="267"/>
      <c r="X491" s="267"/>
    </row>
    <row r="492">
      <c r="A492" s="267"/>
      <c r="B492" s="87"/>
      <c r="C492" s="87"/>
      <c r="D492" s="87"/>
      <c r="E492" s="267"/>
      <c r="F492" s="87"/>
      <c r="G492" s="267"/>
      <c r="H492" s="267"/>
      <c r="I492" s="267"/>
      <c r="J492" s="267"/>
      <c r="K492" s="267"/>
      <c r="L492" s="267"/>
      <c r="M492" s="267"/>
      <c r="N492" s="267"/>
      <c r="O492" s="267"/>
      <c r="P492" s="267"/>
      <c r="Q492" s="267"/>
      <c r="R492" s="267"/>
      <c r="S492" s="267"/>
      <c r="T492" s="267"/>
      <c r="U492" s="267"/>
      <c r="V492" s="267"/>
      <c r="W492" s="267"/>
      <c r="X492" s="267"/>
    </row>
    <row r="493">
      <c r="A493" s="267"/>
      <c r="B493" s="87"/>
      <c r="C493" s="87"/>
      <c r="D493" s="87"/>
      <c r="E493" s="267"/>
      <c r="F493" s="87"/>
      <c r="G493" s="267"/>
      <c r="H493" s="267"/>
      <c r="I493" s="267"/>
      <c r="J493" s="267"/>
      <c r="K493" s="267"/>
      <c r="L493" s="267"/>
      <c r="M493" s="267"/>
      <c r="N493" s="267"/>
      <c r="O493" s="267"/>
      <c r="P493" s="267"/>
      <c r="Q493" s="267"/>
      <c r="R493" s="267"/>
      <c r="S493" s="267"/>
      <c r="T493" s="267"/>
      <c r="U493" s="267"/>
      <c r="V493" s="267"/>
      <c r="W493" s="267"/>
      <c r="X493" s="267"/>
    </row>
    <row r="494">
      <c r="A494" s="267"/>
      <c r="B494" s="87"/>
      <c r="C494" s="87"/>
      <c r="D494" s="87"/>
      <c r="E494" s="267"/>
      <c r="F494" s="87"/>
      <c r="G494" s="267"/>
      <c r="H494" s="267"/>
      <c r="I494" s="267"/>
      <c r="J494" s="267"/>
      <c r="K494" s="267"/>
      <c r="L494" s="267"/>
      <c r="M494" s="267"/>
      <c r="N494" s="267"/>
      <c r="O494" s="267"/>
      <c r="P494" s="267"/>
      <c r="Q494" s="267"/>
      <c r="R494" s="267"/>
      <c r="S494" s="267"/>
      <c r="T494" s="267"/>
      <c r="U494" s="267"/>
      <c r="V494" s="267"/>
      <c r="W494" s="267"/>
      <c r="X494" s="267"/>
    </row>
    <row r="495">
      <c r="A495" s="267"/>
      <c r="B495" s="87"/>
      <c r="C495" s="87"/>
      <c r="D495" s="87"/>
      <c r="E495" s="267"/>
      <c r="F495" s="87"/>
      <c r="G495" s="267"/>
      <c r="H495" s="267"/>
      <c r="I495" s="267"/>
      <c r="J495" s="267"/>
      <c r="K495" s="267"/>
      <c r="L495" s="267"/>
      <c r="M495" s="267"/>
      <c r="N495" s="267"/>
      <c r="O495" s="267"/>
      <c r="P495" s="267"/>
      <c r="Q495" s="267"/>
      <c r="R495" s="267"/>
      <c r="S495" s="267"/>
      <c r="T495" s="267"/>
      <c r="U495" s="267"/>
      <c r="V495" s="267"/>
      <c r="W495" s="267"/>
      <c r="X495" s="267"/>
    </row>
    <row r="496">
      <c r="A496" s="267"/>
      <c r="B496" s="87"/>
      <c r="C496" s="87"/>
      <c r="D496" s="87"/>
      <c r="E496" s="267"/>
      <c r="F496" s="87"/>
      <c r="G496" s="267"/>
      <c r="H496" s="267"/>
      <c r="I496" s="267"/>
      <c r="J496" s="267"/>
      <c r="K496" s="267"/>
      <c r="L496" s="267"/>
      <c r="M496" s="267"/>
      <c r="N496" s="267"/>
      <c r="O496" s="267"/>
      <c r="P496" s="267"/>
      <c r="Q496" s="267"/>
      <c r="R496" s="267"/>
      <c r="S496" s="267"/>
      <c r="T496" s="267"/>
      <c r="U496" s="267"/>
      <c r="V496" s="267"/>
      <c r="W496" s="267"/>
      <c r="X496" s="267"/>
    </row>
    <row r="497">
      <c r="A497" s="267"/>
      <c r="B497" s="87"/>
      <c r="C497" s="87"/>
      <c r="D497" s="87"/>
      <c r="E497" s="267"/>
      <c r="F497" s="87"/>
      <c r="G497" s="267"/>
      <c r="H497" s="267"/>
      <c r="I497" s="267"/>
      <c r="J497" s="267"/>
      <c r="K497" s="267"/>
      <c r="L497" s="267"/>
      <c r="M497" s="267"/>
      <c r="N497" s="267"/>
      <c r="O497" s="267"/>
      <c r="P497" s="267"/>
      <c r="Q497" s="267"/>
      <c r="R497" s="267"/>
      <c r="S497" s="267"/>
      <c r="T497" s="267"/>
      <c r="U497" s="267"/>
      <c r="V497" s="267"/>
      <c r="W497" s="267"/>
      <c r="X497" s="267"/>
    </row>
    <row r="498">
      <c r="A498" s="267"/>
      <c r="B498" s="87"/>
      <c r="C498" s="87"/>
      <c r="D498" s="87"/>
      <c r="E498" s="267"/>
      <c r="F498" s="87"/>
      <c r="G498" s="267"/>
      <c r="H498" s="267"/>
      <c r="I498" s="267"/>
      <c r="J498" s="267"/>
      <c r="K498" s="267"/>
      <c r="L498" s="267"/>
      <c r="M498" s="267"/>
      <c r="N498" s="267"/>
      <c r="O498" s="267"/>
      <c r="P498" s="267"/>
      <c r="Q498" s="267"/>
      <c r="R498" s="267"/>
      <c r="S498" s="267"/>
      <c r="T498" s="267"/>
      <c r="U498" s="267"/>
      <c r="V498" s="267"/>
      <c r="W498" s="267"/>
      <c r="X498" s="267"/>
    </row>
    <row r="499">
      <c r="A499" s="267"/>
      <c r="B499" s="87"/>
      <c r="C499" s="87"/>
      <c r="D499" s="87"/>
      <c r="E499" s="267"/>
      <c r="F499" s="87"/>
      <c r="G499" s="267"/>
      <c r="H499" s="267"/>
      <c r="I499" s="267"/>
      <c r="J499" s="267"/>
      <c r="K499" s="267"/>
      <c r="L499" s="267"/>
      <c r="M499" s="267"/>
      <c r="N499" s="267"/>
      <c r="O499" s="267"/>
      <c r="P499" s="267"/>
      <c r="Q499" s="267"/>
      <c r="R499" s="267"/>
      <c r="S499" s="267"/>
      <c r="T499" s="267"/>
      <c r="U499" s="267"/>
      <c r="V499" s="267"/>
      <c r="W499" s="267"/>
      <c r="X499" s="267"/>
    </row>
    <row r="500">
      <c r="A500" s="267"/>
      <c r="B500" s="87"/>
      <c r="C500" s="87"/>
      <c r="D500" s="87"/>
      <c r="E500" s="267"/>
      <c r="F500" s="87"/>
      <c r="G500" s="267"/>
      <c r="H500" s="267"/>
      <c r="I500" s="267"/>
      <c r="J500" s="267"/>
      <c r="K500" s="267"/>
      <c r="L500" s="267"/>
      <c r="M500" s="267"/>
      <c r="N500" s="267"/>
      <c r="O500" s="267"/>
      <c r="P500" s="267"/>
      <c r="Q500" s="267"/>
      <c r="R500" s="267"/>
      <c r="S500" s="267"/>
      <c r="T500" s="267"/>
      <c r="U500" s="267"/>
      <c r="V500" s="267"/>
      <c r="W500" s="267"/>
      <c r="X500" s="267"/>
    </row>
    <row r="501">
      <c r="A501" s="267"/>
      <c r="B501" s="87"/>
      <c r="C501" s="87"/>
      <c r="D501" s="87"/>
      <c r="E501" s="267"/>
      <c r="F501" s="87"/>
      <c r="G501" s="267"/>
      <c r="H501" s="267"/>
      <c r="I501" s="267"/>
      <c r="J501" s="267"/>
      <c r="K501" s="267"/>
      <c r="L501" s="267"/>
      <c r="M501" s="267"/>
      <c r="N501" s="267"/>
      <c r="O501" s="267"/>
      <c r="P501" s="267"/>
      <c r="Q501" s="267"/>
      <c r="R501" s="267"/>
      <c r="S501" s="267"/>
      <c r="T501" s="267"/>
      <c r="U501" s="267"/>
      <c r="V501" s="267"/>
      <c r="W501" s="267"/>
      <c r="X501" s="267"/>
    </row>
    <row r="502">
      <c r="A502" s="267"/>
      <c r="B502" s="87"/>
      <c r="C502" s="87"/>
      <c r="D502" s="87"/>
      <c r="E502" s="267"/>
      <c r="F502" s="87"/>
      <c r="G502" s="267"/>
      <c r="H502" s="267"/>
      <c r="I502" s="267"/>
      <c r="J502" s="267"/>
      <c r="K502" s="267"/>
      <c r="L502" s="267"/>
      <c r="M502" s="267"/>
      <c r="N502" s="267"/>
      <c r="O502" s="267"/>
      <c r="P502" s="267"/>
      <c r="Q502" s="267"/>
      <c r="R502" s="267"/>
      <c r="S502" s="267"/>
      <c r="T502" s="267"/>
      <c r="U502" s="267"/>
      <c r="V502" s="267"/>
      <c r="W502" s="267"/>
      <c r="X502" s="267"/>
    </row>
    <row r="503">
      <c r="A503" s="267"/>
      <c r="B503" s="87"/>
      <c r="C503" s="87"/>
      <c r="D503" s="87"/>
      <c r="E503" s="267"/>
      <c r="F503" s="87"/>
      <c r="G503" s="267"/>
      <c r="H503" s="267"/>
      <c r="I503" s="267"/>
      <c r="J503" s="267"/>
      <c r="K503" s="267"/>
      <c r="L503" s="267"/>
      <c r="M503" s="267"/>
      <c r="N503" s="267"/>
      <c r="O503" s="267"/>
      <c r="P503" s="267"/>
      <c r="Q503" s="267"/>
      <c r="R503" s="267"/>
      <c r="S503" s="267"/>
      <c r="T503" s="267"/>
      <c r="U503" s="267"/>
      <c r="V503" s="267"/>
      <c r="W503" s="267"/>
      <c r="X503" s="267"/>
    </row>
    <row r="504">
      <c r="A504" s="267"/>
      <c r="B504" s="87"/>
      <c r="C504" s="87"/>
      <c r="D504" s="87"/>
      <c r="E504" s="267"/>
      <c r="F504" s="87"/>
      <c r="G504" s="267"/>
      <c r="H504" s="267"/>
      <c r="I504" s="267"/>
      <c r="J504" s="267"/>
      <c r="K504" s="267"/>
      <c r="L504" s="267"/>
      <c r="M504" s="267"/>
      <c r="N504" s="267"/>
      <c r="O504" s="267"/>
      <c r="P504" s="267"/>
      <c r="Q504" s="267"/>
      <c r="R504" s="267"/>
      <c r="S504" s="267"/>
      <c r="T504" s="267"/>
      <c r="U504" s="267"/>
      <c r="V504" s="267"/>
      <c r="W504" s="267"/>
      <c r="X504" s="267"/>
    </row>
    <row r="505">
      <c r="A505" s="267"/>
      <c r="B505" s="87"/>
      <c r="C505" s="87"/>
      <c r="D505" s="87"/>
      <c r="E505" s="267"/>
      <c r="F505" s="87"/>
      <c r="G505" s="267"/>
      <c r="H505" s="267"/>
      <c r="I505" s="267"/>
      <c r="J505" s="267"/>
      <c r="K505" s="267"/>
      <c r="L505" s="267"/>
      <c r="M505" s="267"/>
      <c r="N505" s="267"/>
      <c r="O505" s="267"/>
      <c r="P505" s="267"/>
      <c r="Q505" s="267"/>
      <c r="R505" s="267"/>
      <c r="S505" s="267"/>
      <c r="T505" s="267"/>
      <c r="U505" s="267"/>
      <c r="V505" s="267"/>
      <c r="W505" s="267"/>
      <c r="X505" s="267"/>
    </row>
    <row r="506">
      <c r="A506" s="267"/>
      <c r="B506" s="87"/>
      <c r="C506" s="87"/>
      <c r="D506" s="87"/>
      <c r="E506" s="267"/>
      <c r="F506" s="87"/>
      <c r="G506" s="267"/>
      <c r="H506" s="267"/>
      <c r="I506" s="267"/>
      <c r="J506" s="267"/>
      <c r="K506" s="267"/>
      <c r="L506" s="267"/>
      <c r="M506" s="267"/>
      <c r="N506" s="267"/>
      <c r="O506" s="267"/>
      <c r="P506" s="267"/>
      <c r="Q506" s="267"/>
      <c r="R506" s="267"/>
      <c r="S506" s="267"/>
      <c r="T506" s="267"/>
      <c r="U506" s="267"/>
      <c r="V506" s="267"/>
      <c r="W506" s="267"/>
      <c r="X506" s="267"/>
    </row>
    <row r="507">
      <c r="A507" s="267"/>
      <c r="B507" s="87"/>
      <c r="C507" s="87"/>
      <c r="D507" s="87"/>
      <c r="E507" s="267"/>
      <c r="F507" s="87"/>
      <c r="G507" s="267"/>
      <c r="H507" s="267"/>
      <c r="I507" s="267"/>
      <c r="J507" s="267"/>
      <c r="K507" s="267"/>
      <c r="L507" s="267"/>
      <c r="M507" s="267"/>
      <c r="N507" s="267"/>
      <c r="O507" s="267"/>
      <c r="P507" s="267"/>
      <c r="Q507" s="267"/>
      <c r="R507" s="267"/>
      <c r="S507" s="267"/>
      <c r="T507" s="267"/>
      <c r="U507" s="267"/>
      <c r="V507" s="267"/>
      <c r="W507" s="267"/>
      <c r="X507" s="267"/>
    </row>
    <row r="508">
      <c r="A508" s="267"/>
      <c r="B508" s="87"/>
      <c r="C508" s="87"/>
      <c r="D508" s="87"/>
      <c r="E508" s="267"/>
      <c r="F508" s="87"/>
      <c r="G508" s="267"/>
      <c r="H508" s="267"/>
      <c r="I508" s="267"/>
      <c r="J508" s="267"/>
      <c r="K508" s="267"/>
      <c r="L508" s="267"/>
      <c r="M508" s="267"/>
      <c r="N508" s="267"/>
      <c r="O508" s="267"/>
      <c r="P508" s="267"/>
      <c r="Q508" s="267"/>
      <c r="R508" s="267"/>
      <c r="S508" s="267"/>
      <c r="T508" s="267"/>
      <c r="U508" s="267"/>
      <c r="V508" s="267"/>
      <c r="W508" s="267"/>
      <c r="X508" s="267"/>
    </row>
    <row r="509">
      <c r="A509" s="267"/>
      <c r="B509" s="87"/>
      <c r="C509" s="87"/>
      <c r="D509" s="87"/>
      <c r="E509" s="267"/>
      <c r="F509" s="87"/>
      <c r="G509" s="267"/>
      <c r="H509" s="267"/>
      <c r="I509" s="267"/>
      <c r="J509" s="267"/>
      <c r="K509" s="267"/>
      <c r="L509" s="267"/>
      <c r="M509" s="267"/>
      <c r="N509" s="267"/>
      <c r="O509" s="267"/>
      <c r="P509" s="267"/>
      <c r="Q509" s="267"/>
      <c r="R509" s="267"/>
      <c r="S509" s="267"/>
      <c r="T509" s="267"/>
      <c r="U509" s="267"/>
      <c r="V509" s="267"/>
      <c r="W509" s="267"/>
      <c r="X509" s="267"/>
    </row>
    <row r="510">
      <c r="A510" s="267"/>
      <c r="B510" s="87"/>
      <c r="C510" s="87"/>
      <c r="D510" s="87"/>
      <c r="E510" s="267"/>
      <c r="F510" s="87"/>
      <c r="G510" s="267"/>
      <c r="H510" s="267"/>
      <c r="I510" s="267"/>
      <c r="J510" s="267"/>
      <c r="K510" s="267"/>
      <c r="L510" s="267"/>
      <c r="M510" s="267"/>
      <c r="N510" s="267"/>
      <c r="O510" s="267"/>
      <c r="P510" s="267"/>
      <c r="Q510" s="267"/>
      <c r="R510" s="267"/>
      <c r="S510" s="267"/>
      <c r="T510" s="267"/>
      <c r="U510" s="267"/>
      <c r="V510" s="267"/>
      <c r="W510" s="267"/>
      <c r="X510" s="267"/>
    </row>
    <row r="511">
      <c r="A511" s="267"/>
      <c r="B511" s="87"/>
      <c r="C511" s="87"/>
      <c r="D511" s="87"/>
      <c r="E511" s="267"/>
      <c r="F511" s="87"/>
      <c r="G511" s="267"/>
      <c r="H511" s="267"/>
      <c r="I511" s="267"/>
      <c r="J511" s="267"/>
      <c r="K511" s="267"/>
      <c r="L511" s="267"/>
      <c r="M511" s="267"/>
      <c r="N511" s="267"/>
      <c r="O511" s="267"/>
      <c r="P511" s="267"/>
      <c r="Q511" s="267"/>
      <c r="R511" s="267"/>
      <c r="S511" s="267"/>
      <c r="T511" s="267"/>
      <c r="U511" s="267"/>
      <c r="V511" s="267"/>
      <c r="W511" s="267"/>
      <c r="X511" s="267"/>
    </row>
    <row r="512">
      <c r="A512" s="267"/>
      <c r="B512" s="87"/>
      <c r="C512" s="87"/>
      <c r="D512" s="87"/>
      <c r="E512" s="267"/>
      <c r="F512" s="87"/>
      <c r="G512" s="267"/>
      <c r="H512" s="267"/>
      <c r="I512" s="267"/>
      <c r="J512" s="267"/>
      <c r="K512" s="267"/>
      <c r="L512" s="267"/>
      <c r="M512" s="267"/>
      <c r="N512" s="267"/>
      <c r="O512" s="267"/>
      <c r="P512" s="267"/>
      <c r="Q512" s="267"/>
      <c r="R512" s="267"/>
      <c r="S512" s="267"/>
      <c r="T512" s="267"/>
      <c r="U512" s="267"/>
      <c r="V512" s="267"/>
      <c r="W512" s="267"/>
      <c r="X512" s="267"/>
    </row>
    <row r="513">
      <c r="A513" s="267"/>
      <c r="B513" s="87"/>
      <c r="C513" s="87"/>
      <c r="D513" s="87"/>
      <c r="E513" s="267"/>
      <c r="F513" s="87"/>
      <c r="G513" s="267"/>
      <c r="H513" s="267"/>
      <c r="I513" s="267"/>
      <c r="J513" s="267"/>
      <c r="K513" s="267"/>
      <c r="L513" s="267"/>
      <c r="M513" s="267"/>
      <c r="N513" s="267"/>
      <c r="O513" s="267"/>
      <c r="P513" s="267"/>
      <c r="Q513" s="267"/>
      <c r="R513" s="267"/>
      <c r="S513" s="267"/>
      <c r="T513" s="267"/>
      <c r="U513" s="267"/>
      <c r="V513" s="267"/>
      <c r="W513" s="267"/>
      <c r="X513" s="267"/>
    </row>
    <row r="514">
      <c r="A514" s="267"/>
      <c r="B514" s="87"/>
      <c r="C514" s="87"/>
      <c r="D514" s="87"/>
      <c r="E514" s="267"/>
      <c r="F514" s="87"/>
      <c r="G514" s="267"/>
      <c r="H514" s="267"/>
      <c r="I514" s="267"/>
      <c r="J514" s="267"/>
      <c r="K514" s="267"/>
      <c r="L514" s="267"/>
      <c r="M514" s="267"/>
      <c r="N514" s="267"/>
      <c r="O514" s="267"/>
      <c r="P514" s="267"/>
      <c r="Q514" s="267"/>
      <c r="R514" s="267"/>
      <c r="S514" s="267"/>
      <c r="T514" s="267"/>
      <c r="U514" s="267"/>
      <c r="V514" s="267"/>
      <c r="W514" s="267"/>
      <c r="X514" s="267"/>
    </row>
    <row r="515">
      <c r="A515" s="267"/>
      <c r="B515" s="87"/>
      <c r="C515" s="87"/>
      <c r="D515" s="87"/>
      <c r="E515" s="267"/>
      <c r="F515" s="87"/>
      <c r="G515" s="267"/>
      <c r="H515" s="267"/>
      <c r="I515" s="267"/>
      <c r="J515" s="267"/>
      <c r="K515" s="267"/>
      <c r="L515" s="267"/>
      <c r="M515" s="267"/>
      <c r="N515" s="267"/>
      <c r="O515" s="267"/>
      <c r="P515" s="267"/>
      <c r="Q515" s="267"/>
      <c r="R515" s="267"/>
      <c r="S515" s="267"/>
      <c r="T515" s="267"/>
      <c r="U515" s="267"/>
      <c r="V515" s="267"/>
      <c r="W515" s="267"/>
      <c r="X515" s="267"/>
    </row>
    <row r="516">
      <c r="A516" s="267"/>
      <c r="B516" s="87"/>
      <c r="C516" s="87"/>
      <c r="D516" s="87"/>
      <c r="E516" s="267"/>
      <c r="F516" s="87"/>
      <c r="G516" s="267"/>
      <c r="H516" s="267"/>
      <c r="I516" s="267"/>
      <c r="J516" s="267"/>
      <c r="K516" s="267"/>
      <c r="L516" s="267"/>
      <c r="M516" s="267"/>
      <c r="N516" s="267"/>
      <c r="O516" s="267"/>
      <c r="P516" s="267"/>
      <c r="Q516" s="267"/>
      <c r="R516" s="267"/>
      <c r="S516" s="267"/>
      <c r="T516" s="267"/>
      <c r="U516" s="267"/>
      <c r="V516" s="267"/>
      <c r="W516" s="267"/>
      <c r="X516" s="267"/>
    </row>
    <row r="517">
      <c r="A517" s="267"/>
      <c r="B517" s="87"/>
      <c r="C517" s="87"/>
      <c r="D517" s="87"/>
      <c r="E517" s="267"/>
      <c r="F517" s="87"/>
      <c r="G517" s="267"/>
      <c r="H517" s="267"/>
      <c r="I517" s="267"/>
      <c r="J517" s="267"/>
      <c r="K517" s="267"/>
      <c r="L517" s="267"/>
      <c r="M517" s="267"/>
      <c r="N517" s="267"/>
      <c r="O517" s="267"/>
      <c r="P517" s="267"/>
      <c r="Q517" s="267"/>
      <c r="R517" s="267"/>
      <c r="S517" s="267"/>
      <c r="T517" s="267"/>
      <c r="U517" s="267"/>
      <c r="V517" s="267"/>
      <c r="W517" s="267"/>
      <c r="X517" s="267"/>
    </row>
    <row r="518">
      <c r="A518" s="267"/>
      <c r="B518" s="87"/>
      <c r="C518" s="87"/>
      <c r="D518" s="87"/>
      <c r="E518" s="267"/>
      <c r="F518" s="87"/>
      <c r="G518" s="267"/>
      <c r="H518" s="267"/>
      <c r="I518" s="267"/>
      <c r="J518" s="267"/>
      <c r="K518" s="267"/>
      <c r="L518" s="267"/>
      <c r="M518" s="267"/>
      <c r="N518" s="267"/>
      <c r="O518" s="267"/>
      <c r="P518" s="267"/>
      <c r="Q518" s="267"/>
      <c r="R518" s="267"/>
      <c r="S518" s="267"/>
      <c r="T518" s="267"/>
      <c r="U518" s="267"/>
      <c r="V518" s="267"/>
      <c r="W518" s="267"/>
      <c r="X518" s="267"/>
    </row>
    <row r="519">
      <c r="A519" s="267"/>
      <c r="B519" s="87"/>
      <c r="C519" s="87"/>
      <c r="D519" s="87"/>
      <c r="E519" s="267"/>
      <c r="F519" s="87"/>
      <c r="G519" s="267"/>
      <c r="H519" s="267"/>
      <c r="I519" s="267"/>
      <c r="J519" s="267"/>
      <c r="K519" s="267"/>
      <c r="L519" s="267"/>
      <c r="M519" s="267"/>
      <c r="N519" s="267"/>
      <c r="O519" s="267"/>
      <c r="P519" s="267"/>
      <c r="Q519" s="267"/>
      <c r="R519" s="267"/>
      <c r="S519" s="267"/>
      <c r="T519" s="267"/>
      <c r="U519" s="267"/>
      <c r="V519" s="267"/>
      <c r="W519" s="267"/>
      <c r="X519" s="267"/>
    </row>
    <row r="520">
      <c r="A520" s="267"/>
      <c r="B520" s="87"/>
      <c r="C520" s="87"/>
      <c r="D520" s="87"/>
      <c r="E520" s="267"/>
      <c r="F520" s="87"/>
      <c r="G520" s="267"/>
      <c r="H520" s="267"/>
      <c r="I520" s="267"/>
      <c r="J520" s="267"/>
      <c r="K520" s="267"/>
      <c r="L520" s="267"/>
      <c r="M520" s="267"/>
      <c r="N520" s="267"/>
      <c r="O520" s="267"/>
      <c r="P520" s="267"/>
      <c r="Q520" s="267"/>
      <c r="R520" s="267"/>
      <c r="S520" s="267"/>
      <c r="T520" s="267"/>
      <c r="U520" s="267"/>
      <c r="V520" s="267"/>
      <c r="W520" s="267"/>
      <c r="X520" s="267"/>
    </row>
    <row r="521">
      <c r="A521" s="267"/>
      <c r="B521" s="87"/>
      <c r="C521" s="87"/>
      <c r="D521" s="87"/>
      <c r="E521" s="267"/>
      <c r="F521" s="87"/>
      <c r="G521" s="267"/>
      <c r="H521" s="267"/>
      <c r="I521" s="267"/>
      <c r="J521" s="267"/>
      <c r="K521" s="267"/>
      <c r="L521" s="267"/>
      <c r="M521" s="267"/>
      <c r="N521" s="267"/>
      <c r="O521" s="267"/>
      <c r="P521" s="267"/>
      <c r="Q521" s="267"/>
      <c r="R521" s="267"/>
      <c r="S521" s="267"/>
      <c r="T521" s="267"/>
      <c r="U521" s="267"/>
      <c r="V521" s="267"/>
      <c r="W521" s="267"/>
      <c r="X521" s="267"/>
    </row>
    <row r="522">
      <c r="A522" s="267"/>
      <c r="B522" s="87"/>
      <c r="C522" s="87"/>
      <c r="D522" s="87"/>
      <c r="E522" s="267"/>
      <c r="F522" s="87"/>
      <c r="G522" s="267"/>
      <c r="H522" s="267"/>
      <c r="I522" s="267"/>
      <c r="J522" s="267"/>
      <c r="K522" s="267"/>
      <c r="L522" s="267"/>
      <c r="M522" s="267"/>
      <c r="N522" s="267"/>
      <c r="O522" s="267"/>
      <c r="P522" s="267"/>
      <c r="Q522" s="267"/>
      <c r="R522" s="267"/>
      <c r="S522" s="267"/>
      <c r="T522" s="267"/>
      <c r="U522" s="267"/>
      <c r="V522" s="267"/>
      <c r="W522" s="267"/>
      <c r="X522" s="267"/>
    </row>
    <row r="523">
      <c r="A523" s="267"/>
      <c r="B523" s="87"/>
      <c r="C523" s="87"/>
      <c r="D523" s="87"/>
      <c r="E523" s="267"/>
      <c r="F523" s="87"/>
      <c r="G523" s="267"/>
      <c r="H523" s="267"/>
      <c r="I523" s="267"/>
      <c r="J523" s="267"/>
      <c r="K523" s="267"/>
      <c r="L523" s="267"/>
      <c r="M523" s="267"/>
      <c r="N523" s="267"/>
      <c r="O523" s="267"/>
      <c r="P523" s="267"/>
      <c r="Q523" s="267"/>
      <c r="R523" s="267"/>
      <c r="S523" s="267"/>
      <c r="T523" s="267"/>
      <c r="U523" s="267"/>
      <c r="V523" s="267"/>
      <c r="W523" s="267"/>
      <c r="X523" s="267"/>
    </row>
    <row r="524">
      <c r="A524" s="267"/>
      <c r="B524" s="87"/>
      <c r="C524" s="87"/>
      <c r="D524" s="87"/>
      <c r="E524" s="267"/>
      <c r="F524" s="87"/>
      <c r="G524" s="267"/>
      <c r="H524" s="267"/>
      <c r="I524" s="267"/>
      <c r="J524" s="267"/>
      <c r="K524" s="267"/>
      <c r="L524" s="267"/>
      <c r="M524" s="267"/>
      <c r="N524" s="267"/>
      <c r="O524" s="267"/>
      <c r="P524" s="267"/>
      <c r="Q524" s="267"/>
      <c r="R524" s="267"/>
      <c r="S524" s="267"/>
      <c r="T524" s="267"/>
      <c r="U524" s="267"/>
      <c r="V524" s="267"/>
      <c r="W524" s="267"/>
      <c r="X524" s="267"/>
    </row>
    <row r="525">
      <c r="A525" s="267"/>
      <c r="B525" s="87"/>
      <c r="C525" s="87"/>
      <c r="D525" s="87"/>
      <c r="E525" s="267"/>
      <c r="F525" s="87"/>
      <c r="G525" s="267"/>
      <c r="H525" s="267"/>
      <c r="I525" s="267"/>
      <c r="J525" s="267"/>
      <c r="K525" s="267"/>
      <c r="L525" s="267"/>
      <c r="M525" s="267"/>
      <c r="N525" s="267"/>
      <c r="O525" s="267"/>
      <c r="P525" s="267"/>
      <c r="Q525" s="267"/>
      <c r="R525" s="267"/>
      <c r="S525" s="267"/>
      <c r="T525" s="267"/>
      <c r="U525" s="267"/>
      <c r="V525" s="267"/>
      <c r="W525" s="267"/>
      <c r="X525" s="267"/>
    </row>
    <row r="526">
      <c r="A526" s="267"/>
      <c r="B526" s="87"/>
      <c r="C526" s="87"/>
      <c r="D526" s="87"/>
      <c r="E526" s="267"/>
      <c r="F526" s="87"/>
      <c r="G526" s="267"/>
      <c r="H526" s="267"/>
      <c r="I526" s="267"/>
      <c r="J526" s="267"/>
      <c r="K526" s="267"/>
      <c r="L526" s="267"/>
      <c r="M526" s="267"/>
      <c r="N526" s="267"/>
      <c r="O526" s="267"/>
      <c r="P526" s="267"/>
      <c r="Q526" s="267"/>
      <c r="R526" s="267"/>
      <c r="S526" s="267"/>
      <c r="T526" s="267"/>
      <c r="U526" s="267"/>
      <c r="V526" s="267"/>
      <c r="W526" s="267"/>
      <c r="X526" s="267"/>
    </row>
    <row r="527">
      <c r="A527" s="267"/>
      <c r="B527" s="87"/>
      <c r="C527" s="87"/>
      <c r="D527" s="87"/>
      <c r="E527" s="267"/>
      <c r="F527" s="87"/>
      <c r="G527" s="267"/>
      <c r="H527" s="267"/>
      <c r="I527" s="267"/>
      <c r="J527" s="267"/>
      <c r="K527" s="267"/>
      <c r="L527" s="267"/>
      <c r="M527" s="267"/>
      <c r="N527" s="267"/>
      <c r="O527" s="267"/>
      <c r="P527" s="267"/>
      <c r="Q527" s="267"/>
      <c r="R527" s="267"/>
      <c r="S527" s="267"/>
      <c r="T527" s="267"/>
      <c r="U527" s="267"/>
      <c r="V527" s="267"/>
      <c r="W527" s="267"/>
      <c r="X527" s="267"/>
    </row>
    <row r="528">
      <c r="A528" s="267"/>
      <c r="B528" s="87"/>
      <c r="C528" s="87"/>
      <c r="D528" s="87"/>
      <c r="E528" s="267"/>
      <c r="F528" s="87"/>
      <c r="G528" s="267"/>
      <c r="H528" s="267"/>
      <c r="I528" s="267"/>
      <c r="J528" s="267"/>
      <c r="K528" s="267"/>
      <c r="L528" s="267"/>
      <c r="M528" s="267"/>
      <c r="N528" s="267"/>
      <c r="O528" s="267"/>
      <c r="P528" s="267"/>
      <c r="Q528" s="267"/>
      <c r="R528" s="267"/>
      <c r="S528" s="267"/>
      <c r="T528" s="267"/>
      <c r="U528" s="267"/>
      <c r="V528" s="267"/>
      <c r="W528" s="267"/>
      <c r="X528" s="267"/>
    </row>
    <row r="529">
      <c r="A529" s="267"/>
      <c r="B529" s="87"/>
      <c r="C529" s="87"/>
      <c r="D529" s="87"/>
      <c r="E529" s="267"/>
      <c r="F529" s="87"/>
      <c r="G529" s="267"/>
      <c r="H529" s="267"/>
      <c r="I529" s="267"/>
      <c r="J529" s="267"/>
      <c r="K529" s="267"/>
      <c r="L529" s="267"/>
      <c r="M529" s="267"/>
      <c r="N529" s="267"/>
      <c r="O529" s="267"/>
      <c r="P529" s="267"/>
      <c r="Q529" s="267"/>
      <c r="R529" s="267"/>
      <c r="S529" s="267"/>
      <c r="T529" s="267"/>
      <c r="U529" s="267"/>
      <c r="V529" s="267"/>
      <c r="W529" s="267"/>
      <c r="X529" s="267"/>
    </row>
    <row r="530">
      <c r="A530" s="267"/>
      <c r="B530" s="87"/>
      <c r="C530" s="87"/>
      <c r="D530" s="87"/>
      <c r="E530" s="267"/>
      <c r="F530" s="87"/>
      <c r="G530" s="267"/>
      <c r="H530" s="267"/>
      <c r="I530" s="267"/>
      <c r="J530" s="267"/>
      <c r="K530" s="267"/>
      <c r="L530" s="267"/>
      <c r="M530" s="267"/>
      <c r="N530" s="267"/>
      <c r="O530" s="267"/>
      <c r="P530" s="267"/>
      <c r="Q530" s="267"/>
      <c r="R530" s="267"/>
      <c r="S530" s="267"/>
      <c r="T530" s="267"/>
      <c r="U530" s="267"/>
      <c r="V530" s="267"/>
      <c r="W530" s="267"/>
      <c r="X530" s="267"/>
    </row>
    <row r="531">
      <c r="A531" s="267"/>
      <c r="B531" s="87"/>
      <c r="C531" s="87"/>
      <c r="D531" s="87"/>
      <c r="E531" s="267"/>
      <c r="F531" s="87"/>
      <c r="G531" s="267"/>
      <c r="H531" s="267"/>
      <c r="I531" s="267"/>
      <c r="J531" s="267"/>
      <c r="K531" s="267"/>
      <c r="L531" s="267"/>
      <c r="M531" s="267"/>
      <c r="N531" s="267"/>
      <c r="O531" s="267"/>
      <c r="P531" s="267"/>
      <c r="Q531" s="267"/>
      <c r="R531" s="267"/>
      <c r="S531" s="267"/>
      <c r="T531" s="267"/>
      <c r="U531" s="267"/>
      <c r="V531" s="267"/>
      <c r="W531" s="267"/>
      <c r="X531" s="267"/>
    </row>
    <row r="532">
      <c r="A532" s="267"/>
      <c r="B532" s="87"/>
      <c r="C532" s="87"/>
      <c r="D532" s="87"/>
      <c r="E532" s="267"/>
      <c r="F532" s="87"/>
      <c r="G532" s="267"/>
      <c r="H532" s="267"/>
      <c r="I532" s="267"/>
      <c r="J532" s="267"/>
      <c r="K532" s="267"/>
      <c r="L532" s="267"/>
      <c r="M532" s="267"/>
      <c r="N532" s="267"/>
      <c r="O532" s="267"/>
      <c r="P532" s="267"/>
      <c r="Q532" s="267"/>
      <c r="R532" s="267"/>
      <c r="S532" s="267"/>
      <c r="T532" s="267"/>
      <c r="U532" s="267"/>
      <c r="V532" s="267"/>
      <c r="W532" s="267"/>
      <c r="X532" s="267"/>
    </row>
    <row r="533">
      <c r="A533" s="267"/>
      <c r="B533" s="87"/>
      <c r="C533" s="87"/>
      <c r="D533" s="87"/>
      <c r="E533" s="267"/>
      <c r="F533" s="87"/>
      <c r="G533" s="267"/>
      <c r="H533" s="267"/>
      <c r="I533" s="267"/>
      <c r="J533" s="267"/>
      <c r="K533" s="267"/>
      <c r="L533" s="267"/>
      <c r="M533" s="267"/>
      <c r="N533" s="267"/>
      <c r="O533" s="267"/>
      <c r="P533" s="267"/>
      <c r="Q533" s="267"/>
      <c r="R533" s="267"/>
      <c r="S533" s="267"/>
      <c r="T533" s="267"/>
      <c r="U533" s="267"/>
      <c r="V533" s="267"/>
      <c r="W533" s="267"/>
      <c r="X533" s="267"/>
    </row>
    <row r="534">
      <c r="A534" s="267"/>
      <c r="B534" s="87"/>
      <c r="C534" s="87"/>
      <c r="D534" s="87"/>
      <c r="E534" s="267"/>
      <c r="F534" s="87"/>
      <c r="G534" s="267"/>
      <c r="H534" s="267"/>
      <c r="I534" s="267"/>
      <c r="J534" s="267"/>
      <c r="K534" s="267"/>
      <c r="L534" s="267"/>
      <c r="M534" s="267"/>
      <c r="N534" s="267"/>
      <c r="O534" s="267"/>
      <c r="P534" s="267"/>
      <c r="Q534" s="267"/>
      <c r="R534" s="267"/>
      <c r="S534" s="267"/>
      <c r="T534" s="267"/>
      <c r="U534" s="267"/>
      <c r="V534" s="267"/>
      <c r="W534" s="267"/>
      <c r="X534" s="267"/>
    </row>
    <row r="535">
      <c r="A535" s="267"/>
      <c r="B535" s="87"/>
      <c r="C535" s="87"/>
      <c r="D535" s="87"/>
      <c r="E535" s="267"/>
      <c r="F535" s="87"/>
      <c r="G535" s="267"/>
      <c r="H535" s="267"/>
      <c r="I535" s="267"/>
      <c r="J535" s="267"/>
      <c r="K535" s="267"/>
      <c r="L535" s="267"/>
      <c r="M535" s="267"/>
      <c r="N535" s="267"/>
      <c r="O535" s="267"/>
      <c r="P535" s="267"/>
      <c r="Q535" s="267"/>
      <c r="R535" s="267"/>
      <c r="S535" s="267"/>
      <c r="T535" s="267"/>
      <c r="U535" s="267"/>
      <c r="V535" s="267"/>
      <c r="W535" s="267"/>
      <c r="X535" s="267"/>
    </row>
    <row r="536">
      <c r="A536" s="267"/>
      <c r="B536" s="87"/>
      <c r="C536" s="87"/>
      <c r="D536" s="87"/>
      <c r="E536" s="267"/>
      <c r="F536" s="87"/>
      <c r="G536" s="267"/>
      <c r="H536" s="267"/>
      <c r="I536" s="267"/>
      <c r="J536" s="267"/>
      <c r="K536" s="267"/>
      <c r="L536" s="267"/>
      <c r="M536" s="267"/>
      <c r="N536" s="267"/>
      <c r="O536" s="267"/>
      <c r="P536" s="267"/>
      <c r="Q536" s="267"/>
      <c r="R536" s="267"/>
      <c r="S536" s="267"/>
      <c r="T536" s="267"/>
      <c r="U536" s="267"/>
      <c r="V536" s="267"/>
      <c r="W536" s="267"/>
      <c r="X536" s="267"/>
    </row>
    <row r="537">
      <c r="A537" s="267"/>
      <c r="B537" s="87"/>
      <c r="C537" s="87"/>
      <c r="D537" s="87"/>
      <c r="E537" s="267"/>
      <c r="F537" s="87"/>
      <c r="G537" s="267"/>
      <c r="H537" s="267"/>
      <c r="I537" s="267"/>
      <c r="J537" s="267"/>
      <c r="K537" s="267"/>
      <c r="L537" s="267"/>
      <c r="M537" s="267"/>
      <c r="N537" s="267"/>
      <c r="O537" s="267"/>
      <c r="P537" s="267"/>
      <c r="Q537" s="267"/>
      <c r="R537" s="267"/>
      <c r="S537" s="267"/>
      <c r="T537" s="267"/>
      <c r="U537" s="267"/>
      <c r="V537" s="267"/>
      <c r="W537" s="267"/>
      <c r="X537" s="267"/>
    </row>
    <row r="538">
      <c r="A538" s="267"/>
      <c r="B538" s="87"/>
      <c r="C538" s="87"/>
      <c r="D538" s="87"/>
      <c r="E538" s="267"/>
      <c r="F538" s="87"/>
      <c r="G538" s="267"/>
      <c r="H538" s="267"/>
      <c r="I538" s="267"/>
      <c r="J538" s="267"/>
      <c r="K538" s="267"/>
      <c r="L538" s="267"/>
      <c r="M538" s="267"/>
      <c r="N538" s="267"/>
      <c r="O538" s="267"/>
      <c r="P538" s="267"/>
      <c r="Q538" s="267"/>
      <c r="R538" s="267"/>
      <c r="S538" s="267"/>
      <c r="T538" s="267"/>
      <c r="U538" s="267"/>
      <c r="V538" s="267"/>
      <c r="W538" s="267"/>
      <c r="X538" s="267"/>
    </row>
    <row r="539">
      <c r="A539" s="267"/>
      <c r="B539" s="87"/>
      <c r="C539" s="87"/>
      <c r="D539" s="87"/>
      <c r="E539" s="267"/>
      <c r="F539" s="87"/>
      <c r="G539" s="267"/>
      <c r="H539" s="267"/>
      <c r="I539" s="267"/>
      <c r="J539" s="267"/>
      <c r="K539" s="267"/>
      <c r="L539" s="267"/>
      <c r="M539" s="267"/>
      <c r="N539" s="267"/>
      <c r="O539" s="267"/>
      <c r="P539" s="267"/>
      <c r="Q539" s="267"/>
      <c r="R539" s="267"/>
      <c r="S539" s="267"/>
      <c r="T539" s="267"/>
      <c r="U539" s="267"/>
      <c r="V539" s="267"/>
      <c r="W539" s="267"/>
      <c r="X539" s="267"/>
    </row>
    <row r="540">
      <c r="A540" s="267"/>
      <c r="B540" s="87"/>
      <c r="C540" s="87"/>
      <c r="D540" s="87"/>
      <c r="E540" s="267"/>
      <c r="F540" s="87"/>
      <c r="G540" s="267"/>
      <c r="H540" s="267"/>
      <c r="I540" s="267"/>
      <c r="J540" s="267"/>
      <c r="K540" s="267"/>
      <c r="L540" s="267"/>
      <c r="M540" s="267"/>
      <c r="N540" s="267"/>
      <c r="O540" s="267"/>
      <c r="P540" s="267"/>
      <c r="Q540" s="267"/>
      <c r="R540" s="267"/>
      <c r="S540" s="267"/>
      <c r="T540" s="267"/>
      <c r="U540" s="267"/>
      <c r="V540" s="267"/>
      <c r="W540" s="267"/>
      <c r="X540" s="267"/>
    </row>
    <row r="541">
      <c r="A541" s="267"/>
      <c r="B541" s="87"/>
      <c r="C541" s="87"/>
      <c r="D541" s="87"/>
      <c r="E541" s="267"/>
      <c r="F541" s="87"/>
      <c r="G541" s="267"/>
      <c r="H541" s="267"/>
      <c r="I541" s="267"/>
      <c r="J541" s="267"/>
      <c r="K541" s="267"/>
      <c r="L541" s="267"/>
      <c r="M541" s="267"/>
      <c r="N541" s="267"/>
      <c r="O541" s="267"/>
      <c r="P541" s="267"/>
      <c r="Q541" s="267"/>
      <c r="R541" s="267"/>
      <c r="S541" s="267"/>
      <c r="T541" s="267"/>
      <c r="U541" s="267"/>
      <c r="V541" s="267"/>
      <c r="W541" s="267"/>
      <c r="X541" s="267"/>
    </row>
    <row r="542">
      <c r="A542" s="267"/>
      <c r="B542" s="87"/>
      <c r="C542" s="87"/>
      <c r="D542" s="87"/>
      <c r="E542" s="267"/>
      <c r="F542" s="87"/>
      <c r="G542" s="267"/>
      <c r="H542" s="267"/>
      <c r="I542" s="267"/>
      <c r="J542" s="267"/>
      <c r="K542" s="267"/>
      <c r="L542" s="267"/>
      <c r="M542" s="267"/>
      <c r="N542" s="267"/>
      <c r="O542" s="267"/>
      <c r="P542" s="267"/>
      <c r="Q542" s="267"/>
      <c r="R542" s="267"/>
      <c r="S542" s="267"/>
      <c r="T542" s="267"/>
      <c r="U542" s="267"/>
      <c r="V542" s="267"/>
      <c r="W542" s="267"/>
      <c r="X542" s="267"/>
    </row>
    <row r="543">
      <c r="A543" s="267"/>
      <c r="B543" s="87"/>
      <c r="C543" s="87"/>
      <c r="D543" s="87"/>
      <c r="E543" s="267"/>
      <c r="F543" s="87"/>
      <c r="G543" s="267"/>
      <c r="H543" s="267"/>
      <c r="I543" s="267"/>
      <c r="J543" s="267"/>
      <c r="K543" s="267"/>
      <c r="L543" s="267"/>
      <c r="M543" s="267"/>
      <c r="N543" s="267"/>
      <c r="O543" s="267"/>
      <c r="P543" s="267"/>
      <c r="Q543" s="267"/>
      <c r="R543" s="267"/>
      <c r="S543" s="267"/>
      <c r="T543" s="267"/>
      <c r="U543" s="267"/>
      <c r="V543" s="267"/>
      <c r="W543" s="267"/>
      <c r="X543" s="267"/>
    </row>
    <row r="544">
      <c r="A544" s="267"/>
      <c r="B544" s="87"/>
      <c r="C544" s="87"/>
      <c r="D544" s="87"/>
      <c r="E544" s="267"/>
      <c r="F544" s="87"/>
      <c r="G544" s="267"/>
      <c r="H544" s="267"/>
      <c r="I544" s="267"/>
      <c r="J544" s="267"/>
      <c r="K544" s="267"/>
      <c r="L544" s="267"/>
      <c r="M544" s="267"/>
      <c r="N544" s="267"/>
      <c r="O544" s="267"/>
      <c r="P544" s="267"/>
      <c r="Q544" s="267"/>
      <c r="R544" s="267"/>
      <c r="S544" s="267"/>
      <c r="T544" s="267"/>
      <c r="U544" s="267"/>
      <c r="V544" s="267"/>
      <c r="W544" s="267"/>
      <c r="X544" s="267"/>
    </row>
    <row r="545">
      <c r="A545" s="267"/>
      <c r="B545" s="87"/>
      <c r="C545" s="87"/>
      <c r="D545" s="87"/>
      <c r="E545" s="267"/>
      <c r="F545" s="87"/>
      <c r="G545" s="267"/>
      <c r="H545" s="267"/>
      <c r="I545" s="267"/>
      <c r="J545" s="267"/>
      <c r="K545" s="267"/>
      <c r="L545" s="267"/>
      <c r="M545" s="267"/>
      <c r="N545" s="267"/>
      <c r="O545" s="267"/>
      <c r="P545" s="267"/>
      <c r="Q545" s="267"/>
      <c r="R545" s="267"/>
      <c r="S545" s="267"/>
      <c r="T545" s="267"/>
      <c r="U545" s="267"/>
      <c r="V545" s="267"/>
      <c r="W545" s="267"/>
      <c r="X545" s="267"/>
    </row>
    <row r="546">
      <c r="A546" s="267"/>
      <c r="B546" s="87"/>
      <c r="C546" s="87"/>
      <c r="D546" s="87"/>
      <c r="E546" s="267"/>
      <c r="F546" s="87"/>
      <c r="G546" s="267"/>
      <c r="H546" s="267"/>
      <c r="I546" s="267"/>
      <c r="J546" s="267"/>
      <c r="K546" s="267"/>
      <c r="L546" s="267"/>
      <c r="M546" s="267"/>
      <c r="N546" s="267"/>
      <c r="O546" s="267"/>
      <c r="P546" s="267"/>
      <c r="Q546" s="267"/>
      <c r="R546" s="267"/>
      <c r="S546" s="267"/>
      <c r="T546" s="267"/>
      <c r="U546" s="267"/>
      <c r="V546" s="267"/>
      <c r="W546" s="267"/>
      <c r="X546" s="267"/>
    </row>
    <row r="547">
      <c r="A547" s="267"/>
      <c r="B547" s="87"/>
      <c r="C547" s="87"/>
      <c r="D547" s="87"/>
      <c r="E547" s="267"/>
      <c r="F547" s="87"/>
      <c r="G547" s="267"/>
      <c r="H547" s="267"/>
      <c r="I547" s="267"/>
      <c r="J547" s="267"/>
      <c r="K547" s="267"/>
      <c r="L547" s="267"/>
      <c r="M547" s="267"/>
      <c r="N547" s="267"/>
      <c r="O547" s="267"/>
      <c r="P547" s="267"/>
      <c r="Q547" s="267"/>
      <c r="R547" s="267"/>
      <c r="S547" s="267"/>
      <c r="T547" s="267"/>
      <c r="U547" s="267"/>
      <c r="V547" s="267"/>
      <c r="W547" s="267"/>
      <c r="X547" s="267"/>
    </row>
    <row r="548">
      <c r="A548" s="267"/>
      <c r="B548" s="87"/>
      <c r="C548" s="87"/>
      <c r="D548" s="87"/>
      <c r="E548" s="267"/>
      <c r="F548" s="87"/>
      <c r="G548" s="267"/>
      <c r="H548" s="267"/>
      <c r="I548" s="267"/>
      <c r="J548" s="267"/>
      <c r="K548" s="267"/>
      <c r="L548" s="267"/>
      <c r="M548" s="267"/>
      <c r="N548" s="267"/>
      <c r="O548" s="267"/>
      <c r="P548" s="267"/>
      <c r="Q548" s="267"/>
      <c r="R548" s="267"/>
      <c r="S548" s="267"/>
      <c r="T548" s="267"/>
      <c r="U548" s="267"/>
      <c r="V548" s="267"/>
      <c r="W548" s="267"/>
      <c r="X548" s="267"/>
    </row>
    <row r="549">
      <c r="A549" s="267"/>
      <c r="B549" s="87"/>
      <c r="C549" s="87"/>
      <c r="D549" s="87"/>
      <c r="E549" s="267"/>
      <c r="F549" s="87"/>
      <c r="G549" s="267"/>
      <c r="H549" s="267"/>
      <c r="I549" s="267"/>
      <c r="J549" s="267"/>
      <c r="K549" s="267"/>
      <c r="L549" s="267"/>
      <c r="M549" s="267"/>
      <c r="N549" s="267"/>
      <c r="O549" s="267"/>
      <c r="P549" s="267"/>
      <c r="Q549" s="267"/>
      <c r="R549" s="267"/>
      <c r="S549" s="267"/>
      <c r="T549" s="267"/>
      <c r="U549" s="267"/>
      <c r="V549" s="267"/>
      <c r="W549" s="267"/>
      <c r="X549" s="267"/>
    </row>
    <row r="550">
      <c r="A550" s="267"/>
      <c r="B550" s="87"/>
      <c r="C550" s="87"/>
      <c r="D550" s="87"/>
      <c r="E550" s="267"/>
      <c r="F550" s="87"/>
      <c r="G550" s="267"/>
      <c r="H550" s="267"/>
      <c r="I550" s="267"/>
      <c r="J550" s="267"/>
      <c r="K550" s="267"/>
      <c r="L550" s="267"/>
      <c r="M550" s="267"/>
      <c r="N550" s="267"/>
      <c r="O550" s="267"/>
      <c r="P550" s="267"/>
      <c r="Q550" s="267"/>
      <c r="R550" s="267"/>
      <c r="S550" s="267"/>
      <c r="T550" s="267"/>
      <c r="U550" s="267"/>
      <c r="V550" s="267"/>
      <c r="W550" s="267"/>
      <c r="X550" s="267"/>
    </row>
    <row r="551">
      <c r="A551" s="267"/>
      <c r="B551" s="87"/>
      <c r="C551" s="87"/>
      <c r="D551" s="87"/>
      <c r="E551" s="267"/>
      <c r="F551" s="87"/>
      <c r="G551" s="267"/>
      <c r="H551" s="267"/>
      <c r="I551" s="267"/>
      <c r="J551" s="267"/>
      <c r="K551" s="267"/>
      <c r="L551" s="267"/>
      <c r="M551" s="267"/>
      <c r="N551" s="267"/>
      <c r="O551" s="267"/>
      <c r="P551" s="267"/>
      <c r="Q551" s="267"/>
      <c r="R551" s="267"/>
      <c r="S551" s="267"/>
      <c r="T551" s="267"/>
      <c r="U551" s="267"/>
      <c r="V551" s="267"/>
      <c r="W551" s="267"/>
      <c r="X551" s="267"/>
    </row>
    <row r="552">
      <c r="A552" s="267"/>
      <c r="B552" s="87"/>
      <c r="C552" s="87"/>
      <c r="D552" s="87"/>
      <c r="E552" s="267"/>
      <c r="F552" s="87"/>
      <c r="G552" s="267"/>
      <c r="H552" s="267"/>
      <c r="I552" s="267"/>
      <c r="J552" s="267"/>
      <c r="K552" s="267"/>
      <c r="L552" s="267"/>
      <c r="M552" s="267"/>
      <c r="N552" s="267"/>
      <c r="O552" s="267"/>
      <c r="P552" s="267"/>
      <c r="Q552" s="267"/>
      <c r="R552" s="267"/>
      <c r="S552" s="267"/>
      <c r="T552" s="267"/>
      <c r="U552" s="267"/>
      <c r="V552" s="267"/>
      <c r="W552" s="267"/>
      <c r="X552" s="267"/>
    </row>
    <row r="553">
      <c r="A553" s="267"/>
      <c r="B553" s="87"/>
      <c r="C553" s="87"/>
      <c r="D553" s="87"/>
      <c r="E553" s="267"/>
      <c r="F553" s="87"/>
      <c r="G553" s="267"/>
      <c r="H553" s="267"/>
      <c r="I553" s="267"/>
      <c r="J553" s="267"/>
      <c r="K553" s="267"/>
      <c r="L553" s="267"/>
      <c r="M553" s="267"/>
      <c r="N553" s="267"/>
      <c r="O553" s="267"/>
      <c r="P553" s="267"/>
      <c r="Q553" s="267"/>
      <c r="R553" s="267"/>
      <c r="S553" s="267"/>
      <c r="T553" s="267"/>
      <c r="U553" s="267"/>
      <c r="V553" s="267"/>
      <c r="W553" s="267"/>
      <c r="X553" s="267"/>
    </row>
    <row r="554">
      <c r="A554" s="267"/>
      <c r="B554" s="87"/>
      <c r="C554" s="87"/>
      <c r="D554" s="87"/>
      <c r="E554" s="267"/>
      <c r="F554" s="87"/>
      <c r="G554" s="267"/>
      <c r="H554" s="267"/>
      <c r="I554" s="267"/>
      <c r="J554" s="267"/>
      <c r="K554" s="267"/>
      <c r="L554" s="267"/>
      <c r="M554" s="267"/>
      <c r="N554" s="267"/>
      <c r="O554" s="267"/>
      <c r="P554" s="267"/>
      <c r="Q554" s="267"/>
      <c r="R554" s="267"/>
      <c r="S554" s="267"/>
      <c r="T554" s="267"/>
      <c r="U554" s="267"/>
      <c r="V554" s="267"/>
      <c r="W554" s="267"/>
      <c r="X554" s="267"/>
    </row>
    <row r="555">
      <c r="A555" s="267"/>
      <c r="B555" s="87"/>
      <c r="C555" s="87"/>
      <c r="D555" s="87"/>
      <c r="E555" s="267"/>
      <c r="F555" s="87"/>
      <c r="G555" s="267"/>
      <c r="H555" s="267"/>
      <c r="I555" s="267"/>
      <c r="J555" s="267"/>
      <c r="K555" s="267"/>
      <c r="L555" s="267"/>
      <c r="M555" s="267"/>
      <c r="N555" s="267"/>
      <c r="O555" s="267"/>
      <c r="P555" s="267"/>
      <c r="Q555" s="267"/>
      <c r="R555" s="267"/>
      <c r="S555" s="267"/>
      <c r="T555" s="267"/>
      <c r="U555" s="267"/>
      <c r="V555" s="267"/>
      <c r="W555" s="267"/>
      <c r="X555" s="267"/>
    </row>
    <row r="556">
      <c r="A556" s="267"/>
      <c r="B556" s="87"/>
      <c r="C556" s="87"/>
      <c r="D556" s="87"/>
      <c r="E556" s="267"/>
      <c r="F556" s="87"/>
      <c r="G556" s="267"/>
      <c r="H556" s="267"/>
      <c r="I556" s="267"/>
      <c r="J556" s="267"/>
      <c r="K556" s="267"/>
      <c r="L556" s="267"/>
      <c r="M556" s="267"/>
      <c r="N556" s="267"/>
      <c r="O556" s="267"/>
      <c r="P556" s="267"/>
      <c r="Q556" s="267"/>
      <c r="R556" s="267"/>
      <c r="S556" s="267"/>
      <c r="T556" s="267"/>
      <c r="U556" s="267"/>
      <c r="V556" s="267"/>
      <c r="W556" s="267"/>
      <c r="X556" s="267"/>
    </row>
    <row r="557">
      <c r="A557" s="267"/>
      <c r="B557" s="87"/>
      <c r="C557" s="87"/>
      <c r="D557" s="87"/>
      <c r="E557" s="267"/>
      <c r="F557" s="87"/>
      <c r="G557" s="267"/>
      <c r="H557" s="267"/>
      <c r="I557" s="267"/>
      <c r="J557" s="267"/>
      <c r="K557" s="267"/>
      <c r="L557" s="267"/>
      <c r="M557" s="267"/>
      <c r="N557" s="267"/>
      <c r="O557" s="267"/>
      <c r="P557" s="267"/>
      <c r="Q557" s="267"/>
      <c r="R557" s="267"/>
      <c r="S557" s="267"/>
      <c r="T557" s="267"/>
      <c r="U557" s="267"/>
      <c r="V557" s="267"/>
      <c r="W557" s="267"/>
      <c r="X557" s="267"/>
    </row>
    <row r="558">
      <c r="A558" s="267"/>
      <c r="B558" s="87"/>
      <c r="C558" s="87"/>
      <c r="D558" s="87"/>
      <c r="E558" s="267"/>
      <c r="F558" s="87"/>
      <c r="G558" s="267"/>
      <c r="H558" s="267"/>
      <c r="I558" s="267"/>
      <c r="J558" s="267"/>
      <c r="K558" s="267"/>
      <c r="L558" s="267"/>
      <c r="M558" s="267"/>
      <c r="N558" s="267"/>
      <c r="O558" s="267"/>
      <c r="P558" s="267"/>
      <c r="Q558" s="267"/>
      <c r="R558" s="267"/>
      <c r="S558" s="267"/>
      <c r="T558" s="267"/>
      <c r="U558" s="267"/>
      <c r="V558" s="267"/>
      <c r="W558" s="267"/>
      <c r="X558" s="267"/>
    </row>
    <row r="559">
      <c r="A559" s="267"/>
      <c r="B559" s="87"/>
      <c r="C559" s="87"/>
      <c r="D559" s="87"/>
      <c r="E559" s="267"/>
      <c r="F559" s="87"/>
      <c r="G559" s="267"/>
      <c r="H559" s="267"/>
      <c r="I559" s="267"/>
      <c r="J559" s="267"/>
      <c r="K559" s="267"/>
      <c r="L559" s="267"/>
      <c r="M559" s="267"/>
      <c r="N559" s="267"/>
      <c r="O559" s="267"/>
      <c r="P559" s="267"/>
      <c r="Q559" s="267"/>
      <c r="R559" s="267"/>
      <c r="S559" s="267"/>
      <c r="T559" s="267"/>
      <c r="U559" s="267"/>
      <c r="V559" s="267"/>
      <c r="W559" s="267"/>
      <c r="X559" s="267"/>
    </row>
    <row r="560">
      <c r="A560" s="267"/>
      <c r="B560" s="87"/>
      <c r="C560" s="87"/>
      <c r="D560" s="87"/>
      <c r="E560" s="267"/>
      <c r="F560" s="87"/>
      <c r="G560" s="267"/>
      <c r="H560" s="267"/>
      <c r="I560" s="267"/>
      <c r="J560" s="267"/>
      <c r="K560" s="267"/>
      <c r="L560" s="267"/>
      <c r="M560" s="267"/>
      <c r="N560" s="267"/>
      <c r="O560" s="267"/>
      <c r="P560" s="267"/>
      <c r="Q560" s="267"/>
      <c r="R560" s="267"/>
      <c r="S560" s="267"/>
      <c r="T560" s="267"/>
      <c r="U560" s="267"/>
      <c r="V560" s="267"/>
      <c r="W560" s="267"/>
      <c r="X560" s="267"/>
    </row>
    <row r="561">
      <c r="A561" s="267"/>
      <c r="B561" s="87"/>
      <c r="C561" s="87"/>
      <c r="D561" s="87"/>
      <c r="E561" s="267"/>
      <c r="F561" s="87"/>
      <c r="G561" s="267"/>
      <c r="H561" s="267"/>
      <c r="I561" s="267"/>
      <c r="J561" s="267"/>
      <c r="K561" s="267"/>
      <c r="L561" s="267"/>
      <c r="M561" s="267"/>
      <c r="N561" s="267"/>
      <c r="O561" s="267"/>
      <c r="P561" s="267"/>
      <c r="Q561" s="267"/>
      <c r="R561" s="267"/>
      <c r="S561" s="267"/>
      <c r="T561" s="267"/>
      <c r="U561" s="267"/>
      <c r="V561" s="267"/>
      <c r="W561" s="267"/>
      <c r="X561" s="267"/>
    </row>
    <row r="562">
      <c r="A562" s="267"/>
      <c r="B562" s="87"/>
      <c r="C562" s="87"/>
      <c r="D562" s="87"/>
      <c r="E562" s="267"/>
      <c r="F562" s="87"/>
      <c r="G562" s="267"/>
      <c r="H562" s="267"/>
      <c r="I562" s="267"/>
      <c r="J562" s="267"/>
      <c r="K562" s="267"/>
      <c r="L562" s="267"/>
      <c r="M562" s="267"/>
      <c r="N562" s="267"/>
      <c r="O562" s="267"/>
      <c r="P562" s="267"/>
      <c r="Q562" s="267"/>
      <c r="R562" s="267"/>
      <c r="S562" s="267"/>
      <c r="T562" s="267"/>
      <c r="U562" s="267"/>
      <c r="V562" s="267"/>
      <c r="W562" s="267"/>
      <c r="X562" s="267"/>
    </row>
    <row r="563">
      <c r="A563" s="267"/>
      <c r="B563" s="87"/>
      <c r="C563" s="87"/>
      <c r="D563" s="87"/>
      <c r="E563" s="267"/>
      <c r="F563" s="87"/>
      <c r="G563" s="267"/>
      <c r="H563" s="267"/>
      <c r="I563" s="267"/>
      <c r="J563" s="267"/>
      <c r="K563" s="267"/>
      <c r="L563" s="267"/>
      <c r="M563" s="267"/>
      <c r="N563" s="267"/>
      <c r="O563" s="267"/>
      <c r="P563" s="267"/>
      <c r="Q563" s="267"/>
      <c r="R563" s="267"/>
      <c r="S563" s="267"/>
      <c r="T563" s="267"/>
      <c r="U563" s="267"/>
      <c r="V563" s="267"/>
      <c r="W563" s="267"/>
      <c r="X563" s="267"/>
    </row>
    <row r="564">
      <c r="A564" s="267"/>
      <c r="B564" s="87"/>
      <c r="C564" s="87"/>
      <c r="D564" s="87"/>
      <c r="E564" s="267"/>
      <c r="F564" s="87"/>
      <c r="G564" s="267"/>
      <c r="H564" s="267"/>
      <c r="I564" s="267"/>
      <c r="J564" s="267"/>
      <c r="K564" s="267"/>
      <c r="L564" s="267"/>
      <c r="M564" s="267"/>
      <c r="N564" s="267"/>
      <c r="O564" s="267"/>
      <c r="P564" s="267"/>
      <c r="Q564" s="267"/>
      <c r="R564" s="267"/>
      <c r="S564" s="267"/>
      <c r="T564" s="267"/>
      <c r="U564" s="267"/>
      <c r="V564" s="267"/>
      <c r="W564" s="267"/>
      <c r="X564" s="267"/>
    </row>
    <row r="565">
      <c r="A565" s="267"/>
      <c r="B565" s="87"/>
      <c r="C565" s="87"/>
      <c r="D565" s="87"/>
      <c r="E565" s="267"/>
      <c r="F565" s="87"/>
      <c r="G565" s="267"/>
      <c r="H565" s="267"/>
      <c r="I565" s="267"/>
      <c r="J565" s="267"/>
      <c r="K565" s="267"/>
      <c r="L565" s="267"/>
      <c r="M565" s="267"/>
      <c r="N565" s="267"/>
      <c r="O565" s="267"/>
      <c r="P565" s="267"/>
      <c r="Q565" s="267"/>
      <c r="R565" s="267"/>
      <c r="S565" s="267"/>
      <c r="T565" s="267"/>
      <c r="U565" s="267"/>
      <c r="V565" s="267"/>
      <c r="W565" s="267"/>
      <c r="X565" s="267"/>
    </row>
    <row r="566">
      <c r="A566" s="267"/>
      <c r="B566" s="87"/>
      <c r="C566" s="87"/>
      <c r="D566" s="87"/>
      <c r="E566" s="267"/>
      <c r="F566" s="87"/>
      <c r="G566" s="267"/>
      <c r="H566" s="267"/>
      <c r="I566" s="267"/>
      <c r="J566" s="267"/>
      <c r="K566" s="267"/>
      <c r="L566" s="267"/>
      <c r="M566" s="267"/>
      <c r="N566" s="267"/>
      <c r="O566" s="267"/>
      <c r="P566" s="267"/>
      <c r="Q566" s="267"/>
      <c r="R566" s="267"/>
      <c r="S566" s="267"/>
      <c r="T566" s="267"/>
      <c r="U566" s="267"/>
      <c r="V566" s="267"/>
      <c r="W566" s="267"/>
      <c r="X566" s="267"/>
    </row>
    <row r="567">
      <c r="A567" s="267"/>
      <c r="B567" s="87"/>
      <c r="C567" s="87"/>
      <c r="D567" s="87"/>
      <c r="E567" s="267"/>
      <c r="F567" s="87"/>
      <c r="G567" s="267"/>
      <c r="H567" s="267"/>
      <c r="I567" s="267"/>
      <c r="J567" s="267"/>
      <c r="K567" s="267"/>
      <c r="L567" s="267"/>
      <c r="M567" s="267"/>
      <c r="N567" s="267"/>
      <c r="O567" s="267"/>
      <c r="P567" s="267"/>
      <c r="Q567" s="267"/>
      <c r="R567" s="267"/>
      <c r="S567" s="267"/>
      <c r="T567" s="267"/>
      <c r="U567" s="267"/>
      <c r="V567" s="267"/>
      <c r="W567" s="267"/>
      <c r="X567" s="267"/>
    </row>
    <row r="568">
      <c r="A568" s="267"/>
      <c r="B568" s="87"/>
      <c r="C568" s="87"/>
      <c r="D568" s="87"/>
      <c r="E568" s="267"/>
      <c r="F568" s="87"/>
      <c r="G568" s="267"/>
      <c r="H568" s="267"/>
      <c r="I568" s="267"/>
      <c r="J568" s="267"/>
      <c r="K568" s="267"/>
      <c r="L568" s="267"/>
      <c r="M568" s="267"/>
      <c r="N568" s="267"/>
      <c r="O568" s="267"/>
      <c r="P568" s="267"/>
      <c r="Q568" s="267"/>
      <c r="R568" s="267"/>
      <c r="S568" s="267"/>
      <c r="T568" s="267"/>
      <c r="U568" s="267"/>
      <c r="V568" s="267"/>
      <c r="W568" s="267"/>
      <c r="X568" s="267"/>
    </row>
    <row r="569">
      <c r="A569" s="267"/>
      <c r="B569" s="87"/>
      <c r="C569" s="87"/>
      <c r="D569" s="87"/>
      <c r="E569" s="267"/>
      <c r="F569" s="87"/>
      <c r="G569" s="267"/>
      <c r="H569" s="267"/>
      <c r="I569" s="267"/>
      <c r="J569" s="267"/>
      <c r="K569" s="267"/>
      <c r="L569" s="267"/>
      <c r="M569" s="267"/>
      <c r="N569" s="267"/>
      <c r="O569" s="267"/>
      <c r="P569" s="267"/>
      <c r="Q569" s="267"/>
      <c r="R569" s="267"/>
      <c r="S569" s="267"/>
      <c r="T569" s="267"/>
      <c r="U569" s="267"/>
      <c r="V569" s="267"/>
      <c r="W569" s="267"/>
      <c r="X569" s="267"/>
    </row>
    <row r="570">
      <c r="A570" s="267"/>
      <c r="B570" s="87"/>
      <c r="C570" s="87"/>
      <c r="D570" s="87"/>
      <c r="E570" s="267"/>
      <c r="F570" s="87"/>
      <c r="G570" s="267"/>
      <c r="H570" s="267"/>
      <c r="I570" s="267"/>
      <c r="J570" s="267"/>
      <c r="K570" s="267"/>
      <c r="L570" s="267"/>
      <c r="M570" s="267"/>
      <c r="N570" s="267"/>
      <c r="O570" s="267"/>
      <c r="P570" s="267"/>
      <c r="Q570" s="267"/>
      <c r="R570" s="267"/>
      <c r="S570" s="267"/>
      <c r="T570" s="267"/>
      <c r="U570" s="267"/>
      <c r="V570" s="267"/>
      <c r="W570" s="267"/>
      <c r="X570" s="267"/>
    </row>
    <row r="571">
      <c r="A571" s="267"/>
      <c r="B571" s="87"/>
      <c r="C571" s="87"/>
      <c r="D571" s="87"/>
      <c r="E571" s="267"/>
      <c r="F571" s="87"/>
      <c r="G571" s="267"/>
      <c r="H571" s="267"/>
      <c r="I571" s="267"/>
      <c r="J571" s="267"/>
      <c r="K571" s="267"/>
      <c r="L571" s="267"/>
      <c r="M571" s="267"/>
      <c r="N571" s="267"/>
      <c r="O571" s="267"/>
      <c r="P571" s="267"/>
      <c r="Q571" s="267"/>
      <c r="R571" s="267"/>
      <c r="S571" s="267"/>
      <c r="T571" s="267"/>
      <c r="U571" s="267"/>
      <c r="V571" s="267"/>
      <c r="W571" s="267"/>
      <c r="X571" s="267"/>
    </row>
    <row r="572">
      <c r="A572" s="267"/>
      <c r="B572" s="87"/>
      <c r="C572" s="87"/>
      <c r="D572" s="87"/>
      <c r="E572" s="267"/>
      <c r="F572" s="87"/>
      <c r="G572" s="267"/>
      <c r="H572" s="267"/>
      <c r="I572" s="267"/>
      <c r="J572" s="267"/>
      <c r="K572" s="267"/>
      <c r="L572" s="267"/>
      <c r="M572" s="267"/>
      <c r="N572" s="267"/>
      <c r="O572" s="267"/>
      <c r="P572" s="267"/>
      <c r="Q572" s="267"/>
      <c r="R572" s="267"/>
      <c r="S572" s="267"/>
      <c r="T572" s="267"/>
      <c r="U572" s="267"/>
      <c r="V572" s="267"/>
      <c r="W572" s="267"/>
      <c r="X572" s="267"/>
    </row>
    <row r="573">
      <c r="A573" s="267"/>
      <c r="B573" s="87"/>
      <c r="C573" s="87"/>
      <c r="D573" s="87"/>
      <c r="E573" s="267"/>
      <c r="F573" s="87"/>
      <c r="G573" s="267"/>
      <c r="H573" s="267"/>
      <c r="I573" s="267"/>
      <c r="J573" s="267"/>
      <c r="K573" s="267"/>
      <c r="L573" s="267"/>
      <c r="M573" s="267"/>
      <c r="N573" s="267"/>
      <c r="O573" s="267"/>
      <c r="P573" s="267"/>
      <c r="Q573" s="267"/>
      <c r="R573" s="267"/>
      <c r="S573" s="267"/>
      <c r="T573" s="267"/>
      <c r="U573" s="267"/>
      <c r="V573" s="267"/>
      <c r="W573" s="267"/>
      <c r="X573" s="267"/>
    </row>
    <row r="574">
      <c r="A574" s="267"/>
      <c r="B574" s="87"/>
      <c r="C574" s="87"/>
      <c r="D574" s="87"/>
      <c r="E574" s="267"/>
      <c r="F574" s="87"/>
      <c r="G574" s="267"/>
      <c r="H574" s="267"/>
      <c r="I574" s="267"/>
      <c r="J574" s="267"/>
      <c r="K574" s="267"/>
      <c r="L574" s="267"/>
      <c r="M574" s="267"/>
      <c r="N574" s="267"/>
      <c r="O574" s="267"/>
      <c r="P574" s="267"/>
      <c r="Q574" s="267"/>
      <c r="R574" s="267"/>
      <c r="S574" s="267"/>
      <c r="T574" s="267"/>
      <c r="U574" s="267"/>
      <c r="V574" s="267"/>
      <c r="W574" s="267"/>
      <c r="X574" s="267"/>
    </row>
    <row r="575">
      <c r="A575" s="267"/>
      <c r="B575" s="87"/>
      <c r="C575" s="87"/>
      <c r="D575" s="87"/>
      <c r="E575" s="267"/>
      <c r="F575" s="87"/>
      <c r="G575" s="267"/>
      <c r="H575" s="267"/>
      <c r="I575" s="267"/>
      <c r="J575" s="267"/>
      <c r="K575" s="267"/>
      <c r="L575" s="267"/>
      <c r="M575" s="267"/>
      <c r="N575" s="267"/>
      <c r="O575" s="267"/>
      <c r="P575" s="267"/>
      <c r="Q575" s="267"/>
      <c r="R575" s="267"/>
      <c r="S575" s="267"/>
      <c r="T575" s="267"/>
      <c r="U575" s="267"/>
      <c r="V575" s="267"/>
      <c r="W575" s="267"/>
      <c r="X575" s="267"/>
    </row>
    <row r="576">
      <c r="A576" s="267"/>
      <c r="B576" s="87"/>
      <c r="C576" s="87"/>
      <c r="D576" s="87"/>
      <c r="E576" s="267"/>
      <c r="F576" s="87"/>
      <c r="G576" s="267"/>
      <c r="H576" s="267"/>
      <c r="I576" s="267"/>
      <c r="J576" s="267"/>
      <c r="K576" s="267"/>
      <c r="L576" s="267"/>
      <c r="M576" s="267"/>
      <c r="N576" s="267"/>
      <c r="O576" s="267"/>
      <c r="P576" s="267"/>
      <c r="Q576" s="267"/>
      <c r="R576" s="267"/>
      <c r="S576" s="267"/>
      <c r="T576" s="267"/>
      <c r="U576" s="267"/>
      <c r="V576" s="267"/>
      <c r="W576" s="267"/>
      <c r="X576" s="267"/>
    </row>
    <row r="577">
      <c r="A577" s="267"/>
      <c r="B577" s="87"/>
      <c r="C577" s="87"/>
      <c r="D577" s="87"/>
      <c r="E577" s="267"/>
      <c r="F577" s="87"/>
      <c r="G577" s="267"/>
      <c r="H577" s="267"/>
      <c r="I577" s="267"/>
      <c r="J577" s="267"/>
      <c r="K577" s="267"/>
      <c r="L577" s="267"/>
      <c r="M577" s="267"/>
      <c r="N577" s="267"/>
      <c r="O577" s="267"/>
      <c r="P577" s="267"/>
      <c r="Q577" s="267"/>
      <c r="R577" s="267"/>
      <c r="S577" s="267"/>
      <c r="T577" s="267"/>
      <c r="U577" s="267"/>
      <c r="V577" s="267"/>
      <c r="W577" s="267"/>
      <c r="X577" s="267"/>
    </row>
    <row r="578">
      <c r="A578" s="267"/>
      <c r="B578" s="87"/>
      <c r="C578" s="87"/>
      <c r="D578" s="87"/>
      <c r="E578" s="267"/>
      <c r="F578" s="87"/>
      <c r="G578" s="267"/>
      <c r="H578" s="267"/>
      <c r="I578" s="267"/>
      <c r="J578" s="267"/>
      <c r="K578" s="267"/>
      <c r="L578" s="267"/>
      <c r="M578" s="267"/>
      <c r="N578" s="267"/>
      <c r="O578" s="267"/>
      <c r="P578" s="267"/>
      <c r="Q578" s="267"/>
      <c r="R578" s="267"/>
      <c r="S578" s="267"/>
      <c r="T578" s="267"/>
      <c r="U578" s="267"/>
      <c r="V578" s="267"/>
      <c r="W578" s="267"/>
      <c r="X578" s="267"/>
    </row>
    <row r="579">
      <c r="A579" s="267"/>
      <c r="B579" s="87"/>
      <c r="C579" s="87"/>
      <c r="D579" s="87"/>
      <c r="E579" s="267"/>
      <c r="F579" s="87"/>
      <c r="G579" s="267"/>
      <c r="H579" s="267"/>
      <c r="I579" s="267"/>
      <c r="J579" s="267"/>
      <c r="K579" s="267"/>
      <c r="L579" s="267"/>
      <c r="M579" s="267"/>
      <c r="N579" s="267"/>
      <c r="O579" s="267"/>
      <c r="P579" s="267"/>
      <c r="Q579" s="267"/>
      <c r="R579" s="267"/>
      <c r="S579" s="267"/>
      <c r="T579" s="267"/>
      <c r="U579" s="267"/>
      <c r="V579" s="267"/>
      <c r="W579" s="267"/>
      <c r="X579" s="267"/>
    </row>
    <row r="580">
      <c r="A580" s="267"/>
      <c r="B580" s="87"/>
      <c r="C580" s="87"/>
      <c r="D580" s="87"/>
      <c r="E580" s="267"/>
      <c r="F580" s="87"/>
      <c r="G580" s="267"/>
      <c r="H580" s="267"/>
      <c r="I580" s="267"/>
      <c r="J580" s="267"/>
      <c r="K580" s="267"/>
      <c r="L580" s="267"/>
      <c r="M580" s="267"/>
      <c r="N580" s="267"/>
      <c r="O580" s="267"/>
      <c r="P580" s="267"/>
      <c r="Q580" s="267"/>
      <c r="R580" s="267"/>
      <c r="S580" s="267"/>
      <c r="T580" s="267"/>
      <c r="U580" s="267"/>
      <c r="V580" s="267"/>
      <c r="W580" s="267"/>
      <c r="X580" s="267"/>
    </row>
    <row r="581">
      <c r="A581" s="267"/>
      <c r="B581" s="87"/>
      <c r="C581" s="87"/>
      <c r="D581" s="87"/>
      <c r="E581" s="267"/>
      <c r="F581" s="87"/>
      <c r="G581" s="267"/>
      <c r="H581" s="267"/>
      <c r="I581" s="267"/>
      <c r="J581" s="267"/>
      <c r="K581" s="267"/>
      <c r="L581" s="267"/>
      <c r="M581" s="267"/>
      <c r="N581" s="267"/>
      <c r="O581" s="267"/>
      <c r="P581" s="267"/>
      <c r="Q581" s="267"/>
      <c r="R581" s="267"/>
      <c r="S581" s="267"/>
      <c r="T581" s="267"/>
      <c r="U581" s="267"/>
      <c r="V581" s="267"/>
      <c r="W581" s="267"/>
      <c r="X581" s="267"/>
    </row>
    <row r="582">
      <c r="A582" s="267"/>
      <c r="B582" s="87"/>
      <c r="C582" s="87"/>
      <c r="D582" s="87"/>
      <c r="E582" s="267"/>
      <c r="F582" s="87"/>
      <c r="G582" s="267"/>
      <c r="H582" s="267"/>
      <c r="I582" s="267"/>
      <c r="J582" s="267"/>
      <c r="K582" s="267"/>
      <c r="L582" s="267"/>
      <c r="M582" s="267"/>
      <c r="N582" s="267"/>
      <c r="O582" s="267"/>
      <c r="P582" s="267"/>
      <c r="Q582" s="267"/>
      <c r="R582" s="267"/>
      <c r="S582" s="267"/>
      <c r="T582" s="267"/>
      <c r="U582" s="267"/>
      <c r="V582" s="267"/>
      <c r="W582" s="267"/>
      <c r="X582" s="267"/>
    </row>
    <row r="583">
      <c r="A583" s="267"/>
      <c r="B583" s="87"/>
      <c r="C583" s="87"/>
      <c r="D583" s="87"/>
      <c r="E583" s="267"/>
      <c r="F583" s="87"/>
      <c r="G583" s="267"/>
      <c r="H583" s="267"/>
      <c r="I583" s="267"/>
      <c r="J583" s="267"/>
      <c r="K583" s="267"/>
      <c r="L583" s="267"/>
      <c r="M583" s="267"/>
      <c r="N583" s="267"/>
      <c r="O583" s="267"/>
      <c r="P583" s="267"/>
      <c r="Q583" s="267"/>
      <c r="R583" s="267"/>
      <c r="S583" s="267"/>
      <c r="T583" s="267"/>
      <c r="U583" s="267"/>
      <c r="V583" s="267"/>
      <c r="W583" s="267"/>
      <c r="X583" s="267"/>
    </row>
    <row r="584">
      <c r="A584" s="267"/>
      <c r="B584" s="87"/>
      <c r="C584" s="87"/>
      <c r="D584" s="87"/>
      <c r="E584" s="267"/>
      <c r="F584" s="87"/>
      <c r="G584" s="267"/>
      <c r="H584" s="267"/>
      <c r="I584" s="267"/>
      <c r="J584" s="267"/>
      <c r="K584" s="267"/>
      <c r="L584" s="267"/>
      <c r="M584" s="267"/>
      <c r="N584" s="267"/>
      <c r="O584" s="267"/>
      <c r="P584" s="267"/>
      <c r="Q584" s="267"/>
      <c r="R584" s="267"/>
      <c r="S584" s="267"/>
      <c r="T584" s="267"/>
      <c r="U584" s="267"/>
      <c r="V584" s="267"/>
      <c r="W584" s="267"/>
      <c r="X584" s="267"/>
    </row>
    <row r="585">
      <c r="A585" s="267"/>
      <c r="B585" s="87"/>
      <c r="C585" s="87"/>
      <c r="D585" s="87"/>
      <c r="E585" s="267"/>
      <c r="F585" s="87"/>
      <c r="G585" s="267"/>
      <c r="H585" s="267"/>
      <c r="I585" s="267"/>
      <c r="J585" s="267"/>
      <c r="K585" s="267"/>
      <c r="L585" s="267"/>
      <c r="M585" s="267"/>
      <c r="N585" s="267"/>
      <c r="O585" s="267"/>
      <c r="P585" s="267"/>
      <c r="Q585" s="267"/>
      <c r="R585" s="267"/>
      <c r="S585" s="267"/>
      <c r="T585" s="267"/>
      <c r="U585" s="267"/>
      <c r="V585" s="267"/>
      <c r="W585" s="267"/>
      <c r="X585" s="267"/>
    </row>
    <row r="586">
      <c r="A586" s="267"/>
      <c r="B586" s="87"/>
      <c r="C586" s="87"/>
      <c r="D586" s="87"/>
      <c r="E586" s="267"/>
      <c r="F586" s="87"/>
      <c r="G586" s="267"/>
      <c r="H586" s="267"/>
      <c r="I586" s="267"/>
      <c r="J586" s="267"/>
      <c r="K586" s="267"/>
      <c r="L586" s="267"/>
      <c r="M586" s="267"/>
      <c r="N586" s="267"/>
      <c r="O586" s="267"/>
      <c r="P586" s="267"/>
      <c r="Q586" s="267"/>
      <c r="R586" s="267"/>
      <c r="S586" s="267"/>
      <c r="T586" s="267"/>
      <c r="U586" s="267"/>
      <c r="V586" s="267"/>
      <c r="W586" s="267"/>
      <c r="X586" s="267"/>
    </row>
    <row r="587">
      <c r="A587" s="267"/>
      <c r="B587" s="87"/>
      <c r="C587" s="87"/>
      <c r="D587" s="87"/>
      <c r="E587" s="267"/>
      <c r="F587" s="87"/>
      <c r="G587" s="267"/>
      <c r="H587" s="267"/>
      <c r="I587" s="267"/>
      <c r="J587" s="267"/>
      <c r="K587" s="267"/>
      <c r="L587" s="267"/>
      <c r="M587" s="267"/>
      <c r="N587" s="267"/>
      <c r="O587" s="267"/>
      <c r="P587" s="267"/>
      <c r="Q587" s="267"/>
      <c r="R587" s="267"/>
      <c r="S587" s="267"/>
      <c r="T587" s="267"/>
      <c r="U587" s="267"/>
      <c r="V587" s="267"/>
      <c r="W587" s="267"/>
      <c r="X587" s="267"/>
    </row>
    <row r="588">
      <c r="A588" s="267"/>
      <c r="B588" s="87"/>
      <c r="C588" s="87"/>
      <c r="D588" s="87"/>
      <c r="E588" s="267"/>
      <c r="F588" s="87"/>
      <c r="G588" s="267"/>
      <c r="H588" s="267"/>
      <c r="I588" s="267"/>
      <c r="J588" s="267"/>
      <c r="K588" s="267"/>
      <c r="L588" s="267"/>
      <c r="M588" s="267"/>
      <c r="N588" s="267"/>
      <c r="O588" s="267"/>
      <c r="P588" s="267"/>
      <c r="Q588" s="267"/>
      <c r="R588" s="267"/>
      <c r="S588" s="267"/>
      <c r="T588" s="267"/>
      <c r="U588" s="267"/>
      <c r="V588" s="267"/>
      <c r="W588" s="267"/>
      <c r="X588" s="267"/>
    </row>
    <row r="589">
      <c r="A589" s="267"/>
      <c r="B589" s="87"/>
      <c r="C589" s="87"/>
      <c r="D589" s="87"/>
      <c r="E589" s="267"/>
      <c r="F589" s="87"/>
      <c r="G589" s="267"/>
      <c r="H589" s="267"/>
      <c r="I589" s="267"/>
      <c r="J589" s="267"/>
      <c r="K589" s="267"/>
      <c r="L589" s="267"/>
      <c r="M589" s="267"/>
      <c r="N589" s="267"/>
      <c r="O589" s="267"/>
      <c r="P589" s="267"/>
      <c r="Q589" s="267"/>
      <c r="R589" s="267"/>
      <c r="S589" s="267"/>
      <c r="T589" s="267"/>
      <c r="U589" s="267"/>
      <c r="V589" s="267"/>
      <c r="W589" s="267"/>
      <c r="X589" s="267"/>
    </row>
    <row r="590">
      <c r="A590" s="267"/>
      <c r="B590" s="87"/>
      <c r="C590" s="87"/>
      <c r="D590" s="87"/>
      <c r="E590" s="267"/>
      <c r="F590" s="87"/>
      <c r="G590" s="267"/>
      <c r="H590" s="267"/>
      <c r="I590" s="267"/>
      <c r="J590" s="267"/>
      <c r="K590" s="267"/>
      <c r="L590" s="267"/>
      <c r="M590" s="267"/>
      <c r="N590" s="267"/>
      <c r="O590" s="267"/>
      <c r="P590" s="267"/>
      <c r="Q590" s="267"/>
      <c r="R590" s="267"/>
      <c r="S590" s="267"/>
      <c r="T590" s="267"/>
      <c r="U590" s="267"/>
      <c r="V590" s="267"/>
      <c r="W590" s="267"/>
      <c r="X590" s="267"/>
    </row>
    <row r="591">
      <c r="A591" s="267"/>
      <c r="B591" s="87"/>
      <c r="C591" s="87"/>
      <c r="D591" s="87"/>
      <c r="E591" s="267"/>
      <c r="F591" s="87"/>
      <c r="G591" s="267"/>
      <c r="H591" s="267"/>
      <c r="I591" s="267"/>
      <c r="J591" s="267"/>
      <c r="K591" s="267"/>
      <c r="L591" s="267"/>
      <c r="M591" s="267"/>
      <c r="N591" s="267"/>
      <c r="O591" s="267"/>
      <c r="P591" s="267"/>
      <c r="Q591" s="267"/>
      <c r="R591" s="267"/>
      <c r="S591" s="267"/>
      <c r="T591" s="267"/>
      <c r="U591" s="267"/>
      <c r="V591" s="267"/>
      <c r="W591" s="267"/>
      <c r="X591" s="267"/>
    </row>
    <row r="592">
      <c r="A592" s="267"/>
      <c r="B592" s="87"/>
      <c r="C592" s="87"/>
      <c r="D592" s="87"/>
      <c r="E592" s="267"/>
      <c r="F592" s="87"/>
      <c r="G592" s="267"/>
      <c r="H592" s="267"/>
      <c r="I592" s="267"/>
      <c r="J592" s="267"/>
      <c r="K592" s="267"/>
      <c r="L592" s="267"/>
      <c r="M592" s="267"/>
      <c r="N592" s="267"/>
      <c r="O592" s="267"/>
      <c r="P592" s="267"/>
      <c r="Q592" s="267"/>
      <c r="R592" s="267"/>
      <c r="S592" s="267"/>
      <c r="T592" s="267"/>
      <c r="U592" s="267"/>
      <c r="V592" s="267"/>
      <c r="W592" s="267"/>
      <c r="X592" s="267"/>
    </row>
    <row r="593">
      <c r="A593" s="267"/>
      <c r="B593" s="87"/>
      <c r="C593" s="87"/>
      <c r="D593" s="87"/>
      <c r="E593" s="267"/>
      <c r="F593" s="87"/>
      <c r="G593" s="267"/>
      <c r="H593" s="267"/>
      <c r="I593" s="267"/>
      <c r="J593" s="267"/>
      <c r="K593" s="267"/>
      <c r="L593" s="267"/>
      <c r="M593" s="267"/>
      <c r="N593" s="267"/>
      <c r="O593" s="267"/>
      <c r="P593" s="267"/>
      <c r="Q593" s="267"/>
      <c r="R593" s="267"/>
      <c r="S593" s="267"/>
      <c r="T593" s="267"/>
      <c r="U593" s="267"/>
      <c r="V593" s="267"/>
      <c r="W593" s="267"/>
      <c r="X593" s="267"/>
    </row>
    <row r="594">
      <c r="A594" s="267"/>
      <c r="B594" s="87"/>
      <c r="C594" s="87"/>
      <c r="D594" s="87"/>
      <c r="E594" s="267"/>
      <c r="F594" s="87"/>
      <c r="G594" s="267"/>
      <c r="H594" s="267"/>
      <c r="I594" s="267"/>
      <c r="J594" s="267"/>
      <c r="K594" s="267"/>
      <c r="L594" s="267"/>
      <c r="M594" s="267"/>
      <c r="N594" s="267"/>
      <c r="O594" s="267"/>
      <c r="P594" s="267"/>
      <c r="Q594" s="267"/>
      <c r="R594" s="267"/>
      <c r="S594" s="267"/>
      <c r="T594" s="267"/>
      <c r="U594" s="267"/>
      <c r="V594" s="267"/>
      <c r="W594" s="267"/>
      <c r="X594" s="267"/>
    </row>
    <row r="595">
      <c r="A595" s="267"/>
      <c r="B595" s="87"/>
      <c r="C595" s="87"/>
      <c r="D595" s="87"/>
      <c r="E595" s="267"/>
      <c r="F595" s="87"/>
      <c r="G595" s="267"/>
      <c r="H595" s="267"/>
      <c r="I595" s="267"/>
      <c r="J595" s="267"/>
      <c r="K595" s="267"/>
      <c r="L595" s="267"/>
      <c r="M595" s="267"/>
      <c r="N595" s="267"/>
      <c r="O595" s="267"/>
      <c r="P595" s="267"/>
      <c r="Q595" s="267"/>
      <c r="R595" s="267"/>
      <c r="S595" s="267"/>
      <c r="T595" s="267"/>
      <c r="U595" s="267"/>
      <c r="V595" s="267"/>
      <c r="W595" s="267"/>
      <c r="X595" s="267"/>
    </row>
    <row r="596">
      <c r="A596" s="267"/>
      <c r="B596" s="87"/>
      <c r="C596" s="87"/>
      <c r="D596" s="87"/>
      <c r="E596" s="267"/>
      <c r="F596" s="87"/>
      <c r="G596" s="267"/>
      <c r="H596" s="267"/>
      <c r="I596" s="267"/>
      <c r="J596" s="267"/>
      <c r="K596" s="267"/>
      <c r="L596" s="267"/>
      <c r="M596" s="267"/>
      <c r="N596" s="267"/>
      <c r="O596" s="267"/>
      <c r="P596" s="267"/>
      <c r="Q596" s="267"/>
      <c r="R596" s="267"/>
      <c r="S596" s="267"/>
      <c r="T596" s="267"/>
      <c r="U596" s="267"/>
      <c r="V596" s="267"/>
      <c r="W596" s="267"/>
      <c r="X596" s="267"/>
    </row>
    <row r="597">
      <c r="A597" s="267"/>
      <c r="B597" s="87"/>
      <c r="C597" s="87"/>
      <c r="D597" s="87"/>
      <c r="E597" s="267"/>
      <c r="F597" s="87"/>
      <c r="G597" s="267"/>
      <c r="H597" s="267"/>
      <c r="I597" s="267"/>
      <c r="J597" s="267"/>
      <c r="K597" s="267"/>
      <c r="L597" s="267"/>
      <c r="M597" s="267"/>
      <c r="N597" s="267"/>
      <c r="O597" s="267"/>
      <c r="P597" s="267"/>
      <c r="Q597" s="267"/>
      <c r="R597" s="267"/>
      <c r="S597" s="267"/>
      <c r="T597" s="267"/>
      <c r="U597" s="267"/>
      <c r="V597" s="267"/>
      <c r="W597" s="267"/>
      <c r="X597" s="267"/>
    </row>
    <row r="598">
      <c r="A598" s="267"/>
      <c r="B598" s="87"/>
      <c r="C598" s="87"/>
      <c r="D598" s="87"/>
      <c r="E598" s="267"/>
      <c r="F598" s="87"/>
      <c r="G598" s="267"/>
      <c r="H598" s="267"/>
      <c r="I598" s="267"/>
      <c r="J598" s="267"/>
      <c r="K598" s="267"/>
      <c r="L598" s="267"/>
      <c r="M598" s="267"/>
      <c r="N598" s="267"/>
      <c r="O598" s="267"/>
      <c r="P598" s="267"/>
      <c r="Q598" s="267"/>
      <c r="R598" s="267"/>
      <c r="S598" s="267"/>
      <c r="T598" s="267"/>
      <c r="U598" s="267"/>
      <c r="V598" s="267"/>
      <c r="W598" s="267"/>
      <c r="X598" s="267"/>
    </row>
    <row r="599">
      <c r="A599" s="267"/>
      <c r="B599" s="87"/>
      <c r="C599" s="87"/>
      <c r="D599" s="87"/>
      <c r="E599" s="267"/>
      <c r="F599" s="87"/>
      <c r="G599" s="267"/>
      <c r="H599" s="267"/>
      <c r="I599" s="267"/>
      <c r="J599" s="267"/>
      <c r="K599" s="267"/>
      <c r="L599" s="267"/>
      <c r="M599" s="267"/>
      <c r="N599" s="267"/>
      <c r="O599" s="267"/>
      <c r="P599" s="267"/>
      <c r="Q599" s="267"/>
      <c r="R599" s="267"/>
      <c r="S599" s="267"/>
      <c r="T599" s="267"/>
      <c r="U599" s="267"/>
      <c r="V599" s="267"/>
      <c r="W599" s="267"/>
      <c r="X599" s="267"/>
    </row>
    <row r="600">
      <c r="A600" s="267"/>
      <c r="B600" s="87"/>
      <c r="C600" s="87"/>
      <c r="D600" s="87"/>
      <c r="E600" s="267"/>
      <c r="F600" s="87"/>
      <c r="G600" s="267"/>
      <c r="H600" s="267"/>
      <c r="I600" s="267"/>
      <c r="J600" s="267"/>
      <c r="K600" s="267"/>
      <c r="L600" s="267"/>
      <c r="M600" s="267"/>
      <c r="N600" s="267"/>
      <c r="O600" s="267"/>
      <c r="P600" s="267"/>
      <c r="Q600" s="267"/>
      <c r="R600" s="267"/>
      <c r="S600" s="267"/>
      <c r="T600" s="267"/>
      <c r="U600" s="267"/>
      <c r="V600" s="267"/>
      <c r="W600" s="267"/>
      <c r="X600" s="267"/>
    </row>
    <row r="601">
      <c r="A601" s="267"/>
      <c r="B601" s="87"/>
      <c r="C601" s="87"/>
      <c r="D601" s="87"/>
      <c r="E601" s="267"/>
      <c r="F601" s="87"/>
      <c r="G601" s="267"/>
      <c r="H601" s="267"/>
      <c r="I601" s="267"/>
      <c r="J601" s="267"/>
      <c r="K601" s="267"/>
      <c r="L601" s="267"/>
      <c r="M601" s="267"/>
      <c r="N601" s="267"/>
      <c r="O601" s="267"/>
      <c r="P601" s="267"/>
      <c r="Q601" s="267"/>
      <c r="R601" s="267"/>
      <c r="S601" s="267"/>
      <c r="T601" s="267"/>
      <c r="U601" s="267"/>
      <c r="V601" s="267"/>
      <c r="W601" s="267"/>
      <c r="X601" s="267"/>
    </row>
    <row r="602">
      <c r="A602" s="267"/>
      <c r="B602" s="87"/>
      <c r="C602" s="87"/>
      <c r="D602" s="87"/>
      <c r="E602" s="267"/>
      <c r="F602" s="87"/>
      <c r="G602" s="267"/>
      <c r="H602" s="267"/>
      <c r="I602" s="267"/>
      <c r="J602" s="267"/>
      <c r="K602" s="267"/>
      <c r="L602" s="267"/>
      <c r="M602" s="267"/>
      <c r="N602" s="267"/>
      <c r="O602" s="267"/>
      <c r="P602" s="267"/>
      <c r="Q602" s="267"/>
      <c r="R602" s="267"/>
      <c r="S602" s="267"/>
      <c r="T602" s="267"/>
      <c r="U602" s="267"/>
      <c r="V602" s="267"/>
      <c r="W602" s="267"/>
      <c r="X602" s="267"/>
    </row>
    <row r="603">
      <c r="A603" s="267"/>
      <c r="B603" s="87"/>
      <c r="C603" s="87"/>
      <c r="D603" s="87"/>
      <c r="E603" s="267"/>
      <c r="F603" s="87"/>
      <c r="G603" s="267"/>
      <c r="H603" s="267"/>
      <c r="I603" s="267"/>
      <c r="J603" s="267"/>
      <c r="K603" s="267"/>
      <c r="L603" s="267"/>
      <c r="M603" s="267"/>
      <c r="N603" s="267"/>
      <c r="O603" s="267"/>
      <c r="P603" s="267"/>
      <c r="Q603" s="267"/>
      <c r="R603" s="267"/>
      <c r="S603" s="267"/>
      <c r="T603" s="267"/>
      <c r="U603" s="267"/>
      <c r="V603" s="267"/>
      <c r="W603" s="267"/>
      <c r="X603" s="267"/>
    </row>
    <row r="604">
      <c r="A604" s="267"/>
      <c r="B604" s="87"/>
      <c r="C604" s="87"/>
      <c r="D604" s="87"/>
      <c r="E604" s="267"/>
      <c r="F604" s="87"/>
      <c r="G604" s="267"/>
      <c r="H604" s="267"/>
      <c r="I604" s="267"/>
      <c r="J604" s="267"/>
      <c r="K604" s="267"/>
      <c r="L604" s="267"/>
      <c r="M604" s="267"/>
      <c r="N604" s="267"/>
      <c r="O604" s="267"/>
      <c r="P604" s="267"/>
      <c r="Q604" s="267"/>
      <c r="R604" s="267"/>
      <c r="S604" s="267"/>
      <c r="T604" s="267"/>
      <c r="U604" s="267"/>
      <c r="V604" s="267"/>
      <c r="W604" s="267"/>
      <c r="X604" s="267"/>
    </row>
    <row r="605">
      <c r="A605" s="267"/>
      <c r="B605" s="87"/>
      <c r="C605" s="87"/>
      <c r="D605" s="87"/>
      <c r="E605" s="267"/>
      <c r="F605" s="87"/>
      <c r="G605" s="267"/>
      <c r="H605" s="267"/>
      <c r="I605" s="267"/>
      <c r="J605" s="267"/>
      <c r="K605" s="267"/>
      <c r="L605" s="267"/>
      <c r="M605" s="267"/>
      <c r="N605" s="267"/>
      <c r="O605" s="267"/>
      <c r="P605" s="267"/>
      <c r="Q605" s="267"/>
      <c r="R605" s="267"/>
      <c r="S605" s="267"/>
      <c r="T605" s="267"/>
      <c r="U605" s="267"/>
      <c r="V605" s="267"/>
      <c r="W605" s="267"/>
      <c r="X605" s="267"/>
    </row>
    <row r="606">
      <c r="A606" s="267"/>
      <c r="B606" s="87"/>
      <c r="C606" s="87"/>
      <c r="D606" s="87"/>
      <c r="E606" s="267"/>
      <c r="F606" s="87"/>
      <c r="G606" s="267"/>
      <c r="H606" s="267"/>
      <c r="I606" s="267"/>
      <c r="J606" s="267"/>
      <c r="K606" s="267"/>
      <c r="L606" s="267"/>
      <c r="M606" s="267"/>
      <c r="N606" s="267"/>
      <c r="O606" s="267"/>
      <c r="P606" s="267"/>
      <c r="Q606" s="267"/>
      <c r="R606" s="267"/>
      <c r="S606" s="267"/>
      <c r="T606" s="267"/>
      <c r="U606" s="267"/>
      <c r="V606" s="267"/>
      <c r="W606" s="267"/>
      <c r="X606" s="267"/>
    </row>
    <row r="607">
      <c r="A607" s="267"/>
      <c r="B607" s="87"/>
      <c r="C607" s="87"/>
      <c r="D607" s="87"/>
      <c r="E607" s="267"/>
      <c r="F607" s="87"/>
      <c r="G607" s="267"/>
      <c r="H607" s="267"/>
      <c r="I607" s="267"/>
      <c r="J607" s="267"/>
      <c r="K607" s="267"/>
      <c r="L607" s="267"/>
      <c r="M607" s="267"/>
      <c r="N607" s="267"/>
      <c r="O607" s="267"/>
      <c r="P607" s="267"/>
      <c r="Q607" s="267"/>
      <c r="R607" s="267"/>
      <c r="S607" s="267"/>
      <c r="T607" s="267"/>
      <c r="U607" s="267"/>
      <c r="V607" s="267"/>
      <c r="W607" s="267"/>
      <c r="X607" s="267"/>
    </row>
    <row r="608">
      <c r="A608" s="267"/>
      <c r="B608" s="87"/>
      <c r="C608" s="87"/>
      <c r="D608" s="87"/>
      <c r="E608" s="267"/>
      <c r="F608" s="87"/>
      <c r="G608" s="267"/>
      <c r="H608" s="267"/>
      <c r="I608" s="267"/>
      <c r="J608" s="267"/>
      <c r="K608" s="267"/>
      <c r="L608" s="267"/>
      <c r="M608" s="267"/>
      <c r="N608" s="267"/>
      <c r="O608" s="267"/>
      <c r="P608" s="267"/>
      <c r="Q608" s="267"/>
      <c r="R608" s="267"/>
      <c r="S608" s="267"/>
      <c r="T608" s="267"/>
      <c r="U608" s="267"/>
      <c r="V608" s="267"/>
      <c r="W608" s="267"/>
      <c r="X608" s="267"/>
    </row>
    <row r="609">
      <c r="A609" s="267"/>
      <c r="B609" s="87"/>
      <c r="C609" s="87"/>
      <c r="D609" s="87"/>
      <c r="E609" s="267"/>
      <c r="F609" s="87"/>
      <c r="G609" s="267"/>
      <c r="H609" s="267"/>
      <c r="I609" s="267"/>
      <c r="J609" s="267"/>
      <c r="K609" s="267"/>
      <c r="L609" s="267"/>
      <c r="M609" s="267"/>
      <c r="N609" s="267"/>
      <c r="O609" s="267"/>
      <c r="P609" s="267"/>
      <c r="Q609" s="267"/>
      <c r="R609" s="267"/>
      <c r="S609" s="267"/>
      <c r="T609" s="267"/>
      <c r="U609" s="267"/>
      <c r="V609" s="267"/>
      <c r="W609" s="267"/>
      <c r="X609" s="267"/>
    </row>
    <row r="610">
      <c r="A610" s="267"/>
      <c r="B610" s="87"/>
      <c r="C610" s="87"/>
      <c r="D610" s="87"/>
      <c r="E610" s="267"/>
      <c r="F610" s="87"/>
      <c r="G610" s="267"/>
      <c r="H610" s="267"/>
      <c r="I610" s="267"/>
      <c r="J610" s="267"/>
      <c r="K610" s="267"/>
      <c r="L610" s="267"/>
      <c r="M610" s="267"/>
      <c r="N610" s="267"/>
      <c r="O610" s="267"/>
      <c r="P610" s="267"/>
      <c r="Q610" s="267"/>
      <c r="R610" s="267"/>
      <c r="S610" s="267"/>
      <c r="T610" s="267"/>
      <c r="U610" s="267"/>
      <c r="V610" s="267"/>
      <c r="W610" s="267"/>
      <c r="X610" s="267"/>
    </row>
    <row r="611">
      <c r="A611" s="267"/>
      <c r="B611" s="87"/>
      <c r="C611" s="87"/>
      <c r="D611" s="87"/>
      <c r="E611" s="267"/>
      <c r="F611" s="87"/>
      <c r="G611" s="267"/>
      <c r="H611" s="267"/>
      <c r="I611" s="267"/>
      <c r="J611" s="267"/>
      <c r="K611" s="267"/>
      <c r="L611" s="267"/>
      <c r="M611" s="267"/>
      <c r="N611" s="267"/>
      <c r="O611" s="267"/>
      <c r="P611" s="267"/>
      <c r="Q611" s="267"/>
      <c r="R611" s="267"/>
      <c r="S611" s="267"/>
      <c r="T611" s="267"/>
      <c r="U611" s="267"/>
      <c r="V611" s="267"/>
      <c r="W611" s="267"/>
      <c r="X611" s="267"/>
    </row>
    <row r="612">
      <c r="A612" s="267"/>
      <c r="B612" s="87"/>
      <c r="C612" s="87"/>
      <c r="D612" s="87"/>
      <c r="E612" s="267"/>
      <c r="F612" s="87"/>
      <c r="G612" s="267"/>
      <c r="H612" s="267"/>
      <c r="I612" s="267"/>
      <c r="J612" s="267"/>
      <c r="K612" s="267"/>
      <c r="L612" s="267"/>
      <c r="M612" s="267"/>
      <c r="N612" s="267"/>
      <c r="O612" s="267"/>
      <c r="P612" s="267"/>
      <c r="Q612" s="267"/>
      <c r="R612" s="267"/>
      <c r="S612" s="267"/>
      <c r="T612" s="267"/>
      <c r="U612" s="267"/>
      <c r="V612" s="267"/>
      <c r="W612" s="267"/>
      <c r="X612" s="267"/>
    </row>
    <row r="613">
      <c r="A613" s="267"/>
      <c r="B613" s="87"/>
      <c r="C613" s="87"/>
      <c r="D613" s="87"/>
      <c r="E613" s="267"/>
      <c r="F613" s="87"/>
      <c r="G613" s="267"/>
      <c r="H613" s="267"/>
      <c r="I613" s="267"/>
      <c r="J613" s="267"/>
      <c r="K613" s="267"/>
      <c r="L613" s="267"/>
      <c r="M613" s="267"/>
      <c r="N613" s="267"/>
      <c r="O613" s="267"/>
      <c r="P613" s="267"/>
      <c r="Q613" s="267"/>
      <c r="R613" s="267"/>
      <c r="S613" s="267"/>
      <c r="T613" s="267"/>
      <c r="U613" s="267"/>
      <c r="V613" s="267"/>
      <c r="W613" s="267"/>
      <c r="X613" s="267"/>
    </row>
    <row r="614">
      <c r="A614" s="267"/>
      <c r="B614" s="87"/>
      <c r="C614" s="87"/>
      <c r="D614" s="87"/>
      <c r="E614" s="267"/>
      <c r="F614" s="87"/>
      <c r="G614" s="267"/>
      <c r="H614" s="267"/>
      <c r="I614" s="267"/>
      <c r="J614" s="267"/>
      <c r="K614" s="267"/>
      <c r="L614" s="267"/>
      <c r="M614" s="267"/>
      <c r="N614" s="267"/>
      <c r="O614" s="267"/>
      <c r="P614" s="267"/>
      <c r="Q614" s="267"/>
      <c r="R614" s="267"/>
      <c r="S614" s="267"/>
      <c r="T614" s="267"/>
      <c r="U614" s="267"/>
      <c r="V614" s="267"/>
      <c r="W614" s="267"/>
      <c r="X614" s="267"/>
    </row>
    <row r="615">
      <c r="A615" s="267"/>
      <c r="B615" s="87"/>
      <c r="C615" s="87"/>
      <c r="D615" s="87"/>
      <c r="E615" s="267"/>
      <c r="F615" s="87"/>
      <c r="G615" s="267"/>
      <c r="H615" s="267"/>
      <c r="I615" s="267"/>
      <c r="J615" s="267"/>
      <c r="K615" s="267"/>
      <c r="L615" s="267"/>
      <c r="M615" s="267"/>
      <c r="N615" s="267"/>
      <c r="O615" s="267"/>
      <c r="P615" s="267"/>
      <c r="Q615" s="267"/>
      <c r="R615" s="267"/>
      <c r="S615" s="267"/>
      <c r="T615" s="267"/>
      <c r="U615" s="267"/>
      <c r="V615" s="267"/>
      <c r="W615" s="267"/>
      <c r="X615" s="267"/>
    </row>
    <row r="616">
      <c r="A616" s="267"/>
      <c r="B616" s="87"/>
      <c r="C616" s="87"/>
      <c r="D616" s="87"/>
      <c r="E616" s="267"/>
      <c r="F616" s="87"/>
      <c r="G616" s="267"/>
      <c r="H616" s="267"/>
      <c r="I616" s="267"/>
      <c r="J616" s="267"/>
      <c r="K616" s="267"/>
      <c r="L616" s="267"/>
      <c r="M616" s="267"/>
      <c r="N616" s="267"/>
      <c r="O616" s="267"/>
      <c r="P616" s="267"/>
      <c r="Q616" s="267"/>
      <c r="R616" s="267"/>
      <c r="S616" s="267"/>
      <c r="T616" s="267"/>
      <c r="U616" s="267"/>
      <c r="V616" s="267"/>
      <c r="W616" s="267"/>
      <c r="X616" s="267"/>
    </row>
    <row r="617">
      <c r="A617" s="267"/>
      <c r="B617" s="87"/>
      <c r="C617" s="87"/>
      <c r="D617" s="87"/>
      <c r="E617" s="267"/>
      <c r="F617" s="87"/>
      <c r="G617" s="267"/>
      <c r="H617" s="267"/>
      <c r="I617" s="267"/>
      <c r="J617" s="267"/>
      <c r="K617" s="267"/>
      <c r="L617" s="267"/>
      <c r="M617" s="267"/>
      <c r="N617" s="267"/>
      <c r="O617" s="267"/>
      <c r="P617" s="267"/>
      <c r="Q617" s="267"/>
      <c r="R617" s="267"/>
      <c r="S617" s="267"/>
      <c r="T617" s="267"/>
      <c r="U617" s="267"/>
      <c r="V617" s="267"/>
      <c r="W617" s="267"/>
      <c r="X617" s="267"/>
    </row>
    <row r="618">
      <c r="A618" s="267"/>
      <c r="B618" s="87"/>
      <c r="C618" s="87"/>
      <c r="D618" s="87"/>
      <c r="E618" s="267"/>
      <c r="F618" s="87"/>
      <c r="G618" s="267"/>
      <c r="H618" s="267"/>
      <c r="I618" s="267"/>
      <c r="J618" s="267"/>
      <c r="K618" s="267"/>
      <c r="L618" s="267"/>
      <c r="M618" s="267"/>
      <c r="N618" s="267"/>
      <c r="O618" s="267"/>
      <c r="P618" s="267"/>
      <c r="Q618" s="267"/>
      <c r="R618" s="267"/>
      <c r="S618" s="267"/>
      <c r="T618" s="267"/>
      <c r="U618" s="267"/>
      <c r="V618" s="267"/>
      <c r="W618" s="267"/>
      <c r="X618" s="267"/>
    </row>
    <row r="619">
      <c r="A619" s="267"/>
      <c r="B619" s="87"/>
      <c r="C619" s="87"/>
      <c r="D619" s="87"/>
      <c r="E619" s="267"/>
      <c r="F619" s="87"/>
      <c r="G619" s="267"/>
      <c r="H619" s="267"/>
      <c r="I619" s="267"/>
      <c r="J619" s="267"/>
      <c r="K619" s="267"/>
      <c r="L619" s="267"/>
      <c r="M619" s="267"/>
      <c r="N619" s="267"/>
      <c r="O619" s="267"/>
      <c r="P619" s="267"/>
      <c r="Q619" s="267"/>
      <c r="R619" s="267"/>
      <c r="S619" s="267"/>
      <c r="T619" s="267"/>
      <c r="U619" s="267"/>
      <c r="V619" s="267"/>
      <c r="W619" s="267"/>
      <c r="X619" s="267"/>
    </row>
    <row r="620">
      <c r="A620" s="267"/>
      <c r="B620" s="87"/>
      <c r="C620" s="87"/>
      <c r="D620" s="87"/>
      <c r="E620" s="267"/>
      <c r="F620" s="87"/>
      <c r="G620" s="267"/>
      <c r="H620" s="267"/>
      <c r="I620" s="267"/>
      <c r="J620" s="267"/>
      <c r="K620" s="267"/>
      <c r="L620" s="267"/>
      <c r="M620" s="267"/>
      <c r="N620" s="267"/>
      <c r="O620" s="267"/>
      <c r="P620" s="267"/>
      <c r="Q620" s="267"/>
      <c r="R620" s="267"/>
      <c r="S620" s="267"/>
      <c r="T620" s="267"/>
      <c r="U620" s="267"/>
      <c r="V620" s="267"/>
      <c r="W620" s="267"/>
      <c r="X620" s="267"/>
    </row>
    <row r="621">
      <c r="A621" s="267"/>
      <c r="B621" s="87"/>
      <c r="C621" s="87"/>
      <c r="D621" s="87"/>
      <c r="E621" s="267"/>
      <c r="F621" s="87"/>
      <c r="G621" s="267"/>
      <c r="H621" s="267"/>
      <c r="I621" s="267"/>
      <c r="J621" s="267"/>
      <c r="K621" s="267"/>
      <c r="L621" s="267"/>
      <c r="M621" s="267"/>
      <c r="N621" s="267"/>
      <c r="O621" s="267"/>
      <c r="P621" s="267"/>
      <c r="Q621" s="267"/>
      <c r="R621" s="267"/>
      <c r="S621" s="267"/>
      <c r="T621" s="267"/>
      <c r="U621" s="267"/>
      <c r="V621" s="267"/>
      <c r="W621" s="267"/>
      <c r="X621" s="267"/>
    </row>
    <row r="622">
      <c r="A622" s="267"/>
      <c r="B622" s="87"/>
      <c r="C622" s="87"/>
      <c r="D622" s="87"/>
      <c r="E622" s="267"/>
      <c r="F622" s="87"/>
      <c r="G622" s="267"/>
      <c r="H622" s="267"/>
      <c r="I622" s="267"/>
      <c r="J622" s="267"/>
      <c r="K622" s="267"/>
      <c r="L622" s="267"/>
      <c r="M622" s="267"/>
      <c r="N622" s="267"/>
      <c r="O622" s="267"/>
      <c r="P622" s="267"/>
      <c r="Q622" s="267"/>
      <c r="R622" s="267"/>
      <c r="S622" s="267"/>
      <c r="T622" s="267"/>
      <c r="U622" s="267"/>
      <c r="V622" s="267"/>
      <c r="W622" s="267"/>
      <c r="X622" s="267"/>
    </row>
    <row r="623">
      <c r="A623" s="267"/>
      <c r="B623" s="87"/>
      <c r="C623" s="87"/>
      <c r="D623" s="87"/>
      <c r="E623" s="267"/>
      <c r="F623" s="87"/>
      <c r="G623" s="267"/>
      <c r="H623" s="267"/>
      <c r="I623" s="267"/>
      <c r="J623" s="267"/>
      <c r="K623" s="267"/>
      <c r="L623" s="267"/>
      <c r="M623" s="267"/>
      <c r="N623" s="267"/>
      <c r="O623" s="267"/>
      <c r="P623" s="267"/>
      <c r="Q623" s="267"/>
      <c r="R623" s="267"/>
      <c r="S623" s="267"/>
      <c r="T623" s="267"/>
      <c r="U623" s="267"/>
      <c r="V623" s="267"/>
      <c r="W623" s="267"/>
      <c r="X623" s="267"/>
    </row>
    <row r="624">
      <c r="A624" s="267"/>
      <c r="B624" s="87"/>
      <c r="C624" s="87"/>
      <c r="D624" s="87"/>
      <c r="E624" s="267"/>
      <c r="F624" s="87"/>
      <c r="G624" s="267"/>
      <c r="H624" s="267"/>
      <c r="I624" s="267"/>
      <c r="J624" s="267"/>
      <c r="K624" s="267"/>
      <c r="L624" s="267"/>
      <c r="M624" s="267"/>
      <c r="N624" s="267"/>
      <c r="O624" s="267"/>
      <c r="P624" s="267"/>
      <c r="Q624" s="267"/>
      <c r="R624" s="267"/>
      <c r="S624" s="267"/>
      <c r="T624" s="267"/>
      <c r="U624" s="267"/>
      <c r="V624" s="267"/>
      <c r="W624" s="267"/>
      <c r="X624" s="267"/>
    </row>
    <row r="625">
      <c r="A625" s="267"/>
      <c r="B625" s="87"/>
      <c r="C625" s="87"/>
      <c r="D625" s="87"/>
      <c r="E625" s="267"/>
      <c r="F625" s="87"/>
      <c r="G625" s="267"/>
      <c r="H625" s="267"/>
      <c r="I625" s="267"/>
      <c r="J625" s="267"/>
      <c r="K625" s="267"/>
      <c r="L625" s="267"/>
      <c r="M625" s="267"/>
      <c r="N625" s="267"/>
      <c r="O625" s="267"/>
      <c r="P625" s="267"/>
      <c r="Q625" s="267"/>
      <c r="R625" s="267"/>
      <c r="S625" s="267"/>
      <c r="T625" s="267"/>
      <c r="U625" s="267"/>
      <c r="V625" s="267"/>
      <c r="W625" s="267"/>
      <c r="X625" s="267"/>
    </row>
    <row r="626">
      <c r="A626" s="267"/>
      <c r="B626" s="87"/>
      <c r="C626" s="87"/>
      <c r="D626" s="87"/>
      <c r="E626" s="267"/>
      <c r="F626" s="87"/>
      <c r="G626" s="267"/>
      <c r="H626" s="267"/>
      <c r="I626" s="267"/>
      <c r="J626" s="267"/>
      <c r="K626" s="267"/>
      <c r="L626" s="267"/>
      <c r="M626" s="267"/>
      <c r="N626" s="267"/>
      <c r="O626" s="267"/>
      <c r="P626" s="267"/>
      <c r="Q626" s="267"/>
      <c r="R626" s="267"/>
      <c r="S626" s="267"/>
      <c r="T626" s="267"/>
      <c r="U626" s="267"/>
      <c r="V626" s="267"/>
      <c r="W626" s="267"/>
      <c r="X626" s="267"/>
    </row>
    <row r="627">
      <c r="A627" s="267"/>
      <c r="B627" s="87"/>
      <c r="C627" s="87"/>
      <c r="D627" s="87"/>
      <c r="E627" s="267"/>
      <c r="F627" s="87"/>
      <c r="G627" s="267"/>
      <c r="H627" s="267"/>
      <c r="I627" s="267"/>
      <c r="J627" s="267"/>
      <c r="K627" s="267"/>
      <c r="L627" s="267"/>
      <c r="M627" s="267"/>
      <c r="N627" s="267"/>
      <c r="O627" s="267"/>
      <c r="P627" s="267"/>
      <c r="Q627" s="267"/>
      <c r="R627" s="267"/>
      <c r="S627" s="267"/>
      <c r="T627" s="267"/>
      <c r="U627" s="267"/>
      <c r="V627" s="267"/>
      <c r="W627" s="267"/>
      <c r="X627" s="267"/>
    </row>
    <row r="628">
      <c r="A628" s="267"/>
      <c r="B628" s="87"/>
      <c r="C628" s="87"/>
      <c r="D628" s="87"/>
      <c r="E628" s="267"/>
      <c r="F628" s="87"/>
      <c r="G628" s="267"/>
      <c r="H628" s="267"/>
      <c r="I628" s="267"/>
      <c r="J628" s="267"/>
      <c r="K628" s="267"/>
      <c r="L628" s="267"/>
      <c r="M628" s="267"/>
      <c r="N628" s="267"/>
      <c r="O628" s="267"/>
      <c r="P628" s="267"/>
      <c r="Q628" s="267"/>
      <c r="R628" s="267"/>
      <c r="S628" s="267"/>
      <c r="T628" s="267"/>
      <c r="U628" s="267"/>
      <c r="V628" s="267"/>
      <c r="W628" s="267"/>
      <c r="X628" s="267"/>
    </row>
    <row r="629">
      <c r="A629" s="267"/>
      <c r="B629" s="87"/>
      <c r="C629" s="87"/>
      <c r="D629" s="87"/>
      <c r="E629" s="267"/>
      <c r="F629" s="87"/>
      <c r="G629" s="267"/>
      <c r="H629" s="267"/>
      <c r="I629" s="267"/>
      <c r="J629" s="267"/>
      <c r="K629" s="267"/>
      <c r="L629" s="267"/>
      <c r="M629" s="267"/>
      <c r="N629" s="267"/>
      <c r="O629" s="267"/>
      <c r="P629" s="267"/>
      <c r="Q629" s="267"/>
      <c r="R629" s="267"/>
      <c r="S629" s="267"/>
      <c r="T629" s="267"/>
      <c r="U629" s="267"/>
      <c r="V629" s="267"/>
      <c r="W629" s="267"/>
      <c r="X629" s="267"/>
    </row>
    <row r="630">
      <c r="A630" s="267"/>
      <c r="B630" s="87"/>
      <c r="C630" s="87"/>
      <c r="D630" s="87"/>
      <c r="E630" s="267"/>
      <c r="F630" s="87"/>
      <c r="G630" s="267"/>
      <c r="H630" s="267"/>
      <c r="I630" s="267"/>
      <c r="J630" s="267"/>
      <c r="K630" s="267"/>
      <c r="L630" s="267"/>
      <c r="M630" s="267"/>
      <c r="N630" s="267"/>
      <c r="O630" s="267"/>
      <c r="P630" s="267"/>
      <c r="Q630" s="267"/>
      <c r="R630" s="267"/>
      <c r="S630" s="267"/>
      <c r="T630" s="267"/>
      <c r="U630" s="267"/>
      <c r="V630" s="267"/>
      <c r="W630" s="267"/>
      <c r="X630" s="267"/>
    </row>
    <row r="631">
      <c r="A631" s="267"/>
      <c r="B631" s="87"/>
      <c r="C631" s="87"/>
      <c r="D631" s="87"/>
      <c r="E631" s="267"/>
      <c r="F631" s="87"/>
      <c r="G631" s="267"/>
      <c r="H631" s="267"/>
      <c r="I631" s="267"/>
      <c r="J631" s="267"/>
      <c r="K631" s="267"/>
      <c r="L631" s="267"/>
      <c r="M631" s="267"/>
      <c r="N631" s="267"/>
      <c r="O631" s="267"/>
      <c r="P631" s="267"/>
      <c r="Q631" s="267"/>
      <c r="R631" s="267"/>
      <c r="S631" s="267"/>
      <c r="T631" s="267"/>
      <c r="U631" s="267"/>
      <c r="V631" s="267"/>
      <c r="W631" s="267"/>
      <c r="X631" s="267"/>
    </row>
    <row r="632">
      <c r="A632" s="267"/>
      <c r="B632" s="87"/>
      <c r="C632" s="87"/>
      <c r="D632" s="87"/>
      <c r="E632" s="267"/>
      <c r="F632" s="87"/>
      <c r="G632" s="267"/>
      <c r="H632" s="267"/>
      <c r="I632" s="267"/>
      <c r="J632" s="267"/>
      <c r="K632" s="267"/>
      <c r="L632" s="267"/>
      <c r="M632" s="267"/>
      <c r="N632" s="267"/>
      <c r="O632" s="267"/>
      <c r="P632" s="267"/>
      <c r="Q632" s="267"/>
      <c r="R632" s="267"/>
      <c r="S632" s="267"/>
      <c r="T632" s="267"/>
      <c r="U632" s="267"/>
      <c r="V632" s="267"/>
      <c r="W632" s="267"/>
      <c r="X632" s="267"/>
    </row>
    <row r="633">
      <c r="A633" s="267"/>
      <c r="B633" s="87"/>
      <c r="C633" s="87"/>
      <c r="D633" s="87"/>
      <c r="E633" s="267"/>
      <c r="F633" s="87"/>
      <c r="G633" s="267"/>
      <c r="H633" s="267"/>
      <c r="I633" s="267"/>
      <c r="J633" s="267"/>
      <c r="K633" s="267"/>
      <c r="L633" s="267"/>
      <c r="M633" s="267"/>
      <c r="N633" s="267"/>
      <c r="O633" s="267"/>
      <c r="P633" s="267"/>
      <c r="Q633" s="267"/>
      <c r="R633" s="267"/>
      <c r="S633" s="267"/>
      <c r="T633" s="267"/>
      <c r="U633" s="267"/>
      <c r="V633" s="267"/>
      <c r="W633" s="267"/>
      <c r="X633" s="267"/>
    </row>
    <row r="634">
      <c r="A634" s="267"/>
      <c r="B634" s="87"/>
      <c r="C634" s="87"/>
      <c r="D634" s="87"/>
      <c r="E634" s="267"/>
      <c r="F634" s="87"/>
      <c r="G634" s="267"/>
      <c r="H634" s="267"/>
      <c r="I634" s="267"/>
      <c r="J634" s="267"/>
      <c r="K634" s="267"/>
      <c r="L634" s="267"/>
      <c r="M634" s="267"/>
      <c r="N634" s="267"/>
      <c r="O634" s="267"/>
      <c r="P634" s="267"/>
      <c r="Q634" s="267"/>
      <c r="R634" s="267"/>
      <c r="S634" s="267"/>
      <c r="T634" s="267"/>
      <c r="U634" s="267"/>
      <c r="V634" s="267"/>
      <c r="W634" s="267"/>
      <c r="X634" s="267"/>
    </row>
    <row r="635">
      <c r="A635" s="267"/>
      <c r="B635" s="87"/>
      <c r="C635" s="87"/>
      <c r="D635" s="87"/>
      <c r="E635" s="267"/>
      <c r="F635" s="87"/>
      <c r="G635" s="267"/>
      <c r="H635" s="267"/>
      <c r="I635" s="267"/>
      <c r="J635" s="267"/>
      <c r="K635" s="267"/>
      <c r="L635" s="267"/>
      <c r="M635" s="267"/>
      <c r="N635" s="267"/>
      <c r="O635" s="267"/>
      <c r="P635" s="267"/>
      <c r="Q635" s="267"/>
      <c r="R635" s="267"/>
      <c r="S635" s="267"/>
      <c r="T635" s="267"/>
      <c r="U635" s="267"/>
      <c r="V635" s="267"/>
      <c r="W635" s="267"/>
      <c r="X635" s="267"/>
    </row>
    <row r="636">
      <c r="A636" s="267"/>
      <c r="B636" s="87"/>
      <c r="C636" s="87"/>
      <c r="D636" s="87"/>
      <c r="E636" s="267"/>
      <c r="F636" s="87"/>
      <c r="G636" s="267"/>
      <c r="H636" s="267"/>
      <c r="I636" s="267"/>
      <c r="J636" s="267"/>
      <c r="K636" s="267"/>
      <c r="L636" s="267"/>
      <c r="M636" s="267"/>
      <c r="N636" s="267"/>
      <c r="O636" s="267"/>
      <c r="P636" s="267"/>
      <c r="Q636" s="267"/>
      <c r="R636" s="267"/>
      <c r="S636" s="267"/>
      <c r="T636" s="267"/>
      <c r="U636" s="267"/>
      <c r="V636" s="267"/>
      <c r="W636" s="267"/>
      <c r="X636" s="267"/>
    </row>
    <row r="637">
      <c r="A637" s="267"/>
      <c r="B637" s="87"/>
      <c r="C637" s="87"/>
      <c r="D637" s="87"/>
      <c r="E637" s="267"/>
      <c r="F637" s="87"/>
      <c r="G637" s="267"/>
      <c r="H637" s="267"/>
      <c r="I637" s="267"/>
      <c r="J637" s="267"/>
      <c r="K637" s="267"/>
      <c r="L637" s="267"/>
      <c r="M637" s="267"/>
      <c r="N637" s="267"/>
      <c r="O637" s="267"/>
      <c r="P637" s="267"/>
      <c r="Q637" s="267"/>
      <c r="R637" s="267"/>
      <c r="S637" s="267"/>
      <c r="T637" s="267"/>
      <c r="U637" s="267"/>
      <c r="V637" s="267"/>
      <c r="W637" s="267"/>
      <c r="X637" s="267"/>
    </row>
    <row r="638">
      <c r="A638" s="267"/>
      <c r="B638" s="87"/>
      <c r="C638" s="87"/>
      <c r="D638" s="87"/>
      <c r="E638" s="267"/>
      <c r="F638" s="87"/>
      <c r="G638" s="267"/>
      <c r="H638" s="267"/>
      <c r="I638" s="267"/>
      <c r="J638" s="267"/>
      <c r="K638" s="267"/>
      <c r="L638" s="267"/>
      <c r="M638" s="267"/>
      <c r="N638" s="267"/>
      <c r="O638" s="267"/>
      <c r="P638" s="267"/>
      <c r="Q638" s="267"/>
      <c r="R638" s="267"/>
      <c r="S638" s="267"/>
      <c r="T638" s="267"/>
      <c r="U638" s="267"/>
      <c r="V638" s="267"/>
      <c r="W638" s="267"/>
      <c r="X638" s="267"/>
    </row>
    <row r="639">
      <c r="A639" s="267"/>
      <c r="B639" s="87"/>
      <c r="C639" s="87"/>
      <c r="D639" s="87"/>
      <c r="E639" s="267"/>
      <c r="F639" s="87"/>
      <c r="G639" s="267"/>
      <c r="H639" s="267"/>
      <c r="I639" s="267"/>
      <c r="J639" s="267"/>
      <c r="K639" s="267"/>
      <c r="L639" s="267"/>
      <c r="M639" s="267"/>
      <c r="N639" s="267"/>
      <c r="O639" s="267"/>
      <c r="P639" s="267"/>
      <c r="Q639" s="267"/>
      <c r="R639" s="267"/>
      <c r="S639" s="267"/>
      <c r="T639" s="267"/>
      <c r="U639" s="267"/>
      <c r="V639" s="267"/>
      <c r="W639" s="267"/>
      <c r="X639" s="267"/>
    </row>
    <row r="640">
      <c r="A640" s="267"/>
      <c r="B640" s="87"/>
      <c r="C640" s="87"/>
      <c r="D640" s="87"/>
      <c r="E640" s="267"/>
      <c r="F640" s="87"/>
      <c r="G640" s="267"/>
      <c r="H640" s="267"/>
      <c r="I640" s="267"/>
      <c r="J640" s="267"/>
      <c r="K640" s="267"/>
      <c r="L640" s="267"/>
      <c r="M640" s="267"/>
      <c r="N640" s="267"/>
      <c r="O640" s="267"/>
      <c r="P640" s="267"/>
      <c r="Q640" s="267"/>
      <c r="R640" s="267"/>
      <c r="S640" s="267"/>
      <c r="T640" s="267"/>
      <c r="U640" s="267"/>
      <c r="V640" s="267"/>
      <c r="W640" s="267"/>
      <c r="X640" s="267"/>
    </row>
    <row r="641">
      <c r="A641" s="267"/>
      <c r="B641" s="87"/>
      <c r="C641" s="87"/>
      <c r="D641" s="87"/>
      <c r="E641" s="267"/>
      <c r="F641" s="87"/>
      <c r="G641" s="267"/>
      <c r="H641" s="267"/>
      <c r="I641" s="267"/>
      <c r="J641" s="267"/>
      <c r="K641" s="267"/>
      <c r="L641" s="267"/>
      <c r="M641" s="267"/>
      <c r="N641" s="267"/>
      <c r="O641" s="267"/>
      <c r="P641" s="267"/>
      <c r="Q641" s="267"/>
      <c r="R641" s="267"/>
      <c r="S641" s="267"/>
      <c r="T641" s="267"/>
      <c r="U641" s="267"/>
      <c r="V641" s="267"/>
      <c r="W641" s="267"/>
      <c r="X641" s="267"/>
    </row>
    <row r="642">
      <c r="A642" s="267"/>
      <c r="B642" s="87"/>
      <c r="C642" s="87"/>
      <c r="D642" s="87"/>
      <c r="E642" s="267"/>
      <c r="F642" s="87"/>
      <c r="G642" s="267"/>
      <c r="H642" s="267"/>
      <c r="I642" s="267"/>
      <c r="J642" s="267"/>
      <c r="K642" s="267"/>
      <c r="L642" s="267"/>
      <c r="M642" s="267"/>
      <c r="N642" s="267"/>
      <c r="O642" s="267"/>
      <c r="P642" s="267"/>
      <c r="Q642" s="267"/>
      <c r="R642" s="267"/>
      <c r="S642" s="267"/>
      <c r="T642" s="267"/>
      <c r="U642" s="267"/>
      <c r="V642" s="267"/>
      <c r="W642" s="267"/>
      <c r="X642" s="267"/>
    </row>
    <row r="643">
      <c r="A643" s="267"/>
      <c r="B643" s="87"/>
      <c r="C643" s="87"/>
      <c r="D643" s="87"/>
      <c r="E643" s="267"/>
      <c r="F643" s="87"/>
      <c r="G643" s="267"/>
      <c r="H643" s="267"/>
      <c r="I643" s="267"/>
      <c r="J643" s="267"/>
      <c r="K643" s="267"/>
      <c r="L643" s="267"/>
      <c r="M643" s="267"/>
      <c r="N643" s="267"/>
      <c r="O643" s="267"/>
      <c r="P643" s="267"/>
      <c r="Q643" s="267"/>
      <c r="R643" s="267"/>
      <c r="S643" s="267"/>
      <c r="T643" s="267"/>
      <c r="U643" s="267"/>
      <c r="V643" s="267"/>
      <c r="W643" s="267"/>
      <c r="X643" s="267"/>
    </row>
    <row r="644">
      <c r="A644" s="267"/>
      <c r="B644" s="87"/>
      <c r="C644" s="87"/>
      <c r="D644" s="87"/>
      <c r="E644" s="267"/>
      <c r="F644" s="87"/>
      <c r="G644" s="267"/>
      <c r="H644" s="267"/>
      <c r="I644" s="267"/>
      <c r="J644" s="267"/>
      <c r="K644" s="267"/>
      <c r="L644" s="267"/>
      <c r="M644" s="267"/>
      <c r="N644" s="267"/>
      <c r="O644" s="267"/>
      <c r="P644" s="267"/>
      <c r="Q644" s="267"/>
      <c r="R644" s="267"/>
      <c r="S644" s="267"/>
      <c r="T644" s="267"/>
      <c r="U644" s="267"/>
      <c r="V644" s="267"/>
      <c r="W644" s="267"/>
      <c r="X644" s="267"/>
    </row>
    <row r="645">
      <c r="A645" s="267"/>
      <c r="B645" s="87"/>
      <c r="C645" s="87"/>
      <c r="D645" s="87"/>
      <c r="E645" s="267"/>
      <c r="F645" s="87"/>
      <c r="G645" s="267"/>
      <c r="H645" s="267"/>
      <c r="I645" s="267"/>
      <c r="J645" s="267"/>
      <c r="K645" s="267"/>
      <c r="L645" s="267"/>
      <c r="M645" s="267"/>
      <c r="N645" s="267"/>
      <c r="O645" s="267"/>
      <c r="P645" s="267"/>
      <c r="Q645" s="267"/>
      <c r="R645" s="267"/>
      <c r="S645" s="267"/>
      <c r="T645" s="267"/>
      <c r="U645" s="267"/>
      <c r="V645" s="267"/>
      <c r="W645" s="267"/>
      <c r="X645" s="267"/>
    </row>
    <row r="646">
      <c r="A646" s="267"/>
      <c r="B646" s="87"/>
      <c r="C646" s="87"/>
      <c r="D646" s="87"/>
      <c r="E646" s="267"/>
      <c r="F646" s="87"/>
      <c r="G646" s="267"/>
      <c r="H646" s="267"/>
      <c r="I646" s="267"/>
      <c r="J646" s="267"/>
      <c r="K646" s="267"/>
      <c r="L646" s="267"/>
      <c r="M646" s="267"/>
      <c r="N646" s="267"/>
      <c r="O646" s="267"/>
      <c r="P646" s="267"/>
      <c r="Q646" s="267"/>
      <c r="R646" s="267"/>
      <c r="S646" s="267"/>
      <c r="T646" s="267"/>
      <c r="U646" s="267"/>
      <c r="V646" s="267"/>
      <c r="W646" s="267"/>
      <c r="X646" s="267"/>
    </row>
    <row r="647">
      <c r="A647" s="267"/>
      <c r="B647" s="87"/>
      <c r="C647" s="87"/>
      <c r="D647" s="87"/>
      <c r="E647" s="267"/>
      <c r="F647" s="87"/>
      <c r="G647" s="267"/>
      <c r="H647" s="267"/>
      <c r="I647" s="267"/>
      <c r="J647" s="267"/>
      <c r="K647" s="267"/>
      <c r="L647" s="267"/>
      <c r="M647" s="267"/>
      <c r="N647" s="267"/>
      <c r="O647" s="267"/>
      <c r="P647" s="267"/>
      <c r="Q647" s="267"/>
      <c r="R647" s="267"/>
      <c r="S647" s="267"/>
      <c r="T647" s="267"/>
      <c r="U647" s="267"/>
      <c r="V647" s="267"/>
      <c r="W647" s="267"/>
      <c r="X647" s="267"/>
    </row>
    <row r="648">
      <c r="A648" s="267"/>
      <c r="B648" s="87"/>
      <c r="C648" s="87"/>
      <c r="D648" s="87"/>
      <c r="E648" s="267"/>
      <c r="F648" s="87"/>
      <c r="G648" s="267"/>
      <c r="H648" s="267"/>
      <c r="I648" s="267"/>
      <c r="J648" s="267"/>
      <c r="K648" s="267"/>
      <c r="L648" s="267"/>
      <c r="M648" s="267"/>
      <c r="N648" s="267"/>
      <c r="O648" s="267"/>
      <c r="P648" s="267"/>
      <c r="Q648" s="267"/>
      <c r="R648" s="267"/>
      <c r="S648" s="267"/>
      <c r="T648" s="267"/>
      <c r="U648" s="267"/>
      <c r="V648" s="267"/>
      <c r="W648" s="267"/>
      <c r="X648" s="267"/>
    </row>
    <row r="649">
      <c r="A649" s="267"/>
      <c r="B649" s="87"/>
      <c r="C649" s="87"/>
      <c r="D649" s="87"/>
      <c r="E649" s="267"/>
      <c r="F649" s="87"/>
      <c r="G649" s="267"/>
      <c r="H649" s="267"/>
      <c r="I649" s="267"/>
      <c r="J649" s="267"/>
      <c r="K649" s="267"/>
      <c r="L649" s="267"/>
      <c r="M649" s="267"/>
      <c r="N649" s="267"/>
      <c r="O649" s="267"/>
      <c r="P649" s="267"/>
      <c r="Q649" s="267"/>
      <c r="R649" s="267"/>
      <c r="S649" s="267"/>
      <c r="T649" s="267"/>
      <c r="U649" s="267"/>
      <c r="V649" s="267"/>
      <c r="W649" s="267"/>
      <c r="X649" s="267"/>
    </row>
    <row r="650">
      <c r="A650" s="267"/>
      <c r="B650" s="87"/>
      <c r="C650" s="87"/>
      <c r="D650" s="87"/>
      <c r="E650" s="267"/>
      <c r="F650" s="87"/>
      <c r="G650" s="267"/>
      <c r="H650" s="267"/>
      <c r="I650" s="267"/>
      <c r="J650" s="267"/>
      <c r="K650" s="267"/>
      <c r="L650" s="267"/>
      <c r="M650" s="267"/>
      <c r="N650" s="267"/>
      <c r="O650" s="267"/>
      <c r="P650" s="267"/>
      <c r="Q650" s="267"/>
      <c r="R650" s="267"/>
      <c r="S650" s="267"/>
      <c r="T650" s="267"/>
      <c r="U650" s="267"/>
      <c r="V650" s="267"/>
      <c r="W650" s="267"/>
      <c r="X650" s="267"/>
    </row>
    <row r="651">
      <c r="A651" s="267"/>
      <c r="B651" s="87"/>
      <c r="C651" s="87"/>
      <c r="D651" s="87"/>
      <c r="E651" s="267"/>
      <c r="F651" s="87"/>
      <c r="G651" s="267"/>
      <c r="H651" s="267"/>
      <c r="I651" s="267"/>
      <c r="J651" s="267"/>
      <c r="K651" s="267"/>
      <c r="L651" s="267"/>
      <c r="M651" s="267"/>
      <c r="N651" s="267"/>
      <c r="O651" s="267"/>
      <c r="P651" s="267"/>
      <c r="Q651" s="267"/>
      <c r="R651" s="267"/>
      <c r="S651" s="267"/>
      <c r="T651" s="267"/>
      <c r="U651" s="267"/>
      <c r="V651" s="267"/>
      <c r="W651" s="267"/>
      <c r="X651" s="267"/>
    </row>
    <row r="652">
      <c r="A652" s="267"/>
      <c r="B652" s="87"/>
      <c r="C652" s="87"/>
      <c r="D652" s="87"/>
      <c r="E652" s="267"/>
      <c r="F652" s="87"/>
      <c r="G652" s="267"/>
      <c r="H652" s="267"/>
      <c r="I652" s="267"/>
      <c r="J652" s="267"/>
      <c r="K652" s="267"/>
      <c r="L652" s="267"/>
      <c r="M652" s="267"/>
      <c r="N652" s="267"/>
      <c r="O652" s="267"/>
      <c r="P652" s="267"/>
      <c r="Q652" s="267"/>
      <c r="R652" s="267"/>
      <c r="S652" s="267"/>
      <c r="T652" s="267"/>
      <c r="U652" s="267"/>
      <c r="V652" s="267"/>
      <c r="W652" s="267"/>
      <c r="X652" s="267"/>
    </row>
    <row r="653">
      <c r="A653" s="267"/>
      <c r="B653" s="87"/>
      <c r="C653" s="87"/>
      <c r="D653" s="87"/>
      <c r="E653" s="267"/>
      <c r="F653" s="87"/>
      <c r="G653" s="267"/>
      <c r="H653" s="267"/>
      <c r="I653" s="267"/>
      <c r="J653" s="267"/>
      <c r="K653" s="267"/>
      <c r="L653" s="267"/>
      <c r="M653" s="267"/>
      <c r="N653" s="267"/>
      <c r="O653" s="267"/>
      <c r="P653" s="267"/>
      <c r="Q653" s="267"/>
      <c r="R653" s="267"/>
      <c r="S653" s="267"/>
      <c r="T653" s="267"/>
      <c r="U653" s="267"/>
      <c r="V653" s="267"/>
      <c r="W653" s="267"/>
      <c r="X653" s="267"/>
    </row>
    <row r="654">
      <c r="A654" s="267"/>
      <c r="B654" s="87"/>
      <c r="C654" s="87"/>
      <c r="D654" s="87"/>
      <c r="E654" s="267"/>
      <c r="F654" s="87"/>
      <c r="G654" s="267"/>
      <c r="H654" s="267"/>
      <c r="I654" s="267"/>
      <c r="J654" s="267"/>
      <c r="K654" s="267"/>
      <c r="L654" s="267"/>
      <c r="M654" s="267"/>
      <c r="N654" s="267"/>
      <c r="O654" s="267"/>
      <c r="P654" s="267"/>
      <c r="Q654" s="267"/>
      <c r="R654" s="267"/>
      <c r="S654" s="267"/>
      <c r="T654" s="267"/>
      <c r="U654" s="267"/>
      <c r="V654" s="267"/>
      <c r="W654" s="267"/>
      <c r="X654" s="267"/>
    </row>
    <row r="655">
      <c r="A655" s="267"/>
      <c r="B655" s="87"/>
      <c r="C655" s="87"/>
      <c r="D655" s="87"/>
      <c r="E655" s="267"/>
      <c r="F655" s="87"/>
      <c r="G655" s="267"/>
      <c r="H655" s="267"/>
      <c r="I655" s="267"/>
      <c r="J655" s="267"/>
      <c r="K655" s="267"/>
      <c r="L655" s="267"/>
      <c r="M655" s="267"/>
      <c r="N655" s="267"/>
      <c r="O655" s="267"/>
      <c r="P655" s="267"/>
      <c r="Q655" s="267"/>
      <c r="R655" s="267"/>
      <c r="S655" s="267"/>
      <c r="T655" s="267"/>
      <c r="U655" s="267"/>
      <c r="V655" s="267"/>
      <c r="W655" s="267"/>
      <c r="X655" s="267"/>
    </row>
    <row r="656">
      <c r="A656" s="267"/>
      <c r="B656" s="87"/>
      <c r="C656" s="87"/>
      <c r="D656" s="87"/>
      <c r="E656" s="267"/>
      <c r="F656" s="87"/>
      <c r="G656" s="267"/>
      <c r="H656" s="267"/>
      <c r="I656" s="267"/>
      <c r="J656" s="267"/>
      <c r="K656" s="267"/>
      <c r="L656" s="267"/>
      <c r="M656" s="267"/>
      <c r="N656" s="267"/>
      <c r="O656" s="267"/>
      <c r="P656" s="267"/>
      <c r="Q656" s="267"/>
      <c r="R656" s="267"/>
      <c r="S656" s="267"/>
      <c r="T656" s="267"/>
      <c r="U656" s="267"/>
      <c r="V656" s="267"/>
      <c r="W656" s="267"/>
      <c r="X656" s="267"/>
    </row>
    <row r="657">
      <c r="A657" s="267"/>
      <c r="B657" s="87"/>
      <c r="C657" s="87"/>
      <c r="D657" s="87"/>
      <c r="E657" s="267"/>
      <c r="F657" s="87"/>
      <c r="G657" s="267"/>
      <c r="H657" s="267"/>
      <c r="I657" s="267"/>
      <c r="J657" s="267"/>
      <c r="K657" s="267"/>
      <c r="L657" s="267"/>
      <c r="M657" s="267"/>
      <c r="N657" s="267"/>
      <c r="O657" s="267"/>
      <c r="P657" s="267"/>
      <c r="Q657" s="267"/>
      <c r="R657" s="267"/>
      <c r="S657" s="267"/>
      <c r="T657" s="267"/>
      <c r="U657" s="267"/>
      <c r="V657" s="267"/>
      <c r="W657" s="267"/>
      <c r="X657" s="267"/>
    </row>
    <row r="658">
      <c r="A658" s="267"/>
      <c r="B658" s="87"/>
      <c r="C658" s="87"/>
      <c r="D658" s="87"/>
      <c r="E658" s="267"/>
      <c r="F658" s="87"/>
      <c r="G658" s="267"/>
      <c r="H658" s="267"/>
      <c r="I658" s="267"/>
      <c r="J658" s="267"/>
      <c r="K658" s="267"/>
      <c r="L658" s="267"/>
      <c r="M658" s="267"/>
      <c r="N658" s="267"/>
      <c r="O658" s="267"/>
      <c r="P658" s="267"/>
      <c r="Q658" s="267"/>
      <c r="R658" s="267"/>
      <c r="S658" s="267"/>
      <c r="T658" s="267"/>
      <c r="U658" s="267"/>
      <c r="V658" s="267"/>
      <c r="W658" s="267"/>
      <c r="X658" s="267"/>
    </row>
    <row r="659">
      <c r="A659" s="267"/>
      <c r="B659" s="87"/>
      <c r="C659" s="87"/>
      <c r="D659" s="87"/>
      <c r="E659" s="267"/>
      <c r="F659" s="87"/>
      <c r="G659" s="267"/>
      <c r="H659" s="267"/>
      <c r="I659" s="267"/>
      <c r="J659" s="267"/>
      <c r="K659" s="267"/>
      <c r="L659" s="267"/>
      <c r="M659" s="267"/>
      <c r="N659" s="267"/>
      <c r="O659" s="267"/>
      <c r="P659" s="267"/>
      <c r="Q659" s="267"/>
      <c r="R659" s="267"/>
      <c r="S659" s="267"/>
      <c r="T659" s="267"/>
      <c r="U659" s="267"/>
      <c r="V659" s="267"/>
      <c r="W659" s="267"/>
      <c r="X659" s="267"/>
    </row>
    <row r="660">
      <c r="A660" s="267"/>
      <c r="B660" s="87"/>
      <c r="C660" s="87"/>
      <c r="D660" s="87"/>
      <c r="E660" s="267"/>
      <c r="F660" s="87"/>
      <c r="G660" s="267"/>
      <c r="H660" s="267"/>
      <c r="I660" s="267"/>
      <c r="J660" s="267"/>
      <c r="K660" s="267"/>
      <c r="L660" s="267"/>
      <c r="M660" s="267"/>
      <c r="N660" s="267"/>
      <c r="O660" s="267"/>
      <c r="P660" s="267"/>
      <c r="Q660" s="267"/>
      <c r="R660" s="267"/>
      <c r="S660" s="267"/>
      <c r="T660" s="267"/>
      <c r="U660" s="267"/>
      <c r="V660" s="267"/>
      <c r="W660" s="267"/>
      <c r="X660" s="267"/>
    </row>
    <row r="661">
      <c r="A661" s="267"/>
      <c r="B661" s="87"/>
      <c r="C661" s="87"/>
      <c r="D661" s="87"/>
      <c r="E661" s="267"/>
      <c r="F661" s="87"/>
      <c r="G661" s="267"/>
      <c r="H661" s="267"/>
      <c r="I661" s="267"/>
      <c r="J661" s="267"/>
      <c r="K661" s="267"/>
      <c r="L661" s="267"/>
      <c r="M661" s="267"/>
      <c r="N661" s="267"/>
      <c r="O661" s="267"/>
      <c r="P661" s="267"/>
      <c r="Q661" s="267"/>
      <c r="R661" s="267"/>
      <c r="S661" s="267"/>
      <c r="T661" s="267"/>
      <c r="U661" s="267"/>
      <c r="V661" s="267"/>
      <c r="W661" s="267"/>
      <c r="X661" s="267"/>
    </row>
    <row r="662">
      <c r="A662" s="267"/>
      <c r="B662" s="87"/>
      <c r="C662" s="87"/>
      <c r="D662" s="87"/>
      <c r="E662" s="267"/>
      <c r="F662" s="87"/>
      <c r="G662" s="267"/>
      <c r="H662" s="267"/>
      <c r="I662" s="267"/>
      <c r="J662" s="267"/>
      <c r="K662" s="267"/>
      <c r="L662" s="267"/>
      <c r="M662" s="267"/>
      <c r="N662" s="267"/>
      <c r="O662" s="267"/>
      <c r="P662" s="267"/>
      <c r="Q662" s="267"/>
      <c r="R662" s="267"/>
      <c r="S662" s="267"/>
      <c r="T662" s="267"/>
      <c r="U662" s="267"/>
      <c r="V662" s="267"/>
      <c r="W662" s="267"/>
      <c r="X662" s="267"/>
    </row>
    <row r="663">
      <c r="A663" s="267"/>
      <c r="B663" s="87"/>
      <c r="C663" s="87"/>
      <c r="D663" s="87"/>
      <c r="E663" s="267"/>
      <c r="F663" s="87"/>
      <c r="G663" s="267"/>
      <c r="H663" s="267"/>
      <c r="I663" s="267"/>
      <c r="J663" s="267"/>
      <c r="K663" s="267"/>
      <c r="L663" s="267"/>
      <c r="M663" s="267"/>
      <c r="N663" s="267"/>
      <c r="O663" s="267"/>
      <c r="P663" s="267"/>
      <c r="Q663" s="267"/>
      <c r="R663" s="267"/>
      <c r="S663" s="267"/>
      <c r="T663" s="267"/>
      <c r="U663" s="267"/>
      <c r="V663" s="267"/>
      <c r="W663" s="267"/>
      <c r="X663" s="267"/>
    </row>
    <row r="664">
      <c r="A664" s="267"/>
      <c r="B664" s="87"/>
      <c r="C664" s="87"/>
      <c r="D664" s="87"/>
      <c r="E664" s="267"/>
      <c r="F664" s="87"/>
      <c r="G664" s="267"/>
      <c r="H664" s="267"/>
      <c r="I664" s="267"/>
      <c r="J664" s="267"/>
      <c r="K664" s="267"/>
      <c r="L664" s="267"/>
      <c r="M664" s="267"/>
      <c r="N664" s="267"/>
      <c r="O664" s="267"/>
      <c r="P664" s="267"/>
      <c r="Q664" s="267"/>
      <c r="R664" s="267"/>
      <c r="S664" s="267"/>
      <c r="T664" s="267"/>
      <c r="U664" s="267"/>
      <c r="V664" s="267"/>
      <c r="W664" s="267"/>
      <c r="X664" s="267"/>
    </row>
    <row r="665">
      <c r="A665" s="267"/>
      <c r="B665" s="87"/>
      <c r="C665" s="87"/>
      <c r="D665" s="87"/>
      <c r="E665" s="267"/>
      <c r="F665" s="87"/>
      <c r="G665" s="267"/>
      <c r="H665" s="267"/>
      <c r="I665" s="267"/>
      <c r="J665" s="267"/>
      <c r="K665" s="267"/>
      <c r="L665" s="267"/>
      <c r="M665" s="267"/>
      <c r="N665" s="267"/>
      <c r="O665" s="267"/>
      <c r="P665" s="267"/>
      <c r="Q665" s="267"/>
      <c r="R665" s="267"/>
      <c r="S665" s="267"/>
      <c r="T665" s="267"/>
      <c r="U665" s="267"/>
      <c r="V665" s="267"/>
      <c r="W665" s="267"/>
      <c r="X665" s="267"/>
    </row>
    <row r="666">
      <c r="A666" s="267"/>
      <c r="B666" s="87"/>
      <c r="C666" s="87"/>
      <c r="D666" s="87"/>
      <c r="E666" s="267"/>
      <c r="F666" s="87"/>
      <c r="G666" s="267"/>
      <c r="H666" s="267"/>
      <c r="I666" s="267"/>
      <c r="J666" s="267"/>
      <c r="K666" s="267"/>
      <c r="L666" s="267"/>
      <c r="M666" s="267"/>
      <c r="N666" s="267"/>
      <c r="O666" s="267"/>
      <c r="P666" s="267"/>
      <c r="Q666" s="267"/>
      <c r="R666" s="267"/>
      <c r="S666" s="267"/>
      <c r="T666" s="267"/>
      <c r="U666" s="267"/>
      <c r="V666" s="267"/>
      <c r="W666" s="267"/>
      <c r="X666" s="267"/>
    </row>
    <row r="667">
      <c r="A667" s="267"/>
      <c r="B667" s="87"/>
      <c r="C667" s="87"/>
      <c r="D667" s="87"/>
      <c r="E667" s="267"/>
      <c r="F667" s="87"/>
      <c r="G667" s="267"/>
      <c r="H667" s="267"/>
      <c r="I667" s="267"/>
      <c r="J667" s="267"/>
      <c r="K667" s="267"/>
      <c r="L667" s="267"/>
      <c r="M667" s="267"/>
      <c r="N667" s="267"/>
      <c r="O667" s="267"/>
      <c r="P667" s="267"/>
      <c r="Q667" s="267"/>
      <c r="R667" s="267"/>
      <c r="S667" s="267"/>
      <c r="T667" s="267"/>
      <c r="U667" s="267"/>
      <c r="V667" s="267"/>
      <c r="W667" s="267"/>
      <c r="X667" s="267"/>
    </row>
    <row r="668">
      <c r="A668" s="267"/>
      <c r="B668" s="87"/>
      <c r="C668" s="87"/>
      <c r="D668" s="87"/>
      <c r="E668" s="267"/>
      <c r="F668" s="87"/>
      <c r="G668" s="267"/>
      <c r="H668" s="267"/>
      <c r="I668" s="267"/>
      <c r="J668" s="267"/>
      <c r="K668" s="267"/>
      <c r="L668" s="267"/>
      <c r="M668" s="267"/>
      <c r="N668" s="267"/>
      <c r="O668" s="267"/>
      <c r="P668" s="267"/>
      <c r="Q668" s="267"/>
      <c r="R668" s="267"/>
      <c r="S668" s="267"/>
      <c r="T668" s="267"/>
      <c r="U668" s="267"/>
      <c r="V668" s="267"/>
      <c r="W668" s="267"/>
      <c r="X668" s="267"/>
    </row>
    <row r="669">
      <c r="A669" s="267"/>
      <c r="B669" s="87"/>
      <c r="C669" s="87"/>
      <c r="D669" s="87"/>
      <c r="E669" s="267"/>
      <c r="F669" s="87"/>
      <c r="G669" s="267"/>
      <c r="H669" s="267"/>
      <c r="I669" s="267"/>
      <c r="J669" s="267"/>
      <c r="K669" s="267"/>
      <c r="L669" s="267"/>
      <c r="M669" s="267"/>
      <c r="N669" s="267"/>
      <c r="O669" s="267"/>
      <c r="P669" s="267"/>
      <c r="Q669" s="267"/>
      <c r="R669" s="267"/>
      <c r="S669" s="267"/>
      <c r="T669" s="267"/>
      <c r="U669" s="267"/>
      <c r="V669" s="267"/>
      <c r="W669" s="267"/>
      <c r="X669" s="267"/>
    </row>
    <row r="670">
      <c r="A670" s="267"/>
      <c r="B670" s="87"/>
      <c r="C670" s="87"/>
      <c r="D670" s="87"/>
      <c r="E670" s="267"/>
      <c r="F670" s="87"/>
      <c r="G670" s="267"/>
      <c r="H670" s="267"/>
      <c r="I670" s="267"/>
      <c r="J670" s="267"/>
      <c r="K670" s="267"/>
      <c r="L670" s="267"/>
      <c r="M670" s="267"/>
      <c r="N670" s="267"/>
      <c r="O670" s="267"/>
      <c r="P670" s="267"/>
      <c r="Q670" s="267"/>
      <c r="R670" s="267"/>
      <c r="S670" s="267"/>
      <c r="T670" s="267"/>
      <c r="U670" s="267"/>
      <c r="V670" s="267"/>
      <c r="W670" s="267"/>
      <c r="X670" s="267"/>
    </row>
    <row r="671">
      <c r="A671" s="267"/>
      <c r="B671" s="87"/>
      <c r="C671" s="87"/>
      <c r="D671" s="87"/>
      <c r="E671" s="267"/>
      <c r="F671" s="87"/>
      <c r="G671" s="267"/>
      <c r="H671" s="267"/>
      <c r="I671" s="267"/>
      <c r="J671" s="267"/>
      <c r="K671" s="267"/>
      <c r="L671" s="267"/>
      <c r="M671" s="267"/>
      <c r="N671" s="267"/>
      <c r="O671" s="267"/>
      <c r="P671" s="267"/>
      <c r="Q671" s="267"/>
      <c r="R671" s="267"/>
      <c r="S671" s="267"/>
      <c r="T671" s="267"/>
      <c r="U671" s="267"/>
      <c r="V671" s="267"/>
      <c r="W671" s="267"/>
      <c r="X671" s="267"/>
    </row>
    <row r="672">
      <c r="A672" s="267"/>
      <c r="B672" s="87"/>
      <c r="C672" s="87"/>
      <c r="D672" s="87"/>
      <c r="E672" s="267"/>
      <c r="F672" s="87"/>
      <c r="G672" s="267"/>
      <c r="H672" s="267"/>
      <c r="I672" s="267"/>
      <c r="J672" s="267"/>
      <c r="K672" s="267"/>
      <c r="L672" s="267"/>
      <c r="M672" s="267"/>
      <c r="N672" s="267"/>
      <c r="O672" s="267"/>
      <c r="P672" s="267"/>
      <c r="Q672" s="267"/>
      <c r="R672" s="267"/>
      <c r="S672" s="267"/>
      <c r="T672" s="267"/>
      <c r="U672" s="267"/>
      <c r="V672" s="267"/>
      <c r="W672" s="267"/>
      <c r="X672" s="267"/>
    </row>
    <row r="673">
      <c r="A673" s="267"/>
      <c r="B673" s="87"/>
      <c r="C673" s="87"/>
      <c r="D673" s="87"/>
      <c r="E673" s="267"/>
      <c r="F673" s="87"/>
      <c r="G673" s="267"/>
      <c r="H673" s="267"/>
      <c r="I673" s="267"/>
      <c r="J673" s="267"/>
      <c r="K673" s="267"/>
      <c r="L673" s="267"/>
      <c r="M673" s="267"/>
      <c r="N673" s="267"/>
      <c r="O673" s="267"/>
      <c r="P673" s="267"/>
      <c r="Q673" s="267"/>
      <c r="R673" s="267"/>
      <c r="S673" s="267"/>
      <c r="T673" s="267"/>
      <c r="U673" s="267"/>
      <c r="V673" s="267"/>
      <c r="W673" s="267"/>
      <c r="X673" s="267"/>
    </row>
    <row r="674">
      <c r="A674" s="267"/>
      <c r="B674" s="87"/>
      <c r="C674" s="87"/>
      <c r="D674" s="87"/>
      <c r="E674" s="267"/>
      <c r="F674" s="87"/>
      <c r="G674" s="267"/>
      <c r="H674" s="267"/>
      <c r="I674" s="267"/>
      <c r="J674" s="267"/>
      <c r="K674" s="267"/>
      <c r="L674" s="267"/>
      <c r="M674" s="267"/>
      <c r="N674" s="267"/>
      <c r="O674" s="267"/>
      <c r="P674" s="267"/>
      <c r="Q674" s="267"/>
      <c r="R674" s="267"/>
      <c r="S674" s="267"/>
      <c r="T674" s="267"/>
      <c r="U674" s="267"/>
      <c r="V674" s="267"/>
      <c r="W674" s="267"/>
      <c r="X674" s="267"/>
    </row>
    <row r="675">
      <c r="A675" s="267"/>
      <c r="B675" s="87"/>
      <c r="C675" s="87"/>
      <c r="D675" s="87"/>
      <c r="E675" s="267"/>
      <c r="F675" s="87"/>
      <c r="G675" s="267"/>
      <c r="H675" s="267"/>
      <c r="I675" s="267"/>
      <c r="J675" s="267"/>
      <c r="K675" s="267"/>
      <c r="L675" s="267"/>
      <c r="M675" s="267"/>
      <c r="N675" s="267"/>
      <c r="O675" s="267"/>
      <c r="P675" s="267"/>
      <c r="Q675" s="267"/>
      <c r="R675" s="267"/>
      <c r="S675" s="267"/>
      <c r="T675" s="267"/>
      <c r="U675" s="267"/>
      <c r="V675" s="267"/>
      <c r="W675" s="267"/>
      <c r="X675" s="267"/>
    </row>
    <row r="676">
      <c r="A676" s="267"/>
      <c r="B676" s="87"/>
      <c r="C676" s="87"/>
      <c r="D676" s="87"/>
      <c r="E676" s="267"/>
      <c r="F676" s="87"/>
      <c r="G676" s="267"/>
      <c r="H676" s="267"/>
      <c r="I676" s="267"/>
      <c r="J676" s="267"/>
      <c r="K676" s="267"/>
      <c r="L676" s="267"/>
      <c r="M676" s="267"/>
      <c r="N676" s="267"/>
      <c r="O676" s="267"/>
      <c r="P676" s="267"/>
      <c r="Q676" s="267"/>
      <c r="R676" s="267"/>
      <c r="S676" s="267"/>
      <c r="T676" s="267"/>
      <c r="U676" s="267"/>
      <c r="V676" s="267"/>
      <c r="W676" s="267"/>
      <c r="X676" s="267"/>
    </row>
    <row r="677">
      <c r="A677" s="267"/>
      <c r="B677" s="87"/>
      <c r="C677" s="87"/>
      <c r="D677" s="87"/>
      <c r="E677" s="267"/>
      <c r="F677" s="87"/>
      <c r="G677" s="267"/>
      <c r="H677" s="267"/>
      <c r="I677" s="267"/>
      <c r="J677" s="267"/>
      <c r="K677" s="267"/>
      <c r="L677" s="267"/>
      <c r="M677" s="267"/>
      <c r="N677" s="267"/>
      <c r="O677" s="267"/>
      <c r="P677" s="267"/>
      <c r="Q677" s="267"/>
      <c r="R677" s="267"/>
      <c r="S677" s="267"/>
      <c r="T677" s="267"/>
      <c r="U677" s="267"/>
      <c r="V677" s="267"/>
      <c r="W677" s="267"/>
      <c r="X677" s="267"/>
    </row>
    <row r="678">
      <c r="A678" s="267"/>
      <c r="B678" s="87"/>
      <c r="C678" s="87"/>
      <c r="D678" s="87"/>
      <c r="E678" s="267"/>
      <c r="F678" s="87"/>
      <c r="G678" s="267"/>
      <c r="H678" s="267"/>
      <c r="I678" s="267"/>
      <c r="J678" s="267"/>
      <c r="K678" s="267"/>
      <c r="L678" s="267"/>
      <c r="M678" s="267"/>
      <c r="N678" s="267"/>
      <c r="O678" s="267"/>
      <c r="P678" s="267"/>
      <c r="Q678" s="267"/>
      <c r="R678" s="267"/>
      <c r="S678" s="267"/>
      <c r="T678" s="267"/>
      <c r="U678" s="267"/>
      <c r="V678" s="267"/>
      <c r="W678" s="267"/>
      <c r="X678" s="267"/>
    </row>
    <row r="679">
      <c r="A679" s="267"/>
      <c r="B679" s="87"/>
      <c r="C679" s="87"/>
      <c r="D679" s="87"/>
      <c r="E679" s="267"/>
      <c r="F679" s="87"/>
      <c r="G679" s="267"/>
      <c r="H679" s="267"/>
      <c r="I679" s="267"/>
      <c r="J679" s="267"/>
      <c r="K679" s="267"/>
      <c r="L679" s="267"/>
      <c r="M679" s="267"/>
      <c r="N679" s="267"/>
      <c r="O679" s="267"/>
      <c r="P679" s="267"/>
      <c r="Q679" s="267"/>
      <c r="R679" s="267"/>
      <c r="S679" s="267"/>
      <c r="T679" s="267"/>
      <c r="U679" s="267"/>
      <c r="V679" s="267"/>
      <c r="W679" s="267"/>
      <c r="X679" s="267"/>
    </row>
    <row r="680">
      <c r="A680" s="267"/>
      <c r="B680" s="87"/>
      <c r="C680" s="87"/>
      <c r="D680" s="87"/>
      <c r="E680" s="267"/>
      <c r="F680" s="87"/>
      <c r="G680" s="267"/>
      <c r="H680" s="267"/>
      <c r="I680" s="267"/>
      <c r="J680" s="267"/>
      <c r="K680" s="267"/>
      <c r="L680" s="267"/>
      <c r="M680" s="267"/>
      <c r="N680" s="267"/>
      <c r="O680" s="267"/>
      <c r="P680" s="267"/>
      <c r="Q680" s="267"/>
      <c r="R680" s="267"/>
      <c r="S680" s="267"/>
      <c r="T680" s="267"/>
      <c r="U680" s="267"/>
      <c r="V680" s="267"/>
      <c r="W680" s="267"/>
      <c r="X680" s="267"/>
    </row>
    <row r="681">
      <c r="A681" s="267"/>
      <c r="B681" s="87"/>
      <c r="C681" s="87"/>
      <c r="D681" s="87"/>
      <c r="E681" s="267"/>
      <c r="F681" s="87"/>
      <c r="G681" s="267"/>
      <c r="H681" s="267"/>
      <c r="I681" s="267"/>
      <c r="J681" s="267"/>
      <c r="K681" s="267"/>
      <c r="L681" s="267"/>
      <c r="M681" s="267"/>
      <c r="N681" s="267"/>
      <c r="O681" s="267"/>
      <c r="P681" s="267"/>
      <c r="Q681" s="267"/>
      <c r="R681" s="267"/>
      <c r="S681" s="267"/>
      <c r="T681" s="267"/>
      <c r="U681" s="267"/>
      <c r="V681" s="267"/>
      <c r="W681" s="267"/>
      <c r="X681" s="267"/>
    </row>
    <row r="682">
      <c r="A682" s="267"/>
      <c r="B682" s="87"/>
      <c r="C682" s="87"/>
      <c r="D682" s="87"/>
      <c r="E682" s="267"/>
      <c r="F682" s="87"/>
      <c r="G682" s="267"/>
      <c r="H682" s="267"/>
      <c r="I682" s="267"/>
      <c r="J682" s="267"/>
      <c r="K682" s="267"/>
      <c r="L682" s="267"/>
      <c r="M682" s="267"/>
      <c r="N682" s="267"/>
      <c r="O682" s="267"/>
      <c r="P682" s="267"/>
      <c r="Q682" s="267"/>
      <c r="R682" s="267"/>
      <c r="S682" s="267"/>
      <c r="T682" s="267"/>
      <c r="U682" s="267"/>
      <c r="V682" s="267"/>
      <c r="W682" s="267"/>
      <c r="X682" s="267"/>
    </row>
    <row r="683">
      <c r="A683" s="267"/>
      <c r="B683" s="87"/>
      <c r="C683" s="87"/>
      <c r="D683" s="87"/>
      <c r="E683" s="267"/>
      <c r="F683" s="87"/>
      <c r="G683" s="267"/>
      <c r="H683" s="267"/>
      <c r="I683" s="267"/>
      <c r="J683" s="267"/>
      <c r="K683" s="267"/>
      <c r="L683" s="267"/>
      <c r="M683" s="267"/>
      <c r="N683" s="267"/>
      <c r="O683" s="267"/>
      <c r="P683" s="267"/>
      <c r="Q683" s="267"/>
      <c r="R683" s="267"/>
      <c r="S683" s="267"/>
      <c r="T683" s="267"/>
      <c r="U683" s="267"/>
      <c r="V683" s="267"/>
      <c r="W683" s="267"/>
      <c r="X683" s="267"/>
    </row>
    <row r="684">
      <c r="A684" s="267"/>
      <c r="B684" s="87"/>
      <c r="C684" s="87"/>
      <c r="D684" s="87"/>
      <c r="E684" s="267"/>
      <c r="F684" s="87"/>
      <c r="G684" s="267"/>
      <c r="H684" s="267"/>
      <c r="I684" s="267"/>
      <c r="J684" s="267"/>
      <c r="K684" s="267"/>
      <c r="L684" s="267"/>
      <c r="M684" s="267"/>
      <c r="N684" s="267"/>
      <c r="O684" s="267"/>
      <c r="P684" s="267"/>
      <c r="Q684" s="267"/>
      <c r="R684" s="267"/>
      <c r="S684" s="267"/>
      <c r="T684" s="267"/>
      <c r="U684" s="267"/>
      <c r="V684" s="267"/>
      <c r="W684" s="267"/>
      <c r="X684" s="267"/>
    </row>
    <row r="685">
      <c r="A685" s="267"/>
      <c r="B685" s="87"/>
      <c r="C685" s="87"/>
      <c r="D685" s="87"/>
      <c r="E685" s="267"/>
      <c r="F685" s="87"/>
      <c r="G685" s="267"/>
      <c r="H685" s="267"/>
      <c r="I685" s="267"/>
      <c r="J685" s="267"/>
      <c r="K685" s="267"/>
      <c r="L685" s="267"/>
      <c r="M685" s="267"/>
      <c r="N685" s="267"/>
      <c r="O685" s="267"/>
      <c r="P685" s="267"/>
      <c r="Q685" s="267"/>
      <c r="R685" s="267"/>
      <c r="S685" s="267"/>
      <c r="T685" s="267"/>
      <c r="U685" s="267"/>
      <c r="V685" s="267"/>
      <c r="W685" s="267"/>
      <c r="X685" s="267"/>
    </row>
    <row r="686">
      <c r="A686" s="267"/>
      <c r="B686" s="87"/>
      <c r="C686" s="87"/>
      <c r="D686" s="87"/>
      <c r="E686" s="267"/>
      <c r="F686" s="87"/>
      <c r="G686" s="267"/>
      <c r="H686" s="267"/>
      <c r="I686" s="267"/>
      <c r="J686" s="267"/>
      <c r="K686" s="267"/>
      <c r="L686" s="267"/>
      <c r="M686" s="267"/>
      <c r="N686" s="267"/>
      <c r="O686" s="267"/>
      <c r="P686" s="267"/>
      <c r="Q686" s="267"/>
      <c r="R686" s="267"/>
      <c r="S686" s="267"/>
      <c r="T686" s="267"/>
      <c r="U686" s="267"/>
      <c r="V686" s="267"/>
      <c r="W686" s="267"/>
      <c r="X686" s="267"/>
    </row>
    <row r="687">
      <c r="A687" s="267"/>
      <c r="B687" s="87"/>
      <c r="C687" s="87"/>
      <c r="D687" s="87"/>
      <c r="E687" s="267"/>
      <c r="F687" s="87"/>
      <c r="G687" s="267"/>
      <c r="H687" s="267"/>
      <c r="I687" s="267"/>
      <c r="J687" s="267"/>
      <c r="K687" s="267"/>
      <c r="L687" s="267"/>
      <c r="M687" s="267"/>
      <c r="N687" s="267"/>
      <c r="O687" s="267"/>
      <c r="P687" s="267"/>
      <c r="Q687" s="267"/>
      <c r="R687" s="267"/>
      <c r="S687" s="267"/>
      <c r="T687" s="267"/>
      <c r="U687" s="267"/>
      <c r="V687" s="267"/>
      <c r="W687" s="267"/>
      <c r="X687" s="267"/>
    </row>
    <row r="688">
      <c r="A688" s="267"/>
      <c r="B688" s="87"/>
      <c r="C688" s="87"/>
      <c r="D688" s="87"/>
      <c r="E688" s="267"/>
      <c r="F688" s="87"/>
      <c r="G688" s="267"/>
      <c r="H688" s="267"/>
      <c r="I688" s="267"/>
      <c r="J688" s="267"/>
      <c r="K688" s="267"/>
      <c r="L688" s="267"/>
      <c r="M688" s="267"/>
      <c r="N688" s="267"/>
      <c r="O688" s="267"/>
      <c r="P688" s="267"/>
      <c r="Q688" s="267"/>
      <c r="R688" s="267"/>
      <c r="S688" s="267"/>
      <c r="T688" s="267"/>
      <c r="U688" s="267"/>
      <c r="V688" s="267"/>
      <c r="W688" s="267"/>
      <c r="X688" s="267"/>
    </row>
    <row r="689">
      <c r="A689" s="267"/>
      <c r="B689" s="87"/>
      <c r="C689" s="87"/>
      <c r="D689" s="87"/>
      <c r="E689" s="267"/>
      <c r="F689" s="87"/>
      <c r="G689" s="267"/>
      <c r="H689" s="267"/>
      <c r="I689" s="267"/>
      <c r="J689" s="267"/>
      <c r="K689" s="267"/>
      <c r="L689" s="267"/>
      <c r="M689" s="267"/>
      <c r="N689" s="267"/>
      <c r="O689" s="267"/>
      <c r="P689" s="267"/>
      <c r="Q689" s="267"/>
      <c r="R689" s="267"/>
      <c r="S689" s="267"/>
      <c r="T689" s="267"/>
      <c r="U689" s="267"/>
      <c r="V689" s="267"/>
      <c r="W689" s="267"/>
      <c r="X689" s="267"/>
    </row>
    <row r="690">
      <c r="A690" s="267"/>
      <c r="B690" s="87"/>
      <c r="C690" s="87"/>
      <c r="D690" s="87"/>
      <c r="E690" s="267"/>
      <c r="F690" s="87"/>
      <c r="G690" s="267"/>
      <c r="H690" s="267"/>
      <c r="I690" s="267"/>
      <c r="J690" s="267"/>
      <c r="K690" s="267"/>
      <c r="L690" s="267"/>
      <c r="M690" s="267"/>
      <c r="N690" s="267"/>
      <c r="O690" s="267"/>
      <c r="P690" s="267"/>
      <c r="Q690" s="267"/>
      <c r="R690" s="267"/>
      <c r="S690" s="267"/>
      <c r="T690" s="267"/>
      <c r="U690" s="267"/>
      <c r="V690" s="267"/>
      <c r="W690" s="267"/>
      <c r="X690" s="267"/>
    </row>
    <row r="691">
      <c r="A691" s="267"/>
      <c r="B691" s="87"/>
      <c r="C691" s="87"/>
      <c r="D691" s="87"/>
      <c r="E691" s="267"/>
      <c r="F691" s="87"/>
      <c r="G691" s="267"/>
      <c r="H691" s="267"/>
      <c r="I691" s="267"/>
      <c r="J691" s="267"/>
      <c r="K691" s="267"/>
      <c r="L691" s="267"/>
      <c r="M691" s="267"/>
      <c r="N691" s="267"/>
      <c r="O691" s="267"/>
      <c r="P691" s="267"/>
      <c r="Q691" s="267"/>
      <c r="R691" s="267"/>
      <c r="S691" s="267"/>
      <c r="T691" s="267"/>
      <c r="U691" s="267"/>
      <c r="V691" s="267"/>
      <c r="W691" s="267"/>
      <c r="X691" s="267"/>
    </row>
    <row r="692">
      <c r="A692" s="267"/>
      <c r="B692" s="87"/>
      <c r="C692" s="87"/>
      <c r="D692" s="87"/>
      <c r="E692" s="267"/>
      <c r="F692" s="87"/>
      <c r="G692" s="267"/>
      <c r="H692" s="267"/>
      <c r="I692" s="267"/>
      <c r="J692" s="267"/>
      <c r="K692" s="267"/>
      <c r="L692" s="267"/>
      <c r="M692" s="267"/>
      <c r="N692" s="267"/>
      <c r="O692" s="267"/>
      <c r="P692" s="267"/>
      <c r="Q692" s="267"/>
      <c r="R692" s="267"/>
      <c r="S692" s="267"/>
      <c r="T692" s="267"/>
      <c r="U692" s="267"/>
      <c r="V692" s="267"/>
      <c r="W692" s="267"/>
      <c r="X692" s="267"/>
    </row>
    <row r="693">
      <c r="A693" s="267"/>
      <c r="B693" s="87"/>
      <c r="C693" s="87"/>
      <c r="D693" s="87"/>
      <c r="E693" s="267"/>
      <c r="F693" s="87"/>
      <c r="G693" s="267"/>
      <c r="H693" s="267"/>
      <c r="I693" s="267"/>
      <c r="J693" s="267"/>
      <c r="K693" s="267"/>
      <c r="L693" s="267"/>
      <c r="M693" s="267"/>
      <c r="N693" s="267"/>
      <c r="O693" s="267"/>
      <c r="P693" s="267"/>
      <c r="Q693" s="267"/>
      <c r="R693" s="267"/>
      <c r="S693" s="267"/>
      <c r="T693" s="267"/>
      <c r="U693" s="267"/>
      <c r="V693" s="267"/>
      <c r="W693" s="267"/>
      <c r="X693" s="267"/>
    </row>
    <row r="694">
      <c r="A694" s="267"/>
      <c r="B694" s="87"/>
      <c r="C694" s="87"/>
      <c r="D694" s="87"/>
      <c r="E694" s="267"/>
      <c r="F694" s="87"/>
      <c r="G694" s="267"/>
      <c r="H694" s="267"/>
      <c r="I694" s="267"/>
      <c r="J694" s="267"/>
      <c r="K694" s="267"/>
      <c r="L694" s="267"/>
      <c r="M694" s="267"/>
      <c r="N694" s="267"/>
      <c r="O694" s="267"/>
      <c r="P694" s="267"/>
      <c r="Q694" s="267"/>
      <c r="R694" s="267"/>
      <c r="S694" s="267"/>
      <c r="T694" s="267"/>
      <c r="U694" s="267"/>
      <c r="V694" s="267"/>
      <c r="W694" s="267"/>
      <c r="X694" s="267"/>
    </row>
    <row r="695">
      <c r="A695" s="267"/>
      <c r="B695" s="87"/>
      <c r="C695" s="87"/>
      <c r="D695" s="87"/>
      <c r="E695" s="267"/>
      <c r="F695" s="87"/>
      <c r="G695" s="267"/>
      <c r="H695" s="267"/>
      <c r="I695" s="267"/>
      <c r="J695" s="267"/>
      <c r="K695" s="267"/>
      <c r="L695" s="267"/>
      <c r="M695" s="267"/>
      <c r="N695" s="267"/>
      <c r="O695" s="267"/>
      <c r="P695" s="267"/>
      <c r="Q695" s="267"/>
      <c r="R695" s="267"/>
      <c r="S695" s="267"/>
      <c r="T695" s="267"/>
      <c r="U695" s="267"/>
      <c r="V695" s="267"/>
      <c r="W695" s="267"/>
      <c r="X695" s="267"/>
    </row>
    <row r="696">
      <c r="A696" s="267"/>
      <c r="B696" s="87"/>
      <c r="C696" s="87"/>
      <c r="D696" s="87"/>
      <c r="E696" s="267"/>
      <c r="F696" s="87"/>
      <c r="G696" s="267"/>
      <c r="H696" s="267"/>
      <c r="I696" s="267"/>
      <c r="J696" s="267"/>
      <c r="K696" s="267"/>
      <c r="L696" s="267"/>
      <c r="M696" s="267"/>
      <c r="N696" s="267"/>
      <c r="O696" s="267"/>
      <c r="P696" s="267"/>
      <c r="Q696" s="267"/>
      <c r="R696" s="267"/>
      <c r="S696" s="267"/>
      <c r="T696" s="267"/>
      <c r="U696" s="267"/>
      <c r="V696" s="267"/>
      <c r="W696" s="267"/>
      <c r="X696" s="267"/>
    </row>
    <row r="697">
      <c r="A697" s="267"/>
      <c r="B697" s="87"/>
      <c r="C697" s="87"/>
      <c r="D697" s="87"/>
      <c r="E697" s="267"/>
      <c r="F697" s="87"/>
      <c r="G697" s="267"/>
      <c r="H697" s="267"/>
      <c r="I697" s="267"/>
      <c r="J697" s="267"/>
      <c r="K697" s="267"/>
      <c r="L697" s="267"/>
      <c r="M697" s="267"/>
      <c r="N697" s="267"/>
      <c r="O697" s="267"/>
      <c r="P697" s="267"/>
      <c r="Q697" s="267"/>
      <c r="R697" s="267"/>
      <c r="S697" s="267"/>
      <c r="T697" s="267"/>
      <c r="U697" s="267"/>
      <c r="V697" s="267"/>
      <c r="W697" s="267"/>
      <c r="X697" s="267"/>
    </row>
    <row r="698">
      <c r="A698" s="267"/>
      <c r="B698" s="87"/>
      <c r="C698" s="87"/>
      <c r="D698" s="87"/>
      <c r="E698" s="267"/>
      <c r="F698" s="87"/>
      <c r="G698" s="267"/>
      <c r="H698" s="267"/>
      <c r="I698" s="267"/>
      <c r="J698" s="267"/>
      <c r="K698" s="267"/>
      <c r="L698" s="267"/>
      <c r="M698" s="267"/>
      <c r="N698" s="267"/>
      <c r="O698" s="267"/>
      <c r="P698" s="267"/>
      <c r="Q698" s="267"/>
      <c r="R698" s="267"/>
      <c r="S698" s="267"/>
      <c r="T698" s="267"/>
      <c r="U698" s="267"/>
      <c r="V698" s="267"/>
      <c r="W698" s="267"/>
      <c r="X698" s="267"/>
    </row>
    <row r="699">
      <c r="A699" s="267"/>
      <c r="B699" s="87"/>
      <c r="C699" s="87"/>
      <c r="D699" s="87"/>
      <c r="E699" s="267"/>
      <c r="F699" s="87"/>
      <c r="G699" s="267"/>
      <c r="H699" s="267"/>
      <c r="I699" s="267"/>
      <c r="J699" s="267"/>
      <c r="K699" s="267"/>
      <c r="L699" s="267"/>
      <c r="M699" s="267"/>
      <c r="N699" s="267"/>
      <c r="O699" s="267"/>
      <c r="P699" s="267"/>
      <c r="Q699" s="267"/>
      <c r="R699" s="267"/>
      <c r="S699" s="267"/>
      <c r="T699" s="267"/>
      <c r="U699" s="267"/>
      <c r="V699" s="267"/>
      <c r="W699" s="267"/>
      <c r="X699" s="267"/>
    </row>
    <row r="700">
      <c r="A700" s="267"/>
      <c r="B700" s="87"/>
      <c r="C700" s="87"/>
      <c r="D700" s="87"/>
      <c r="E700" s="267"/>
      <c r="F700" s="87"/>
      <c r="G700" s="267"/>
      <c r="H700" s="267"/>
      <c r="I700" s="267"/>
      <c r="J700" s="267"/>
      <c r="K700" s="267"/>
      <c r="L700" s="267"/>
      <c r="M700" s="267"/>
      <c r="N700" s="267"/>
      <c r="O700" s="267"/>
      <c r="P700" s="267"/>
      <c r="Q700" s="267"/>
      <c r="R700" s="267"/>
      <c r="S700" s="267"/>
      <c r="T700" s="267"/>
      <c r="U700" s="267"/>
      <c r="V700" s="267"/>
      <c r="W700" s="267"/>
      <c r="X700" s="267"/>
    </row>
    <row r="701">
      <c r="A701" s="267"/>
      <c r="B701" s="87"/>
      <c r="C701" s="87"/>
      <c r="D701" s="87"/>
      <c r="E701" s="267"/>
      <c r="F701" s="87"/>
      <c r="G701" s="267"/>
      <c r="H701" s="267"/>
      <c r="I701" s="267"/>
      <c r="J701" s="267"/>
      <c r="K701" s="267"/>
      <c r="L701" s="267"/>
      <c r="M701" s="267"/>
      <c r="N701" s="267"/>
      <c r="O701" s="267"/>
      <c r="P701" s="267"/>
      <c r="Q701" s="267"/>
      <c r="R701" s="267"/>
      <c r="S701" s="267"/>
      <c r="T701" s="267"/>
      <c r="U701" s="267"/>
      <c r="V701" s="267"/>
      <c r="W701" s="267"/>
      <c r="X701" s="267"/>
    </row>
    <row r="702">
      <c r="A702" s="267"/>
      <c r="B702" s="87"/>
      <c r="C702" s="87"/>
      <c r="D702" s="87"/>
      <c r="E702" s="267"/>
      <c r="F702" s="87"/>
      <c r="G702" s="267"/>
      <c r="H702" s="267"/>
      <c r="I702" s="267"/>
      <c r="J702" s="267"/>
      <c r="K702" s="267"/>
      <c r="L702" s="267"/>
      <c r="M702" s="267"/>
      <c r="N702" s="267"/>
      <c r="O702" s="267"/>
      <c r="P702" s="267"/>
      <c r="Q702" s="267"/>
      <c r="R702" s="267"/>
      <c r="S702" s="267"/>
      <c r="T702" s="267"/>
      <c r="U702" s="267"/>
      <c r="V702" s="267"/>
      <c r="W702" s="267"/>
      <c r="X702" s="267"/>
    </row>
    <row r="703">
      <c r="A703" s="267"/>
      <c r="B703" s="87"/>
      <c r="C703" s="87"/>
      <c r="D703" s="87"/>
      <c r="E703" s="267"/>
      <c r="F703" s="87"/>
      <c r="G703" s="267"/>
      <c r="H703" s="267"/>
      <c r="I703" s="267"/>
      <c r="J703" s="267"/>
      <c r="K703" s="267"/>
      <c r="L703" s="267"/>
      <c r="M703" s="267"/>
      <c r="N703" s="267"/>
      <c r="O703" s="267"/>
      <c r="P703" s="267"/>
      <c r="Q703" s="267"/>
      <c r="R703" s="267"/>
      <c r="S703" s="267"/>
      <c r="T703" s="267"/>
      <c r="U703" s="267"/>
      <c r="V703" s="267"/>
      <c r="W703" s="267"/>
      <c r="X703" s="267"/>
    </row>
    <row r="704">
      <c r="A704" s="267"/>
      <c r="B704" s="87"/>
      <c r="C704" s="87"/>
      <c r="D704" s="87"/>
      <c r="E704" s="267"/>
      <c r="F704" s="87"/>
      <c r="G704" s="267"/>
      <c r="H704" s="267"/>
      <c r="I704" s="267"/>
      <c r="J704" s="267"/>
      <c r="K704" s="267"/>
      <c r="L704" s="267"/>
      <c r="M704" s="267"/>
      <c r="N704" s="267"/>
      <c r="O704" s="267"/>
      <c r="P704" s="267"/>
      <c r="Q704" s="267"/>
      <c r="R704" s="267"/>
      <c r="S704" s="267"/>
      <c r="T704" s="267"/>
      <c r="U704" s="267"/>
      <c r="V704" s="267"/>
      <c r="W704" s="267"/>
      <c r="X704" s="267"/>
    </row>
    <row r="705">
      <c r="A705" s="267"/>
      <c r="B705" s="87"/>
      <c r="C705" s="87"/>
      <c r="D705" s="87"/>
      <c r="E705" s="267"/>
      <c r="F705" s="87"/>
      <c r="G705" s="267"/>
      <c r="H705" s="267"/>
      <c r="I705" s="267"/>
      <c r="J705" s="267"/>
      <c r="K705" s="267"/>
      <c r="L705" s="267"/>
      <c r="M705" s="267"/>
      <c r="N705" s="267"/>
      <c r="O705" s="267"/>
      <c r="P705" s="267"/>
      <c r="Q705" s="267"/>
      <c r="R705" s="267"/>
      <c r="S705" s="267"/>
      <c r="T705" s="267"/>
      <c r="U705" s="267"/>
      <c r="V705" s="267"/>
      <c r="W705" s="267"/>
      <c r="X705" s="267"/>
    </row>
    <row r="706">
      <c r="A706" s="267"/>
      <c r="B706" s="87"/>
      <c r="C706" s="87"/>
      <c r="D706" s="87"/>
      <c r="E706" s="267"/>
      <c r="F706" s="87"/>
      <c r="G706" s="267"/>
      <c r="H706" s="267"/>
      <c r="I706" s="267"/>
      <c r="J706" s="267"/>
      <c r="K706" s="267"/>
      <c r="L706" s="267"/>
      <c r="M706" s="267"/>
      <c r="N706" s="267"/>
      <c r="O706" s="267"/>
      <c r="P706" s="267"/>
      <c r="Q706" s="267"/>
      <c r="R706" s="267"/>
      <c r="S706" s="267"/>
      <c r="T706" s="267"/>
      <c r="U706" s="267"/>
      <c r="V706" s="267"/>
      <c r="W706" s="267"/>
      <c r="X706" s="267"/>
    </row>
    <row r="707">
      <c r="A707" s="267"/>
      <c r="B707" s="87"/>
      <c r="C707" s="87"/>
      <c r="D707" s="87"/>
      <c r="E707" s="267"/>
      <c r="F707" s="87"/>
      <c r="G707" s="267"/>
      <c r="H707" s="267"/>
      <c r="I707" s="267"/>
      <c r="J707" s="267"/>
      <c r="K707" s="267"/>
      <c r="L707" s="267"/>
      <c r="M707" s="267"/>
      <c r="N707" s="267"/>
      <c r="O707" s="267"/>
      <c r="P707" s="267"/>
      <c r="Q707" s="267"/>
      <c r="R707" s="267"/>
      <c r="S707" s="267"/>
      <c r="T707" s="267"/>
      <c r="U707" s="267"/>
      <c r="V707" s="267"/>
      <c r="W707" s="267"/>
      <c r="X707" s="267"/>
    </row>
    <row r="708">
      <c r="A708" s="267"/>
      <c r="B708" s="87"/>
      <c r="C708" s="87"/>
      <c r="D708" s="87"/>
      <c r="E708" s="267"/>
      <c r="F708" s="87"/>
      <c r="G708" s="267"/>
      <c r="H708" s="267"/>
      <c r="I708" s="267"/>
      <c r="J708" s="267"/>
      <c r="K708" s="267"/>
      <c r="L708" s="267"/>
      <c r="M708" s="267"/>
      <c r="N708" s="267"/>
      <c r="O708" s="267"/>
      <c r="P708" s="267"/>
      <c r="Q708" s="267"/>
      <c r="R708" s="267"/>
      <c r="S708" s="267"/>
      <c r="T708" s="267"/>
      <c r="U708" s="267"/>
      <c r="V708" s="267"/>
      <c r="W708" s="267"/>
      <c r="X708" s="267"/>
    </row>
    <row r="709">
      <c r="A709" s="267"/>
      <c r="B709" s="87"/>
      <c r="C709" s="87"/>
      <c r="D709" s="87"/>
      <c r="E709" s="267"/>
      <c r="F709" s="87"/>
      <c r="G709" s="267"/>
      <c r="H709" s="267"/>
      <c r="I709" s="267"/>
      <c r="J709" s="267"/>
      <c r="K709" s="267"/>
      <c r="L709" s="267"/>
      <c r="M709" s="267"/>
      <c r="N709" s="267"/>
      <c r="O709" s="267"/>
      <c r="P709" s="267"/>
      <c r="Q709" s="267"/>
      <c r="R709" s="267"/>
      <c r="S709" s="267"/>
      <c r="T709" s="267"/>
      <c r="U709" s="267"/>
      <c r="V709" s="267"/>
      <c r="W709" s="267"/>
      <c r="X709" s="267"/>
    </row>
    <row r="710">
      <c r="A710" s="267"/>
      <c r="B710" s="87"/>
      <c r="C710" s="87"/>
      <c r="D710" s="87"/>
      <c r="E710" s="267"/>
      <c r="F710" s="87"/>
      <c r="G710" s="267"/>
      <c r="H710" s="267"/>
      <c r="I710" s="267"/>
      <c r="J710" s="267"/>
      <c r="K710" s="267"/>
      <c r="L710" s="267"/>
      <c r="M710" s="267"/>
      <c r="N710" s="267"/>
      <c r="O710" s="267"/>
      <c r="P710" s="267"/>
      <c r="Q710" s="267"/>
      <c r="R710" s="267"/>
      <c r="S710" s="267"/>
      <c r="T710" s="267"/>
      <c r="U710" s="267"/>
      <c r="V710" s="267"/>
      <c r="W710" s="267"/>
      <c r="X710" s="267"/>
    </row>
    <row r="711">
      <c r="A711" s="267"/>
      <c r="B711" s="87"/>
      <c r="C711" s="87"/>
      <c r="D711" s="87"/>
      <c r="E711" s="267"/>
      <c r="F711" s="87"/>
      <c r="G711" s="267"/>
      <c r="H711" s="267"/>
      <c r="I711" s="267"/>
      <c r="J711" s="267"/>
      <c r="K711" s="267"/>
      <c r="L711" s="267"/>
      <c r="M711" s="267"/>
      <c r="N711" s="267"/>
      <c r="O711" s="267"/>
      <c r="P711" s="267"/>
      <c r="Q711" s="267"/>
      <c r="R711" s="267"/>
      <c r="S711" s="267"/>
      <c r="T711" s="267"/>
      <c r="U711" s="267"/>
      <c r="V711" s="267"/>
      <c r="W711" s="267"/>
      <c r="X711" s="267"/>
    </row>
    <row r="712">
      <c r="A712" s="267"/>
      <c r="B712" s="87"/>
      <c r="C712" s="87"/>
      <c r="D712" s="87"/>
      <c r="E712" s="267"/>
      <c r="F712" s="87"/>
      <c r="G712" s="267"/>
      <c r="H712" s="267"/>
      <c r="I712" s="267"/>
      <c r="J712" s="267"/>
      <c r="K712" s="267"/>
      <c r="L712" s="267"/>
      <c r="M712" s="267"/>
      <c r="N712" s="267"/>
      <c r="O712" s="267"/>
      <c r="P712" s="267"/>
      <c r="Q712" s="267"/>
      <c r="R712" s="267"/>
      <c r="S712" s="267"/>
      <c r="T712" s="267"/>
      <c r="U712" s="267"/>
      <c r="V712" s="267"/>
      <c r="W712" s="267"/>
      <c r="X712" s="267"/>
    </row>
    <row r="713">
      <c r="A713" s="267"/>
      <c r="B713" s="87"/>
      <c r="C713" s="87"/>
      <c r="D713" s="87"/>
      <c r="E713" s="267"/>
      <c r="F713" s="87"/>
      <c r="G713" s="267"/>
      <c r="H713" s="267"/>
      <c r="I713" s="267"/>
      <c r="J713" s="267"/>
      <c r="K713" s="267"/>
      <c r="L713" s="267"/>
      <c r="M713" s="267"/>
      <c r="N713" s="267"/>
      <c r="O713" s="267"/>
      <c r="P713" s="267"/>
      <c r="Q713" s="267"/>
      <c r="R713" s="267"/>
      <c r="S713" s="267"/>
      <c r="T713" s="267"/>
      <c r="U713" s="267"/>
      <c r="V713" s="267"/>
      <c r="W713" s="267"/>
      <c r="X713" s="267"/>
    </row>
    <row r="714">
      <c r="A714" s="267"/>
      <c r="B714" s="87"/>
      <c r="C714" s="87"/>
      <c r="D714" s="87"/>
      <c r="E714" s="267"/>
      <c r="F714" s="87"/>
      <c r="G714" s="267"/>
      <c r="H714" s="267"/>
      <c r="I714" s="267"/>
      <c r="J714" s="267"/>
      <c r="K714" s="267"/>
      <c r="L714" s="267"/>
      <c r="M714" s="267"/>
      <c r="N714" s="267"/>
      <c r="O714" s="267"/>
      <c r="P714" s="267"/>
      <c r="Q714" s="267"/>
      <c r="R714" s="267"/>
      <c r="S714" s="267"/>
      <c r="T714" s="267"/>
      <c r="U714" s="267"/>
      <c r="V714" s="267"/>
      <c r="W714" s="267"/>
      <c r="X714" s="267"/>
    </row>
    <row r="715">
      <c r="A715" s="267"/>
      <c r="B715" s="87"/>
      <c r="C715" s="87"/>
      <c r="D715" s="87"/>
      <c r="E715" s="267"/>
      <c r="F715" s="87"/>
      <c r="G715" s="267"/>
      <c r="H715" s="267"/>
      <c r="I715" s="267"/>
      <c r="J715" s="267"/>
      <c r="K715" s="267"/>
      <c r="L715" s="267"/>
      <c r="M715" s="267"/>
      <c r="N715" s="267"/>
      <c r="O715" s="267"/>
      <c r="P715" s="267"/>
      <c r="Q715" s="267"/>
      <c r="R715" s="267"/>
      <c r="S715" s="267"/>
      <c r="T715" s="267"/>
      <c r="U715" s="267"/>
      <c r="V715" s="267"/>
      <c r="W715" s="267"/>
      <c r="X715" s="267"/>
    </row>
    <row r="716">
      <c r="A716" s="267"/>
      <c r="B716" s="87"/>
      <c r="C716" s="87"/>
      <c r="D716" s="87"/>
      <c r="E716" s="267"/>
      <c r="F716" s="87"/>
      <c r="G716" s="267"/>
      <c r="H716" s="267"/>
      <c r="I716" s="267"/>
      <c r="J716" s="267"/>
      <c r="K716" s="267"/>
      <c r="L716" s="267"/>
      <c r="M716" s="267"/>
      <c r="N716" s="267"/>
      <c r="O716" s="267"/>
      <c r="P716" s="267"/>
      <c r="Q716" s="267"/>
      <c r="R716" s="267"/>
      <c r="S716" s="267"/>
      <c r="T716" s="267"/>
      <c r="U716" s="267"/>
      <c r="V716" s="267"/>
      <c r="W716" s="267"/>
      <c r="X716" s="267"/>
    </row>
    <row r="717">
      <c r="A717" s="267"/>
      <c r="B717" s="87"/>
      <c r="C717" s="87"/>
      <c r="D717" s="87"/>
      <c r="E717" s="267"/>
      <c r="F717" s="87"/>
      <c r="G717" s="267"/>
      <c r="H717" s="267"/>
      <c r="I717" s="267"/>
      <c r="J717" s="267"/>
      <c r="K717" s="267"/>
      <c r="L717" s="267"/>
      <c r="M717" s="267"/>
      <c r="N717" s="267"/>
      <c r="O717" s="267"/>
      <c r="P717" s="267"/>
      <c r="Q717" s="267"/>
      <c r="R717" s="267"/>
      <c r="S717" s="267"/>
      <c r="T717" s="267"/>
      <c r="U717" s="267"/>
      <c r="V717" s="267"/>
      <c r="W717" s="267"/>
      <c r="X717" s="267"/>
    </row>
    <row r="718">
      <c r="A718" s="267"/>
      <c r="B718" s="87"/>
      <c r="C718" s="87"/>
      <c r="D718" s="87"/>
      <c r="E718" s="267"/>
      <c r="F718" s="87"/>
      <c r="G718" s="267"/>
      <c r="H718" s="267"/>
      <c r="I718" s="267"/>
      <c r="J718" s="267"/>
      <c r="K718" s="267"/>
      <c r="L718" s="267"/>
      <c r="M718" s="267"/>
      <c r="N718" s="267"/>
      <c r="O718" s="267"/>
      <c r="P718" s="267"/>
      <c r="Q718" s="267"/>
      <c r="R718" s="267"/>
      <c r="S718" s="267"/>
      <c r="T718" s="267"/>
      <c r="U718" s="267"/>
      <c r="V718" s="267"/>
      <c r="W718" s="267"/>
      <c r="X718" s="267"/>
    </row>
    <row r="719">
      <c r="A719" s="267"/>
      <c r="B719" s="87"/>
      <c r="C719" s="87"/>
      <c r="D719" s="87"/>
      <c r="E719" s="267"/>
      <c r="F719" s="87"/>
      <c r="G719" s="267"/>
      <c r="H719" s="267"/>
      <c r="I719" s="267"/>
      <c r="J719" s="267"/>
      <c r="K719" s="267"/>
      <c r="L719" s="267"/>
      <c r="M719" s="267"/>
      <c r="N719" s="267"/>
      <c r="O719" s="267"/>
      <c r="P719" s="267"/>
      <c r="Q719" s="267"/>
      <c r="R719" s="267"/>
      <c r="S719" s="267"/>
      <c r="T719" s="267"/>
      <c r="U719" s="267"/>
      <c r="V719" s="267"/>
      <c r="W719" s="267"/>
      <c r="X719" s="267"/>
    </row>
    <row r="720">
      <c r="A720" s="267"/>
      <c r="B720" s="87"/>
      <c r="C720" s="87"/>
      <c r="D720" s="87"/>
      <c r="E720" s="267"/>
      <c r="F720" s="87"/>
      <c r="G720" s="267"/>
      <c r="H720" s="267"/>
      <c r="I720" s="267"/>
      <c r="J720" s="267"/>
      <c r="K720" s="267"/>
      <c r="L720" s="267"/>
      <c r="M720" s="267"/>
      <c r="N720" s="267"/>
      <c r="O720" s="267"/>
      <c r="P720" s="267"/>
      <c r="Q720" s="267"/>
      <c r="R720" s="267"/>
      <c r="S720" s="267"/>
      <c r="T720" s="267"/>
      <c r="U720" s="267"/>
      <c r="V720" s="267"/>
      <c r="W720" s="267"/>
      <c r="X720" s="267"/>
    </row>
    <row r="721">
      <c r="A721" s="267"/>
      <c r="B721" s="87"/>
      <c r="C721" s="87"/>
      <c r="D721" s="87"/>
      <c r="E721" s="267"/>
      <c r="F721" s="87"/>
      <c r="G721" s="267"/>
      <c r="H721" s="267"/>
      <c r="I721" s="267"/>
      <c r="J721" s="267"/>
      <c r="K721" s="267"/>
      <c r="L721" s="267"/>
      <c r="M721" s="267"/>
      <c r="N721" s="267"/>
      <c r="O721" s="267"/>
      <c r="P721" s="267"/>
      <c r="Q721" s="267"/>
      <c r="R721" s="267"/>
      <c r="S721" s="267"/>
      <c r="T721" s="267"/>
      <c r="U721" s="267"/>
      <c r="V721" s="267"/>
      <c r="W721" s="267"/>
      <c r="X721" s="267"/>
    </row>
    <row r="722">
      <c r="A722" s="267"/>
      <c r="B722" s="87"/>
      <c r="C722" s="87"/>
      <c r="D722" s="87"/>
      <c r="E722" s="267"/>
      <c r="F722" s="87"/>
      <c r="G722" s="267"/>
      <c r="H722" s="267"/>
      <c r="I722" s="267"/>
      <c r="J722" s="267"/>
      <c r="K722" s="267"/>
      <c r="L722" s="267"/>
      <c r="M722" s="267"/>
      <c r="N722" s="267"/>
      <c r="O722" s="267"/>
      <c r="P722" s="267"/>
      <c r="Q722" s="267"/>
      <c r="R722" s="267"/>
      <c r="S722" s="267"/>
      <c r="T722" s="267"/>
      <c r="U722" s="267"/>
      <c r="V722" s="267"/>
      <c r="W722" s="267"/>
      <c r="X722" s="267"/>
    </row>
    <row r="723">
      <c r="A723" s="267"/>
      <c r="B723" s="87"/>
      <c r="C723" s="87"/>
      <c r="D723" s="87"/>
      <c r="E723" s="267"/>
      <c r="F723" s="87"/>
      <c r="G723" s="267"/>
      <c r="H723" s="267"/>
      <c r="I723" s="267"/>
      <c r="J723" s="267"/>
      <c r="K723" s="267"/>
      <c r="L723" s="267"/>
      <c r="M723" s="267"/>
      <c r="N723" s="267"/>
      <c r="O723" s="267"/>
      <c r="P723" s="267"/>
      <c r="Q723" s="267"/>
      <c r="R723" s="267"/>
      <c r="S723" s="267"/>
      <c r="T723" s="267"/>
      <c r="U723" s="267"/>
      <c r="V723" s="267"/>
      <c r="W723" s="267"/>
      <c r="X723" s="267"/>
    </row>
    <row r="724">
      <c r="A724" s="267"/>
      <c r="B724" s="87"/>
      <c r="C724" s="87"/>
      <c r="D724" s="87"/>
      <c r="E724" s="267"/>
      <c r="F724" s="87"/>
      <c r="G724" s="267"/>
      <c r="H724" s="267"/>
      <c r="I724" s="267"/>
      <c r="J724" s="267"/>
      <c r="K724" s="267"/>
      <c r="L724" s="267"/>
      <c r="M724" s="267"/>
      <c r="N724" s="267"/>
      <c r="O724" s="267"/>
      <c r="P724" s="267"/>
      <c r="Q724" s="267"/>
      <c r="R724" s="267"/>
      <c r="S724" s="267"/>
      <c r="T724" s="267"/>
      <c r="U724" s="267"/>
      <c r="V724" s="267"/>
      <c r="W724" s="267"/>
      <c r="X724" s="267"/>
    </row>
    <row r="725">
      <c r="A725" s="267"/>
      <c r="B725" s="87"/>
      <c r="C725" s="87"/>
      <c r="D725" s="87"/>
      <c r="E725" s="267"/>
      <c r="F725" s="87"/>
      <c r="G725" s="267"/>
      <c r="H725" s="267"/>
      <c r="I725" s="267"/>
      <c r="J725" s="267"/>
      <c r="K725" s="267"/>
      <c r="L725" s="267"/>
      <c r="M725" s="267"/>
      <c r="N725" s="267"/>
      <c r="O725" s="267"/>
      <c r="P725" s="267"/>
      <c r="Q725" s="267"/>
      <c r="R725" s="267"/>
      <c r="S725" s="267"/>
      <c r="T725" s="267"/>
      <c r="U725" s="267"/>
      <c r="V725" s="267"/>
      <c r="W725" s="267"/>
      <c r="X725" s="267"/>
    </row>
    <row r="726">
      <c r="A726" s="267"/>
      <c r="B726" s="87"/>
      <c r="C726" s="87"/>
      <c r="D726" s="87"/>
      <c r="E726" s="267"/>
      <c r="F726" s="87"/>
      <c r="G726" s="267"/>
      <c r="H726" s="267"/>
      <c r="I726" s="267"/>
      <c r="J726" s="267"/>
      <c r="K726" s="267"/>
      <c r="L726" s="267"/>
      <c r="M726" s="267"/>
      <c r="N726" s="267"/>
      <c r="O726" s="267"/>
      <c r="P726" s="267"/>
      <c r="Q726" s="267"/>
      <c r="R726" s="267"/>
      <c r="S726" s="267"/>
      <c r="T726" s="267"/>
      <c r="U726" s="267"/>
      <c r="V726" s="267"/>
      <c r="W726" s="267"/>
      <c r="X726" s="267"/>
    </row>
    <row r="727">
      <c r="A727" s="267"/>
      <c r="B727" s="87"/>
      <c r="C727" s="87"/>
      <c r="D727" s="87"/>
      <c r="E727" s="267"/>
      <c r="F727" s="87"/>
      <c r="G727" s="267"/>
      <c r="H727" s="267"/>
      <c r="I727" s="267"/>
      <c r="J727" s="267"/>
      <c r="K727" s="267"/>
      <c r="L727" s="267"/>
      <c r="M727" s="267"/>
      <c r="N727" s="267"/>
      <c r="O727" s="267"/>
      <c r="P727" s="267"/>
      <c r="Q727" s="267"/>
      <c r="R727" s="267"/>
      <c r="S727" s="267"/>
      <c r="T727" s="267"/>
      <c r="U727" s="267"/>
      <c r="V727" s="267"/>
      <c r="W727" s="267"/>
      <c r="X727" s="267"/>
    </row>
    <row r="728">
      <c r="A728" s="267"/>
      <c r="B728" s="87"/>
      <c r="C728" s="87"/>
      <c r="D728" s="87"/>
      <c r="E728" s="267"/>
      <c r="F728" s="87"/>
      <c r="G728" s="267"/>
      <c r="H728" s="267"/>
      <c r="I728" s="267"/>
      <c r="J728" s="267"/>
      <c r="K728" s="267"/>
      <c r="L728" s="267"/>
      <c r="M728" s="267"/>
      <c r="N728" s="267"/>
      <c r="O728" s="267"/>
      <c r="P728" s="267"/>
      <c r="Q728" s="267"/>
      <c r="R728" s="267"/>
      <c r="S728" s="267"/>
      <c r="T728" s="267"/>
      <c r="U728" s="267"/>
      <c r="V728" s="267"/>
      <c r="W728" s="267"/>
      <c r="X728" s="267"/>
    </row>
    <row r="729">
      <c r="A729" s="267"/>
      <c r="B729" s="87"/>
      <c r="C729" s="87"/>
      <c r="D729" s="87"/>
      <c r="E729" s="267"/>
      <c r="F729" s="87"/>
      <c r="G729" s="267"/>
      <c r="H729" s="267"/>
      <c r="I729" s="267"/>
      <c r="J729" s="267"/>
      <c r="K729" s="267"/>
      <c r="L729" s="267"/>
      <c r="M729" s="267"/>
      <c r="N729" s="267"/>
      <c r="O729" s="267"/>
      <c r="P729" s="267"/>
      <c r="Q729" s="267"/>
      <c r="R729" s="267"/>
      <c r="S729" s="267"/>
      <c r="T729" s="267"/>
      <c r="U729" s="267"/>
      <c r="V729" s="267"/>
      <c r="W729" s="267"/>
      <c r="X729" s="267"/>
    </row>
    <row r="730">
      <c r="A730" s="267"/>
      <c r="B730" s="87"/>
      <c r="C730" s="87"/>
      <c r="D730" s="87"/>
      <c r="E730" s="267"/>
      <c r="F730" s="87"/>
      <c r="G730" s="267"/>
      <c r="H730" s="267"/>
      <c r="I730" s="267"/>
      <c r="J730" s="267"/>
      <c r="K730" s="267"/>
      <c r="L730" s="267"/>
      <c r="M730" s="267"/>
      <c r="N730" s="267"/>
      <c r="O730" s="267"/>
      <c r="P730" s="267"/>
      <c r="Q730" s="267"/>
      <c r="R730" s="267"/>
      <c r="S730" s="267"/>
      <c r="T730" s="267"/>
      <c r="U730" s="267"/>
      <c r="V730" s="267"/>
      <c r="W730" s="267"/>
      <c r="X730" s="267"/>
    </row>
    <row r="731">
      <c r="A731" s="267"/>
      <c r="B731" s="87"/>
      <c r="C731" s="87"/>
      <c r="D731" s="87"/>
      <c r="E731" s="267"/>
      <c r="F731" s="87"/>
      <c r="G731" s="267"/>
      <c r="H731" s="267"/>
      <c r="I731" s="267"/>
      <c r="J731" s="267"/>
      <c r="K731" s="267"/>
      <c r="L731" s="267"/>
      <c r="M731" s="267"/>
      <c r="N731" s="267"/>
      <c r="O731" s="267"/>
      <c r="P731" s="267"/>
      <c r="Q731" s="267"/>
      <c r="R731" s="267"/>
      <c r="S731" s="267"/>
      <c r="T731" s="267"/>
      <c r="U731" s="267"/>
      <c r="V731" s="267"/>
      <c r="W731" s="267"/>
      <c r="X731" s="267"/>
    </row>
    <row r="732">
      <c r="A732" s="267"/>
      <c r="B732" s="87"/>
      <c r="C732" s="87"/>
      <c r="D732" s="87"/>
      <c r="E732" s="267"/>
      <c r="F732" s="87"/>
      <c r="G732" s="267"/>
      <c r="H732" s="267"/>
      <c r="I732" s="267"/>
      <c r="J732" s="267"/>
      <c r="K732" s="267"/>
      <c r="L732" s="267"/>
      <c r="M732" s="267"/>
      <c r="N732" s="267"/>
      <c r="O732" s="267"/>
      <c r="P732" s="267"/>
      <c r="Q732" s="267"/>
      <c r="R732" s="267"/>
      <c r="S732" s="267"/>
      <c r="T732" s="267"/>
      <c r="U732" s="267"/>
      <c r="V732" s="267"/>
      <c r="W732" s="267"/>
      <c r="X732" s="267"/>
    </row>
    <row r="733">
      <c r="A733" s="267"/>
      <c r="B733" s="87"/>
      <c r="C733" s="87"/>
      <c r="D733" s="87"/>
      <c r="E733" s="267"/>
      <c r="F733" s="87"/>
      <c r="G733" s="267"/>
      <c r="H733" s="267"/>
      <c r="I733" s="267"/>
      <c r="J733" s="267"/>
      <c r="K733" s="267"/>
      <c r="L733" s="267"/>
      <c r="M733" s="267"/>
      <c r="N733" s="267"/>
      <c r="O733" s="267"/>
      <c r="P733" s="267"/>
      <c r="Q733" s="267"/>
      <c r="R733" s="267"/>
      <c r="S733" s="267"/>
      <c r="T733" s="267"/>
      <c r="U733" s="267"/>
      <c r="V733" s="267"/>
      <c r="W733" s="267"/>
      <c r="X733" s="267"/>
    </row>
    <row r="734">
      <c r="A734" s="267"/>
      <c r="B734" s="87"/>
      <c r="C734" s="87"/>
      <c r="D734" s="87"/>
      <c r="E734" s="267"/>
      <c r="F734" s="87"/>
      <c r="G734" s="267"/>
      <c r="H734" s="267"/>
      <c r="I734" s="267"/>
      <c r="J734" s="267"/>
      <c r="K734" s="267"/>
      <c r="L734" s="267"/>
      <c r="M734" s="267"/>
      <c r="N734" s="267"/>
      <c r="O734" s="267"/>
      <c r="P734" s="267"/>
      <c r="Q734" s="267"/>
      <c r="R734" s="267"/>
      <c r="S734" s="267"/>
      <c r="T734" s="267"/>
      <c r="U734" s="267"/>
      <c r="V734" s="267"/>
      <c r="W734" s="267"/>
      <c r="X734" s="267"/>
    </row>
    <row r="735">
      <c r="A735" s="267"/>
      <c r="B735" s="87"/>
      <c r="C735" s="87"/>
      <c r="D735" s="87"/>
      <c r="E735" s="267"/>
      <c r="F735" s="87"/>
      <c r="G735" s="267"/>
      <c r="H735" s="267"/>
      <c r="I735" s="267"/>
      <c r="J735" s="267"/>
      <c r="K735" s="267"/>
      <c r="L735" s="267"/>
      <c r="M735" s="267"/>
      <c r="N735" s="267"/>
      <c r="O735" s="267"/>
      <c r="P735" s="267"/>
      <c r="Q735" s="267"/>
      <c r="R735" s="267"/>
      <c r="S735" s="267"/>
      <c r="T735" s="267"/>
      <c r="U735" s="267"/>
      <c r="V735" s="267"/>
      <c r="W735" s="267"/>
      <c r="X735" s="267"/>
    </row>
    <row r="736">
      <c r="A736" s="267"/>
      <c r="B736" s="87"/>
      <c r="C736" s="87"/>
      <c r="D736" s="87"/>
      <c r="E736" s="267"/>
      <c r="F736" s="87"/>
      <c r="G736" s="267"/>
      <c r="H736" s="267"/>
      <c r="I736" s="267"/>
      <c r="J736" s="267"/>
      <c r="K736" s="267"/>
      <c r="L736" s="267"/>
      <c r="M736" s="267"/>
      <c r="N736" s="267"/>
      <c r="O736" s="267"/>
      <c r="P736" s="267"/>
      <c r="Q736" s="267"/>
      <c r="R736" s="267"/>
      <c r="S736" s="267"/>
      <c r="T736" s="267"/>
      <c r="U736" s="267"/>
      <c r="V736" s="267"/>
      <c r="W736" s="267"/>
      <c r="X736" s="267"/>
    </row>
    <row r="737">
      <c r="A737" s="267"/>
      <c r="B737" s="87"/>
      <c r="C737" s="87"/>
      <c r="D737" s="87"/>
      <c r="E737" s="267"/>
      <c r="F737" s="87"/>
      <c r="G737" s="267"/>
      <c r="H737" s="267"/>
      <c r="I737" s="267"/>
      <c r="J737" s="267"/>
      <c r="K737" s="267"/>
      <c r="L737" s="267"/>
      <c r="M737" s="267"/>
      <c r="N737" s="267"/>
      <c r="O737" s="267"/>
      <c r="P737" s="267"/>
      <c r="Q737" s="267"/>
      <c r="R737" s="267"/>
      <c r="S737" s="267"/>
      <c r="T737" s="267"/>
      <c r="U737" s="267"/>
      <c r="V737" s="267"/>
      <c r="W737" s="267"/>
      <c r="X737" s="267"/>
    </row>
    <row r="738">
      <c r="A738" s="267"/>
      <c r="B738" s="87"/>
      <c r="C738" s="87"/>
      <c r="D738" s="87"/>
      <c r="E738" s="267"/>
      <c r="F738" s="87"/>
      <c r="G738" s="267"/>
      <c r="H738" s="267"/>
      <c r="I738" s="267"/>
      <c r="J738" s="267"/>
      <c r="K738" s="267"/>
      <c r="L738" s="267"/>
      <c r="M738" s="267"/>
      <c r="N738" s="267"/>
      <c r="O738" s="267"/>
      <c r="P738" s="267"/>
      <c r="Q738" s="267"/>
      <c r="R738" s="267"/>
      <c r="S738" s="267"/>
      <c r="T738" s="267"/>
      <c r="U738" s="267"/>
      <c r="V738" s="267"/>
      <c r="W738" s="267"/>
      <c r="X738" s="267"/>
    </row>
    <row r="739">
      <c r="A739" s="267"/>
      <c r="B739" s="87"/>
      <c r="C739" s="87"/>
      <c r="D739" s="87"/>
      <c r="E739" s="267"/>
      <c r="F739" s="87"/>
      <c r="G739" s="267"/>
      <c r="H739" s="267"/>
      <c r="I739" s="267"/>
      <c r="J739" s="267"/>
      <c r="K739" s="267"/>
      <c r="L739" s="267"/>
      <c r="M739" s="267"/>
      <c r="N739" s="267"/>
      <c r="O739" s="267"/>
      <c r="P739" s="267"/>
      <c r="Q739" s="267"/>
      <c r="R739" s="267"/>
      <c r="S739" s="267"/>
      <c r="T739" s="267"/>
      <c r="U739" s="267"/>
      <c r="V739" s="267"/>
      <c r="W739" s="267"/>
      <c r="X739" s="267"/>
    </row>
    <row r="740">
      <c r="A740" s="267"/>
      <c r="B740" s="87"/>
      <c r="C740" s="87"/>
      <c r="D740" s="87"/>
      <c r="E740" s="267"/>
      <c r="F740" s="87"/>
      <c r="G740" s="267"/>
      <c r="H740" s="267"/>
      <c r="I740" s="267"/>
      <c r="J740" s="267"/>
      <c r="K740" s="267"/>
      <c r="L740" s="267"/>
      <c r="M740" s="267"/>
      <c r="N740" s="267"/>
      <c r="O740" s="267"/>
      <c r="P740" s="267"/>
      <c r="Q740" s="267"/>
      <c r="R740" s="267"/>
      <c r="S740" s="267"/>
      <c r="T740" s="267"/>
      <c r="U740" s="267"/>
      <c r="V740" s="267"/>
      <c r="W740" s="267"/>
      <c r="X740" s="267"/>
    </row>
    <row r="741">
      <c r="A741" s="267"/>
      <c r="B741" s="87"/>
      <c r="C741" s="87"/>
      <c r="D741" s="87"/>
      <c r="E741" s="267"/>
      <c r="F741" s="87"/>
      <c r="G741" s="267"/>
      <c r="H741" s="267"/>
      <c r="I741" s="267"/>
      <c r="J741" s="267"/>
      <c r="K741" s="267"/>
      <c r="L741" s="267"/>
      <c r="M741" s="267"/>
      <c r="N741" s="267"/>
      <c r="O741" s="267"/>
      <c r="P741" s="267"/>
      <c r="Q741" s="267"/>
      <c r="R741" s="267"/>
      <c r="S741" s="267"/>
      <c r="T741" s="267"/>
      <c r="U741" s="267"/>
      <c r="V741" s="267"/>
      <c r="W741" s="267"/>
      <c r="X741" s="267"/>
    </row>
    <row r="742">
      <c r="A742" s="267"/>
      <c r="B742" s="87"/>
      <c r="C742" s="87"/>
      <c r="D742" s="87"/>
      <c r="E742" s="267"/>
      <c r="F742" s="87"/>
      <c r="G742" s="267"/>
      <c r="H742" s="267"/>
      <c r="I742" s="267"/>
      <c r="J742" s="267"/>
      <c r="K742" s="267"/>
      <c r="L742" s="267"/>
      <c r="M742" s="267"/>
      <c r="N742" s="267"/>
      <c r="O742" s="267"/>
      <c r="P742" s="267"/>
      <c r="Q742" s="267"/>
      <c r="R742" s="267"/>
      <c r="S742" s="267"/>
      <c r="T742" s="267"/>
      <c r="U742" s="267"/>
      <c r="V742" s="267"/>
      <c r="W742" s="267"/>
      <c r="X742" s="267"/>
    </row>
    <row r="743">
      <c r="A743" s="267"/>
      <c r="B743" s="87"/>
      <c r="C743" s="87"/>
      <c r="D743" s="87"/>
      <c r="E743" s="267"/>
      <c r="F743" s="87"/>
      <c r="G743" s="267"/>
      <c r="H743" s="267"/>
      <c r="I743" s="267"/>
      <c r="J743" s="267"/>
      <c r="K743" s="267"/>
      <c r="L743" s="267"/>
      <c r="M743" s="267"/>
      <c r="N743" s="267"/>
      <c r="O743" s="267"/>
      <c r="P743" s="267"/>
      <c r="Q743" s="267"/>
      <c r="R743" s="267"/>
      <c r="S743" s="267"/>
      <c r="T743" s="267"/>
      <c r="U743" s="267"/>
      <c r="V743" s="267"/>
      <c r="W743" s="267"/>
      <c r="X743" s="267"/>
    </row>
    <row r="744">
      <c r="A744" s="267"/>
      <c r="B744" s="87"/>
      <c r="C744" s="87"/>
      <c r="D744" s="87"/>
      <c r="E744" s="267"/>
      <c r="F744" s="87"/>
      <c r="G744" s="267"/>
      <c r="H744" s="267"/>
      <c r="I744" s="267"/>
      <c r="J744" s="267"/>
      <c r="K744" s="267"/>
      <c r="L744" s="267"/>
      <c r="M744" s="267"/>
      <c r="N744" s="267"/>
      <c r="O744" s="267"/>
      <c r="P744" s="267"/>
      <c r="Q744" s="267"/>
      <c r="R744" s="267"/>
      <c r="S744" s="267"/>
      <c r="T744" s="267"/>
      <c r="U744" s="267"/>
      <c r="V744" s="267"/>
      <c r="W744" s="267"/>
      <c r="X744" s="267"/>
    </row>
    <row r="745">
      <c r="A745" s="267"/>
      <c r="B745" s="87"/>
      <c r="C745" s="87"/>
      <c r="D745" s="87"/>
      <c r="E745" s="267"/>
      <c r="F745" s="87"/>
      <c r="G745" s="267"/>
      <c r="H745" s="267"/>
      <c r="I745" s="267"/>
      <c r="J745" s="267"/>
      <c r="K745" s="267"/>
      <c r="L745" s="267"/>
      <c r="M745" s="267"/>
      <c r="N745" s="267"/>
      <c r="O745" s="267"/>
      <c r="P745" s="267"/>
      <c r="Q745" s="267"/>
      <c r="R745" s="267"/>
      <c r="S745" s="267"/>
      <c r="T745" s="267"/>
      <c r="U745" s="267"/>
      <c r="V745" s="267"/>
      <c r="W745" s="267"/>
      <c r="X745" s="267"/>
    </row>
    <row r="746">
      <c r="A746" s="267"/>
      <c r="B746" s="87"/>
      <c r="C746" s="87"/>
      <c r="D746" s="87"/>
      <c r="E746" s="267"/>
      <c r="F746" s="87"/>
      <c r="G746" s="267"/>
      <c r="H746" s="267"/>
      <c r="I746" s="267"/>
      <c r="J746" s="267"/>
      <c r="K746" s="267"/>
      <c r="L746" s="267"/>
      <c r="M746" s="267"/>
      <c r="N746" s="267"/>
      <c r="O746" s="267"/>
      <c r="P746" s="267"/>
      <c r="Q746" s="267"/>
      <c r="R746" s="267"/>
      <c r="S746" s="267"/>
      <c r="T746" s="267"/>
      <c r="U746" s="267"/>
      <c r="V746" s="267"/>
      <c r="W746" s="267"/>
      <c r="X746" s="267"/>
    </row>
    <row r="747">
      <c r="A747" s="267"/>
      <c r="B747" s="87"/>
      <c r="C747" s="87"/>
      <c r="D747" s="87"/>
      <c r="E747" s="267"/>
      <c r="F747" s="87"/>
      <c r="G747" s="267"/>
      <c r="H747" s="267"/>
      <c r="I747" s="267"/>
      <c r="J747" s="267"/>
      <c r="K747" s="267"/>
      <c r="L747" s="267"/>
      <c r="M747" s="267"/>
      <c r="N747" s="267"/>
      <c r="O747" s="267"/>
      <c r="P747" s="267"/>
      <c r="Q747" s="267"/>
      <c r="R747" s="267"/>
      <c r="S747" s="267"/>
      <c r="T747" s="267"/>
      <c r="U747" s="267"/>
      <c r="V747" s="267"/>
      <c r="W747" s="267"/>
      <c r="X747" s="267"/>
    </row>
    <row r="748">
      <c r="A748" s="267"/>
      <c r="B748" s="87"/>
      <c r="C748" s="87"/>
      <c r="D748" s="87"/>
      <c r="E748" s="267"/>
      <c r="F748" s="87"/>
      <c r="G748" s="267"/>
      <c r="H748" s="267"/>
      <c r="I748" s="267"/>
      <c r="J748" s="267"/>
      <c r="K748" s="267"/>
      <c r="L748" s="267"/>
      <c r="M748" s="267"/>
      <c r="N748" s="267"/>
      <c r="O748" s="267"/>
      <c r="P748" s="267"/>
      <c r="Q748" s="267"/>
      <c r="R748" s="267"/>
      <c r="S748" s="267"/>
      <c r="T748" s="267"/>
      <c r="U748" s="267"/>
      <c r="V748" s="267"/>
      <c r="W748" s="267"/>
      <c r="X748" s="267"/>
    </row>
    <row r="749">
      <c r="A749" s="267"/>
      <c r="B749" s="87"/>
      <c r="C749" s="87"/>
      <c r="D749" s="87"/>
      <c r="E749" s="267"/>
      <c r="F749" s="87"/>
      <c r="G749" s="267"/>
      <c r="H749" s="267"/>
      <c r="I749" s="267"/>
      <c r="J749" s="267"/>
      <c r="K749" s="267"/>
      <c r="L749" s="267"/>
      <c r="M749" s="267"/>
      <c r="N749" s="267"/>
      <c r="O749" s="267"/>
      <c r="P749" s="267"/>
      <c r="Q749" s="267"/>
      <c r="R749" s="267"/>
      <c r="S749" s="267"/>
      <c r="T749" s="267"/>
      <c r="U749" s="267"/>
      <c r="V749" s="267"/>
      <c r="W749" s="267"/>
      <c r="X749" s="267"/>
    </row>
    <row r="750">
      <c r="A750" s="267"/>
      <c r="B750" s="87"/>
      <c r="C750" s="87"/>
      <c r="D750" s="87"/>
      <c r="E750" s="267"/>
      <c r="F750" s="87"/>
      <c r="G750" s="267"/>
      <c r="H750" s="267"/>
      <c r="I750" s="267"/>
      <c r="J750" s="267"/>
      <c r="K750" s="267"/>
      <c r="L750" s="267"/>
      <c r="M750" s="267"/>
      <c r="N750" s="267"/>
      <c r="O750" s="267"/>
      <c r="P750" s="267"/>
      <c r="Q750" s="267"/>
      <c r="R750" s="267"/>
      <c r="S750" s="267"/>
      <c r="T750" s="267"/>
      <c r="U750" s="267"/>
      <c r="V750" s="267"/>
      <c r="W750" s="267"/>
      <c r="X750" s="267"/>
    </row>
    <row r="751">
      <c r="A751" s="267"/>
      <c r="B751" s="87"/>
      <c r="C751" s="87"/>
      <c r="D751" s="87"/>
      <c r="E751" s="267"/>
      <c r="F751" s="87"/>
      <c r="G751" s="267"/>
      <c r="H751" s="267"/>
      <c r="I751" s="267"/>
      <c r="J751" s="267"/>
      <c r="K751" s="267"/>
      <c r="L751" s="267"/>
      <c r="M751" s="267"/>
      <c r="N751" s="267"/>
      <c r="O751" s="267"/>
      <c r="P751" s="267"/>
      <c r="Q751" s="267"/>
      <c r="R751" s="267"/>
      <c r="S751" s="267"/>
      <c r="T751" s="267"/>
      <c r="U751" s="267"/>
      <c r="V751" s="267"/>
      <c r="W751" s="267"/>
      <c r="X751" s="267"/>
    </row>
    <row r="752">
      <c r="A752" s="267"/>
      <c r="B752" s="87"/>
      <c r="C752" s="87"/>
      <c r="D752" s="87"/>
      <c r="E752" s="267"/>
      <c r="F752" s="87"/>
      <c r="G752" s="267"/>
      <c r="H752" s="267"/>
      <c r="I752" s="267"/>
      <c r="J752" s="267"/>
      <c r="K752" s="267"/>
      <c r="L752" s="267"/>
      <c r="M752" s="267"/>
      <c r="N752" s="267"/>
      <c r="O752" s="267"/>
      <c r="P752" s="267"/>
      <c r="Q752" s="267"/>
      <c r="R752" s="267"/>
      <c r="S752" s="267"/>
      <c r="T752" s="267"/>
      <c r="U752" s="267"/>
      <c r="V752" s="267"/>
      <c r="W752" s="267"/>
      <c r="X752" s="267"/>
    </row>
    <row r="753">
      <c r="A753" s="267"/>
      <c r="B753" s="87"/>
      <c r="C753" s="87"/>
      <c r="D753" s="87"/>
      <c r="E753" s="267"/>
      <c r="F753" s="87"/>
      <c r="G753" s="267"/>
      <c r="H753" s="267"/>
      <c r="I753" s="267"/>
      <c r="J753" s="267"/>
      <c r="K753" s="267"/>
      <c r="L753" s="267"/>
      <c r="M753" s="267"/>
      <c r="N753" s="267"/>
      <c r="O753" s="267"/>
      <c r="P753" s="267"/>
      <c r="Q753" s="267"/>
      <c r="R753" s="267"/>
      <c r="S753" s="267"/>
      <c r="T753" s="267"/>
      <c r="U753" s="267"/>
      <c r="V753" s="267"/>
      <c r="W753" s="267"/>
      <c r="X753" s="267"/>
    </row>
    <row r="754">
      <c r="A754" s="267"/>
      <c r="B754" s="87"/>
      <c r="C754" s="87"/>
      <c r="D754" s="87"/>
      <c r="E754" s="267"/>
      <c r="F754" s="87"/>
      <c r="G754" s="267"/>
      <c r="H754" s="267"/>
      <c r="I754" s="267"/>
      <c r="J754" s="267"/>
      <c r="K754" s="267"/>
      <c r="L754" s="267"/>
      <c r="M754" s="267"/>
      <c r="N754" s="267"/>
      <c r="O754" s="267"/>
      <c r="P754" s="267"/>
      <c r="Q754" s="267"/>
      <c r="R754" s="267"/>
      <c r="S754" s="267"/>
      <c r="T754" s="267"/>
      <c r="U754" s="267"/>
      <c r="V754" s="267"/>
      <c r="W754" s="267"/>
      <c r="X754" s="267"/>
    </row>
    <row r="755">
      <c r="A755" s="267"/>
      <c r="B755" s="87"/>
      <c r="C755" s="87"/>
      <c r="D755" s="87"/>
      <c r="E755" s="267"/>
      <c r="F755" s="87"/>
      <c r="G755" s="267"/>
      <c r="H755" s="267"/>
      <c r="I755" s="267"/>
      <c r="J755" s="267"/>
      <c r="K755" s="267"/>
      <c r="L755" s="267"/>
      <c r="M755" s="267"/>
      <c r="N755" s="267"/>
      <c r="O755" s="267"/>
      <c r="P755" s="267"/>
      <c r="Q755" s="267"/>
      <c r="R755" s="267"/>
      <c r="S755" s="267"/>
      <c r="T755" s="267"/>
      <c r="U755" s="267"/>
      <c r="V755" s="267"/>
      <c r="W755" s="267"/>
      <c r="X755" s="267"/>
    </row>
    <row r="756">
      <c r="A756" s="267"/>
      <c r="B756" s="87"/>
      <c r="C756" s="87"/>
      <c r="D756" s="87"/>
      <c r="E756" s="267"/>
      <c r="F756" s="87"/>
      <c r="G756" s="267"/>
      <c r="H756" s="267"/>
      <c r="I756" s="267"/>
      <c r="J756" s="267"/>
      <c r="K756" s="267"/>
      <c r="L756" s="267"/>
      <c r="M756" s="267"/>
      <c r="N756" s="267"/>
      <c r="O756" s="267"/>
      <c r="P756" s="267"/>
      <c r="Q756" s="267"/>
      <c r="R756" s="267"/>
      <c r="S756" s="267"/>
      <c r="T756" s="267"/>
      <c r="U756" s="267"/>
      <c r="V756" s="267"/>
      <c r="W756" s="267"/>
      <c r="X756" s="267"/>
    </row>
    <row r="757">
      <c r="A757" s="267"/>
      <c r="B757" s="87"/>
      <c r="C757" s="87"/>
      <c r="D757" s="87"/>
      <c r="E757" s="267"/>
      <c r="F757" s="87"/>
      <c r="G757" s="267"/>
      <c r="H757" s="267"/>
      <c r="I757" s="267"/>
      <c r="J757" s="267"/>
      <c r="K757" s="267"/>
      <c r="L757" s="267"/>
      <c r="M757" s="267"/>
      <c r="N757" s="267"/>
      <c r="O757" s="267"/>
      <c r="P757" s="267"/>
      <c r="Q757" s="267"/>
      <c r="R757" s="267"/>
      <c r="S757" s="267"/>
      <c r="T757" s="267"/>
      <c r="U757" s="267"/>
      <c r="V757" s="267"/>
      <c r="W757" s="267"/>
      <c r="X757" s="267"/>
    </row>
    <row r="758">
      <c r="A758" s="267"/>
      <c r="B758" s="87"/>
      <c r="C758" s="87"/>
      <c r="D758" s="87"/>
      <c r="E758" s="267"/>
      <c r="F758" s="87"/>
      <c r="G758" s="267"/>
      <c r="H758" s="267"/>
      <c r="I758" s="267"/>
      <c r="J758" s="267"/>
      <c r="K758" s="267"/>
      <c r="L758" s="267"/>
      <c r="M758" s="267"/>
      <c r="N758" s="267"/>
      <c r="O758" s="267"/>
      <c r="P758" s="267"/>
      <c r="Q758" s="267"/>
      <c r="R758" s="267"/>
      <c r="S758" s="267"/>
      <c r="T758" s="267"/>
      <c r="U758" s="267"/>
      <c r="V758" s="267"/>
      <c r="W758" s="267"/>
      <c r="X758" s="267"/>
    </row>
    <row r="759">
      <c r="A759" s="267"/>
      <c r="B759" s="87"/>
      <c r="C759" s="87"/>
      <c r="D759" s="87"/>
      <c r="E759" s="267"/>
      <c r="F759" s="87"/>
      <c r="G759" s="267"/>
      <c r="H759" s="267"/>
      <c r="I759" s="267"/>
      <c r="J759" s="267"/>
      <c r="K759" s="267"/>
      <c r="L759" s="267"/>
      <c r="M759" s="267"/>
      <c r="N759" s="267"/>
      <c r="O759" s="267"/>
      <c r="P759" s="267"/>
      <c r="Q759" s="267"/>
      <c r="R759" s="267"/>
      <c r="S759" s="267"/>
      <c r="T759" s="267"/>
      <c r="U759" s="267"/>
      <c r="V759" s="267"/>
      <c r="W759" s="267"/>
      <c r="X759" s="267"/>
    </row>
    <row r="760">
      <c r="A760" s="267"/>
      <c r="B760" s="87"/>
      <c r="C760" s="87"/>
      <c r="D760" s="87"/>
      <c r="E760" s="267"/>
      <c r="F760" s="87"/>
      <c r="G760" s="267"/>
      <c r="H760" s="267"/>
      <c r="I760" s="267"/>
      <c r="J760" s="267"/>
      <c r="K760" s="267"/>
      <c r="L760" s="267"/>
      <c r="M760" s="267"/>
      <c r="N760" s="267"/>
      <c r="O760" s="267"/>
      <c r="P760" s="267"/>
      <c r="Q760" s="267"/>
      <c r="R760" s="267"/>
      <c r="S760" s="267"/>
      <c r="T760" s="267"/>
      <c r="U760" s="267"/>
      <c r="V760" s="267"/>
      <c r="W760" s="267"/>
      <c r="X760" s="267"/>
    </row>
    <row r="761">
      <c r="A761" s="267"/>
      <c r="B761" s="87"/>
      <c r="C761" s="87"/>
      <c r="D761" s="87"/>
      <c r="E761" s="267"/>
      <c r="F761" s="87"/>
      <c r="G761" s="267"/>
      <c r="H761" s="267"/>
      <c r="I761" s="267"/>
      <c r="J761" s="267"/>
      <c r="K761" s="267"/>
      <c r="L761" s="267"/>
      <c r="M761" s="267"/>
      <c r="N761" s="267"/>
      <c r="O761" s="267"/>
      <c r="P761" s="267"/>
      <c r="Q761" s="267"/>
      <c r="R761" s="267"/>
      <c r="S761" s="267"/>
      <c r="T761" s="267"/>
      <c r="U761" s="267"/>
      <c r="V761" s="267"/>
      <c r="W761" s="267"/>
      <c r="X761" s="267"/>
    </row>
    <row r="762">
      <c r="A762" s="267"/>
      <c r="B762" s="87"/>
      <c r="C762" s="87"/>
      <c r="D762" s="87"/>
      <c r="E762" s="267"/>
      <c r="F762" s="87"/>
      <c r="G762" s="267"/>
      <c r="H762" s="267"/>
      <c r="I762" s="267"/>
      <c r="J762" s="267"/>
      <c r="K762" s="267"/>
      <c r="L762" s="267"/>
      <c r="M762" s="267"/>
      <c r="N762" s="267"/>
      <c r="O762" s="267"/>
      <c r="P762" s="267"/>
      <c r="Q762" s="267"/>
      <c r="R762" s="267"/>
      <c r="S762" s="267"/>
      <c r="T762" s="267"/>
      <c r="U762" s="267"/>
      <c r="V762" s="267"/>
      <c r="W762" s="267"/>
      <c r="X762" s="267"/>
    </row>
    <row r="763">
      <c r="A763" s="267"/>
      <c r="B763" s="87"/>
      <c r="C763" s="87"/>
      <c r="D763" s="87"/>
      <c r="E763" s="267"/>
      <c r="F763" s="87"/>
      <c r="G763" s="267"/>
      <c r="H763" s="267"/>
      <c r="I763" s="267"/>
      <c r="J763" s="267"/>
      <c r="K763" s="267"/>
      <c r="L763" s="267"/>
      <c r="M763" s="267"/>
      <c r="N763" s="267"/>
      <c r="O763" s="267"/>
      <c r="P763" s="267"/>
      <c r="Q763" s="267"/>
      <c r="R763" s="267"/>
      <c r="S763" s="267"/>
      <c r="T763" s="267"/>
      <c r="U763" s="267"/>
      <c r="V763" s="267"/>
      <c r="W763" s="267"/>
      <c r="X763" s="267"/>
    </row>
    <row r="764">
      <c r="A764" s="267"/>
      <c r="B764" s="87"/>
      <c r="C764" s="87"/>
      <c r="D764" s="87"/>
      <c r="E764" s="267"/>
      <c r="F764" s="87"/>
      <c r="G764" s="267"/>
      <c r="H764" s="267"/>
      <c r="I764" s="267"/>
      <c r="J764" s="267"/>
      <c r="K764" s="267"/>
      <c r="L764" s="267"/>
      <c r="M764" s="267"/>
      <c r="N764" s="267"/>
      <c r="O764" s="267"/>
      <c r="P764" s="267"/>
      <c r="Q764" s="267"/>
      <c r="R764" s="267"/>
      <c r="S764" s="267"/>
      <c r="T764" s="267"/>
      <c r="U764" s="267"/>
      <c r="V764" s="267"/>
      <c r="W764" s="267"/>
      <c r="X764" s="267"/>
    </row>
    <row r="765">
      <c r="A765" s="267"/>
      <c r="B765" s="87"/>
      <c r="C765" s="87"/>
      <c r="D765" s="87"/>
      <c r="E765" s="267"/>
      <c r="F765" s="87"/>
      <c r="G765" s="267"/>
      <c r="H765" s="267"/>
      <c r="I765" s="267"/>
      <c r="J765" s="267"/>
      <c r="K765" s="267"/>
      <c r="L765" s="267"/>
      <c r="M765" s="267"/>
      <c r="N765" s="267"/>
      <c r="O765" s="267"/>
      <c r="P765" s="267"/>
      <c r="Q765" s="267"/>
      <c r="R765" s="267"/>
      <c r="S765" s="267"/>
      <c r="T765" s="267"/>
      <c r="U765" s="267"/>
      <c r="V765" s="267"/>
      <c r="W765" s="267"/>
      <c r="X765" s="267"/>
    </row>
    <row r="766">
      <c r="A766" s="267"/>
      <c r="B766" s="87"/>
      <c r="C766" s="87"/>
      <c r="D766" s="87"/>
      <c r="E766" s="267"/>
      <c r="F766" s="87"/>
      <c r="G766" s="267"/>
      <c r="H766" s="267"/>
      <c r="I766" s="267"/>
      <c r="J766" s="267"/>
      <c r="K766" s="267"/>
      <c r="L766" s="267"/>
      <c r="M766" s="267"/>
      <c r="N766" s="267"/>
      <c r="O766" s="267"/>
      <c r="P766" s="267"/>
      <c r="Q766" s="267"/>
      <c r="R766" s="267"/>
      <c r="S766" s="267"/>
      <c r="T766" s="267"/>
      <c r="U766" s="267"/>
      <c r="V766" s="267"/>
      <c r="W766" s="267"/>
      <c r="X766" s="267"/>
    </row>
    <row r="767">
      <c r="A767" s="267"/>
      <c r="B767" s="87"/>
      <c r="C767" s="87"/>
      <c r="D767" s="87"/>
      <c r="E767" s="267"/>
      <c r="F767" s="87"/>
      <c r="G767" s="267"/>
      <c r="H767" s="267"/>
      <c r="I767" s="267"/>
      <c r="J767" s="267"/>
      <c r="K767" s="267"/>
      <c r="L767" s="267"/>
      <c r="M767" s="267"/>
      <c r="N767" s="267"/>
      <c r="O767" s="267"/>
      <c r="P767" s="267"/>
      <c r="Q767" s="267"/>
      <c r="R767" s="267"/>
      <c r="S767" s="267"/>
      <c r="T767" s="267"/>
      <c r="U767" s="267"/>
      <c r="V767" s="267"/>
      <c r="W767" s="267"/>
      <c r="X767" s="267"/>
    </row>
    <row r="768">
      <c r="A768" s="267"/>
      <c r="B768" s="87"/>
      <c r="C768" s="87"/>
      <c r="D768" s="87"/>
      <c r="E768" s="267"/>
      <c r="F768" s="87"/>
      <c r="G768" s="267"/>
      <c r="H768" s="267"/>
      <c r="I768" s="267"/>
      <c r="J768" s="267"/>
      <c r="K768" s="267"/>
      <c r="L768" s="267"/>
      <c r="M768" s="267"/>
      <c r="N768" s="267"/>
      <c r="O768" s="267"/>
      <c r="P768" s="267"/>
      <c r="Q768" s="267"/>
      <c r="R768" s="267"/>
      <c r="S768" s="267"/>
      <c r="T768" s="267"/>
      <c r="U768" s="267"/>
      <c r="V768" s="267"/>
      <c r="W768" s="267"/>
      <c r="X768" s="267"/>
    </row>
    <row r="769">
      <c r="A769" s="267"/>
      <c r="B769" s="87"/>
      <c r="C769" s="87"/>
      <c r="D769" s="87"/>
      <c r="E769" s="267"/>
      <c r="F769" s="87"/>
      <c r="G769" s="267"/>
      <c r="H769" s="267"/>
      <c r="I769" s="267"/>
      <c r="J769" s="267"/>
      <c r="K769" s="267"/>
      <c r="L769" s="267"/>
      <c r="M769" s="267"/>
      <c r="N769" s="267"/>
      <c r="O769" s="267"/>
      <c r="P769" s="267"/>
      <c r="Q769" s="267"/>
      <c r="R769" s="267"/>
      <c r="S769" s="267"/>
      <c r="T769" s="267"/>
      <c r="U769" s="267"/>
      <c r="V769" s="267"/>
      <c r="W769" s="267"/>
      <c r="X769" s="267"/>
    </row>
    <row r="770">
      <c r="A770" s="267"/>
      <c r="B770" s="87"/>
      <c r="C770" s="87"/>
      <c r="D770" s="87"/>
      <c r="E770" s="267"/>
      <c r="F770" s="87"/>
      <c r="G770" s="267"/>
      <c r="H770" s="267"/>
      <c r="I770" s="267"/>
      <c r="J770" s="267"/>
      <c r="K770" s="267"/>
      <c r="L770" s="267"/>
      <c r="M770" s="267"/>
      <c r="N770" s="267"/>
      <c r="O770" s="267"/>
      <c r="P770" s="267"/>
      <c r="Q770" s="267"/>
      <c r="R770" s="267"/>
      <c r="S770" s="267"/>
      <c r="T770" s="267"/>
      <c r="U770" s="267"/>
      <c r="V770" s="267"/>
      <c r="W770" s="267"/>
      <c r="X770" s="267"/>
    </row>
    <row r="771">
      <c r="A771" s="267"/>
      <c r="B771" s="87"/>
      <c r="C771" s="87"/>
      <c r="D771" s="87"/>
      <c r="E771" s="267"/>
      <c r="F771" s="87"/>
      <c r="G771" s="267"/>
      <c r="H771" s="267"/>
      <c r="I771" s="267"/>
      <c r="J771" s="267"/>
      <c r="K771" s="267"/>
      <c r="L771" s="267"/>
      <c r="M771" s="267"/>
      <c r="N771" s="267"/>
      <c r="O771" s="267"/>
      <c r="P771" s="267"/>
      <c r="Q771" s="267"/>
      <c r="R771" s="267"/>
      <c r="S771" s="267"/>
      <c r="T771" s="267"/>
      <c r="U771" s="267"/>
      <c r="V771" s="267"/>
      <c r="W771" s="267"/>
      <c r="X771" s="267"/>
    </row>
    <row r="772">
      <c r="A772" s="267"/>
      <c r="B772" s="87"/>
      <c r="C772" s="87"/>
      <c r="D772" s="87"/>
      <c r="E772" s="267"/>
      <c r="F772" s="87"/>
      <c r="G772" s="267"/>
      <c r="H772" s="267"/>
      <c r="I772" s="267"/>
      <c r="J772" s="267"/>
      <c r="K772" s="267"/>
      <c r="L772" s="267"/>
      <c r="M772" s="267"/>
      <c r="N772" s="267"/>
      <c r="O772" s="267"/>
      <c r="P772" s="267"/>
      <c r="Q772" s="267"/>
      <c r="R772" s="267"/>
      <c r="S772" s="267"/>
      <c r="T772" s="267"/>
      <c r="U772" s="267"/>
      <c r="V772" s="267"/>
      <c r="W772" s="267"/>
      <c r="X772" s="267"/>
    </row>
    <row r="773">
      <c r="A773" s="267"/>
      <c r="B773" s="87"/>
      <c r="C773" s="87"/>
      <c r="D773" s="87"/>
      <c r="E773" s="267"/>
      <c r="F773" s="87"/>
      <c r="G773" s="267"/>
      <c r="H773" s="267"/>
      <c r="I773" s="267"/>
      <c r="J773" s="267"/>
      <c r="K773" s="267"/>
      <c r="L773" s="267"/>
      <c r="M773" s="267"/>
      <c r="N773" s="267"/>
      <c r="O773" s="267"/>
      <c r="P773" s="267"/>
      <c r="Q773" s="267"/>
      <c r="R773" s="267"/>
      <c r="S773" s="267"/>
      <c r="T773" s="267"/>
      <c r="U773" s="267"/>
      <c r="V773" s="267"/>
      <c r="W773" s="267"/>
      <c r="X773" s="267"/>
    </row>
    <row r="774">
      <c r="A774" s="267"/>
      <c r="B774" s="87"/>
      <c r="C774" s="87"/>
      <c r="D774" s="87"/>
      <c r="E774" s="267"/>
      <c r="F774" s="87"/>
      <c r="G774" s="267"/>
      <c r="H774" s="267"/>
      <c r="I774" s="267"/>
      <c r="J774" s="267"/>
      <c r="K774" s="267"/>
      <c r="L774" s="267"/>
      <c r="M774" s="267"/>
      <c r="N774" s="267"/>
      <c r="O774" s="267"/>
      <c r="P774" s="267"/>
      <c r="Q774" s="267"/>
      <c r="R774" s="267"/>
      <c r="S774" s="267"/>
      <c r="T774" s="267"/>
      <c r="U774" s="267"/>
      <c r="V774" s="267"/>
      <c r="W774" s="267"/>
      <c r="X774" s="267"/>
    </row>
    <row r="775">
      <c r="A775" s="267"/>
      <c r="B775" s="87"/>
      <c r="C775" s="87"/>
      <c r="D775" s="87"/>
      <c r="E775" s="267"/>
      <c r="F775" s="87"/>
      <c r="G775" s="267"/>
      <c r="H775" s="267"/>
      <c r="I775" s="267"/>
      <c r="J775" s="267"/>
      <c r="K775" s="267"/>
      <c r="L775" s="267"/>
      <c r="M775" s="267"/>
      <c r="N775" s="267"/>
      <c r="O775" s="267"/>
      <c r="P775" s="267"/>
      <c r="Q775" s="267"/>
      <c r="R775" s="267"/>
      <c r="S775" s="267"/>
      <c r="T775" s="267"/>
      <c r="U775" s="267"/>
      <c r="V775" s="267"/>
      <c r="W775" s="267"/>
      <c r="X775" s="267"/>
    </row>
    <row r="776">
      <c r="A776" s="267"/>
      <c r="B776" s="87"/>
      <c r="C776" s="87"/>
      <c r="D776" s="87"/>
      <c r="E776" s="267"/>
      <c r="F776" s="87"/>
      <c r="G776" s="267"/>
      <c r="H776" s="267"/>
      <c r="I776" s="267"/>
      <c r="J776" s="267"/>
      <c r="K776" s="267"/>
      <c r="L776" s="267"/>
      <c r="M776" s="267"/>
      <c r="N776" s="267"/>
      <c r="O776" s="267"/>
      <c r="P776" s="267"/>
      <c r="Q776" s="267"/>
      <c r="R776" s="267"/>
      <c r="S776" s="267"/>
      <c r="T776" s="267"/>
      <c r="U776" s="267"/>
      <c r="V776" s="267"/>
      <c r="W776" s="267"/>
      <c r="X776" s="267"/>
    </row>
    <row r="777">
      <c r="A777" s="267"/>
      <c r="B777" s="87"/>
      <c r="C777" s="87"/>
      <c r="D777" s="87"/>
      <c r="E777" s="267"/>
      <c r="F777" s="87"/>
      <c r="G777" s="267"/>
      <c r="H777" s="267"/>
      <c r="I777" s="267"/>
      <c r="J777" s="267"/>
      <c r="K777" s="267"/>
      <c r="L777" s="267"/>
      <c r="M777" s="267"/>
      <c r="N777" s="267"/>
      <c r="O777" s="267"/>
      <c r="P777" s="267"/>
      <c r="Q777" s="267"/>
      <c r="R777" s="267"/>
      <c r="S777" s="267"/>
      <c r="T777" s="267"/>
      <c r="U777" s="267"/>
      <c r="V777" s="267"/>
      <c r="W777" s="267"/>
      <c r="X777" s="267"/>
    </row>
    <row r="778">
      <c r="A778" s="267"/>
      <c r="B778" s="87"/>
      <c r="C778" s="87"/>
      <c r="D778" s="87"/>
      <c r="E778" s="267"/>
      <c r="F778" s="87"/>
      <c r="G778" s="267"/>
      <c r="H778" s="267"/>
      <c r="I778" s="267"/>
      <c r="J778" s="267"/>
      <c r="K778" s="267"/>
      <c r="L778" s="267"/>
      <c r="M778" s="267"/>
      <c r="N778" s="267"/>
      <c r="O778" s="267"/>
      <c r="P778" s="267"/>
      <c r="Q778" s="267"/>
      <c r="R778" s="267"/>
      <c r="S778" s="267"/>
      <c r="T778" s="267"/>
      <c r="U778" s="267"/>
      <c r="V778" s="267"/>
      <c r="W778" s="267"/>
      <c r="X778" s="267"/>
    </row>
    <row r="779">
      <c r="A779" s="267"/>
      <c r="B779" s="87"/>
      <c r="C779" s="87"/>
      <c r="D779" s="87"/>
      <c r="E779" s="267"/>
      <c r="F779" s="87"/>
      <c r="G779" s="267"/>
      <c r="H779" s="267"/>
      <c r="I779" s="267"/>
      <c r="J779" s="267"/>
      <c r="K779" s="267"/>
      <c r="L779" s="267"/>
      <c r="M779" s="267"/>
      <c r="N779" s="267"/>
      <c r="O779" s="267"/>
      <c r="P779" s="267"/>
      <c r="Q779" s="267"/>
      <c r="R779" s="267"/>
      <c r="S779" s="267"/>
      <c r="T779" s="267"/>
      <c r="U779" s="267"/>
      <c r="V779" s="267"/>
      <c r="W779" s="267"/>
      <c r="X779" s="267"/>
    </row>
    <row r="780">
      <c r="A780" s="267"/>
      <c r="B780" s="87"/>
      <c r="C780" s="87"/>
      <c r="D780" s="87"/>
      <c r="E780" s="267"/>
      <c r="F780" s="87"/>
      <c r="G780" s="267"/>
      <c r="H780" s="267"/>
      <c r="I780" s="267"/>
      <c r="J780" s="267"/>
      <c r="K780" s="267"/>
      <c r="L780" s="267"/>
      <c r="M780" s="267"/>
      <c r="N780" s="267"/>
      <c r="O780" s="267"/>
      <c r="P780" s="267"/>
      <c r="Q780" s="267"/>
      <c r="R780" s="267"/>
      <c r="S780" s="267"/>
      <c r="T780" s="267"/>
      <c r="U780" s="267"/>
      <c r="V780" s="267"/>
      <c r="W780" s="267"/>
      <c r="X780" s="267"/>
    </row>
    <row r="781">
      <c r="A781" s="267"/>
      <c r="B781" s="87"/>
      <c r="C781" s="87"/>
      <c r="D781" s="87"/>
      <c r="E781" s="267"/>
      <c r="F781" s="87"/>
      <c r="G781" s="267"/>
      <c r="H781" s="267"/>
      <c r="I781" s="267"/>
      <c r="J781" s="267"/>
      <c r="K781" s="267"/>
      <c r="L781" s="267"/>
      <c r="M781" s="267"/>
      <c r="N781" s="267"/>
      <c r="O781" s="267"/>
      <c r="P781" s="267"/>
      <c r="Q781" s="267"/>
      <c r="R781" s="267"/>
      <c r="S781" s="267"/>
      <c r="T781" s="267"/>
      <c r="U781" s="267"/>
      <c r="V781" s="267"/>
      <c r="W781" s="267"/>
      <c r="X781" s="267"/>
    </row>
    <row r="782">
      <c r="A782" s="267"/>
      <c r="B782" s="87"/>
      <c r="C782" s="87"/>
      <c r="D782" s="87"/>
      <c r="E782" s="267"/>
      <c r="F782" s="87"/>
      <c r="G782" s="267"/>
      <c r="H782" s="267"/>
      <c r="I782" s="267"/>
      <c r="J782" s="267"/>
      <c r="K782" s="267"/>
      <c r="L782" s="267"/>
      <c r="M782" s="267"/>
      <c r="N782" s="267"/>
      <c r="O782" s="267"/>
      <c r="P782" s="267"/>
      <c r="Q782" s="267"/>
      <c r="R782" s="267"/>
      <c r="S782" s="267"/>
      <c r="T782" s="267"/>
      <c r="U782" s="267"/>
      <c r="V782" s="267"/>
      <c r="W782" s="267"/>
      <c r="X782" s="267"/>
    </row>
    <row r="783">
      <c r="A783" s="267"/>
      <c r="B783" s="87"/>
      <c r="C783" s="87"/>
      <c r="D783" s="87"/>
      <c r="E783" s="267"/>
      <c r="F783" s="87"/>
      <c r="G783" s="267"/>
      <c r="H783" s="267"/>
      <c r="I783" s="267"/>
      <c r="J783" s="267"/>
      <c r="K783" s="267"/>
      <c r="L783" s="267"/>
      <c r="M783" s="267"/>
      <c r="N783" s="267"/>
      <c r="O783" s="267"/>
      <c r="P783" s="267"/>
      <c r="Q783" s="267"/>
      <c r="R783" s="267"/>
      <c r="S783" s="267"/>
      <c r="T783" s="267"/>
      <c r="U783" s="267"/>
      <c r="V783" s="267"/>
      <c r="W783" s="267"/>
      <c r="X783" s="267"/>
    </row>
    <row r="784">
      <c r="A784" s="267"/>
      <c r="B784" s="87"/>
      <c r="C784" s="87"/>
      <c r="D784" s="87"/>
      <c r="E784" s="267"/>
      <c r="F784" s="87"/>
      <c r="G784" s="267"/>
      <c r="H784" s="267"/>
      <c r="I784" s="267"/>
      <c r="J784" s="267"/>
      <c r="K784" s="267"/>
      <c r="L784" s="267"/>
      <c r="M784" s="267"/>
      <c r="N784" s="267"/>
      <c r="O784" s="267"/>
      <c r="P784" s="267"/>
      <c r="Q784" s="267"/>
      <c r="R784" s="267"/>
      <c r="S784" s="267"/>
      <c r="T784" s="267"/>
      <c r="U784" s="267"/>
      <c r="V784" s="267"/>
      <c r="W784" s="267"/>
      <c r="X784" s="267"/>
    </row>
    <row r="785">
      <c r="A785" s="267"/>
      <c r="B785" s="87"/>
      <c r="C785" s="87"/>
      <c r="D785" s="87"/>
      <c r="E785" s="267"/>
      <c r="F785" s="87"/>
      <c r="G785" s="267"/>
      <c r="H785" s="267"/>
      <c r="I785" s="267"/>
      <c r="J785" s="267"/>
      <c r="K785" s="267"/>
      <c r="L785" s="267"/>
      <c r="M785" s="267"/>
      <c r="N785" s="267"/>
      <c r="O785" s="267"/>
      <c r="P785" s="267"/>
      <c r="Q785" s="267"/>
      <c r="R785" s="267"/>
      <c r="S785" s="267"/>
      <c r="T785" s="267"/>
      <c r="U785" s="267"/>
      <c r="V785" s="267"/>
      <c r="W785" s="267"/>
      <c r="X785" s="267"/>
    </row>
    <row r="786">
      <c r="A786" s="267"/>
      <c r="B786" s="87"/>
      <c r="C786" s="87"/>
      <c r="D786" s="87"/>
      <c r="E786" s="267"/>
      <c r="F786" s="87"/>
      <c r="G786" s="267"/>
      <c r="H786" s="267"/>
      <c r="I786" s="267"/>
      <c r="J786" s="267"/>
      <c r="K786" s="267"/>
      <c r="L786" s="267"/>
      <c r="M786" s="267"/>
      <c r="N786" s="267"/>
      <c r="O786" s="267"/>
      <c r="P786" s="267"/>
      <c r="Q786" s="267"/>
      <c r="R786" s="267"/>
      <c r="S786" s="267"/>
      <c r="T786" s="267"/>
      <c r="U786" s="267"/>
      <c r="V786" s="267"/>
      <c r="W786" s="267"/>
      <c r="X786" s="267"/>
    </row>
    <row r="787">
      <c r="A787" s="267"/>
      <c r="B787" s="87"/>
      <c r="C787" s="87"/>
      <c r="D787" s="87"/>
      <c r="E787" s="267"/>
      <c r="F787" s="87"/>
      <c r="G787" s="267"/>
      <c r="H787" s="267"/>
      <c r="I787" s="267"/>
      <c r="J787" s="267"/>
      <c r="K787" s="267"/>
      <c r="L787" s="267"/>
      <c r="M787" s="267"/>
      <c r="N787" s="267"/>
      <c r="O787" s="267"/>
      <c r="P787" s="267"/>
      <c r="Q787" s="267"/>
      <c r="R787" s="267"/>
      <c r="S787" s="267"/>
      <c r="T787" s="267"/>
      <c r="U787" s="267"/>
      <c r="V787" s="267"/>
      <c r="W787" s="267"/>
      <c r="X787" s="267"/>
    </row>
    <row r="788">
      <c r="A788" s="267"/>
      <c r="B788" s="87"/>
      <c r="C788" s="87"/>
      <c r="D788" s="87"/>
      <c r="E788" s="267"/>
      <c r="F788" s="87"/>
      <c r="G788" s="267"/>
      <c r="H788" s="267"/>
      <c r="I788" s="267"/>
      <c r="J788" s="267"/>
      <c r="K788" s="267"/>
      <c r="L788" s="267"/>
      <c r="M788" s="267"/>
      <c r="N788" s="267"/>
      <c r="O788" s="267"/>
      <c r="P788" s="267"/>
      <c r="Q788" s="267"/>
      <c r="R788" s="267"/>
      <c r="S788" s="267"/>
      <c r="T788" s="267"/>
      <c r="U788" s="267"/>
      <c r="V788" s="267"/>
      <c r="W788" s="267"/>
      <c r="X788" s="267"/>
    </row>
    <row r="789">
      <c r="A789" s="267"/>
      <c r="B789" s="87"/>
      <c r="C789" s="87"/>
      <c r="D789" s="87"/>
      <c r="E789" s="267"/>
      <c r="F789" s="87"/>
      <c r="G789" s="267"/>
      <c r="H789" s="267"/>
      <c r="I789" s="267"/>
      <c r="J789" s="267"/>
      <c r="K789" s="267"/>
      <c r="L789" s="267"/>
      <c r="M789" s="267"/>
      <c r="N789" s="267"/>
      <c r="O789" s="267"/>
      <c r="P789" s="267"/>
      <c r="Q789" s="267"/>
      <c r="R789" s="267"/>
      <c r="S789" s="267"/>
      <c r="T789" s="267"/>
      <c r="U789" s="267"/>
      <c r="V789" s="267"/>
      <c r="W789" s="267"/>
      <c r="X789" s="267"/>
    </row>
    <row r="790">
      <c r="A790" s="267"/>
      <c r="B790" s="87"/>
      <c r="C790" s="87"/>
      <c r="D790" s="87"/>
      <c r="E790" s="267"/>
      <c r="F790" s="87"/>
      <c r="G790" s="267"/>
      <c r="H790" s="267"/>
      <c r="I790" s="267"/>
      <c r="J790" s="267"/>
      <c r="K790" s="267"/>
      <c r="L790" s="267"/>
      <c r="M790" s="267"/>
      <c r="N790" s="267"/>
      <c r="O790" s="267"/>
      <c r="P790" s="267"/>
      <c r="Q790" s="267"/>
      <c r="R790" s="267"/>
      <c r="S790" s="267"/>
      <c r="T790" s="267"/>
      <c r="U790" s="267"/>
      <c r="V790" s="267"/>
      <c r="W790" s="267"/>
      <c r="X790" s="267"/>
    </row>
    <row r="791">
      <c r="A791" s="267"/>
      <c r="B791" s="87"/>
      <c r="C791" s="87"/>
      <c r="D791" s="87"/>
      <c r="E791" s="267"/>
      <c r="F791" s="87"/>
      <c r="G791" s="267"/>
      <c r="H791" s="267"/>
      <c r="I791" s="267"/>
      <c r="J791" s="267"/>
      <c r="K791" s="267"/>
      <c r="L791" s="267"/>
      <c r="M791" s="267"/>
      <c r="N791" s="267"/>
      <c r="O791" s="267"/>
      <c r="P791" s="267"/>
      <c r="Q791" s="267"/>
      <c r="R791" s="267"/>
      <c r="S791" s="267"/>
      <c r="T791" s="267"/>
      <c r="U791" s="267"/>
      <c r="V791" s="267"/>
      <c r="W791" s="267"/>
      <c r="X791" s="267"/>
    </row>
    <row r="792">
      <c r="A792" s="267"/>
      <c r="B792" s="87"/>
      <c r="C792" s="87"/>
      <c r="D792" s="87"/>
      <c r="E792" s="267"/>
      <c r="F792" s="87"/>
      <c r="G792" s="267"/>
      <c r="H792" s="267"/>
      <c r="I792" s="267"/>
      <c r="J792" s="267"/>
      <c r="K792" s="267"/>
      <c r="L792" s="267"/>
      <c r="M792" s="267"/>
      <c r="N792" s="267"/>
      <c r="O792" s="267"/>
      <c r="P792" s="267"/>
      <c r="Q792" s="267"/>
      <c r="R792" s="267"/>
      <c r="S792" s="267"/>
      <c r="T792" s="267"/>
      <c r="U792" s="267"/>
      <c r="V792" s="267"/>
      <c r="W792" s="267"/>
      <c r="X792" s="267"/>
    </row>
    <row r="793">
      <c r="A793" s="267"/>
      <c r="B793" s="87"/>
      <c r="C793" s="87"/>
      <c r="D793" s="87"/>
      <c r="E793" s="267"/>
      <c r="F793" s="87"/>
      <c r="G793" s="267"/>
      <c r="H793" s="267"/>
      <c r="I793" s="267"/>
      <c r="J793" s="267"/>
      <c r="K793" s="267"/>
      <c r="L793" s="267"/>
      <c r="M793" s="267"/>
      <c r="N793" s="267"/>
      <c r="O793" s="267"/>
      <c r="P793" s="267"/>
      <c r="Q793" s="267"/>
      <c r="R793" s="267"/>
      <c r="S793" s="267"/>
      <c r="T793" s="267"/>
      <c r="U793" s="267"/>
      <c r="V793" s="267"/>
      <c r="W793" s="267"/>
      <c r="X793" s="267"/>
    </row>
    <row r="794">
      <c r="A794" s="267"/>
      <c r="B794" s="87"/>
      <c r="C794" s="87"/>
      <c r="D794" s="87"/>
      <c r="E794" s="267"/>
      <c r="F794" s="87"/>
      <c r="G794" s="267"/>
      <c r="H794" s="267"/>
      <c r="I794" s="267"/>
      <c r="J794" s="267"/>
      <c r="K794" s="267"/>
      <c r="L794" s="267"/>
      <c r="M794" s="267"/>
      <c r="N794" s="267"/>
      <c r="O794" s="267"/>
      <c r="P794" s="267"/>
      <c r="Q794" s="267"/>
      <c r="R794" s="267"/>
      <c r="S794" s="267"/>
      <c r="T794" s="267"/>
      <c r="U794" s="267"/>
      <c r="V794" s="267"/>
      <c r="W794" s="267"/>
      <c r="X794" s="267"/>
    </row>
    <row r="795">
      <c r="A795" s="267"/>
      <c r="B795" s="87"/>
      <c r="C795" s="87"/>
      <c r="D795" s="87"/>
      <c r="E795" s="267"/>
      <c r="F795" s="87"/>
      <c r="G795" s="267"/>
      <c r="H795" s="267"/>
      <c r="I795" s="267"/>
      <c r="J795" s="267"/>
      <c r="K795" s="267"/>
      <c r="L795" s="267"/>
      <c r="M795" s="267"/>
      <c r="N795" s="267"/>
      <c r="O795" s="267"/>
      <c r="P795" s="267"/>
      <c r="Q795" s="267"/>
      <c r="R795" s="267"/>
      <c r="S795" s="267"/>
      <c r="T795" s="267"/>
      <c r="U795" s="267"/>
      <c r="V795" s="267"/>
      <c r="W795" s="267"/>
      <c r="X795" s="267"/>
    </row>
    <row r="796">
      <c r="A796" s="267"/>
      <c r="B796" s="87"/>
      <c r="C796" s="87"/>
      <c r="D796" s="87"/>
      <c r="E796" s="267"/>
      <c r="F796" s="87"/>
      <c r="G796" s="267"/>
      <c r="H796" s="267"/>
      <c r="I796" s="267"/>
      <c r="J796" s="267"/>
      <c r="K796" s="267"/>
      <c r="L796" s="267"/>
      <c r="M796" s="267"/>
      <c r="N796" s="267"/>
      <c r="O796" s="267"/>
      <c r="P796" s="267"/>
      <c r="Q796" s="267"/>
      <c r="R796" s="267"/>
      <c r="S796" s="267"/>
      <c r="T796" s="267"/>
      <c r="U796" s="267"/>
      <c r="V796" s="267"/>
      <c r="W796" s="267"/>
      <c r="X796" s="267"/>
    </row>
    <row r="797">
      <c r="A797" s="267"/>
      <c r="B797" s="87"/>
      <c r="C797" s="87"/>
      <c r="D797" s="87"/>
      <c r="E797" s="267"/>
      <c r="F797" s="87"/>
      <c r="G797" s="267"/>
      <c r="H797" s="267"/>
      <c r="I797" s="267"/>
      <c r="J797" s="267"/>
      <c r="K797" s="267"/>
      <c r="L797" s="267"/>
      <c r="M797" s="267"/>
      <c r="N797" s="267"/>
      <c r="O797" s="267"/>
      <c r="P797" s="267"/>
      <c r="Q797" s="267"/>
      <c r="R797" s="267"/>
      <c r="S797" s="267"/>
      <c r="T797" s="267"/>
      <c r="U797" s="267"/>
      <c r="V797" s="267"/>
      <c r="W797" s="267"/>
      <c r="X797" s="267"/>
    </row>
    <row r="798">
      <c r="A798" s="267"/>
      <c r="B798" s="87"/>
      <c r="C798" s="87"/>
      <c r="D798" s="87"/>
      <c r="E798" s="267"/>
      <c r="F798" s="87"/>
      <c r="G798" s="267"/>
      <c r="H798" s="267"/>
      <c r="I798" s="267"/>
      <c r="J798" s="267"/>
      <c r="K798" s="267"/>
      <c r="L798" s="267"/>
      <c r="M798" s="267"/>
      <c r="N798" s="267"/>
      <c r="O798" s="267"/>
      <c r="P798" s="267"/>
      <c r="Q798" s="267"/>
      <c r="R798" s="267"/>
      <c r="S798" s="267"/>
      <c r="T798" s="267"/>
      <c r="U798" s="267"/>
      <c r="V798" s="267"/>
      <c r="W798" s="267"/>
      <c r="X798" s="267"/>
    </row>
    <row r="799">
      <c r="A799" s="267"/>
      <c r="B799" s="87"/>
      <c r="C799" s="87"/>
      <c r="D799" s="87"/>
      <c r="E799" s="267"/>
      <c r="F799" s="87"/>
      <c r="G799" s="267"/>
      <c r="H799" s="267"/>
      <c r="I799" s="267"/>
      <c r="J799" s="267"/>
      <c r="K799" s="267"/>
      <c r="L799" s="267"/>
      <c r="M799" s="267"/>
      <c r="N799" s="267"/>
      <c r="O799" s="267"/>
      <c r="P799" s="267"/>
      <c r="Q799" s="267"/>
      <c r="R799" s="267"/>
      <c r="S799" s="267"/>
      <c r="T799" s="267"/>
      <c r="U799" s="267"/>
      <c r="V799" s="267"/>
      <c r="W799" s="267"/>
      <c r="X799" s="267"/>
    </row>
    <row r="800">
      <c r="A800" s="267"/>
      <c r="B800" s="87"/>
      <c r="C800" s="87"/>
      <c r="D800" s="87"/>
      <c r="E800" s="267"/>
      <c r="F800" s="87"/>
      <c r="G800" s="267"/>
      <c r="H800" s="267"/>
      <c r="I800" s="267"/>
      <c r="J800" s="267"/>
      <c r="K800" s="267"/>
      <c r="L800" s="267"/>
      <c r="M800" s="267"/>
      <c r="N800" s="267"/>
      <c r="O800" s="267"/>
      <c r="P800" s="267"/>
      <c r="Q800" s="267"/>
      <c r="R800" s="267"/>
      <c r="S800" s="267"/>
      <c r="T800" s="267"/>
      <c r="U800" s="267"/>
      <c r="V800" s="267"/>
      <c r="W800" s="267"/>
      <c r="X800" s="267"/>
    </row>
    <row r="801">
      <c r="A801" s="267"/>
      <c r="B801" s="87"/>
      <c r="C801" s="87"/>
      <c r="D801" s="87"/>
      <c r="E801" s="267"/>
      <c r="F801" s="87"/>
      <c r="G801" s="267"/>
      <c r="H801" s="267"/>
      <c r="I801" s="267"/>
      <c r="J801" s="267"/>
      <c r="K801" s="267"/>
      <c r="L801" s="267"/>
      <c r="M801" s="267"/>
      <c r="N801" s="267"/>
      <c r="O801" s="267"/>
      <c r="P801" s="267"/>
      <c r="Q801" s="267"/>
      <c r="R801" s="267"/>
      <c r="S801" s="267"/>
      <c r="T801" s="267"/>
      <c r="U801" s="267"/>
      <c r="V801" s="267"/>
      <c r="W801" s="267"/>
      <c r="X801" s="267"/>
    </row>
    <row r="802">
      <c r="A802" s="267"/>
      <c r="B802" s="87"/>
      <c r="C802" s="87"/>
      <c r="D802" s="87"/>
      <c r="E802" s="267"/>
      <c r="F802" s="87"/>
      <c r="G802" s="267"/>
      <c r="H802" s="267"/>
      <c r="I802" s="267"/>
      <c r="J802" s="267"/>
      <c r="K802" s="267"/>
      <c r="L802" s="267"/>
      <c r="M802" s="267"/>
      <c r="N802" s="267"/>
      <c r="O802" s="267"/>
      <c r="P802" s="267"/>
      <c r="Q802" s="267"/>
      <c r="R802" s="267"/>
      <c r="S802" s="267"/>
      <c r="T802" s="267"/>
      <c r="U802" s="267"/>
      <c r="V802" s="267"/>
      <c r="W802" s="267"/>
      <c r="X802" s="267"/>
    </row>
    <row r="803">
      <c r="A803" s="267"/>
      <c r="B803" s="87"/>
      <c r="C803" s="87"/>
      <c r="D803" s="87"/>
      <c r="E803" s="267"/>
      <c r="F803" s="87"/>
      <c r="G803" s="267"/>
      <c r="H803" s="267"/>
      <c r="I803" s="267"/>
      <c r="J803" s="267"/>
      <c r="K803" s="267"/>
      <c r="L803" s="267"/>
      <c r="M803" s="267"/>
      <c r="N803" s="267"/>
      <c r="O803" s="267"/>
      <c r="P803" s="267"/>
      <c r="Q803" s="267"/>
      <c r="R803" s="267"/>
      <c r="S803" s="267"/>
      <c r="T803" s="267"/>
      <c r="U803" s="267"/>
      <c r="V803" s="267"/>
      <c r="W803" s="267"/>
      <c r="X803" s="267"/>
    </row>
    <row r="804">
      <c r="A804" s="267"/>
      <c r="B804" s="87"/>
      <c r="C804" s="87"/>
      <c r="D804" s="87"/>
      <c r="E804" s="267"/>
      <c r="F804" s="87"/>
      <c r="G804" s="267"/>
      <c r="H804" s="267"/>
      <c r="I804" s="267"/>
      <c r="J804" s="267"/>
      <c r="K804" s="267"/>
      <c r="L804" s="267"/>
      <c r="M804" s="267"/>
      <c r="N804" s="267"/>
      <c r="O804" s="267"/>
      <c r="P804" s="267"/>
      <c r="Q804" s="267"/>
      <c r="R804" s="267"/>
      <c r="S804" s="267"/>
      <c r="T804" s="267"/>
      <c r="U804" s="267"/>
      <c r="V804" s="267"/>
      <c r="W804" s="267"/>
      <c r="X804" s="267"/>
    </row>
    <row r="805">
      <c r="A805" s="267"/>
      <c r="B805" s="87"/>
      <c r="C805" s="87"/>
      <c r="D805" s="87"/>
      <c r="E805" s="267"/>
      <c r="F805" s="87"/>
      <c r="G805" s="267"/>
      <c r="H805" s="267"/>
      <c r="I805" s="267"/>
      <c r="J805" s="267"/>
      <c r="K805" s="267"/>
      <c r="L805" s="267"/>
      <c r="M805" s="267"/>
      <c r="N805" s="267"/>
      <c r="O805" s="267"/>
      <c r="P805" s="267"/>
      <c r="Q805" s="267"/>
      <c r="R805" s="267"/>
      <c r="S805" s="267"/>
      <c r="T805" s="267"/>
      <c r="U805" s="267"/>
      <c r="V805" s="267"/>
      <c r="W805" s="267"/>
      <c r="X805" s="267"/>
    </row>
    <row r="806">
      <c r="A806" s="267"/>
      <c r="B806" s="87"/>
      <c r="C806" s="87"/>
      <c r="D806" s="87"/>
      <c r="E806" s="267"/>
      <c r="F806" s="87"/>
      <c r="G806" s="267"/>
      <c r="H806" s="267"/>
      <c r="I806" s="267"/>
      <c r="J806" s="267"/>
      <c r="K806" s="267"/>
      <c r="L806" s="267"/>
      <c r="M806" s="267"/>
      <c r="N806" s="267"/>
      <c r="O806" s="267"/>
      <c r="P806" s="267"/>
      <c r="Q806" s="267"/>
      <c r="R806" s="267"/>
      <c r="S806" s="267"/>
      <c r="T806" s="267"/>
      <c r="U806" s="267"/>
      <c r="V806" s="267"/>
      <c r="W806" s="267"/>
      <c r="X806" s="267"/>
    </row>
    <row r="807">
      <c r="A807" s="267"/>
      <c r="B807" s="87"/>
      <c r="C807" s="87"/>
      <c r="D807" s="87"/>
      <c r="E807" s="267"/>
      <c r="F807" s="87"/>
      <c r="G807" s="267"/>
      <c r="H807" s="267"/>
      <c r="I807" s="267"/>
      <c r="J807" s="267"/>
      <c r="K807" s="267"/>
      <c r="L807" s="267"/>
      <c r="M807" s="267"/>
      <c r="N807" s="267"/>
      <c r="O807" s="267"/>
      <c r="P807" s="267"/>
      <c r="Q807" s="267"/>
      <c r="R807" s="267"/>
      <c r="S807" s="267"/>
      <c r="T807" s="267"/>
      <c r="U807" s="267"/>
      <c r="V807" s="267"/>
      <c r="W807" s="267"/>
      <c r="X807" s="267"/>
    </row>
    <row r="808">
      <c r="A808" s="267"/>
      <c r="B808" s="87"/>
      <c r="C808" s="87"/>
      <c r="D808" s="87"/>
      <c r="E808" s="267"/>
      <c r="F808" s="87"/>
      <c r="G808" s="267"/>
      <c r="H808" s="267"/>
      <c r="I808" s="267"/>
      <c r="J808" s="267"/>
      <c r="K808" s="267"/>
      <c r="L808" s="267"/>
      <c r="M808" s="267"/>
      <c r="N808" s="267"/>
      <c r="O808" s="267"/>
      <c r="P808" s="267"/>
      <c r="Q808" s="267"/>
      <c r="R808" s="267"/>
      <c r="S808" s="267"/>
      <c r="T808" s="267"/>
      <c r="U808" s="267"/>
      <c r="V808" s="267"/>
      <c r="W808" s="267"/>
      <c r="X808" s="267"/>
    </row>
    <row r="809">
      <c r="A809" s="267"/>
      <c r="B809" s="87"/>
      <c r="C809" s="87"/>
      <c r="D809" s="87"/>
      <c r="E809" s="267"/>
      <c r="F809" s="87"/>
      <c r="G809" s="267"/>
      <c r="H809" s="267"/>
      <c r="I809" s="267"/>
      <c r="J809" s="267"/>
      <c r="K809" s="267"/>
      <c r="L809" s="267"/>
      <c r="M809" s="267"/>
      <c r="N809" s="267"/>
      <c r="O809" s="267"/>
      <c r="P809" s="267"/>
      <c r="Q809" s="267"/>
      <c r="R809" s="267"/>
      <c r="S809" s="267"/>
      <c r="T809" s="267"/>
      <c r="U809" s="267"/>
      <c r="V809" s="267"/>
      <c r="W809" s="267"/>
      <c r="X809" s="267"/>
    </row>
    <row r="810">
      <c r="A810" s="267"/>
      <c r="B810" s="87"/>
      <c r="C810" s="87"/>
      <c r="D810" s="87"/>
      <c r="E810" s="267"/>
      <c r="F810" s="87"/>
      <c r="G810" s="267"/>
      <c r="H810" s="267"/>
      <c r="I810" s="267"/>
      <c r="J810" s="267"/>
      <c r="K810" s="267"/>
      <c r="L810" s="267"/>
      <c r="M810" s="267"/>
      <c r="N810" s="267"/>
      <c r="O810" s="267"/>
      <c r="P810" s="267"/>
      <c r="Q810" s="267"/>
      <c r="R810" s="267"/>
      <c r="S810" s="267"/>
      <c r="T810" s="267"/>
      <c r="U810" s="267"/>
      <c r="V810" s="267"/>
      <c r="W810" s="267"/>
      <c r="X810" s="267"/>
    </row>
    <row r="811">
      <c r="A811" s="267"/>
      <c r="B811" s="87"/>
      <c r="C811" s="87"/>
      <c r="D811" s="87"/>
      <c r="E811" s="267"/>
      <c r="F811" s="87"/>
      <c r="G811" s="267"/>
      <c r="H811" s="267"/>
      <c r="I811" s="267"/>
      <c r="J811" s="267"/>
      <c r="K811" s="267"/>
      <c r="L811" s="267"/>
      <c r="M811" s="267"/>
      <c r="N811" s="267"/>
      <c r="O811" s="267"/>
      <c r="P811" s="267"/>
      <c r="Q811" s="267"/>
      <c r="R811" s="267"/>
      <c r="S811" s="267"/>
      <c r="T811" s="267"/>
      <c r="U811" s="267"/>
      <c r="V811" s="267"/>
      <c r="W811" s="267"/>
      <c r="X811" s="267"/>
    </row>
    <row r="812">
      <c r="A812" s="267"/>
      <c r="B812" s="87"/>
      <c r="C812" s="87"/>
      <c r="D812" s="87"/>
      <c r="E812" s="267"/>
      <c r="F812" s="87"/>
      <c r="G812" s="267"/>
      <c r="H812" s="267"/>
      <c r="I812" s="267"/>
      <c r="J812" s="267"/>
      <c r="K812" s="267"/>
      <c r="L812" s="267"/>
      <c r="M812" s="267"/>
      <c r="N812" s="267"/>
      <c r="O812" s="267"/>
      <c r="P812" s="267"/>
      <c r="Q812" s="267"/>
      <c r="R812" s="267"/>
      <c r="S812" s="267"/>
      <c r="T812" s="267"/>
      <c r="U812" s="267"/>
      <c r="V812" s="267"/>
      <c r="W812" s="267"/>
      <c r="X812" s="267"/>
    </row>
    <row r="813">
      <c r="A813" s="267"/>
      <c r="B813" s="87"/>
      <c r="C813" s="87"/>
      <c r="D813" s="87"/>
      <c r="E813" s="267"/>
      <c r="F813" s="87"/>
      <c r="G813" s="267"/>
      <c r="H813" s="267"/>
      <c r="I813" s="267"/>
      <c r="J813" s="267"/>
      <c r="K813" s="267"/>
      <c r="L813" s="267"/>
      <c r="M813" s="267"/>
      <c r="N813" s="267"/>
      <c r="O813" s="267"/>
      <c r="P813" s="267"/>
      <c r="Q813" s="267"/>
      <c r="R813" s="267"/>
      <c r="S813" s="267"/>
      <c r="T813" s="267"/>
      <c r="U813" s="267"/>
      <c r="V813" s="267"/>
      <c r="W813" s="267"/>
      <c r="X813" s="267"/>
    </row>
    <row r="814">
      <c r="A814" s="267"/>
      <c r="B814" s="87"/>
      <c r="C814" s="87"/>
      <c r="D814" s="87"/>
      <c r="E814" s="267"/>
      <c r="F814" s="87"/>
      <c r="G814" s="267"/>
      <c r="H814" s="267"/>
      <c r="I814" s="267"/>
      <c r="J814" s="267"/>
      <c r="K814" s="267"/>
      <c r="L814" s="267"/>
      <c r="M814" s="267"/>
      <c r="N814" s="267"/>
      <c r="O814" s="267"/>
      <c r="P814" s="267"/>
      <c r="Q814" s="267"/>
      <c r="R814" s="267"/>
      <c r="S814" s="267"/>
      <c r="T814" s="267"/>
      <c r="U814" s="267"/>
      <c r="V814" s="267"/>
      <c r="W814" s="267"/>
      <c r="X814" s="267"/>
    </row>
    <row r="815">
      <c r="A815" s="267"/>
      <c r="B815" s="87"/>
      <c r="C815" s="87"/>
      <c r="D815" s="87"/>
      <c r="E815" s="267"/>
      <c r="F815" s="87"/>
      <c r="G815" s="267"/>
      <c r="H815" s="267"/>
      <c r="I815" s="267"/>
      <c r="J815" s="267"/>
      <c r="K815" s="267"/>
      <c r="L815" s="267"/>
      <c r="M815" s="267"/>
      <c r="N815" s="267"/>
      <c r="O815" s="267"/>
      <c r="P815" s="267"/>
      <c r="Q815" s="267"/>
      <c r="R815" s="267"/>
      <c r="S815" s="267"/>
      <c r="T815" s="267"/>
      <c r="U815" s="267"/>
      <c r="V815" s="267"/>
      <c r="W815" s="267"/>
      <c r="X815" s="267"/>
    </row>
    <row r="816">
      <c r="A816" s="267"/>
      <c r="B816" s="87"/>
      <c r="C816" s="87"/>
      <c r="D816" s="87"/>
      <c r="E816" s="267"/>
      <c r="F816" s="87"/>
      <c r="G816" s="267"/>
      <c r="H816" s="267"/>
      <c r="I816" s="267"/>
      <c r="J816" s="267"/>
      <c r="K816" s="267"/>
      <c r="L816" s="267"/>
      <c r="M816" s="267"/>
      <c r="N816" s="267"/>
      <c r="O816" s="267"/>
      <c r="P816" s="267"/>
      <c r="Q816" s="267"/>
      <c r="R816" s="267"/>
      <c r="S816" s="267"/>
      <c r="T816" s="267"/>
      <c r="U816" s="267"/>
      <c r="V816" s="267"/>
      <c r="W816" s="267"/>
      <c r="X816" s="267"/>
    </row>
    <row r="817">
      <c r="A817" s="267"/>
      <c r="B817" s="87"/>
      <c r="C817" s="87"/>
      <c r="D817" s="87"/>
      <c r="E817" s="267"/>
      <c r="F817" s="87"/>
      <c r="G817" s="267"/>
      <c r="H817" s="267"/>
      <c r="I817" s="267"/>
      <c r="J817" s="267"/>
      <c r="K817" s="267"/>
      <c r="L817" s="267"/>
      <c r="M817" s="267"/>
      <c r="N817" s="267"/>
      <c r="O817" s="267"/>
      <c r="P817" s="267"/>
      <c r="Q817" s="267"/>
      <c r="R817" s="267"/>
      <c r="S817" s="267"/>
      <c r="T817" s="267"/>
      <c r="U817" s="267"/>
      <c r="V817" s="267"/>
      <c r="W817" s="267"/>
      <c r="X817" s="267"/>
    </row>
    <row r="818">
      <c r="A818" s="267"/>
      <c r="B818" s="87"/>
      <c r="C818" s="87"/>
      <c r="D818" s="87"/>
      <c r="E818" s="267"/>
      <c r="F818" s="87"/>
      <c r="G818" s="267"/>
      <c r="H818" s="267"/>
      <c r="I818" s="267"/>
      <c r="J818" s="267"/>
      <c r="K818" s="267"/>
      <c r="L818" s="267"/>
      <c r="M818" s="267"/>
      <c r="N818" s="267"/>
      <c r="O818" s="267"/>
      <c r="P818" s="267"/>
      <c r="Q818" s="267"/>
      <c r="R818" s="267"/>
      <c r="S818" s="267"/>
      <c r="T818" s="267"/>
      <c r="U818" s="267"/>
      <c r="V818" s="267"/>
      <c r="W818" s="267"/>
      <c r="X818" s="267"/>
    </row>
    <row r="819">
      <c r="A819" s="267"/>
      <c r="B819" s="87"/>
      <c r="C819" s="87"/>
      <c r="D819" s="87"/>
      <c r="E819" s="267"/>
      <c r="F819" s="87"/>
      <c r="G819" s="267"/>
      <c r="H819" s="267"/>
      <c r="I819" s="267"/>
      <c r="J819" s="267"/>
      <c r="K819" s="267"/>
      <c r="L819" s="267"/>
      <c r="M819" s="267"/>
      <c r="N819" s="267"/>
      <c r="O819" s="267"/>
      <c r="P819" s="267"/>
      <c r="Q819" s="267"/>
      <c r="R819" s="267"/>
      <c r="S819" s="267"/>
      <c r="T819" s="267"/>
      <c r="U819" s="267"/>
      <c r="V819" s="267"/>
      <c r="W819" s="267"/>
      <c r="X819" s="267"/>
    </row>
    <row r="820">
      <c r="A820" s="267"/>
      <c r="B820" s="87"/>
      <c r="C820" s="87"/>
      <c r="D820" s="87"/>
      <c r="E820" s="267"/>
      <c r="F820" s="87"/>
      <c r="G820" s="267"/>
      <c r="H820" s="267"/>
      <c r="I820" s="267"/>
      <c r="J820" s="267"/>
      <c r="K820" s="267"/>
      <c r="L820" s="267"/>
      <c r="M820" s="267"/>
      <c r="N820" s="267"/>
      <c r="O820" s="267"/>
      <c r="P820" s="267"/>
      <c r="Q820" s="267"/>
      <c r="R820" s="267"/>
      <c r="S820" s="267"/>
      <c r="T820" s="267"/>
      <c r="U820" s="267"/>
      <c r="V820" s="267"/>
      <c r="W820" s="267"/>
      <c r="X820" s="267"/>
    </row>
    <row r="821">
      <c r="A821" s="267"/>
      <c r="B821" s="87"/>
      <c r="C821" s="87"/>
      <c r="D821" s="87"/>
      <c r="E821" s="267"/>
      <c r="F821" s="87"/>
      <c r="G821" s="267"/>
      <c r="H821" s="267"/>
      <c r="I821" s="267"/>
      <c r="J821" s="267"/>
      <c r="K821" s="267"/>
      <c r="L821" s="267"/>
      <c r="M821" s="267"/>
      <c r="N821" s="267"/>
      <c r="O821" s="267"/>
      <c r="P821" s="267"/>
      <c r="Q821" s="267"/>
      <c r="R821" s="267"/>
      <c r="S821" s="267"/>
      <c r="T821" s="267"/>
      <c r="U821" s="267"/>
      <c r="V821" s="267"/>
      <c r="W821" s="267"/>
      <c r="X821" s="267"/>
    </row>
    <row r="822">
      <c r="A822" s="267"/>
      <c r="B822" s="87"/>
      <c r="C822" s="87"/>
      <c r="D822" s="87"/>
      <c r="E822" s="267"/>
      <c r="F822" s="87"/>
      <c r="G822" s="267"/>
      <c r="H822" s="267"/>
      <c r="I822" s="267"/>
      <c r="J822" s="267"/>
      <c r="K822" s="267"/>
      <c r="L822" s="267"/>
      <c r="M822" s="267"/>
      <c r="N822" s="267"/>
      <c r="O822" s="267"/>
      <c r="P822" s="267"/>
      <c r="Q822" s="267"/>
      <c r="R822" s="267"/>
      <c r="S822" s="267"/>
      <c r="T822" s="267"/>
      <c r="U822" s="267"/>
      <c r="V822" s="267"/>
      <c r="W822" s="267"/>
      <c r="X822" s="267"/>
    </row>
    <row r="823">
      <c r="A823" s="267"/>
      <c r="B823" s="87"/>
      <c r="C823" s="87"/>
      <c r="D823" s="87"/>
      <c r="E823" s="267"/>
      <c r="F823" s="87"/>
      <c r="G823" s="267"/>
      <c r="H823" s="267"/>
      <c r="I823" s="267"/>
      <c r="J823" s="267"/>
      <c r="K823" s="267"/>
      <c r="L823" s="267"/>
      <c r="M823" s="267"/>
      <c r="N823" s="267"/>
      <c r="O823" s="267"/>
      <c r="P823" s="267"/>
      <c r="Q823" s="267"/>
      <c r="R823" s="267"/>
      <c r="S823" s="267"/>
      <c r="T823" s="267"/>
      <c r="U823" s="267"/>
      <c r="V823" s="267"/>
      <c r="W823" s="267"/>
      <c r="X823" s="267"/>
    </row>
    <row r="824">
      <c r="A824" s="267"/>
      <c r="B824" s="87"/>
      <c r="C824" s="87"/>
      <c r="D824" s="87"/>
      <c r="E824" s="267"/>
      <c r="F824" s="87"/>
      <c r="G824" s="267"/>
      <c r="H824" s="267"/>
      <c r="I824" s="267"/>
      <c r="J824" s="267"/>
      <c r="K824" s="267"/>
      <c r="L824" s="267"/>
      <c r="M824" s="267"/>
      <c r="N824" s="267"/>
      <c r="O824" s="267"/>
      <c r="P824" s="267"/>
      <c r="Q824" s="267"/>
      <c r="R824" s="267"/>
      <c r="S824" s="267"/>
      <c r="T824" s="267"/>
      <c r="U824" s="267"/>
      <c r="V824" s="267"/>
      <c r="W824" s="267"/>
      <c r="X824" s="267"/>
    </row>
    <row r="825">
      <c r="A825" s="267"/>
      <c r="B825" s="87"/>
      <c r="C825" s="87"/>
      <c r="D825" s="87"/>
      <c r="E825" s="267"/>
      <c r="F825" s="87"/>
      <c r="G825" s="267"/>
      <c r="H825" s="267"/>
      <c r="I825" s="267"/>
      <c r="J825" s="267"/>
      <c r="K825" s="267"/>
      <c r="L825" s="267"/>
      <c r="M825" s="267"/>
      <c r="N825" s="267"/>
      <c r="O825" s="267"/>
      <c r="P825" s="267"/>
      <c r="Q825" s="267"/>
      <c r="R825" s="267"/>
      <c r="S825" s="267"/>
      <c r="T825" s="267"/>
      <c r="U825" s="267"/>
      <c r="V825" s="267"/>
      <c r="W825" s="267"/>
      <c r="X825" s="267"/>
    </row>
    <row r="826">
      <c r="A826" s="267"/>
      <c r="B826" s="87"/>
      <c r="C826" s="87"/>
      <c r="D826" s="87"/>
      <c r="E826" s="267"/>
      <c r="F826" s="87"/>
      <c r="G826" s="267"/>
      <c r="H826" s="267"/>
      <c r="I826" s="267"/>
      <c r="J826" s="267"/>
      <c r="K826" s="267"/>
      <c r="L826" s="267"/>
      <c r="M826" s="267"/>
      <c r="N826" s="267"/>
      <c r="O826" s="267"/>
      <c r="P826" s="267"/>
      <c r="Q826" s="267"/>
      <c r="R826" s="267"/>
      <c r="S826" s="267"/>
      <c r="T826" s="267"/>
      <c r="U826" s="267"/>
      <c r="V826" s="267"/>
      <c r="W826" s="267"/>
      <c r="X826" s="267"/>
    </row>
    <row r="827">
      <c r="A827" s="267"/>
      <c r="B827" s="87"/>
      <c r="C827" s="87"/>
      <c r="D827" s="87"/>
      <c r="E827" s="267"/>
      <c r="F827" s="87"/>
      <c r="G827" s="267"/>
      <c r="H827" s="267"/>
      <c r="I827" s="267"/>
      <c r="J827" s="267"/>
      <c r="K827" s="267"/>
      <c r="L827" s="267"/>
      <c r="M827" s="267"/>
      <c r="N827" s="267"/>
      <c r="O827" s="267"/>
      <c r="P827" s="267"/>
      <c r="Q827" s="267"/>
      <c r="R827" s="267"/>
      <c r="S827" s="267"/>
      <c r="T827" s="267"/>
      <c r="U827" s="267"/>
      <c r="V827" s="267"/>
      <c r="W827" s="267"/>
      <c r="X827" s="267"/>
    </row>
    <row r="828">
      <c r="A828" s="267"/>
      <c r="B828" s="87"/>
      <c r="C828" s="87"/>
      <c r="D828" s="87"/>
      <c r="E828" s="267"/>
      <c r="F828" s="87"/>
      <c r="G828" s="267"/>
      <c r="H828" s="267"/>
      <c r="I828" s="267"/>
      <c r="J828" s="267"/>
      <c r="K828" s="267"/>
      <c r="L828" s="267"/>
      <c r="M828" s="267"/>
      <c r="N828" s="267"/>
      <c r="O828" s="267"/>
      <c r="P828" s="267"/>
      <c r="Q828" s="267"/>
      <c r="R828" s="267"/>
      <c r="S828" s="267"/>
      <c r="T828" s="267"/>
      <c r="U828" s="267"/>
      <c r="V828" s="267"/>
      <c r="W828" s="267"/>
      <c r="X828" s="267"/>
    </row>
    <row r="829">
      <c r="A829" s="267"/>
      <c r="B829" s="87"/>
      <c r="C829" s="87"/>
      <c r="D829" s="87"/>
      <c r="E829" s="267"/>
      <c r="F829" s="87"/>
      <c r="G829" s="267"/>
      <c r="H829" s="267"/>
      <c r="I829" s="267"/>
      <c r="J829" s="267"/>
      <c r="K829" s="267"/>
      <c r="L829" s="267"/>
      <c r="M829" s="267"/>
      <c r="N829" s="267"/>
      <c r="O829" s="267"/>
      <c r="P829" s="267"/>
      <c r="Q829" s="267"/>
      <c r="R829" s="267"/>
      <c r="S829" s="267"/>
      <c r="T829" s="267"/>
      <c r="U829" s="267"/>
      <c r="V829" s="267"/>
      <c r="W829" s="267"/>
      <c r="X829" s="267"/>
    </row>
    <row r="830">
      <c r="A830" s="267"/>
      <c r="B830" s="87"/>
      <c r="C830" s="87"/>
      <c r="D830" s="87"/>
      <c r="E830" s="267"/>
      <c r="F830" s="87"/>
      <c r="G830" s="267"/>
      <c r="H830" s="267"/>
      <c r="I830" s="267"/>
      <c r="J830" s="267"/>
      <c r="K830" s="267"/>
      <c r="L830" s="267"/>
      <c r="M830" s="267"/>
      <c r="N830" s="267"/>
      <c r="O830" s="267"/>
      <c r="P830" s="267"/>
      <c r="Q830" s="267"/>
      <c r="R830" s="267"/>
      <c r="S830" s="267"/>
      <c r="T830" s="267"/>
      <c r="U830" s="267"/>
      <c r="V830" s="267"/>
      <c r="W830" s="267"/>
      <c r="X830" s="267"/>
    </row>
    <row r="831">
      <c r="A831" s="267"/>
      <c r="B831" s="87"/>
      <c r="C831" s="87"/>
      <c r="D831" s="87"/>
      <c r="E831" s="267"/>
      <c r="F831" s="87"/>
      <c r="G831" s="267"/>
      <c r="H831" s="267"/>
      <c r="I831" s="267"/>
      <c r="J831" s="267"/>
      <c r="K831" s="267"/>
      <c r="L831" s="267"/>
      <c r="M831" s="267"/>
      <c r="N831" s="267"/>
      <c r="O831" s="267"/>
      <c r="P831" s="267"/>
      <c r="Q831" s="267"/>
      <c r="R831" s="267"/>
      <c r="S831" s="267"/>
      <c r="T831" s="267"/>
      <c r="U831" s="267"/>
      <c r="V831" s="267"/>
      <c r="W831" s="267"/>
      <c r="X831" s="267"/>
    </row>
    <row r="832">
      <c r="A832" s="267"/>
      <c r="B832" s="87"/>
      <c r="C832" s="87"/>
      <c r="D832" s="87"/>
      <c r="E832" s="267"/>
      <c r="F832" s="87"/>
      <c r="G832" s="267"/>
      <c r="H832" s="267"/>
      <c r="I832" s="267"/>
      <c r="J832" s="267"/>
      <c r="K832" s="267"/>
      <c r="L832" s="267"/>
      <c r="M832" s="267"/>
      <c r="N832" s="267"/>
      <c r="O832" s="267"/>
      <c r="P832" s="267"/>
      <c r="Q832" s="267"/>
      <c r="R832" s="267"/>
      <c r="S832" s="267"/>
      <c r="T832" s="267"/>
      <c r="U832" s="267"/>
      <c r="V832" s="267"/>
      <c r="W832" s="267"/>
      <c r="X832" s="267"/>
    </row>
    <row r="833">
      <c r="A833" s="267"/>
      <c r="B833" s="87"/>
      <c r="C833" s="87"/>
      <c r="D833" s="87"/>
      <c r="E833" s="267"/>
      <c r="F833" s="87"/>
      <c r="G833" s="267"/>
      <c r="H833" s="267"/>
      <c r="I833" s="267"/>
      <c r="J833" s="267"/>
      <c r="K833" s="267"/>
      <c r="L833" s="267"/>
      <c r="M833" s="267"/>
      <c r="N833" s="267"/>
      <c r="O833" s="267"/>
      <c r="P833" s="267"/>
      <c r="Q833" s="267"/>
      <c r="R833" s="267"/>
      <c r="S833" s="267"/>
      <c r="T833" s="267"/>
      <c r="U833" s="267"/>
      <c r="V833" s="267"/>
      <c r="W833" s="267"/>
      <c r="X833" s="267"/>
    </row>
    <row r="834">
      <c r="A834" s="267"/>
      <c r="B834" s="87"/>
      <c r="C834" s="87"/>
      <c r="D834" s="87"/>
      <c r="E834" s="267"/>
      <c r="F834" s="87"/>
      <c r="G834" s="267"/>
      <c r="H834" s="267"/>
      <c r="I834" s="267"/>
      <c r="J834" s="267"/>
      <c r="K834" s="267"/>
      <c r="L834" s="267"/>
      <c r="M834" s="267"/>
      <c r="N834" s="267"/>
      <c r="O834" s="267"/>
      <c r="P834" s="267"/>
      <c r="Q834" s="267"/>
      <c r="R834" s="267"/>
      <c r="S834" s="267"/>
      <c r="T834" s="267"/>
      <c r="U834" s="267"/>
      <c r="V834" s="267"/>
      <c r="W834" s="267"/>
      <c r="X834" s="267"/>
    </row>
    <row r="835">
      <c r="A835" s="267"/>
      <c r="B835" s="87"/>
      <c r="C835" s="87"/>
      <c r="D835" s="87"/>
      <c r="E835" s="267"/>
      <c r="F835" s="87"/>
      <c r="G835" s="267"/>
      <c r="H835" s="267"/>
      <c r="I835" s="267"/>
      <c r="J835" s="267"/>
      <c r="K835" s="267"/>
      <c r="L835" s="267"/>
      <c r="M835" s="267"/>
      <c r="N835" s="267"/>
      <c r="O835" s="267"/>
      <c r="P835" s="267"/>
      <c r="Q835" s="267"/>
      <c r="R835" s="267"/>
      <c r="S835" s="267"/>
      <c r="T835" s="267"/>
      <c r="U835" s="267"/>
      <c r="V835" s="267"/>
      <c r="W835" s="267"/>
      <c r="X835" s="267"/>
    </row>
    <row r="836">
      <c r="A836" s="267"/>
      <c r="B836" s="87"/>
      <c r="C836" s="87"/>
      <c r="D836" s="87"/>
      <c r="E836" s="267"/>
      <c r="F836" s="87"/>
      <c r="G836" s="267"/>
      <c r="H836" s="267"/>
      <c r="I836" s="267"/>
      <c r="J836" s="267"/>
      <c r="K836" s="267"/>
      <c r="L836" s="267"/>
      <c r="M836" s="267"/>
      <c r="N836" s="267"/>
      <c r="O836" s="267"/>
      <c r="P836" s="267"/>
      <c r="Q836" s="267"/>
      <c r="R836" s="267"/>
      <c r="S836" s="267"/>
      <c r="T836" s="267"/>
      <c r="U836" s="267"/>
      <c r="V836" s="267"/>
      <c r="W836" s="267"/>
      <c r="X836" s="267"/>
    </row>
    <row r="837">
      <c r="A837" s="267"/>
      <c r="B837" s="87"/>
      <c r="C837" s="87"/>
      <c r="D837" s="87"/>
      <c r="E837" s="267"/>
      <c r="F837" s="87"/>
      <c r="G837" s="267"/>
      <c r="H837" s="267"/>
      <c r="I837" s="267"/>
      <c r="J837" s="267"/>
      <c r="K837" s="267"/>
      <c r="L837" s="267"/>
      <c r="M837" s="267"/>
      <c r="N837" s="267"/>
      <c r="O837" s="267"/>
      <c r="P837" s="267"/>
      <c r="Q837" s="267"/>
      <c r="R837" s="267"/>
      <c r="S837" s="267"/>
      <c r="T837" s="267"/>
      <c r="U837" s="267"/>
      <c r="V837" s="267"/>
      <c r="W837" s="267"/>
      <c r="X837" s="267"/>
    </row>
    <row r="838">
      <c r="A838" s="267"/>
      <c r="B838" s="87"/>
      <c r="C838" s="87"/>
      <c r="D838" s="87"/>
      <c r="E838" s="267"/>
      <c r="F838" s="87"/>
      <c r="G838" s="267"/>
      <c r="H838" s="267"/>
      <c r="I838" s="267"/>
      <c r="J838" s="267"/>
      <c r="K838" s="267"/>
      <c r="L838" s="267"/>
      <c r="M838" s="267"/>
      <c r="N838" s="267"/>
      <c r="O838" s="267"/>
      <c r="P838" s="267"/>
      <c r="Q838" s="267"/>
      <c r="R838" s="267"/>
      <c r="S838" s="267"/>
      <c r="T838" s="267"/>
      <c r="U838" s="267"/>
      <c r="V838" s="267"/>
      <c r="W838" s="267"/>
      <c r="X838" s="267"/>
    </row>
    <row r="839">
      <c r="A839" s="267"/>
      <c r="B839" s="87"/>
      <c r="C839" s="87"/>
      <c r="D839" s="87"/>
      <c r="E839" s="267"/>
      <c r="F839" s="87"/>
      <c r="G839" s="267"/>
      <c r="H839" s="267"/>
      <c r="I839" s="267"/>
      <c r="J839" s="267"/>
      <c r="K839" s="267"/>
      <c r="L839" s="267"/>
      <c r="M839" s="267"/>
      <c r="N839" s="267"/>
      <c r="O839" s="267"/>
      <c r="P839" s="267"/>
      <c r="Q839" s="267"/>
      <c r="R839" s="267"/>
      <c r="S839" s="267"/>
      <c r="T839" s="267"/>
      <c r="U839" s="267"/>
      <c r="V839" s="267"/>
      <c r="W839" s="267"/>
      <c r="X839" s="267"/>
    </row>
    <row r="840">
      <c r="A840" s="267"/>
      <c r="B840" s="87"/>
      <c r="C840" s="87"/>
      <c r="D840" s="87"/>
      <c r="E840" s="267"/>
      <c r="F840" s="87"/>
      <c r="G840" s="267"/>
      <c r="H840" s="267"/>
      <c r="I840" s="267"/>
      <c r="J840" s="267"/>
      <c r="K840" s="267"/>
      <c r="L840" s="267"/>
      <c r="M840" s="267"/>
      <c r="N840" s="267"/>
      <c r="O840" s="267"/>
      <c r="P840" s="267"/>
      <c r="Q840" s="267"/>
      <c r="R840" s="267"/>
      <c r="S840" s="267"/>
      <c r="T840" s="267"/>
      <c r="U840" s="267"/>
      <c r="V840" s="267"/>
      <c r="W840" s="267"/>
      <c r="X840" s="267"/>
    </row>
    <row r="841">
      <c r="A841" s="267"/>
      <c r="B841" s="87"/>
      <c r="C841" s="87"/>
      <c r="D841" s="87"/>
      <c r="E841" s="267"/>
      <c r="F841" s="87"/>
      <c r="G841" s="267"/>
      <c r="H841" s="267"/>
      <c r="I841" s="267"/>
      <c r="J841" s="267"/>
      <c r="K841" s="267"/>
      <c r="L841" s="267"/>
      <c r="M841" s="267"/>
      <c r="N841" s="267"/>
      <c r="O841" s="267"/>
      <c r="P841" s="267"/>
      <c r="Q841" s="267"/>
      <c r="R841" s="267"/>
      <c r="S841" s="267"/>
      <c r="T841" s="267"/>
      <c r="U841" s="267"/>
      <c r="V841" s="267"/>
      <c r="W841" s="267"/>
      <c r="X841" s="267"/>
    </row>
    <row r="842">
      <c r="A842" s="267"/>
      <c r="B842" s="87"/>
      <c r="C842" s="87"/>
      <c r="D842" s="87"/>
      <c r="E842" s="267"/>
      <c r="F842" s="87"/>
      <c r="G842" s="267"/>
      <c r="H842" s="267"/>
      <c r="I842" s="267"/>
      <c r="J842" s="267"/>
      <c r="K842" s="267"/>
      <c r="L842" s="267"/>
      <c r="M842" s="267"/>
      <c r="N842" s="267"/>
      <c r="O842" s="267"/>
      <c r="P842" s="267"/>
      <c r="Q842" s="267"/>
      <c r="R842" s="267"/>
      <c r="S842" s="267"/>
      <c r="T842" s="267"/>
      <c r="U842" s="267"/>
      <c r="V842" s="267"/>
      <c r="W842" s="267"/>
      <c r="X842" s="267"/>
    </row>
    <row r="843">
      <c r="A843" s="267"/>
      <c r="B843" s="87"/>
      <c r="C843" s="87"/>
      <c r="D843" s="87"/>
      <c r="E843" s="267"/>
      <c r="F843" s="87"/>
      <c r="G843" s="267"/>
      <c r="H843" s="267"/>
      <c r="I843" s="267"/>
      <c r="J843" s="267"/>
      <c r="K843" s="267"/>
      <c r="L843" s="267"/>
      <c r="M843" s="267"/>
      <c r="N843" s="267"/>
      <c r="O843" s="267"/>
      <c r="P843" s="267"/>
      <c r="Q843" s="267"/>
      <c r="R843" s="267"/>
      <c r="S843" s="267"/>
      <c r="T843" s="267"/>
      <c r="U843" s="267"/>
      <c r="V843" s="267"/>
      <c r="W843" s="267"/>
      <c r="X843" s="267"/>
    </row>
    <row r="844">
      <c r="A844" s="267"/>
      <c r="B844" s="87"/>
      <c r="C844" s="87"/>
      <c r="D844" s="87"/>
      <c r="E844" s="267"/>
      <c r="F844" s="87"/>
      <c r="G844" s="267"/>
      <c r="H844" s="267"/>
      <c r="I844" s="267"/>
      <c r="J844" s="267"/>
      <c r="K844" s="267"/>
      <c r="L844" s="267"/>
      <c r="M844" s="267"/>
      <c r="N844" s="267"/>
      <c r="O844" s="267"/>
      <c r="P844" s="267"/>
      <c r="Q844" s="267"/>
      <c r="R844" s="267"/>
      <c r="S844" s="267"/>
      <c r="T844" s="267"/>
      <c r="U844" s="267"/>
      <c r="V844" s="267"/>
      <c r="W844" s="267"/>
      <c r="X844" s="267"/>
    </row>
    <row r="845">
      <c r="A845" s="267"/>
      <c r="B845" s="87"/>
      <c r="C845" s="87"/>
      <c r="D845" s="87"/>
      <c r="E845" s="267"/>
      <c r="F845" s="87"/>
      <c r="G845" s="267"/>
      <c r="H845" s="267"/>
      <c r="I845" s="267"/>
      <c r="J845" s="267"/>
      <c r="K845" s="267"/>
      <c r="L845" s="267"/>
      <c r="M845" s="267"/>
      <c r="N845" s="267"/>
      <c r="O845" s="267"/>
      <c r="P845" s="267"/>
      <c r="Q845" s="267"/>
      <c r="R845" s="267"/>
      <c r="S845" s="267"/>
      <c r="T845" s="267"/>
      <c r="U845" s="267"/>
      <c r="V845" s="267"/>
      <c r="W845" s="267"/>
      <c r="X845" s="267"/>
    </row>
    <row r="846">
      <c r="A846" s="267"/>
      <c r="B846" s="87"/>
      <c r="C846" s="87"/>
      <c r="D846" s="87"/>
      <c r="E846" s="267"/>
      <c r="F846" s="87"/>
      <c r="G846" s="267"/>
      <c r="H846" s="267"/>
      <c r="I846" s="267"/>
      <c r="J846" s="267"/>
      <c r="K846" s="267"/>
      <c r="L846" s="267"/>
      <c r="M846" s="267"/>
      <c r="N846" s="267"/>
      <c r="O846" s="267"/>
      <c r="P846" s="267"/>
      <c r="Q846" s="267"/>
      <c r="R846" s="267"/>
      <c r="S846" s="267"/>
      <c r="T846" s="267"/>
      <c r="U846" s="267"/>
      <c r="V846" s="267"/>
      <c r="W846" s="267"/>
      <c r="X846" s="267"/>
    </row>
    <row r="847">
      <c r="A847" s="267"/>
      <c r="B847" s="87"/>
      <c r="C847" s="87"/>
      <c r="D847" s="87"/>
      <c r="E847" s="267"/>
      <c r="F847" s="87"/>
      <c r="G847" s="267"/>
      <c r="H847" s="267"/>
      <c r="I847" s="267"/>
      <c r="J847" s="267"/>
      <c r="K847" s="267"/>
      <c r="L847" s="267"/>
      <c r="M847" s="267"/>
      <c r="N847" s="267"/>
      <c r="O847" s="267"/>
      <c r="P847" s="267"/>
      <c r="Q847" s="267"/>
      <c r="R847" s="267"/>
      <c r="S847" s="267"/>
      <c r="T847" s="267"/>
      <c r="U847" s="267"/>
      <c r="V847" s="267"/>
      <c r="W847" s="267"/>
      <c r="X847" s="267"/>
    </row>
    <row r="848">
      <c r="A848" s="267"/>
      <c r="B848" s="87"/>
      <c r="C848" s="87"/>
      <c r="D848" s="87"/>
      <c r="E848" s="267"/>
      <c r="F848" s="87"/>
      <c r="G848" s="267"/>
      <c r="H848" s="267"/>
      <c r="I848" s="267"/>
      <c r="J848" s="267"/>
      <c r="K848" s="267"/>
      <c r="L848" s="267"/>
      <c r="M848" s="267"/>
      <c r="N848" s="267"/>
      <c r="O848" s="267"/>
      <c r="P848" s="267"/>
      <c r="Q848" s="267"/>
      <c r="R848" s="267"/>
      <c r="S848" s="267"/>
      <c r="T848" s="267"/>
      <c r="U848" s="267"/>
      <c r="V848" s="267"/>
      <c r="W848" s="267"/>
      <c r="X848" s="267"/>
    </row>
    <row r="849">
      <c r="A849" s="267"/>
      <c r="B849" s="87"/>
      <c r="C849" s="87"/>
      <c r="D849" s="87"/>
      <c r="E849" s="267"/>
      <c r="F849" s="87"/>
      <c r="G849" s="267"/>
      <c r="H849" s="267"/>
      <c r="I849" s="267"/>
      <c r="J849" s="267"/>
      <c r="K849" s="267"/>
      <c r="L849" s="267"/>
      <c r="M849" s="267"/>
      <c r="N849" s="267"/>
      <c r="O849" s="267"/>
      <c r="P849" s="267"/>
      <c r="Q849" s="267"/>
      <c r="R849" s="267"/>
      <c r="S849" s="267"/>
      <c r="T849" s="267"/>
      <c r="U849" s="267"/>
      <c r="V849" s="267"/>
      <c r="W849" s="267"/>
      <c r="X849" s="267"/>
    </row>
    <row r="850">
      <c r="A850" s="267"/>
      <c r="B850" s="87"/>
      <c r="C850" s="87"/>
      <c r="D850" s="87"/>
      <c r="E850" s="267"/>
      <c r="F850" s="87"/>
      <c r="G850" s="267"/>
      <c r="H850" s="267"/>
      <c r="I850" s="267"/>
      <c r="J850" s="267"/>
      <c r="K850" s="267"/>
      <c r="L850" s="267"/>
      <c r="M850" s="267"/>
      <c r="N850" s="267"/>
      <c r="O850" s="267"/>
      <c r="P850" s="267"/>
      <c r="Q850" s="267"/>
      <c r="R850" s="267"/>
      <c r="S850" s="267"/>
      <c r="T850" s="267"/>
      <c r="U850" s="267"/>
      <c r="V850" s="267"/>
      <c r="W850" s="267"/>
      <c r="X850" s="267"/>
    </row>
    <row r="851">
      <c r="A851" s="267"/>
      <c r="B851" s="87"/>
      <c r="C851" s="87"/>
      <c r="D851" s="87"/>
      <c r="E851" s="267"/>
      <c r="F851" s="87"/>
      <c r="G851" s="267"/>
      <c r="H851" s="267"/>
      <c r="I851" s="267"/>
      <c r="J851" s="267"/>
      <c r="K851" s="267"/>
      <c r="L851" s="267"/>
      <c r="M851" s="267"/>
      <c r="N851" s="267"/>
      <c r="O851" s="267"/>
      <c r="P851" s="267"/>
      <c r="Q851" s="267"/>
      <c r="R851" s="267"/>
      <c r="S851" s="267"/>
      <c r="T851" s="267"/>
      <c r="U851" s="267"/>
      <c r="V851" s="267"/>
      <c r="W851" s="267"/>
      <c r="X851" s="267"/>
    </row>
    <row r="852">
      <c r="A852" s="267"/>
      <c r="B852" s="87"/>
      <c r="C852" s="87"/>
      <c r="D852" s="87"/>
      <c r="E852" s="267"/>
      <c r="F852" s="87"/>
      <c r="G852" s="267"/>
      <c r="H852" s="267"/>
      <c r="I852" s="267"/>
      <c r="J852" s="267"/>
      <c r="K852" s="267"/>
      <c r="L852" s="267"/>
      <c r="M852" s="267"/>
      <c r="N852" s="267"/>
      <c r="O852" s="267"/>
      <c r="P852" s="267"/>
      <c r="Q852" s="267"/>
      <c r="R852" s="267"/>
      <c r="S852" s="267"/>
      <c r="T852" s="267"/>
      <c r="U852" s="267"/>
      <c r="V852" s="267"/>
      <c r="W852" s="267"/>
      <c r="X852" s="267"/>
    </row>
    <row r="853">
      <c r="A853" s="267"/>
      <c r="B853" s="87"/>
      <c r="C853" s="87"/>
      <c r="D853" s="87"/>
      <c r="E853" s="267"/>
      <c r="F853" s="87"/>
      <c r="G853" s="267"/>
      <c r="H853" s="267"/>
      <c r="I853" s="267"/>
      <c r="J853" s="267"/>
      <c r="K853" s="267"/>
      <c r="L853" s="267"/>
      <c r="M853" s="267"/>
      <c r="N853" s="267"/>
      <c r="O853" s="267"/>
      <c r="P853" s="267"/>
      <c r="Q853" s="267"/>
      <c r="R853" s="267"/>
      <c r="S853" s="267"/>
      <c r="T853" s="267"/>
      <c r="U853" s="267"/>
      <c r="V853" s="267"/>
      <c r="W853" s="267"/>
      <c r="X853" s="267"/>
    </row>
    <row r="854">
      <c r="A854" s="267"/>
      <c r="B854" s="87"/>
      <c r="C854" s="87"/>
      <c r="D854" s="87"/>
      <c r="E854" s="267"/>
      <c r="F854" s="87"/>
      <c r="G854" s="267"/>
      <c r="H854" s="267"/>
      <c r="I854" s="267"/>
      <c r="J854" s="267"/>
      <c r="K854" s="267"/>
      <c r="L854" s="267"/>
      <c r="M854" s="267"/>
      <c r="N854" s="267"/>
      <c r="O854" s="267"/>
      <c r="P854" s="267"/>
      <c r="Q854" s="267"/>
      <c r="R854" s="267"/>
      <c r="S854" s="267"/>
      <c r="T854" s="267"/>
      <c r="U854" s="267"/>
      <c r="V854" s="267"/>
      <c r="W854" s="267"/>
      <c r="X854" s="267"/>
    </row>
    <row r="855">
      <c r="A855" s="267"/>
      <c r="B855" s="87"/>
      <c r="C855" s="87"/>
      <c r="D855" s="87"/>
      <c r="E855" s="267"/>
      <c r="F855" s="87"/>
      <c r="G855" s="267"/>
      <c r="H855" s="267"/>
      <c r="I855" s="267"/>
      <c r="J855" s="267"/>
      <c r="K855" s="267"/>
      <c r="L855" s="267"/>
      <c r="M855" s="267"/>
      <c r="N855" s="267"/>
      <c r="O855" s="267"/>
      <c r="P855" s="267"/>
      <c r="Q855" s="267"/>
      <c r="R855" s="267"/>
      <c r="S855" s="267"/>
      <c r="T855" s="267"/>
      <c r="U855" s="267"/>
      <c r="V855" s="267"/>
      <c r="W855" s="267"/>
      <c r="X855" s="267"/>
    </row>
    <row r="856">
      <c r="A856" s="267"/>
      <c r="B856" s="87"/>
      <c r="C856" s="87"/>
      <c r="D856" s="87"/>
      <c r="E856" s="267"/>
      <c r="F856" s="87"/>
      <c r="G856" s="267"/>
      <c r="H856" s="267"/>
      <c r="I856" s="267"/>
      <c r="J856" s="267"/>
      <c r="K856" s="267"/>
      <c r="L856" s="267"/>
      <c r="M856" s="267"/>
      <c r="N856" s="267"/>
      <c r="O856" s="267"/>
      <c r="P856" s="267"/>
      <c r="Q856" s="267"/>
      <c r="R856" s="267"/>
      <c r="S856" s="267"/>
      <c r="T856" s="267"/>
      <c r="U856" s="267"/>
      <c r="V856" s="267"/>
      <c r="W856" s="267"/>
      <c r="X856" s="267"/>
    </row>
    <row r="857">
      <c r="A857" s="267"/>
      <c r="B857" s="87"/>
      <c r="C857" s="87"/>
      <c r="D857" s="87"/>
      <c r="E857" s="267"/>
      <c r="F857" s="87"/>
      <c r="G857" s="267"/>
      <c r="H857" s="267"/>
      <c r="I857" s="267"/>
      <c r="J857" s="267"/>
      <c r="K857" s="267"/>
      <c r="L857" s="267"/>
      <c r="M857" s="267"/>
      <c r="N857" s="267"/>
      <c r="O857" s="267"/>
      <c r="P857" s="267"/>
      <c r="Q857" s="267"/>
      <c r="R857" s="267"/>
      <c r="S857" s="267"/>
      <c r="T857" s="267"/>
      <c r="U857" s="267"/>
      <c r="V857" s="267"/>
      <c r="W857" s="267"/>
      <c r="X857" s="267"/>
    </row>
    <row r="858">
      <c r="A858" s="267"/>
      <c r="B858" s="87"/>
      <c r="C858" s="87"/>
      <c r="D858" s="87"/>
      <c r="E858" s="267"/>
      <c r="F858" s="87"/>
      <c r="G858" s="267"/>
      <c r="H858" s="267"/>
      <c r="I858" s="267"/>
      <c r="J858" s="267"/>
      <c r="K858" s="267"/>
      <c r="L858" s="267"/>
      <c r="M858" s="267"/>
      <c r="N858" s="267"/>
      <c r="O858" s="267"/>
      <c r="P858" s="267"/>
      <c r="Q858" s="267"/>
      <c r="R858" s="267"/>
      <c r="S858" s="267"/>
      <c r="T858" s="267"/>
      <c r="U858" s="267"/>
      <c r="V858" s="267"/>
      <c r="W858" s="267"/>
      <c r="X858" s="267"/>
    </row>
    <row r="859">
      <c r="A859" s="267"/>
      <c r="B859" s="87"/>
      <c r="C859" s="87"/>
      <c r="D859" s="87"/>
      <c r="E859" s="267"/>
      <c r="F859" s="87"/>
      <c r="G859" s="267"/>
      <c r="H859" s="267"/>
      <c r="I859" s="267"/>
      <c r="J859" s="267"/>
      <c r="K859" s="267"/>
      <c r="L859" s="267"/>
      <c r="M859" s="267"/>
      <c r="N859" s="267"/>
      <c r="O859" s="267"/>
      <c r="P859" s="267"/>
      <c r="Q859" s="267"/>
      <c r="R859" s="267"/>
      <c r="S859" s="267"/>
      <c r="T859" s="267"/>
      <c r="U859" s="267"/>
      <c r="V859" s="267"/>
      <c r="W859" s="267"/>
      <c r="X859" s="267"/>
    </row>
    <row r="860">
      <c r="A860" s="267"/>
      <c r="B860" s="87"/>
      <c r="C860" s="87"/>
      <c r="D860" s="87"/>
      <c r="E860" s="267"/>
      <c r="F860" s="87"/>
      <c r="G860" s="267"/>
      <c r="H860" s="267"/>
      <c r="I860" s="267"/>
      <c r="J860" s="267"/>
      <c r="K860" s="267"/>
      <c r="L860" s="267"/>
      <c r="M860" s="267"/>
      <c r="N860" s="267"/>
      <c r="O860" s="267"/>
      <c r="P860" s="267"/>
      <c r="Q860" s="267"/>
      <c r="R860" s="267"/>
      <c r="S860" s="267"/>
      <c r="T860" s="267"/>
      <c r="U860" s="267"/>
      <c r="V860" s="267"/>
      <c r="W860" s="267"/>
      <c r="X860" s="267"/>
    </row>
    <row r="861">
      <c r="A861" s="267"/>
      <c r="B861" s="87"/>
      <c r="C861" s="87"/>
      <c r="D861" s="87"/>
      <c r="E861" s="267"/>
      <c r="F861" s="87"/>
      <c r="G861" s="267"/>
      <c r="H861" s="267"/>
      <c r="I861" s="267"/>
      <c r="J861" s="267"/>
      <c r="K861" s="267"/>
      <c r="L861" s="267"/>
      <c r="M861" s="267"/>
      <c r="N861" s="267"/>
      <c r="O861" s="267"/>
      <c r="P861" s="267"/>
      <c r="Q861" s="267"/>
      <c r="R861" s="267"/>
      <c r="S861" s="267"/>
      <c r="T861" s="267"/>
      <c r="U861" s="267"/>
      <c r="V861" s="267"/>
      <c r="W861" s="267"/>
      <c r="X861" s="267"/>
    </row>
    <row r="862">
      <c r="A862" s="267"/>
      <c r="B862" s="87"/>
      <c r="C862" s="87"/>
      <c r="D862" s="87"/>
      <c r="E862" s="267"/>
      <c r="F862" s="87"/>
      <c r="G862" s="267"/>
      <c r="H862" s="267"/>
      <c r="I862" s="267"/>
      <c r="J862" s="267"/>
      <c r="K862" s="267"/>
      <c r="L862" s="267"/>
      <c r="M862" s="267"/>
      <c r="N862" s="267"/>
      <c r="O862" s="267"/>
      <c r="P862" s="267"/>
      <c r="Q862" s="267"/>
      <c r="R862" s="267"/>
      <c r="S862" s="267"/>
      <c r="T862" s="267"/>
      <c r="U862" s="267"/>
      <c r="V862" s="267"/>
      <c r="W862" s="267"/>
      <c r="X862" s="267"/>
    </row>
    <row r="863">
      <c r="A863" s="267"/>
      <c r="B863" s="87"/>
      <c r="C863" s="87"/>
      <c r="D863" s="87"/>
      <c r="E863" s="267"/>
      <c r="F863" s="87"/>
      <c r="G863" s="267"/>
      <c r="H863" s="267"/>
      <c r="I863" s="267"/>
      <c r="J863" s="267"/>
      <c r="K863" s="267"/>
      <c r="L863" s="267"/>
      <c r="M863" s="267"/>
      <c r="N863" s="267"/>
      <c r="O863" s="267"/>
      <c r="P863" s="267"/>
      <c r="Q863" s="267"/>
      <c r="R863" s="267"/>
      <c r="S863" s="267"/>
      <c r="T863" s="267"/>
      <c r="U863" s="267"/>
      <c r="V863" s="267"/>
      <c r="W863" s="267"/>
      <c r="X863" s="267"/>
    </row>
    <row r="864">
      <c r="A864" s="267"/>
      <c r="B864" s="87"/>
      <c r="C864" s="87"/>
      <c r="D864" s="87"/>
      <c r="E864" s="267"/>
      <c r="F864" s="87"/>
      <c r="G864" s="267"/>
      <c r="H864" s="267"/>
      <c r="I864" s="267"/>
      <c r="J864" s="267"/>
      <c r="K864" s="267"/>
      <c r="L864" s="267"/>
      <c r="M864" s="267"/>
      <c r="N864" s="267"/>
      <c r="O864" s="267"/>
      <c r="P864" s="267"/>
      <c r="Q864" s="267"/>
      <c r="R864" s="267"/>
      <c r="S864" s="267"/>
      <c r="T864" s="267"/>
      <c r="U864" s="267"/>
      <c r="V864" s="267"/>
      <c r="W864" s="267"/>
      <c r="X864" s="267"/>
    </row>
    <row r="865">
      <c r="A865" s="267"/>
      <c r="B865" s="87"/>
      <c r="C865" s="87"/>
      <c r="D865" s="87"/>
      <c r="E865" s="267"/>
      <c r="F865" s="87"/>
      <c r="G865" s="267"/>
      <c r="H865" s="267"/>
      <c r="I865" s="267"/>
      <c r="J865" s="267"/>
      <c r="K865" s="267"/>
      <c r="L865" s="267"/>
      <c r="M865" s="267"/>
      <c r="N865" s="267"/>
      <c r="O865" s="267"/>
      <c r="P865" s="267"/>
      <c r="Q865" s="267"/>
      <c r="R865" s="267"/>
      <c r="S865" s="267"/>
      <c r="T865" s="267"/>
      <c r="U865" s="267"/>
      <c r="V865" s="267"/>
      <c r="W865" s="267"/>
      <c r="X865" s="267"/>
    </row>
    <row r="866">
      <c r="A866" s="267"/>
      <c r="B866" s="87"/>
      <c r="C866" s="87"/>
      <c r="D866" s="87"/>
      <c r="E866" s="267"/>
      <c r="F866" s="87"/>
      <c r="G866" s="267"/>
      <c r="H866" s="267"/>
      <c r="I866" s="267"/>
      <c r="J866" s="267"/>
      <c r="K866" s="267"/>
      <c r="L866" s="267"/>
      <c r="M866" s="267"/>
      <c r="N866" s="267"/>
      <c r="O866" s="267"/>
      <c r="P866" s="267"/>
      <c r="Q866" s="267"/>
      <c r="R866" s="267"/>
      <c r="S866" s="267"/>
      <c r="T866" s="267"/>
      <c r="U866" s="267"/>
      <c r="V866" s="267"/>
      <c r="W866" s="267"/>
      <c r="X866" s="267"/>
    </row>
    <row r="867">
      <c r="A867" s="267"/>
      <c r="B867" s="87"/>
      <c r="C867" s="87"/>
      <c r="D867" s="87"/>
      <c r="E867" s="267"/>
      <c r="F867" s="87"/>
      <c r="G867" s="267"/>
      <c r="H867" s="267"/>
      <c r="I867" s="267"/>
      <c r="J867" s="267"/>
      <c r="K867" s="267"/>
      <c r="L867" s="267"/>
      <c r="M867" s="267"/>
      <c r="N867" s="267"/>
      <c r="O867" s="267"/>
      <c r="P867" s="267"/>
      <c r="Q867" s="267"/>
      <c r="R867" s="267"/>
      <c r="S867" s="267"/>
      <c r="T867" s="267"/>
      <c r="U867" s="267"/>
      <c r="V867" s="267"/>
      <c r="W867" s="267"/>
      <c r="X867" s="267"/>
    </row>
    <row r="868">
      <c r="A868" s="267"/>
      <c r="B868" s="87"/>
      <c r="C868" s="87"/>
      <c r="D868" s="87"/>
      <c r="E868" s="267"/>
      <c r="F868" s="87"/>
      <c r="G868" s="267"/>
      <c r="H868" s="267"/>
      <c r="I868" s="267"/>
      <c r="J868" s="267"/>
      <c r="K868" s="267"/>
      <c r="L868" s="267"/>
      <c r="M868" s="267"/>
      <c r="N868" s="267"/>
      <c r="O868" s="267"/>
      <c r="P868" s="267"/>
      <c r="Q868" s="267"/>
      <c r="R868" s="267"/>
      <c r="S868" s="267"/>
      <c r="T868" s="267"/>
      <c r="U868" s="267"/>
      <c r="V868" s="267"/>
      <c r="W868" s="267"/>
      <c r="X868" s="267"/>
    </row>
    <row r="869">
      <c r="A869" s="267"/>
      <c r="B869" s="87"/>
      <c r="C869" s="87"/>
      <c r="D869" s="87"/>
      <c r="E869" s="267"/>
      <c r="F869" s="87"/>
      <c r="G869" s="267"/>
      <c r="H869" s="267"/>
      <c r="I869" s="267"/>
      <c r="J869" s="267"/>
      <c r="K869" s="267"/>
      <c r="L869" s="267"/>
      <c r="M869" s="267"/>
      <c r="N869" s="267"/>
      <c r="O869" s="267"/>
      <c r="P869" s="267"/>
      <c r="Q869" s="267"/>
      <c r="R869" s="267"/>
      <c r="S869" s="267"/>
      <c r="T869" s="267"/>
      <c r="U869" s="267"/>
      <c r="V869" s="267"/>
      <c r="W869" s="267"/>
      <c r="X869" s="267"/>
    </row>
    <row r="870">
      <c r="A870" s="267"/>
      <c r="B870" s="87"/>
      <c r="C870" s="87"/>
      <c r="D870" s="87"/>
      <c r="E870" s="267"/>
      <c r="F870" s="87"/>
      <c r="G870" s="267"/>
      <c r="H870" s="267"/>
      <c r="I870" s="267"/>
      <c r="J870" s="267"/>
      <c r="K870" s="267"/>
      <c r="L870" s="267"/>
      <c r="M870" s="267"/>
      <c r="N870" s="267"/>
      <c r="O870" s="267"/>
      <c r="P870" s="267"/>
      <c r="Q870" s="267"/>
      <c r="R870" s="267"/>
      <c r="S870" s="267"/>
      <c r="T870" s="267"/>
      <c r="U870" s="267"/>
      <c r="V870" s="267"/>
      <c r="W870" s="267"/>
      <c r="X870" s="267"/>
    </row>
    <row r="871">
      <c r="A871" s="267"/>
      <c r="B871" s="87"/>
      <c r="C871" s="87"/>
      <c r="D871" s="87"/>
      <c r="E871" s="267"/>
      <c r="F871" s="87"/>
      <c r="G871" s="267"/>
      <c r="H871" s="267"/>
      <c r="I871" s="267"/>
      <c r="J871" s="267"/>
      <c r="K871" s="267"/>
      <c r="L871" s="267"/>
      <c r="M871" s="267"/>
      <c r="N871" s="267"/>
      <c r="O871" s="267"/>
      <c r="P871" s="267"/>
      <c r="Q871" s="267"/>
      <c r="R871" s="267"/>
      <c r="S871" s="267"/>
      <c r="T871" s="267"/>
      <c r="U871" s="267"/>
      <c r="V871" s="267"/>
      <c r="W871" s="267"/>
      <c r="X871" s="267"/>
    </row>
    <row r="872">
      <c r="A872" s="267"/>
      <c r="B872" s="87"/>
      <c r="C872" s="87"/>
      <c r="D872" s="87"/>
      <c r="E872" s="267"/>
      <c r="F872" s="87"/>
      <c r="G872" s="267"/>
      <c r="H872" s="267"/>
      <c r="I872" s="267"/>
      <c r="J872" s="267"/>
      <c r="K872" s="267"/>
      <c r="L872" s="267"/>
      <c r="M872" s="267"/>
      <c r="N872" s="267"/>
      <c r="O872" s="267"/>
      <c r="P872" s="267"/>
      <c r="Q872" s="267"/>
      <c r="R872" s="267"/>
      <c r="S872" s="267"/>
      <c r="T872" s="267"/>
      <c r="U872" s="267"/>
      <c r="V872" s="267"/>
      <c r="W872" s="267"/>
      <c r="X872" s="267"/>
    </row>
    <row r="873">
      <c r="A873" s="267"/>
      <c r="B873" s="87"/>
      <c r="C873" s="87"/>
      <c r="D873" s="87"/>
      <c r="E873" s="267"/>
      <c r="F873" s="87"/>
      <c r="G873" s="267"/>
      <c r="H873" s="267"/>
      <c r="I873" s="267"/>
      <c r="J873" s="267"/>
      <c r="K873" s="267"/>
      <c r="L873" s="267"/>
      <c r="M873" s="267"/>
      <c r="N873" s="267"/>
      <c r="O873" s="267"/>
      <c r="P873" s="267"/>
      <c r="Q873" s="267"/>
      <c r="R873" s="267"/>
      <c r="S873" s="267"/>
      <c r="T873" s="267"/>
      <c r="U873" s="267"/>
      <c r="V873" s="267"/>
      <c r="W873" s="267"/>
      <c r="X873" s="267"/>
    </row>
    <row r="874">
      <c r="A874" s="267"/>
      <c r="B874" s="87"/>
      <c r="C874" s="87"/>
      <c r="D874" s="87"/>
      <c r="E874" s="267"/>
      <c r="F874" s="87"/>
      <c r="G874" s="267"/>
      <c r="H874" s="267"/>
      <c r="I874" s="267"/>
      <c r="J874" s="267"/>
      <c r="K874" s="267"/>
      <c r="L874" s="267"/>
      <c r="M874" s="267"/>
      <c r="N874" s="267"/>
      <c r="O874" s="267"/>
      <c r="P874" s="267"/>
      <c r="Q874" s="267"/>
      <c r="R874" s="267"/>
      <c r="S874" s="267"/>
      <c r="T874" s="267"/>
      <c r="U874" s="267"/>
      <c r="V874" s="267"/>
      <c r="W874" s="267"/>
      <c r="X874" s="267"/>
    </row>
    <row r="875">
      <c r="A875" s="267"/>
      <c r="B875" s="87"/>
      <c r="C875" s="87"/>
      <c r="D875" s="87"/>
      <c r="E875" s="267"/>
      <c r="F875" s="87"/>
      <c r="G875" s="267"/>
      <c r="H875" s="267"/>
      <c r="I875" s="267"/>
      <c r="J875" s="267"/>
      <c r="K875" s="267"/>
      <c r="L875" s="267"/>
      <c r="M875" s="267"/>
      <c r="N875" s="267"/>
      <c r="O875" s="267"/>
      <c r="P875" s="267"/>
      <c r="Q875" s="267"/>
      <c r="R875" s="267"/>
      <c r="S875" s="267"/>
      <c r="T875" s="267"/>
      <c r="U875" s="267"/>
      <c r="V875" s="267"/>
      <c r="W875" s="267"/>
      <c r="X875" s="267"/>
    </row>
    <row r="876">
      <c r="A876" s="267"/>
      <c r="B876" s="87"/>
      <c r="C876" s="87"/>
      <c r="D876" s="87"/>
      <c r="E876" s="267"/>
      <c r="F876" s="87"/>
      <c r="G876" s="267"/>
      <c r="H876" s="267"/>
      <c r="I876" s="267"/>
      <c r="J876" s="267"/>
      <c r="K876" s="267"/>
      <c r="L876" s="267"/>
      <c r="M876" s="267"/>
      <c r="N876" s="267"/>
      <c r="O876" s="267"/>
      <c r="P876" s="267"/>
      <c r="Q876" s="267"/>
      <c r="R876" s="267"/>
      <c r="S876" s="267"/>
      <c r="T876" s="267"/>
      <c r="U876" s="267"/>
      <c r="V876" s="267"/>
      <c r="W876" s="267"/>
      <c r="X876" s="267"/>
    </row>
    <row r="877">
      <c r="A877" s="267"/>
      <c r="B877" s="87"/>
      <c r="C877" s="87"/>
      <c r="D877" s="87"/>
      <c r="E877" s="267"/>
      <c r="F877" s="87"/>
      <c r="G877" s="267"/>
      <c r="H877" s="267"/>
      <c r="I877" s="267"/>
      <c r="J877" s="267"/>
      <c r="K877" s="267"/>
      <c r="L877" s="267"/>
      <c r="M877" s="267"/>
      <c r="N877" s="267"/>
      <c r="O877" s="267"/>
      <c r="P877" s="267"/>
      <c r="Q877" s="267"/>
      <c r="R877" s="267"/>
      <c r="S877" s="267"/>
      <c r="T877" s="267"/>
      <c r="U877" s="267"/>
      <c r="V877" s="267"/>
      <c r="W877" s="267"/>
      <c r="X877" s="267"/>
    </row>
    <row r="878">
      <c r="A878" s="267"/>
      <c r="B878" s="87"/>
      <c r="C878" s="87"/>
      <c r="D878" s="87"/>
      <c r="E878" s="267"/>
      <c r="F878" s="87"/>
      <c r="G878" s="267"/>
      <c r="H878" s="267"/>
      <c r="I878" s="267"/>
      <c r="J878" s="267"/>
      <c r="K878" s="267"/>
      <c r="L878" s="267"/>
      <c r="M878" s="267"/>
      <c r="N878" s="267"/>
      <c r="O878" s="267"/>
      <c r="P878" s="267"/>
      <c r="Q878" s="267"/>
      <c r="R878" s="267"/>
      <c r="S878" s="267"/>
      <c r="T878" s="267"/>
      <c r="U878" s="267"/>
      <c r="V878" s="267"/>
      <c r="W878" s="267"/>
      <c r="X878" s="267"/>
    </row>
    <row r="879">
      <c r="A879" s="267"/>
      <c r="B879" s="87"/>
      <c r="C879" s="87"/>
      <c r="D879" s="87"/>
      <c r="E879" s="267"/>
      <c r="F879" s="87"/>
      <c r="G879" s="267"/>
      <c r="H879" s="267"/>
      <c r="I879" s="267"/>
      <c r="J879" s="267"/>
      <c r="K879" s="267"/>
      <c r="L879" s="267"/>
      <c r="M879" s="267"/>
      <c r="N879" s="267"/>
      <c r="O879" s="267"/>
      <c r="P879" s="267"/>
      <c r="Q879" s="267"/>
      <c r="R879" s="267"/>
      <c r="S879" s="267"/>
      <c r="T879" s="267"/>
      <c r="U879" s="267"/>
      <c r="V879" s="267"/>
      <c r="W879" s="267"/>
      <c r="X879" s="267"/>
    </row>
    <row r="880">
      <c r="A880" s="267"/>
      <c r="B880" s="87"/>
      <c r="C880" s="87"/>
      <c r="D880" s="87"/>
      <c r="E880" s="267"/>
      <c r="F880" s="87"/>
      <c r="G880" s="267"/>
      <c r="H880" s="267"/>
      <c r="I880" s="267"/>
      <c r="J880" s="267"/>
      <c r="K880" s="267"/>
      <c r="L880" s="267"/>
      <c r="M880" s="267"/>
      <c r="N880" s="267"/>
      <c r="O880" s="267"/>
      <c r="P880" s="267"/>
      <c r="Q880" s="267"/>
      <c r="R880" s="267"/>
      <c r="S880" s="267"/>
      <c r="T880" s="267"/>
      <c r="U880" s="267"/>
      <c r="V880" s="267"/>
      <c r="W880" s="267"/>
      <c r="X880" s="267"/>
    </row>
    <row r="881">
      <c r="A881" s="267"/>
      <c r="B881" s="87"/>
      <c r="C881" s="87"/>
      <c r="D881" s="87"/>
      <c r="E881" s="267"/>
      <c r="F881" s="87"/>
      <c r="G881" s="267"/>
      <c r="H881" s="267"/>
      <c r="I881" s="267"/>
      <c r="J881" s="267"/>
      <c r="K881" s="267"/>
      <c r="L881" s="267"/>
      <c r="M881" s="267"/>
      <c r="N881" s="267"/>
      <c r="O881" s="267"/>
      <c r="P881" s="267"/>
      <c r="Q881" s="267"/>
      <c r="R881" s="267"/>
      <c r="S881" s="267"/>
      <c r="T881" s="267"/>
      <c r="U881" s="267"/>
      <c r="V881" s="267"/>
      <c r="W881" s="267"/>
      <c r="X881" s="267"/>
    </row>
    <row r="882">
      <c r="A882" s="267"/>
      <c r="B882" s="87"/>
      <c r="C882" s="87"/>
      <c r="D882" s="87"/>
      <c r="E882" s="267"/>
      <c r="F882" s="87"/>
      <c r="G882" s="267"/>
      <c r="H882" s="267"/>
      <c r="I882" s="267"/>
      <c r="J882" s="267"/>
      <c r="K882" s="267"/>
      <c r="L882" s="267"/>
      <c r="M882" s="267"/>
      <c r="N882" s="267"/>
      <c r="O882" s="267"/>
      <c r="P882" s="267"/>
      <c r="Q882" s="267"/>
      <c r="R882" s="267"/>
      <c r="S882" s="267"/>
      <c r="T882" s="267"/>
      <c r="U882" s="267"/>
      <c r="V882" s="267"/>
      <c r="W882" s="267"/>
      <c r="X882" s="267"/>
    </row>
    <row r="883">
      <c r="A883" s="267"/>
      <c r="B883" s="87"/>
      <c r="C883" s="87"/>
      <c r="D883" s="87"/>
      <c r="E883" s="267"/>
      <c r="F883" s="87"/>
      <c r="G883" s="267"/>
      <c r="H883" s="267"/>
      <c r="I883" s="267"/>
      <c r="J883" s="267"/>
      <c r="K883" s="267"/>
      <c r="L883" s="267"/>
      <c r="M883" s="267"/>
      <c r="N883" s="267"/>
      <c r="O883" s="267"/>
      <c r="P883" s="267"/>
      <c r="Q883" s="267"/>
      <c r="R883" s="267"/>
      <c r="S883" s="267"/>
      <c r="T883" s="267"/>
      <c r="U883" s="267"/>
      <c r="V883" s="267"/>
      <c r="W883" s="267"/>
      <c r="X883" s="267"/>
    </row>
    <row r="884">
      <c r="A884" s="267"/>
      <c r="B884" s="87"/>
      <c r="C884" s="87"/>
      <c r="D884" s="87"/>
      <c r="E884" s="267"/>
      <c r="F884" s="87"/>
      <c r="G884" s="267"/>
      <c r="H884" s="267"/>
      <c r="I884" s="267"/>
      <c r="J884" s="267"/>
      <c r="K884" s="267"/>
      <c r="L884" s="267"/>
      <c r="M884" s="267"/>
      <c r="N884" s="267"/>
      <c r="O884" s="267"/>
      <c r="P884" s="267"/>
      <c r="Q884" s="267"/>
      <c r="R884" s="267"/>
      <c r="S884" s="267"/>
      <c r="T884" s="267"/>
      <c r="U884" s="267"/>
      <c r="V884" s="267"/>
      <c r="W884" s="267"/>
      <c r="X884" s="267"/>
    </row>
    <row r="885">
      <c r="A885" s="267"/>
      <c r="B885" s="87"/>
      <c r="C885" s="87"/>
      <c r="D885" s="87"/>
      <c r="E885" s="267"/>
      <c r="F885" s="87"/>
      <c r="G885" s="267"/>
      <c r="H885" s="267"/>
      <c r="I885" s="267"/>
      <c r="J885" s="267"/>
      <c r="K885" s="267"/>
      <c r="L885" s="267"/>
      <c r="M885" s="267"/>
      <c r="N885" s="267"/>
      <c r="O885" s="267"/>
      <c r="P885" s="267"/>
      <c r="Q885" s="267"/>
      <c r="R885" s="267"/>
      <c r="S885" s="267"/>
      <c r="T885" s="267"/>
      <c r="U885" s="267"/>
      <c r="V885" s="267"/>
      <c r="W885" s="267"/>
      <c r="X885" s="267"/>
    </row>
    <row r="886">
      <c r="A886" s="267"/>
      <c r="B886" s="87"/>
      <c r="C886" s="87"/>
      <c r="D886" s="87"/>
      <c r="E886" s="267"/>
      <c r="F886" s="87"/>
      <c r="G886" s="267"/>
      <c r="H886" s="267"/>
      <c r="I886" s="267"/>
      <c r="J886" s="267"/>
      <c r="K886" s="267"/>
      <c r="L886" s="267"/>
      <c r="M886" s="267"/>
      <c r="N886" s="267"/>
      <c r="O886" s="267"/>
      <c r="P886" s="267"/>
      <c r="Q886" s="267"/>
      <c r="R886" s="267"/>
      <c r="S886" s="267"/>
      <c r="T886" s="267"/>
      <c r="U886" s="267"/>
      <c r="V886" s="267"/>
      <c r="W886" s="267"/>
      <c r="X886" s="267"/>
    </row>
    <row r="887">
      <c r="A887" s="267"/>
      <c r="B887" s="87"/>
      <c r="C887" s="87"/>
      <c r="D887" s="87"/>
      <c r="E887" s="267"/>
      <c r="F887" s="87"/>
      <c r="G887" s="267"/>
      <c r="H887" s="267"/>
      <c r="I887" s="267"/>
      <c r="J887" s="267"/>
      <c r="K887" s="267"/>
      <c r="L887" s="267"/>
      <c r="M887" s="267"/>
      <c r="N887" s="267"/>
      <c r="O887" s="267"/>
      <c r="P887" s="267"/>
      <c r="Q887" s="267"/>
      <c r="R887" s="267"/>
      <c r="S887" s="267"/>
      <c r="T887" s="267"/>
      <c r="U887" s="267"/>
      <c r="V887" s="267"/>
      <c r="W887" s="267"/>
      <c r="X887" s="267"/>
    </row>
    <row r="888">
      <c r="A888" s="267"/>
      <c r="B888" s="87"/>
      <c r="C888" s="87"/>
      <c r="D888" s="87"/>
      <c r="E888" s="267"/>
      <c r="F888" s="87"/>
      <c r="G888" s="267"/>
      <c r="H888" s="267"/>
      <c r="I888" s="267"/>
      <c r="J888" s="267"/>
      <c r="K888" s="267"/>
      <c r="L888" s="267"/>
      <c r="M888" s="267"/>
      <c r="N888" s="267"/>
      <c r="O888" s="267"/>
      <c r="P888" s="267"/>
      <c r="Q888" s="267"/>
      <c r="R888" s="267"/>
      <c r="S888" s="267"/>
      <c r="T888" s="267"/>
      <c r="U888" s="267"/>
      <c r="V888" s="267"/>
      <c r="W888" s="267"/>
      <c r="X888" s="267"/>
    </row>
    <row r="889">
      <c r="A889" s="267"/>
      <c r="B889" s="87"/>
      <c r="C889" s="87"/>
      <c r="D889" s="87"/>
      <c r="E889" s="267"/>
      <c r="F889" s="87"/>
      <c r="G889" s="267"/>
      <c r="H889" s="267"/>
      <c r="I889" s="267"/>
      <c r="J889" s="267"/>
      <c r="K889" s="267"/>
      <c r="L889" s="267"/>
      <c r="M889" s="267"/>
      <c r="N889" s="267"/>
      <c r="O889" s="267"/>
      <c r="P889" s="267"/>
      <c r="Q889" s="267"/>
      <c r="R889" s="267"/>
      <c r="S889" s="267"/>
      <c r="T889" s="267"/>
      <c r="U889" s="267"/>
      <c r="V889" s="267"/>
      <c r="W889" s="267"/>
      <c r="X889" s="267"/>
    </row>
    <row r="890">
      <c r="A890" s="267"/>
      <c r="B890" s="87"/>
      <c r="C890" s="87"/>
      <c r="D890" s="87"/>
      <c r="E890" s="267"/>
      <c r="F890" s="87"/>
      <c r="G890" s="267"/>
      <c r="H890" s="267"/>
      <c r="I890" s="267"/>
      <c r="J890" s="267"/>
      <c r="K890" s="267"/>
      <c r="L890" s="267"/>
      <c r="M890" s="267"/>
      <c r="N890" s="267"/>
      <c r="O890" s="267"/>
      <c r="P890" s="267"/>
      <c r="Q890" s="267"/>
      <c r="R890" s="267"/>
      <c r="S890" s="267"/>
      <c r="T890" s="267"/>
      <c r="U890" s="267"/>
      <c r="V890" s="267"/>
      <c r="W890" s="267"/>
      <c r="X890" s="267"/>
    </row>
    <row r="891">
      <c r="A891" s="267"/>
      <c r="B891" s="87"/>
      <c r="C891" s="87"/>
      <c r="D891" s="87"/>
      <c r="E891" s="267"/>
      <c r="F891" s="87"/>
      <c r="G891" s="267"/>
      <c r="H891" s="267"/>
      <c r="I891" s="267"/>
      <c r="J891" s="267"/>
      <c r="K891" s="267"/>
      <c r="L891" s="267"/>
      <c r="M891" s="267"/>
      <c r="N891" s="267"/>
      <c r="O891" s="267"/>
      <c r="P891" s="267"/>
      <c r="Q891" s="267"/>
      <c r="R891" s="267"/>
      <c r="S891" s="267"/>
      <c r="T891" s="267"/>
      <c r="U891" s="267"/>
      <c r="V891" s="267"/>
      <c r="W891" s="267"/>
      <c r="X891" s="267"/>
    </row>
    <row r="892">
      <c r="A892" s="267"/>
      <c r="B892" s="87"/>
      <c r="C892" s="87"/>
      <c r="D892" s="87"/>
      <c r="E892" s="267"/>
      <c r="F892" s="87"/>
      <c r="G892" s="267"/>
      <c r="H892" s="267"/>
      <c r="I892" s="267"/>
      <c r="J892" s="267"/>
      <c r="K892" s="267"/>
      <c r="L892" s="267"/>
      <c r="M892" s="267"/>
      <c r="N892" s="267"/>
      <c r="O892" s="267"/>
      <c r="P892" s="267"/>
      <c r="Q892" s="267"/>
      <c r="R892" s="267"/>
      <c r="S892" s="267"/>
      <c r="T892" s="267"/>
      <c r="U892" s="267"/>
      <c r="V892" s="267"/>
      <c r="W892" s="267"/>
      <c r="X892" s="267"/>
    </row>
    <row r="893">
      <c r="A893" s="267"/>
      <c r="B893" s="87"/>
      <c r="C893" s="87"/>
      <c r="D893" s="87"/>
      <c r="E893" s="267"/>
      <c r="F893" s="87"/>
      <c r="G893" s="267"/>
      <c r="H893" s="267"/>
      <c r="I893" s="267"/>
      <c r="J893" s="267"/>
      <c r="K893" s="267"/>
      <c r="L893" s="267"/>
      <c r="M893" s="267"/>
      <c r="N893" s="267"/>
      <c r="O893" s="267"/>
      <c r="P893" s="267"/>
      <c r="Q893" s="267"/>
      <c r="R893" s="267"/>
      <c r="S893" s="267"/>
      <c r="T893" s="267"/>
      <c r="U893" s="267"/>
      <c r="V893" s="267"/>
      <c r="W893" s="267"/>
      <c r="X893" s="267"/>
    </row>
    <row r="894">
      <c r="A894" s="267"/>
      <c r="B894" s="87"/>
      <c r="C894" s="87"/>
      <c r="D894" s="87"/>
      <c r="E894" s="267"/>
      <c r="F894" s="87"/>
      <c r="G894" s="267"/>
      <c r="H894" s="267"/>
      <c r="I894" s="267"/>
      <c r="J894" s="267"/>
      <c r="K894" s="267"/>
      <c r="L894" s="267"/>
      <c r="M894" s="267"/>
      <c r="N894" s="267"/>
      <c r="O894" s="267"/>
      <c r="P894" s="267"/>
      <c r="Q894" s="267"/>
      <c r="R894" s="267"/>
      <c r="S894" s="267"/>
      <c r="T894" s="267"/>
      <c r="U894" s="267"/>
      <c r="V894" s="267"/>
      <c r="W894" s="267"/>
      <c r="X894" s="267"/>
    </row>
    <row r="895">
      <c r="A895" s="267"/>
      <c r="B895" s="87"/>
      <c r="C895" s="87"/>
      <c r="D895" s="87"/>
      <c r="E895" s="267"/>
      <c r="F895" s="87"/>
      <c r="G895" s="267"/>
      <c r="H895" s="267"/>
      <c r="I895" s="267"/>
      <c r="J895" s="267"/>
      <c r="K895" s="267"/>
      <c r="L895" s="267"/>
      <c r="M895" s="267"/>
      <c r="N895" s="267"/>
      <c r="O895" s="267"/>
      <c r="P895" s="267"/>
      <c r="Q895" s="267"/>
      <c r="R895" s="267"/>
      <c r="S895" s="267"/>
      <c r="T895" s="267"/>
      <c r="U895" s="267"/>
      <c r="V895" s="267"/>
      <c r="W895" s="267"/>
      <c r="X895" s="267"/>
    </row>
    <row r="896">
      <c r="A896" s="267"/>
      <c r="B896" s="87"/>
      <c r="C896" s="87"/>
      <c r="D896" s="87"/>
      <c r="E896" s="267"/>
      <c r="F896" s="87"/>
      <c r="G896" s="267"/>
      <c r="H896" s="267"/>
      <c r="I896" s="267"/>
      <c r="J896" s="267"/>
      <c r="K896" s="267"/>
      <c r="L896" s="267"/>
      <c r="M896" s="267"/>
      <c r="N896" s="267"/>
      <c r="O896" s="267"/>
      <c r="P896" s="267"/>
      <c r="Q896" s="267"/>
      <c r="R896" s="267"/>
      <c r="S896" s="267"/>
      <c r="T896" s="267"/>
      <c r="U896" s="267"/>
      <c r="V896" s="267"/>
      <c r="W896" s="267"/>
      <c r="X896" s="267"/>
    </row>
    <row r="897">
      <c r="A897" s="267"/>
      <c r="B897" s="87"/>
      <c r="C897" s="87"/>
      <c r="D897" s="87"/>
      <c r="E897" s="267"/>
      <c r="F897" s="87"/>
      <c r="G897" s="267"/>
      <c r="H897" s="267"/>
      <c r="I897" s="267"/>
      <c r="J897" s="267"/>
      <c r="K897" s="267"/>
      <c r="L897" s="267"/>
      <c r="M897" s="267"/>
      <c r="N897" s="267"/>
      <c r="O897" s="267"/>
      <c r="P897" s="267"/>
      <c r="Q897" s="267"/>
      <c r="R897" s="267"/>
      <c r="S897" s="267"/>
      <c r="T897" s="267"/>
      <c r="U897" s="267"/>
      <c r="V897" s="267"/>
      <c r="W897" s="267"/>
      <c r="X897" s="267"/>
    </row>
    <row r="898">
      <c r="A898" s="267"/>
      <c r="B898" s="87"/>
      <c r="C898" s="87"/>
      <c r="D898" s="87"/>
      <c r="E898" s="267"/>
      <c r="F898" s="87"/>
      <c r="G898" s="267"/>
      <c r="H898" s="267"/>
      <c r="I898" s="267"/>
      <c r="J898" s="267"/>
      <c r="K898" s="267"/>
      <c r="L898" s="267"/>
      <c r="M898" s="267"/>
      <c r="N898" s="267"/>
      <c r="O898" s="267"/>
      <c r="P898" s="267"/>
      <c r="Q898" s="267"/>
      <c r="R898" s="267"/>
      <c r="S898" s="267"/>
      <c r="T898" s="267"/>
      <c r="U898" s="267"/>
      <c r="V898" s="267"/>
      <c r="W898" s="267"/>
      <c r="X898" s="267"/>
    </row>
    <row r="899">
      <c r="A899" s="267"/>
      <c r="B899" s="87"/>
      <c r="C899" s="87"/>
      <c r="D899" s="87"/>
      <c r="E899" s="267"/>
      <c r="F899" s="87"/>
      <c r="G899" s="267"/>
      <c r="H899" s="267"/>
      <c r="I899" s="267"/>
      <c r="J899" s="267"/>
      <c r="K899" s="267"/>
      <c r="L899" s="267"/>
      <c r="M899" s="267"/>
      <c r="N899" s="267"/>
      <c r="O899" s="267"/>
      <c r="P899" s="267"/>
      <c r="Q899" s="267"/>
      <c r="R899" s="267"/>
      <c r="S899" s="267"/>
      <c r="T899" s="267"/>
      <c r="U899" s="267"/>
      <c r="V899" s="267"/>
      <c r="W899" s="267"/>
      <c r="X899" s="267"/>
    </row>
    <row r="900">
      <c r="A900" s="267"/>
      <c r="B900" s="87"/>
      <c r="C900" s="87"/>
      <c r="D900" s="87"/>
      <c r="E900" s="267"/>
      <c r="F900" s="87"/>
      <c r="G900" s="267"/>
      <c r="H900" s="267"/>
      <c r="I900" s="267"/>
      <c r="J900" s="267"/>
      <c r="K900" s="267"/>
      <c r="L900" s="267"/>
      <c r="M900" s="267"/>
      <c r="N900" s="267"/>
      <c r="O900" s="267"/>
      <c r="P900" s="267"/>
      <c r="Q900" s="267"/>
      <c r="R900" s="267"/>
      <c r="S900" s="267"/>
      <c r="T900" s="267"/>
      <c r="U900" s="267"/>
      <c r="V900" s="267"/>
      <c r="W900" s="267"/>
      <c r="X900" s="267"/>
    </row>
    <row r="901">
      <c r="A901" s="267"/>
      <c r="B901" s="87"/>
      <c r="C901" s="87"/>
      <c r="D901" s="87"/>
      <c r="E901" s="267"/>
      <c r="F901" s="87"/>
      <c r="G901" s="267"/>
      <c r="H901" s="267"/>
      <c r="I901" s="267"/>
      <c r="J901" s="267"/>
      <c r="K901" s="267"/>
      <c r="L901" s="267"/>
      <c r="M901" s="267"/>
      <c r="N901" s="267"/>
      <c r="O901" s="267"/>
      <c r="P901" s="267"/>
      <c r="Q901" s="267"/>
      <c r="R901" s="267"/>
      <c r="S901" s="267"/>
      <c r="T901" s="267"/>
      <c r="U901" s="267"/>
      <c r="V901" s="267"/>
      <c r="W901" s="267"/>
      <c r="X901" s="267"/>
    </row>
    <row r="902">
      <c r="A902" s="267"/>
      <c r="B902" s="87"/>
      <c r="C902" s="87"/>
      <c r="D902" s="87"/>
      <c r="E902" s="267"/>
      <c r="F902" s="87"/>
      <c r="G902" s="267"/>
      <c r="H902" s="267"/>
      <c r="I902" s="267"/>
      <c r="J902" s="267"/>
      <c r="K902" s="267"/>
      <c r="L902" s="267"/>
      <c r="M902" s="267"/>
      <c r="N902" s="267"/>
      <c r="O902" s="267"/>
      <c r="P902" s="267"/>
      <c r="Q902" s="267"/>
      <c r="R902" s="267"/>
      <c r="S902" s="267"/>
      <c r="T902" s="267"/>
      <c r="U902" s="267"/>
      <c r="V902" s="267"/>
      <c r="W902" s="267"/>
      <c r="X902" s="267"/>
    </row>
    <row r="903">
      <c r="A903" s="267"/>
      <c r="B903" s="87"/>
      <c r="C903" s="87"/>
      <c r="D903" s="87"/>
      <c r="E903" s="267"/>
      <c r="F903" s="87"/>
      <c r="G903" s="267"/>
      <c r="H903" s="267"/>
      <c r="I903" s="267"/>
      <c r="J903" s="267"/>
      <c r="K903" s="267"/>
      <c r="L903" s="267"/>
      <c r="M903" s="267"/>
      <c r="N903" s="267"/>
      <c r="O903" s="267"/>
      <c r="P903" s="267"/>
      <c r="Q903" s="267"/>
      <c r="R903" s="267"/>
      <c r="S903" s="267"/>
      <c r="T903" s="267"/>
      <c r="U903" s="267"/>
      <c r="V903" s="267"/>
      <c r="W903" s="267"/>
      <c r="X903" s="267"/>
    </row>
    <row r="904">
      <c r="A904" s="267"/>
      <c r="B904" s="87"/>
      <c r="C904" s="87"/>
      <c r="D904" s="87"/>
      <c r="E904" s="267"/>
      <c r="F904" s="87"/>
      <c r="G904" s="267"/>
      <c r="H904" s="267"/>
      <c r="I904" s="267"/>
      <c r="J904" s="267"/>
      <c r="K904" s="267"/>
      <c r="L904" s="267"/>
      <c r="M904" s="267"/>
      <c r="N904" s="267"/>
      <c r="O904" s="267"/>
      <c r="P904" s="267"/>
      <c r="Q904" s="267"/>
      <c r="R904" s="267"/>
      <c r="S904" s="267"/>
      <c r="T904" s="267"/>
      <c r="U904" s="267"/>
      <c r="V904" s="267"/>
      <c r="W904" s="267"/>
      <c r="X904" s="267"/>
    </row>
    <row r="905">
      <c r="A905" s="267"/>
      <c r="B905" s="87"/>
      <c r="C905" s="87"/>
      <c r="D905" s="87"/>
      <c r="E905" s="267"/>
      <c r="F905" s="87"/>
      <c r="G905" s="267"/>
      <c r="H905" s="267"/>
      <c r="I905" s="267"/>
      <c r="J905" s="267"/>
      <c r="K905" s="267"/>
      <c r="L905" s="267"/>
      <c r="M905" s="267"/>
      <c r="N905" s="267"/>
      <c r="O905" s="267"/>
      <c r="P905" s="267"/>
      <c r="Q905" s="267"/>
      <c r="R905" s="267"/>
      <c r="S905" s="267"/>
      <c r="T905" s="267"/>
      <c r="U905" s="267"/>
      <c r="V905" s="267"/>
      <c r="W905" s="267"/>
      <c r="X905" s="267"/>
    </row>
    <row r="906">
      <c r="A906" s="267"/>
      <c r="B906" s="87"/>
      <c r="C906" s="87"/>
      <c r="D906" s="87"/>
      <c r="E906" s="267"/>
      <c r="F906" s="87"/>
      <c r="G906" s="267"/>
      <c r="H906" s="267"/>
      <c r="I906" s="267"/>
      <c r="J906" s="267"/>
      <c r="K906" s="267"/>
      <c r="L906" s="267"/>
      <c r="M906" s="267"/>
      <c r="N906" s="267"/>
      <c r="O906" s="267"/>
      <c r="P906" s="267"/>
      <c r="Q906" s="267"/>
      <c r="R906" s="267"/>
      <c r="S906" s="267"/>
      <c r="T906" s="267"/>
      <c r="U906" s="267"/>
      <c r="V906" s="267"/>
      <c r="W906" s="267"/>
      <c r="X906" s="267"/>
    </row>
    <row r="907">
      <c r="A907" s="267"/>
      <c r="B907" s="87"/>
      <c r="C907" s="87"/>
      <c r="D907" s="87"/>
      <c r="E907" s="267"/>
      <c r="F907" s="87"/>
      <c r="G907" s="267"/>
      <c r="H907" s="267"/>
      <c r="I907" s="267"/>
      <c r="J907" s="267"/>
      <c r="K907" s="267"/>
      <c r="L907" s="267"/>
      <c r="M907" s="267"/>
      <c r="N907" s="267"/>
      <c r="O907" s="267"/>
      <c r="P907" s="267"/>
      <c r="Q907" s="267"/>
      <c r="R907" s="267"/>
      <c r="S907" s="267"/>
      <c r="T907" s="267"/>
      <c r="U907" s="267"/>
      <c r="V907" s="267"/>
      <c r="W907" s="267"/>
      <c r="X907" s="267"/>
    </row>
    <row r="908">
      <c r="A908" s="267"/>
      <c r="B908" s="87"/>
      <c r="C908" s="87"/>
      <c r="D908" s="87"/>
      <c r="E908" s="267"/>
      <c r="F908" s="87"/>
      <c r="G908" s="267"/>
      <c r="H908" s="267"/>
      <c r="I908" s="267"/>
      <c r="J908" s="267"/>
      <c r="K908" s="267"/>
      <c r="L908" s="267"/>
      <c r="M908" s="267"/>
      <c r="N908" s="267"/>
      <c r="O908" s="267"/>
      <c r="P908" s="267"/>
      <c r="Q908" s="267"/>
      <c r="R908" s="267"/>
      <c r="S908" s="267"/>
      <c r="T908" s="267"/>
      <c r="U908" s="267"/>
      <c r="V908" s="267"/>
      <c r="W908" s="267"/>
      <c r="X908" s="267"/>
    </row>
    <row r="909">
      <c r="A909" s="267"/>
      <c r="B909" s="87"/>
      <c r="C909" s="87"/>
      <c r="D909" s="87"/>
      <c r="E909" s="267"/>
      <c r="F909" s="87"/>
      <c r="G909" s="267"/>
      <c r="H909" s="267"/>
      <c r="I909" s="267"/>
      <c r="J909" s="267"/>
      <c r="K909" s="267"/>
      <c r="L909" s="267"/>
      <c r="M909" s="267"/>
      <c r="N909" s="267"/>
      <c r="O909" s="267"/>
      <c r="P909" s="267"/>
      <c r="Q909" s="267"/>
      <c r="R909" s="267"/>
      <c r="S909" s="267"/>
      <c r="T909" s="267"/>
      <c r="U909" s="267"/>
      <c r="V909" s="267"/>
      <c r="W909" s="267"/>
      <c r="X909" s="267"/>
    </row>
    <row r="910">
      <c r="A910" s="267"/>
      <c r="B910" s="87"/>
      <c r="C910" s="87"/>
      <c r="D910" s="87"/>
      <c r="E910" s="267"/>
      <c r="F910" s="87"/>
      <c r="G910" s="267"/>
      <c r="H910" s="267"/>
      <c r="I910" s="267"/>
      <c r="J910" s="267"/>
      <c r="K910" s="267"/>
      <c r="L910" s="267"/>
      <c r="M910" s="267"/>
      <c r="N910" s="267"/>
      <c r="O910" s="267"/>
      <c r="P910" s="267"/>
      <c r="Q910" s="267"/>
      <c r="R910" s="267"/>
      <c r="S910" s="267"/>
      <c r="T910" s="267"/>
      <c r="U910" s="267"/>
      <c r="V910" s="267"/>
      <c r="W910" s="267"/>
      <c r="X910" s="267"/>
    </row>
    <row r="911">
      <c r="A911" s="267"/>
      <c r="B911" s="87"/>
      <c r="C911" s="87"/>
      <c r="D911" s="87"/>
      <c r="E911" s="267"/>
      <c r="F911" s="87"/>
      <c r="G911" s="267"/>
      <c r="H911" s="267"/>
      <c r="I911" s="267"/>
      <c r="J911" s="267"/>
      <c r="K911" s="267"/>
      <c r="L911" s="267"/>
      <c r="M911" s="267"/>
      <c r="N911" s="267"/>
      <c r="O911" s="267"/>
      <c r="P911" s="267"/>
      <c r="Q911" s="267"/>
      <c r="R911" s="267"/>
      <c r="S911" s="267"/>
      <c r="T911" s="267"/>
      <c r="U911" s="267"/>
      <c r="V911" s="267"/>
      <c r="W911" s="267"/>
      <c r="X911" s="267"/>
    </row>
    <row r="912">
      <c r="A912" s="267"/>
      <c r="B912" s="87"/>
      <c r="C912" s="87"/>
      <c r="D912" s="87"/>
      <c r="E912" s="267"/>
      <c r="F912" s="87"/>
      <c r="G912" s="267"/>
      <c r="H912" s="267"/>
      <c r="I912" s="267"/>
      <c r="J912" s="267"/>
      <c r="K912" s="267"/>
      <c r="L912" s="267"/>
      <c r="M912" s="267"/>
      <c r="N912" s="267"/>
      <c r="O912" s="267"/>
      <c r="P912" s="267"/>
      <c r="Q912" s="267"/>
      <c r="R912" s="267"/>
      <c r="S912" s="267"/>
      <c r="T912" s="267"/>
      <c r="U912" s="267"/>
      <c r="V912" s="267"/>
      <c r="W912" s="267"/>
      <c r="X912" s="267"/>
    </row>
    <row r="913">
      <c r="A913" s="267"/>
      <c r="B913" s="87"/>
      <c r="C913" s="87"/>
      <c r="D913" s="87"/>
      <c r="E913" s="267"/>
      <c r="F913" s="87"/>
      <c r="G913" s="267"/>
      <c r="H913" s="267"/>
      <c r="I913" s="267"/>
      <c r="J913" s="267"/>
      <c r="K913" s="267"/>
      <c r="L913" s="267"/>
      <c r="M913" s="267"/>
      <c r="N913" s="267"/>
      <c r="O913" s="267"/>
      <c r="P913" s="267"/>
      <c r="Q913" s="267"/>
      <c r="R913" s="267"/>
      <c r="S913" s="267"/>
      <c r="T913" s="267"/>
      <c r="U913" s="267"/>
      <c r="V913" s="267"/>
      <c r="W913" s="267"/>
      <c r="X913" s="267"/>
    </row>
    <row r="914">
      <c r="A914" s="267"/>
      <c r="B914" s="87"/>
      <c r="C914" s="87"/>
      <c r="D914" s="87"/>
      <c r="E914" s="267"/>
      <c r="F914" s="87"/>
      <c r="G914" s="267"/>
      <c r="H914" s="267"/>
      <c r="I914" s="267"/>
      <c r="J914" s="267"/>
      <c r="K914" s="267"/>
      <c r="L914" s="267"/>
      <c r="M914" s="267"/>
      <c r="N914" s="267"/>
      <c r="O914" s="267"/>
      <c r="P914" s="267"/>
      <c r="Q914" s="267"/>
      <c r="R914" s="267"/>
      <c r="S914" s="267"/>
      <c r="T914" s="267"/>
      <c r="U914" s="267"/>
      <c r="V914" s="267"/>
      <c r="W914" s="267"/>
      <c r="X914" s="267"/>
    </row>
    <row r="915">
      <c r="A915" s="267"/>
      <c r="B915" s="87"/>
      <c r="C915" s="87"/>
      <c r="D915" s="87"/>
      <c r="E915" s="267"/>
      <c r="F915" s="87"/>
      <c r="G915" s="267"/>
      <c r="H915" s="267"/>
      <c r="I915" s="267"/>
      <c r="J915" s="267"/>
      <c r="K915" s="267"/>
      <c r="L915" s="267"/>
      <c r="M915" s="267"/>
      <c r="N915" s="267"/>
      <c r="O915" s="267"/>
      <c r="P915" s="267"/>
      <c r="Q915" s="267"/>
      <c r="R915" s="267"/>
      <c r="S915" s="267"/>
      <c r="T915" s="267"/>
      <c r="U915" s="267"/>
      <c r="V915" s="267"/>
      <c r="W915" s="267"/>
      <c r="X915" s="267"/>
    </row>
    <row r="916">
      <c r="A916" s="267"/>
      <c r="B916" s="87"/>
      <c r="C916" s="87"/>
      <c r="D916" s="87"/>
      <c r="E916" s="267"/>
      <c r="F916" s="87"/>
      <c r="G916" s="267"/>
      <c r="H916" s="267"/>
      <c r="I916" s="267"/>
      <c r="J916" s="267"/>
      <c r="K916" s="267"/>
      <c r="L916" s="267"/>
      <c r="M916" s="267"/>
      <c r="N916" s="267"/>
      <c r="O916" s="267"/>
      <c r="P916" s="267"/>
      <c r="Q916" s="267"/>
      <c r="R916" s="267"/>
      <c r="S916" s="267"/>
      <c r="T916" s="267"/>
      <c r="U916" s="267"/>
      <c r="V916" s="267"/>
      <c r="W916" s="267"/>
      <c r="X916" s="267"/>
    </row>
    <row r="917">
      <c r="A917" s="267"/>
      <c r="B917" s="87"/>
      <c r="C917" s="87"/>
      <c r="D917" s="87"/>
      <c r="E917" s="267"/>
      <c r="F917" s="87"/>
      <c r="G917" s="267"/>
      <c r="H917" s="267"/>
      <c r="I917" s="267"/>
      <c r="J917" s="267"/>
      <c r="K917" s="267"/>
      <c r="L917" s="267"/>
      <c r="M917" s="267"/>
      <c r="N917" s="267"/>
      <c r="O917" s="267"/>
      <c r="P917" s="267"/>
      <c r="Q917" s="267"/>
      <c r="R917" s="267"/>
      <c r="S917" s="267"/>
      <c r="T917" s="267"/>
      <c r="U917" s="267"/>
      <c r="V917" s="267"/>
      <c r="W917" s="267"/>
      <c r="X917" s="267"/>
    </row>
    <row r="918">
      <c r="A918" s="267"/>
      <c r="B918" s="87"/>
      <c r="C918" s="87"/>
      <c r="D918" s="87"/>
      <c r="E918" s="267"/>
      <c r="F918" s="87"/>
      <c r="G918" s="267"/>
      <c r="H918" s="267"/>
      <c r="I918" s="267"/>
      <c r="J918" s="267"/>
      <c r="K918" s="267"/>
      <c r="L918" s="267"/>
      <c r="M918" s="267"/>
      <c r="N918" s="267"/>
      <c r="O918" s="267"/>
      <c r="P918" s="267"/>
      <c r="Q918" s="267"/>
      <c r="R918" s="267"/>
      <c r="S918" s="267"/>
      <c r="T918" s="267"/>
      <c r="U918" s="267"/>
      <c r="V918" s="267"/>
      <c r="W918" s="267"/>
      <c r="X918" s="267"/>
    </row>
    <row r="919">
      <c r="A919" s="267"/>
      <c r="B919" s="87"/>
      <c r="C919" s="87"/>
      <c r="D919" s="87"/>
      <c r="E919" s="267"/>
      <c r="F919" s="87"/>
      <c r="G919" s="267"/>
      <c r="H919" s="267"/>
      <c r="I919" s="267"/>
      <c r="J919" s="267"/>
      <c r="K919" s="267"/>
      <c r="L919" s="267"/>
      <c r="M919" s="267"/>
      <c r="N919" s="267"/>
      <c r="O919" s="267"/>
      <c r="P919" s="267"/>
      <c r="Q919" s="267"/>
      <c r="R919" s="267"/>
      <c r="S919" s="267"/>
      <c r="T919" s="267"/>
      <c r="U919" s="267"/>
      <c r="V919" s="267"/>
      <c r="W919" s="267"/>
      <c r="X919" s="267"/>
    </row>
    <row r="920">
      <c r="A920" s="267"/>
      <c r="B920" s="87"/>
      <c r="C920" s="87"/>
      <c r="D920" s="87"/>
      <c r="E920" s="267"/>
      <c r="F920" s="87"/>
      <c r="G920" s="267"/>
      <c r="H920" s="267"/>
      <c r="I920" s="267"/>
      <c r="J920" s="267"/>
      <c r="K920" s="267"/>
      <c r="L920" s="267"/>
      <c r="M920" s="267"/>
      <c r="N920" s="267"/>
      <c r="O920" s="267"/>
      <c r="P920" s="267"/>
      <c r="Q920" s="267"/>
      <c r="R920" s="267"/>
      <c r="S920" s="267"/>
      <c r="T920" s="267"/>
      <c r="U920" s="267"/>
      <c r="V920" s="267"/>
      <c r="W920" s="267"/>
      <c r="X920" s="267"/>
    </row>
    <row r="921">
      <c r="A921" s="267"/>
      <c r="B921" s="87"/>
      <c r="C921" s="87"/>
      <c r="D921" s="87"/>
      <c r="E921" s="267"/>
      <c r="F921" s="87"/>
      <c r="G921" s="267"/>
      <c r="H921" s="267"/>
      <c r="I921" s="267"/>
      <c r="J921" s="267"/>
      <c r="K921" s="267"/>
      <c r="L921" s="267"/>
      <c r="M921" s="267"/>
      <c r="N921" s="267"/>
      <c r="O921" s="267"/>
      <c r="P921" s="267"/>
      <c r="Q921" s="267"/>
      <c r="R921" s="267"/>
      <c r="S921" s="267"/>
      <c r="T921" s="267"/>
      <c r="U921" s="267"/>
      <c r="V921" s="267"/>
      <c r="W921" s="267"/>
      <c r="X921" s="267"/>
    </row>
    <row r="922">
      <c r="A922" s="267"/>
      <c r="B922" s="87"/>
      <c r="C922" s="87"/>
      <c r="D922" s="87"/>
      <c r="E922" s="267"/>
      <c r="F922" s="87"/>
      <c r="G922" s="267"/>
      <c r="H922" s="267"/>
      <c r="I922" s="267"/>
      <c r="J922" s="267"/>
      <c r="K922" s="267"/>
      <c r="L922" s="267"/>
      <c r="M922" s="267"/>
      <c r="N922" s="267"/>
      <c r="O922" s="267"/>
      <c r="P922" s="267"/>
      <c r="Q922" s="267"/>
      <c r="R922" s="267"/>
      <c r="S922" s="267"/>
      <c r="T922" s="267"/>
      <c r="U922" s="267"/>
      <c r="V922" s="267"/>
      <c r="W922" s="267"/>
      <c r="X922" s="267"/>
    </row>
    <row r="923">
      <c r="A923" s="267"/>
      <c r="B923" s="87"/>
      <c r="C923" s="87"/>
      <c r="D923" s="87"/>
      <c r="E923" s="267"/>
      <c r="F923" s="87"/>
      <c r="G923" s="267"/>
      <c r="H923" s="267"/>
      <c r="I923" s="267"/>
      <c r="J923" s="267"/>
      <c r="K923" s="267"/>
      <c r="L923" s="267"/>
      <c r="M923" s="267"/>
      <c r="N923" s="267"/>
      <c r="O923" s="267"/>
      <c r="P923" s="267"/>
      <c r="Q923" s="267"/>
      <c r="R923" s="267"/>
      <c r="S923" s="267"/>
      <c r="T923" s="267"/>
      <c r="U923" s="267"/>
      <c r="V923" s="267"/>
      <c r="W923" s="267"/>
      <c r="X923" s="267"/>
    </row>
    <row r="924">
      <c r="A924" s="267"/>
      <c r="B924" s="87"/>
      <c r="C924" s="87"/>
      <c r="D924" s="87"/>
      <c r="E924" s="267"/>
      <c r="F924" s="87"/>
      <c r="G924" s="267"/>
      <c r="H924" s="267"/>
      <c r="I924" s="267"/>
      <c r="J924" s="267"/>
      <c r="K924" s="267"/>
      <c r="L924" s="267"/>
      <c r="M924" s="267"/>
      <c r="N924" s="267"/>
      <c r="O924" s="267"/>
      <c r="P924" s="267"/>
      <c r="Q924" s="267"/>
      <c r="R924" s="267"/>
      <c r="S924" s="267"/>
      <c r="T924" s="267"/>
      <c r="U924" s="267"/>
      <c r="V924" s="267"/>
      <c r="W924" s="267"/>
      <c r="X924" s="267"/>
    </row>
    <row r="925">
      <c r="A925" s="267"/>
      <c r="B925" s="87"/>
      <c r="C925" s="87"/>
      <c r="D925" s="87"/>
      <c r="E925" s="267"/>
      <c r="F925" s="87"/>
      <c r="G925" s="267"/>
      <c r="H925" s="267"/>
      <c r="I925" s="267"/>
      <c r="J925" s="267"/>
      <c r="K925" s="267"/>
      <c r="L925" s="267"/>
      <c r="M925" s="267"/>
      <c r="N925" s="267"/>
      <c r="O925" s="267"/>
      <c r="P925" s="267"/>
      <c r="Q925" s="267"/>
      <c r="R925" s="267"/>
      <c r="S925" s="267"/>
      <c r="T925" s="267"/>
      <c r="U925" s="267"/>
      <c r="V925" s="267"/>
      <c r="W925" s="267"/>
      <c r="X925" s="267"/>
    </row>
    <row r="926">
      <c r="A926" s="267"/>
      <c r="B926" s="87"/>
      <c r="C926" s="87"/>
      <c r="D926" s="87"/>
      <c r="E926" s="267"/>
      <c r="F926" s="87"/>
      <c r="G926" s="267"/>
      <c r="H926" s="267"/>
      <c r="I926" s="267"/>
      <c r="J926" s="267"/>
      <c r="K926" s="267"/>
      <c r="L926" s="267"/>
      <c r="M926" s="267"/>
      <c r="N926" s="267"/>
      <c r="O926" s="267"/>
      <c r="P926" s="267"/>
      <c r="Q926" s="267"/>
      <c r="R926" s="267"/>
      <c r="S926" s="267"/>
      <c r="T926" s="267"/>
      <c r="U926" s="267"/>
      <c r="V926" s="267"/>
      <c r="W926" s="267"/>
      <c r="X926" s="267"/>
    </row>
    <row r="927">
      <c r="A927" s="267"/>
      <c r="B927" s="87"/>
      <c r="C927" s="87"/>
      <c r="D927" s="87"/>
      <c r="E927" s="267"/>
      <c r="F927" s="87"/>
      <c r="G927" s="267"/>
      <c r="H927" s="267"/>
      <c r="I927" s="267"/>
      <c r="J927" s="267"/>
      <c r="K927" s="267"/>
      <c r="L927" s="267"/>
      <c r="M927" s="267"/>
      <c r="N927" s="267"/>
      <c r="O927" s="267"/>
      <c r="P927" s="267"/>
      <c r="Q927" s="267"/>
      <c r="R927" s="267"/>
      <c r="S927" s="267"/>
      <c r="T927" s="267"/>
      <c r="U927" s="267"/>
      <c r="V927" s="267"/>
      <c r="W927" s="267"/>
      <c r="X927" s="267"/>
    </row>
    <row r="928">
      <c r="A928" s="267"/>
      <c r="B928" s="87"/>
      <c r="C928" s="87"/>
      <c r="D928" s="87"/>
      <c r="E928" s="267"/>
      <c r="F928" s="87"/>
      <c r="G928" s="267"/>
      <c r="H928" s="267"/>
      <c r="I928" s="267"/>
      <c r="J928" s="267"/>
      <c r="K928" s="267"/>
      <c r="L928" s="267"/>
      <c r="M928" s="267"/>
      <c r="N928" s="267"/>
      <c r="O928" s="267"/>
      <c r="P928" s="267"/>
      <c r="Q928" s="267"/>
      <c r="R928" s="267"/>
      <c r="S928" s="267"/>
      <c r="T928" s="267"/>
      <c r="U928" s="267"/>
      <c r="V928" s="267"/>
      <c r="W928" s="267"/>
      <c r="X928" s="267"/>
    </row>
    <row r="929">
      <c r="A929" s="267"/>
      <c r="B929" s="87"/>
      <c r="C929" s="87"/>
      <c r="D929" s="87"/>
      <c r="E929" s="267"/>
      <c r="F929" s="87"/>
      <c r="G929" s="267"/>
      <c r="H929" s="267"/>
      <c r="I929" s="267"/>
      <c r="J929" s="267"/>
      <c r="K929" s="267"/>
      <c r="L929" s="267"/>
      <c r="M929" s="267"/>
      <c r="N929" s="267"/>
      <c r="O929" s="267"/>
      <c r="P929" s="267"/>
      <c r="Q929" s="267"/>
      <c r="R929" s="267"/>
      <c r="S929" s="267"/>
      <c r="T929" s="267"/>
      <c r="U929" s="267"/>
      <c r="V929" s="267"/>
      <c r="W929" s="267"/>
      <c r="X929" s="267"/>
    </row>
    <row r="930">
      <c r="A930" s="267"/>
      <c r="B930" s="87"/>
      <c r="C930" s="87"/>
      <c r="D930" s="87"/>
      <c r="E930" s="267"/>
      <c r="F930" s="87"/>
      <c r="G930" s="267"/>
      <c r="H930" s="267"/>
      <c r="I930" s="267"/>
      <c r="J930" s="267"/>
      <c r="K930" s="267"/>
      <c r="L930" s="267"/>
      <c r="M930" s="267"/>
      <c r="N930" s="267"/>
      <c r="O930" s="267"/>
      <c r="P930" s="267"/>
      <c r="Q930" s="267"/>
      <c r="R930" s="267"/>
      <c r="S930" s="267"/>
      <c r="T930" s="267"/>
      <c r="U930" s="267"/>
      <c r="V930" s="267"/>
      <c r="W930" s="267"/>
      <c r="X930" s="267"/>
    </row>
    <row r="931">
      <c r="A931" s="267"/>
      <c r="B931" s="87"/>
      <c r="C931" s="87"/>
      <c r="D931" s="87"/>
      <c r="E931" s="267"/>
      <c r="F931" s="87"/>
      <c r="G931" s="267"/>
      <c r="H931" s="267"/>
      <c r="I931" s="267"/>
      <c r="J931" s="267"/>
      <c r="K931" s="267"/>
      <c r="L931" s="267"/>
      <c r="M931" s="267"/>
      <c r="N931" s="267"/>
      <c r="O931" s="267"/>
      <c r="P931" s="267"/>
      <c r="Q931" s="267"/>
      <c r="R931" s="267"/>
      <c r="S931" s="267"/>
      <c r="T931" s="267"/>
      <c r="U931" s="267"/>
      <c r="V931" s="267"/>
      <c r="W931" s="267"/>
      <c r="X931" s="267"/>
    </row>
    <row r="932">
      <c r="A932" s="267"/>
      <c r="B932" s="87"/>
      <c r="C932" s="87"/>
      <c r="D932" s="87"/>
      <c r="E932" s="267"/>
      <c r="F932" s="87"/>
      <c r="G932" s="267"/>
      <c r="H932" s="267"/>
      <c r="I932" s="267"/>
      <c r="J932" s="267"/>
      <c r="K932" s="267"/>
      <c r="L932" s="267"/>
      <c r="M932" s="267"/>
      <c r="N932" s="267"/>
      <c r="O932" s="267"/>
      <c r="P932" s="267"/>
      <c r="Q932" s="267"/>
      <c r="R932" s="267"/>
      <c r="S932" s="267"/>
      <c r="T932" s="267"/>
      <c r="U932" s="267"/>
      <c r="V932" s="267"/>
      <c r="W932" s="267"/>
      <c r="X932" s="267"/>
    </row>
    <row r="933">
      <c r="A933" s="267"/>
      <c r="B933" s="87"/>
      <c r="C933" s="87"/>
      <c r="D933" s="87"/>
      <c r="E933" s="267"/>
      <c r="F933" s="87"/>
      <c r="G933" s="267"/>
      <c r="H933" s="267"/>
      <c r="I933" s="267"/>
      <c r="J933" s="267"/>
      <c r="K933" s="267"/>
      <c r="L933" s="267"/>
      <c r="M933" s="267"/>
      <c r="N933" s="267"/>
      <c r="O933" s="267"/>
      <c r="P933" s="267"/>
      <c r="Q933" s="267"/>
      <c r="R933" s="267"/>
      <c r="S933" s="267"/>
      <c r="T933" s="267"/>
      <c r="U933" s="267"/>
      <c r="V933" s="267"/>
      <c r="W933" s="267"/>
      <c r="X933" s="267"/>
    </row>
    <row r="934">
      <c r="A934" s="267"/>
      <c r="B934" s="87"/>
      <c r="C934" s="87"/>
      <c r="D934" s="87"/>
      <c r="E934" s="267"/>
      <c r="F934" s="87"/>
      <c r="G934" s="267"/>
      <c r="H934" s="267"/>
      <c r="I934" s="267"/>
      <c r="J934" s="267"/>
      <c r="K934" s="267"/>
      <c r="L934" s="267"/>
      <c r="M934" s="267"/>
      <c r="N934" s="267"/>
      <c r="O934" s="267"/>
      <c r="P934" s="267"/>
      <c r="Q934" s="267"/>
      <c r="R934" s="267"/>
      <c r="S934" s="267"/>
      <c r="T934" s="267"/>
      <c r="U934" s="267"/>
      <c r="V934" s="267"/>
      <c r="W934" s="267"/>
      <c r="X934" s="267"/>
    </row>
    <row r="935">
      <c r="A935" s="267"/>
      <c r="B935" s="87"/>
      <c r="C935" s="87"/>
      <c r="D935" s="87"/>
      <c r="E935" s="267"/>
      <c r="F935" s="87"/>
      <c r="G935" s="267"/>
      <c r="H935" s="267"/>
      <c r="I935" s="267"/>
      <c r="J935" s="267"/>
      <c r="K935" s="267"/>
      <c r="L935" s="267"/>
      <c r="M935" s="267"/>
      <c r="N935" s="267"/>
      <c r="O935" s="267"/>
      <c r="P935" s="267"/>
      <c r="Q935" s="267"/>
      <c r="R935" s="267"/>
      <c r="S935" s="267"/>
      <c r="T935" s="267"/>
      <c r="U935" s="267"/>
      <c r="V935" s="267"/>
      <c r="W935" s="267"/>
      <c r="X935" s="267"/>
    </row>
    <row r="936">
      <c r="A936" s="267"/>
      <c r="B936" s="87"/>
      <c r="C936" s="87"/>
      <c r="D936" s="87"/>
      <c r="E936" s="267"/>
      <c r="F936" s="87"/>
      <c r="G936" s="267"/>
      <c r="H936" s="267"/>
      <c r="I936" s="267"/>
      <c r="J936" s="267"/>
      <c r="K936" s="267"/>
      <c r="L936" s="267"/>
      <c r="M936" s="267"/>
      <c r="N936" s="267"/>
      <c r="O936" s="267"/>
      <c r="P936" s="267"/>
      <c r="Q936" s="267"/>
      <c r="R936" s="267"/>
      <c r="S936" s="267"/>
      <c r="T936" s="267"/>
      <c r="U936" s="267"/>
      <c r="V936" s="267"/>
      <c r="W936" s="267"/>
      <c r="X936" s="267"/>
    </row>
    <row r="937">
      <c r="A937" s="267"/>
      <c r="B937" s="87"/>
      <c r="C937" s="87"/>
      <c r="D937" s="87"/>
      <c r="E937" s="267"/>
      <c r="F937" s="87"/>
      <c r="G937" s="267"/>
      <c r="H937" s="267"/>
      <c r="I937" s="267"/>
      <c r="J937" s="267"/>
      <c r="K937" s="267"/>
      <c r="L937" s="267"/>
      <c r="M937" s="267"/>
      <c r="N937" s="267"/>
      <c r="O937" s="267"/>
      <c r="P937" s="267"/>
      <c r="Q937" s="267"/>
      <c r="R937" s="267"/>
      <c r="S937" s="267"/>
      <c r="T937" s="267"/>
      <c r="U937" s="267"/>
      <c r="V937" s="267"/>
      <c r="W937" s="267"/>
      <c r="X937" s="267"/>
    </row>
    <row r="938">
      <c r="A938" s="267"/>
      <c r="B938" s="87"/>
      <c r="C938" s="87"/>
      <c r="D938" s="87"/>
      <c r="E938" s="267"/>
      <c r="F938" s="87"/>
      <c r="G938" s="267"/>
      <c r="H938" s="267"/>
      <c r="I938" s="267"/>
      <c r="J938" s="267"/>
      <c r="K938" s="267"/>
      <c r="L938" s="267"/>
      <c r="M938" s="267"/>
      <c r="N938" s="267"/>
      <c r="O938" s="267"/>
      <c r="P938" s="267"/>
      <c r="Q938" s="267"/>
      <c r="R938" s="267"/>
      <c r="S938" s="267"/>
      <c r="T938" s="267"/>
      <c r="U938" s="267"/>
      <c r="V938" s="267"/>
      <c r="W938" s="267"/>
      <c r="X938" s="267"/>
    </row>
    <row r="939">
      <c r="A939" s="267"/>
      <c r="B939" s="87"/>
      <c r="C939" s="87"/>
      <c r="D939" s="87"/>
      <c r="E939" s="267"/>
      <c r="F939" s="87"/>
      <c r="G939" s="267"/>
      <c r="H939" s="267"/>
      <c r="I939" s="267"/>
      <c r="J939" s="267"/>
      <c r="K939" s="267"/>
      <c r="L939" s="267"/>
      <c r="M939" s="267"/>
      <c r="N939" s="267"/>
      <c r="O939" s="267"/>
      <c r="P939" s="267"/>
      <c r="Q939" s="267"/>
      <c r="R939" s="267"/>
      <c r="S939" s="267"/>
      <c r="T939" s="267"/>
      <c r="U939" s="267"/>
      <c r="V939" s="267"/>
      <c r="W939" s="267"/>
      <c r="X939" s="267"/>
    </row>
    <row r="940">
      <c r="A940" s="267"/>
      <c r="B940" s="87"/>
      <c r="C940" s="87"/>
      <c r="D940" s="87"/>
      <c r="E940" s="267"/>
      <c r="F940" s="87"/>
      <c r="G940" s="267"/>
      <c r="H940" s="267"/>
      <c r="I940" s="267"/>
      <c r="J940" s="267"/>
      <c r="K940" s="267"/>
      <c r="L940" s="267"/>
      <c r="M940" s="267"/>
      <c r="N940" s="267"/>
      <c r="O940" s="267"/>
      <c r="P940" s="267"/>
      <c r="Q940" s="267"/>
      <c r="R940" s="267"/>
      <c r="S940" s="267"/>
      <c r="T940" s="267"/>
      <c r="U940" s="267"/>
      <c r="V940" s="267"/>
      <c r="W940" s="267"/>
      <c r="X940" s="267"/>
    </row>
    <row r="941">
      <c r="A941" s="267"/>
      <c r="B941" s="87"/>
      <c r="C941" s="87"/>
      <c r="D941" s="87"/>
      <c r="E941" s="267"/>
      <c r="F941" s="87"/>
      <c r="G941" s="267"/>
      <c r="H941" s="267"/>
      <c r="I941" s="267"/>
      <c r="J941" s="267"/>
      <c r="K941" s="267"/>
      <c r="L941" s="267"/>
      <c r="M941" s="267"/>
      <c r="N941" s="267"/>
      <c r="O941" s="267"/>
      <c r="P941" s="267"/>
      <c r="Q941" s="267"/>
      <c r="R941" s="267"/>
      <c r="S941" s="267"/>
      <c r="T941" s="267"/>
      <c r="U941" s="267"/>
      <c r="V941" s="267"/>
      <c r="W941" s="267"/>
      <c r="X941" s="267"/>
    </row>
    <row r="942">
      <c r="A942" s="267"/>
      <c r="B942" s="87"/>
      <c r="C942" s="87"/>
      <c r="D942" s="87"/>
      <c r="E942" s="267"/>
      <c r="F942" s="87"/>
      <c r="G942" s="267"/>
      <c r="H942" s="267"/>
      <c r="I942" s="267"/>
      <c r="J942" s="267"/>
      <c r="K942" s="267"/>
      <c r="L942" s="267"/>
      <c r="M942" s="267"/>
      <c r="N942" s="267"/>
      <c r="O942" s="267"/>
      <c r="P942" s="267"/>
      <c r="Q942" s="267"/>
      <c r="R942" s="267"/>
      <c r="S942" s="267"/>
      <c r="T942" s="267"/>
      <c r="U942" s="267"/>
      <c r="V942" s="267"/>
      <c r="W942" s="267"/>
      <c r="X942" s="267"/>
    </row>
    <row r="943">
      <c r="A943" s="267"/>
      <c r="B943" s="87"/>
      <c r="C943" s="87"/>
      <c r="D943" s="87"/>
      <c r="E943" s="267"/>
      <c r="F943" s="87"/>
      <c r="G943" s="267"/>
      <c r="H943" s="267"/>
      <c r="I943" s="267"/>
      <c r="J943" s="267"/>
      <c r="K943" s="267"/>
      <c r="L943" s="267"/>
      <c r="M943" s="267"/>
      <c r="N943" s="267"/>
      <c r="O943" s="267"/>
      <c r="P943" s="267"/>
      <c r="Q943" s="267"/>
      <c r="R943" s="267"/>
      <c r="S943" s="267"/>
      <c r="T943" s="267"/>
      <c r="U943" s="267"/>
      <c r="V943" s="267"/>
      <c r="W943" s="267"/>
      <c r="X943" s="267"/>
    </row>
    <row r="944">
      <c r="A944" s="267"/>
      <c r="B944" s="87"/>
      <c r="C944" s="87"/>
      <c r="D944" s="87"/>
      <c r="E944" s="267"/>
      <c r="F944" s="87"/>
      <c r="G944" s="267"/>
      <c r="H944" s="267"/>
      <c r="I944" s="267"/>
      <c r="J944" s="267"/>
      <c r="K944" s="267"/>
      <c r="L944" s="267"/>
      <c r="M944" s="267"/>
      <c r="N944" s="267"/>
      <c r="O944" s="267"/>
      <c r="P944" s="267"/>
      <c r="Q944" s="267"/>
      <c r="R944" s="267"/>
      <c r="S944" s="267"/>
      <c r="T944" s="267"/>
      <c r="U944" s="267"/>
      <c r="V944" s="267"/>
      <c r="W944" s="267"/>
      <c r="X944" s="267"/>
    </row>
    <row r="945">
      <c r="A945" s="267"/>
      <c r="B945" s="87"/>
      <c r="C945" s="87"/>
      <c r="D945" s="87"/>
      <c r="E945" s="267"/>
      <c r="F945" s="87"/>
      <c r="G945" s="267"/>
      <c r="H945" s="267"/>
      <c r="I945" s="267"/>
      <c r="J945" s="267"/>
      <c r="K945" s="267"/>
      <c r="L945" s="267"/>
      <c r="M945" s="267"/>
      <c r="N945" s="267"/>
      <c r="O945" s="267"/>
      <c r="P945" s="267"/>
      <c r="Q945" s="267"/>
      <c r="R945" s="267"/>
      <c r="S945" s="267"/>
      <c r="T945" s="267"/>
      <c r="U945" s="267"/>
      <c r="V945" s="267"/>
      <c r="W945" s="267"/>
      <c r="X945" s="267"/>
    </row>
    <row r="946">
      <c r="A946" s="267"/>
      <c r="B946" s="87"/>
      <c r="C946" s="87"/>
      <c r="D946" s="87"/>
      <c r="E946" s="267"/>
      <c r="F946" s="87"/>
      <c r="G946" s="267"/>
      <c r="H946" s="267"/>
      <c r="I946" s="267"/>
      <c r="J946" s="267"/>
      <c r="K946" s="267"/>
      <c r="L946" s="267"/>
      <c r="M946" s="267"/>
      <c r="N946" s="267"/>
      <c r="O946" s="267"/>
      <c r="P946" s="267"/>
      <c r="Q946" s="267"/>
      <c r="R946" s="267"/>
      <c r="S946" s="267"/>
      <c r="T946" s="267"/>
      <c r="U946" s="267"/>
      <c r="V946" s="267"/>
      <c r="W946" s="267"/>
      <c r="X946" s="267"/>
    </row>
    <row r="947">
      <c r="A947" s="267"/>
      <c r="B947" s="87"/>
      <c r="C947" s="87"/>
      <c r="D947" s="87"/>
      <c r="E947" s="267"/>
      <c r="F947" s="87"/>
      <c r="G947" s="267"/>
      <c r="H947" s="267"/>
      <c r="I947" s="267"/>
      <c r="J947" s="267"/>
      <c r="K947" s="267"/>
      <c r="L947" s="267"/>
      <c r="M947" s="267"/>
      <c r="N947" s="267"/>
      <c r="O947" s="267"/>
      <c r="P947" s="267"/>
      <c r="Q947" s="267"/>
      <c r="R947" s="267"/>
      <c r="S947" s="267"/>
      <c r="T947" s="267"/>
      <c r="U947" s="267"/>
      <c r="V947" s="267"/>
      <c r="W947" s="267"/>
      <c r="X947" s="267"/>
    </row>
    <row r="948">
      <c r="A948" s="267"/>
      <c r="B948" s="87"/>
      <c r="C948" s="87"/>
      <c r="D948" s="87"/>
      <c r="E948" s="267"/>
      <c r="F948" s="87"/>
      <c r="G948" s="267"/>
      <c r="H948" s="267"/>
      <c r="I948" s="267"/>
      <c r="J948" s="267"/>
      <c r="K948" s="267"/>
      <c r="L948" s="267"/>
      <c r="M948" s="267"/>
      <c r="N948" s="267"/>
      <c r="O948" s="267"/>
      <c r="P948" s="267"/>
      <c r="Q948" s="267"/>
      <c r="R948" s="267"/>
      <c r="S948" s="267"/>
      <c r="T948" s="267"/>
      <c r="U948" s="267"/>
      <c r="V948" s="267"/>
      <c r="W948" s="267"/>
      <c r="X948" s="267"/>
    </row>
    <row r="949">
      <c r="A949" s="267"/>
      <c r="B949" s="87"/>
      <c r="C949" s="87"/>
      <c r="D949" s="87"/>
      <c r="E949" s="267"/>
      <c r="F949" s="87"/>
      <c r="G949" s="267"/>
      <c r="H949" s="267"/>
      <c r="I949" s="267"/>
      <c r="J949" s="267"/>
      <c r="K949" s="267"/>
      <c r="L949" s="267"/>
      <c r="M949" s="267"/>
      <c r="N949" s="267"/>
      <c r="O949" s="267"/>
      <c r="P949" s="267"/>
      <c r="Q949" s="267"/>
      <c r="R949" s="267"/>
      <c r="S949" s="267"/>
      <c r="T949" s="267"/>
      <c r="U949" s="267"/>
      <c r="V949" s="267"/>
      <c r="W949" s="267"/>
      <c r="X949" s="267"/>
    </row>
    <row r="950">
      <c r="A950" s="267"/>
      <c r="B950" s="87"/>
      <c r="C950" s="87"/>
      <c r="D950" s="87"/>
      <c r="E950" s="267"/>
      <c r="F950" s="87"/>
      <c r="G950" s="267"/>
      <c r="H950" s="267"/>
      <c r="I950" s="267"/>
      <c r="J950" s="267"/>
      <c r="K950" s="267"/>
      <c r="L950" s="267"/>
      <c r="M950" s="267"/>
      <c r="N950" s="267"/>
      <c r="O950" s="267"/>
      <c r="P950" s="267"/>
      <c r="Q950" s="267"/>
      <c r="R950" s="267"/>
      <c r="S950" s="267"/>
      <c r="T950" s="267"/>
      <c r="U950" s="267"/>
      <c r="V950" s="267"/>
      <c r="W950" s="267"/>
      <c r="X950" s="267"/>
    </row>
    <row r="951">
      <c r="A951" s="267"/>
      <c r="B951" s="87"/>
      <c r="C951" s="87"/>
      <c r="D951" s="87"/>
      <c r="E951" s="267"/>
      <c r="F951" s="87"/>
      <c r="G951" s="267"/>
      <c r="H951" s="267"/>
      <c r="I951" s="267"/>
      <c r="J951" s="267"/>
      <c r="K951" s="267"/>
      <c r="L951" s="267"/>
      <c r="M951" s="267"/>
      <c r="N951" s="267"/>
      <c r="O951" s="267"/>
      <c r="P951" s="267"/>
      <c r="Q951" s="267"/>
      <c r="R951" s="267"/>
      <c r="S951" s="267"/>
      <c r="T951" s="267"/>
      <c r="U951" s="267"/>
      <c r="V951" s="267"/>
      <c r="W951" s="267"/>
      <c r="X951" s="267"/>
    </row>
    <row r="952">
      <c r="A952" s="267"/>
      <c r="B952" s="87"/>
      <c r="C952" s="87"/>
      <c r="D952" s="87"/>
      <c r="E952" s="267"/>
      <c r="F952" s="87"/>
      <c r="G952" s="267"/>
      <c r="H952" s="267"/>
      <c r="I952" s="267"/>
      <c r="J952" s="267"/>
      <c r="K952" s="267"/>
      <c r="L952" s="267"/>
      <c r="M952" s="267"/>
      <c r="N952" s="267"/>
      <c r="O952" s="267"/>
      <c r="P952" s="267"/>
      <c r="Q952" s="267"/>
      <c r="R952" s="267"/>
      <c r="S952" s="267"/>
      <c r="T952" s="267"/>
      <c r="U952" s="267"/>
      <c r="V952" s="267"/>
      <c r="W952" s="267"/>
      <c r="X952" s="267"/>
    </row>
    <row r="953">
      <c r="A953" s="267"/>
      <c r="B953" s="87"/>
      <c r="C953" s="87"/>
      <c r="D953" s="87"/>
      <c r="E953" s="267"/>
      <c r="F953" s="87"/>
      <c r="G953" s="267"/>
      <c r="H953" s="267"/>
      <c r="I953" s="267"/>
      <c r="J953" s="267"/>
      <c r="K953" s="267"/>
      <c r="L953" s="267"/>
      <c r="M953" s="267"/>
      <c r="N953" s="267"/>
      <c r="O953" s="267"/>
      <c r="P953" s="267"/>
      <c r="Q953" s="267"/>
      <c r="R953" s="267"/>
      <c r="S953" s="267"/>
      <c r="T953" s="267"/>
      <c r="U953" s="267"/>
      <c r="V953" s="267"/>
      <c r="W953" s="267"/>
      <c r="X953" s="267"/>
    </row>
    <row r="954">
      <c r="A954" s="267"/>
      <c r="B954" s="87"/>
      <c r="C954" s="87"/>
      <c r="D954" s="87"/>
      <c r="E954" s="267"/>
      <c r="F954" s="87"/>
      <c r="G954" s="267"/>
      <c r="H954" s="267"/>
      <c r="I954" s="267"/>
      <c r="J954" s="267"/>
      <c r="K954" s="267"/>
      <c r="L954" s="267"/>
      <c r="M954" s="267"/>
      <c r="N954" s="267"/>
      <c r="O954" s="267"/>
      <c r="P954" s="267"/>
      <c r="Q954" s="267"/>
      <c r="R954" s="267"/>
      <c r="S954" s="267"/>
      <c r="T954" s="267"/>
      <c r="U954" s="267"/>
      <c r="V954" s="267"/>
      <c r="W954" s="267"/>
      <c r="X954" s="267"/>
    </row>
    <row r="955">
      <c r="A955" s="267"/>
      <c r="B955" s="87"/>
      <c r="C955" s="87"/>
      <c r="D955" s="87"/>
      <c r="E955" s="267"/>
      <c r="F955" s="87"/>
      <c r="G955" s="267"/>
      <c r="H955" s="267"/>
      <c r="I955" s="267"/>
      <c r="J955" s="267"/>
      <c r="K955" s="267"/>
      <c r="L955" s="267"/>
      <c r="M955" s="267"/>
      <c r="N955" s="267"/>
      <c r="O955" s="267"/>
      <c r="P955" s="267"/>
      <c r="Q955" s="267"/>
      <c r="R955" s="267"/>
      <c r="S955" s="267"/>
      <c r="T955" s="267"/>
      <c r="U955" s="267"/>
      <c r="V955" s="267"/>
      <c r="W955" s="267"/>
      <c r="X955" s="267"/>
    </row>
    <row r="956">
      <c r="A956" s="267"/>
      <c r="B956" s="87"/>
      <c r="C956" s="87"/>
      <c r="D956" s="87"/>
      <c r="E956" s="267"/>
      <c r="F956" s="87"/>
      <c r="G956" s="267"/>
      <c r="H956" s="267"/>
      <c r="I956" s="267"/>
      <c r="J956" s="267"/>
      <c r="K956" s="267"/>
      <c r="L956" s="267"/>
      <c r="M956" s="267"/>
      <c r="N956" s="267"/>
      <c r="O956" s="267"/>
      <c r="P956" s="267"/>
      <c r="Q956" s="267"/>
      <c r="R956" s="267"/>
      <c r="S956" s="267"/>
      <c r="T956" s="267"/>
      <c r="U956" s="267"/>
      <c r="V956" s="267"/>
      <c r="W956" s="267"/>
      <c r="X956" s="267"/>
    </row>
    <row r="957">
      <c r="A957" s="267"/>
      <c r="B957" s="87"/>
      <c r="C957" s="87"/>
      <c r="D957" s="87"/>
      <c r="E957" s="267"/>
      <c r="F957" s="87"/>
      <c r="G957" s="267"/>
      <c r="H957" s="267"/>
      <c r="I957" s="267"/>
      <c r="J957" s="267"/>
      <c r="K957" s="267"/>
      <c r="L957" s="267"/>
      <c r="M957" s="267"/>
      <c r="N957" s="267"/>
      <c r="O957" s="267"/>
      <c r="P957" s="267"/>
      <c r="Q957" s="267"/>
      <c r="R957" s="267"/>
      <c r="S957" s="267"/>
      <c r="T957" s="267"/>
      <c r="U957" s="267"/>
      <c r="V957" s="267"/>
      <c r="W957" s="267"/>
      <c r="X957" s="267"/>
    </row>
    <row r="958">
      <c r="A958" s="267"/>
      <c r="B958" s="87"/>
      <c r="C958" s="87"/>
      <c r="D958" s="87"/>
      <c r="E958" s="267"/>
      <c r="F958" s="87"/>
      <c r="G958" s="267"/>
      <c r="H958" s="267"/>
      <c r="I958" s="267"/>
      <c r="J958" s="267"/>
      <c r="K958" s="267"/>
      <c r="L958" s="267"/>
      <c r="M958" s="267"/>
      <c r="N958" s="267"/>
      <c r="O958" s="267"/>
      <c r="P958" s="267"/>
      <c r="Q958" s="267"/>
      <c r="R958" s="267"/>
      <c r="S958" s="267"/>
      <c r="T958" s="267"/>
      <c r="U958" s="267"/>
      <c r="V958" s="267"/>
      <c r="W958" s="267"/>
      <c r="X958" s="267"/>
    </row>
    <row r="959">
      <c r="A959" s="267"/>
      <c r="B959" s="87"/>
      <c r="C959" s="87"/>
      <c r="D959" s="87"/>
      <c r="E959" s="267"/>
      <c r="F959" s="87"/>
      <c r="G959" s="267"/>
      <c r="H959" s="267"/>
      <c r="I959" s="267"/>
      <c r="J959" s="267"/>
      <c r="K959" s="267"/>
      <c r="L959" s="267"/>
      <c r="M959" s="267"/>
      <c r="N959" s="267"/>
      <c r="O959" s="267"/>
      <c r="P959" s="267"/>
      <c r="Q959" s="267"/>
      <c r="R959" s="267"/>
      <c r="S959" s="267"/>
      <c r="T959" s="267"/>
      <c r="U959" s="267"/>
      <c r="V959" s="267"/>
      <c r="W959" s="267"/>
      <c r="X959" s="267"/>
    </row>
    <row r="960">
      <c r="A960" s="267"/>
      <c r="B960" s="87"/>
      <c r="C960" s="87"/>
      <c r="D960" s="87"/>
      <c r="E960" s="267"/>
      <c r="F960" s="87"/>
      <c r="G960" s="267"/>
      <c r="H960" s="267"/>
      <c r="I960" s="267"/>
      <c r="J960" s="267"/>
      <c r="K960" s="267"/>
      <c r="L960" s="267"/>
      <c r="M960" s="267"/>
      <c r="N960" s="267"/>
      <c r="O960" s="267"/>
      <c r="P960" s="267"/>
      <c r="Q960" s="267"/>
      <c r="R960" s="267"/>
      <c r="S960" s="267"/>
      <c r="T960" s="267"/>
      <c r="U960" s="267"/>
      <c r="V960" s="267"/>
      <c r="W960" s="267"/>
      <c r="X960" s="267"/>
    </row>
    <row r="961">
      <c r="A961" s="267"/>
      <c r="B961" s="87"/>
      <c r="C961" s="87"/>
      <c r="D961" s="87"/>
      <c r="E961" s="267"/>
      <c r="F961" s="87"/>
      <c r="G961" s="267"/>
      <c r="H961" s="267"/>
      <c r="I961" s="267"/>
      <c r="J961" s="267"/>
      <c r="K961" s="267"/>
      <c r="L961" s="267"/>
      <c r="M961" s="267"/>
      <c r="N961" s="267"/>
      <c r="O961" s="267"/>
      <c r="P961" s="267"/>
      <c r="Q961" s="267"/>
      <c r="R961" s="267"/>
      <c r="S961" s="267"/>
      <c r="T961" s="267"/>
      <c r="U961" s="267"/>
      <c r="V961" s="267"/>
      <c r="W961" s="267"/>
      <c r="X961" s="267"/>
    </row>
    <row r="962">
      <c r="A962" s="267"/>
      <c r="B962" s="87"/>
      <c r="C962" s="87"/>
      <c r="D962" s="87"/>
      <c r="E962" s="267"/>
      <c r="F962" s="87"/>
      <c r="G962" s="267"/>
      <c r="H962" s="267"/>
      <c r="I962" s="267"/>
      <c r="J962" s="267"/>
      <c r="K962" s="267"/>
      <c r="L962" s="267"/>
      <c r="M962" s="267"/>
      <c r="N962" s="267"/>
      <c r="O962" s="267"/>
      <c r="P962" s="267"/>
      <c r="Q962" s="267"/>
      <c r="R962" s="267"/>
      <c r="S962" s="267"/>
      <c r="T962" s="267"/>
      <c r="U962" s="267"/>
      <c r="V962" s="267"/>
      <c r="W962" s="267"/>
      <c r="X962" s="267"/>
    </row>
    <row r="963">
      <c r="A963" s="267"/>
      <c r="B963" s="87"/>
      <c r="C963" s="87"/>
      <c r="D963" s="87"/>
      <c r="E963" s="267"/>
      <c r="F963" s="87"/>
      <c r="G963" s="267"/>
      <c r="H963" s="267"/>
      <c r="I963" s="267"/>
      <c r="J963" s="267"/>
      <c r="K963" s="267"/>
      <c r="L963" s="267"/>
      <c r="M963" s="267"/>
      <c r="N963" s="267"/>
      <c r="O963" s="267"/>
      <c r="P963" s="267"/>
      <c r="Q963" s="267"/>
      <c r="R963" s="267"/>
      <c r="S963" s="267"/>
      <c r="T963" s="267"/>
      <c r="U963" s="267"/>
      <c r="V963" s="267"/>
      <c r="W963" s="267"/>
      <c r="X963" s="267"/>
    </row>
    <row r="964">
      <c r="A964" s="267"/>
      <c r="B964" s="87"/>
      <c r="C964" s="87"/>
      <c r="D964" s="87"/>
      <c r="E964" s="267"/>
      <c r="F964" s="87"/>
      <c r="G964" s="267"/>
      <c r="H964" s="267"/>
      <c r="I964" s="267"/>
      <c r="J964" s="267"/>
      <c r="K964" s="267"/>
      <c r="L964" s="267"/>
      <c r="M964" s="267"/>
      <c r="N964" s="267"/>
      <c r="O964" s="267"/>
      <c r="P964" s="267"/>
      <c r="Q964" s="267"/>
      <c r="R964" s="267"/>
      <c r="S964" s="267"/>
      <c r="T964" s="267"/>
      <c r="U964" s="267"/>
      <c r="V964" s="267"/>
      <c r="W964" s="267"/>
      <c r="X964" s="267"/>
    </row>
    <row r="965">
      <c r="A965" s="267"/>
      <c r="B965" s="87"/>
      <c r="C965" s="87"/>
      <c r="D965" s="87"/>
      <c r="E965" s="267"/>
      <c r="F965" s="87"/>
      <c r="G965" s="267"/>
      <c r="H965" s="267"/>
      <c r="I965" s="267"/>
      <c r="J965" s="267"/>
      <c r="K965" s="267"/>
      <c r="L965" s="267"/>
      <c r="M965" s="267"/>
      <c r="N965" s="267"/>
      <c r="O965" s="267"/>
      <c r="P965" s="267"/>
      <c r="Q965" s="267"/>
      <c r="R965" s="267"/>
      <c r="S965" s="267"/>
      <c r="T965" s="267"/>
      <c r="U965" s="267"/>
      <c r="V965" s="267"/>
      <c r="W965" s="267"/>
      <c r="X965" s="267"/>
    </row>
    <row r="966">
      <c r="A966" s="267"/>
      <c r="B966" s="87"/>
      <c r="C966" s="87"/>
      <c r="D966" s="87"/>
      <c r="E966" s="267"/>
      <c r="F966" s="87"/>
      <c r="G966" s="267"/>
      <c r="H966" s="267"/>
      <c r="I966" s="267"/>
      <c r="J966" s="267"/>
      <c r="K966" s="267"/>
      <c r="L966" s="267"/>
      <c r="M966" s="267"/>
      <c r="N966" s="267"/>
      <c r="O966" s="267"/>
      <c r="P966" s="267"/>
      <c r="Q966" s="267"/>
      <c r="R966" s="267"/>
      <c r="S966" s="267"/>
      <c r="T966" s="267"/>
      <c r="U966" s="267"/>
      <c r="V966" s="267"/>
      <c r="W966" s="267"/>
      <c r="X966" s="267"/>
    </row>
    <row r="967">
      <c r="A967" s="267"/>
      <c r="B967" s="87"/>
      <c r="C967" s="87"/>
      <c r="D967" s="87"/>
      <c r="E967" s="267"/>
      <c r="F967" s="87"/>
      <c r="G967" s="267"/>
      <c r="H967" s="267"/>
      <c r="I967" s="267"/>
      <c r="J967" s="267"/>
      <c r="K967" s="267"/>
      <c r="L967" s="267"/>
      <c r="M967" s="267"/>
      <c r="N967" s="267"/>
      <c r="O967" s="267"/>
      <c r="P967" s="267"/>
      <c r="Q967" s="267"/>
      <c r="R967" s="267"/>
      <c r="S967" s="267"/>
      <c r="T967" s="267"/>
      <c r="U967" s="267"/>
      <c r="V967" s="267"/>
      <c r="W967" s="267"/>
      <c r="X967" s="267"/>
    </row>
    <row r="968">
      <c r="A968" s="267"/>
      <c r="B968" s="87"/>
      <c r="C968" s="87"/>
      <c r="D968" s="87"/>
      <c r="E968" s="267"/>
      <c r="F968" s="87"/>
      <c r="G968" s="267"/>
      <c r="H968" s="267"/>
      <c r="I968" s="267"/>
      <c r="J968" s="267"/>
      <c r="K968" s="267"/>
      <c r="L968" s="267"/>
      <c r="M968" s="267"/>
      <c r="N968" s="267"/>
      <c r="O968" s="267"/>
      <c r="P968" s="267"/>
      <c r="Q968" s="267"/>
      <c r="R968" s="267"/>
      <c r="S968" s="267"/>
      <c r="T968" s="267"/>
      <c r="U968" s="267"/>
      <c r="V968" s="267"/>
      <c r="W968" s="267"/>
      <c r="X968" s="267"/>
    </row>
    <row r="969">
      <c r="A969" s="267"/>
      <c r="B969" s="87"/>
      <c r="C969" s="87"/>
      <c r="D969" s="87"/>
      <c r="E969" s="267"/>
      <c r="F969" s="87"/>
      <c r="G969" s="267"/>
      <c r="H969" s="267"/>
      <c r="I969" s="267"/>
      <c r="J969" s="267"/>
      <c r="K969" s="267"/>
      <c r="L969" s="267"/>
      <c r="M969" s="267"/>
      <c r="N969" s="267"/>
      <c r="O969" s="267"/>
      <c r="P969" s="267"/>
      <c r="Q969" s="267"/>
      <c r="R969" s="267"/>
      <c r="S969" s="267"/>
      <c r="T969" s="267"/>
      <c r="U969" s="267"/>
      <c r="V969" s="267"/>
      <c r="W969" s="267"/>
      <c r="X969" s="267"/>
    </row>
    <row r="970">
      <c r="A970" s="267"/>
      <c r="B970" s="87"/>
      <c r="C970" s="87"/>
      <c r="D970" s="87"/>
      <c r="E970" s="267"/>
      <c r="F970" s="87"/>
      <c r="G970" s="267"/>
      <c r="H970" s="267"/>
      <c r="I970" s="267"/>
      <c r="J970" s="267"/>
      <c r="K970" s="267"/>
      <c r="L970" s="267"/>
      <c r="M970" s="267"/>
      <c r="N970" s="267"/>
      <c r="O970" s="267"/>
      <c r="P970" s="267"/>
      <c r="Q970" s="267"/>
      <c r="R970" s="267"/>
      <c r="S970" s="267"/>
      <c r="T970" s="267"/>
      <c r="U970" s="267"/>
      <c r="V970" s="267"/>
      <c r="W970" s="267"/>
      <c r="X970" s="267"/>
    </row>
    <row r="971">
      <c r="A971" s="267"/>
      <c r="B971" s="87"/>
      <c r="C971" s="87"/>
      <c r="D971" s="87"/>
      <c r="E971" s="267"/>
      <c r="F971" s="87"/>
      <c r="G971" s="267"/>
      <c r="H971" s="267"/>
      <c r="I971" s="267"/>
      <c r="J971" s="267"/>
      <c r="K971" s="267"/>
      <c r="L971" s="267"/>
      <c r="M971" s="267"/>
      <c r="N971" s="267"/>
      <c r="O971" s="267"/>
      <c r="P971" s="267"/>
      <c r="Q971" s="267"/>
      <c r="R971" s="267"/>
      <c r="S971" s="267"/>
      <c r="T971" s="267"/>
      <c r="U971" s="267"/>
      <c r="V971" s="267"/>
      <c r="W971" s="267"/>
      <c r="X971" s="267"/>
    </row>
    <row r="972">
      <c r="A972" s="267"/>
      <c r="B972" s="87"/>
      <c r="C972" s="87"/>
      <c r="D972" s="87"/>
      <c r="E972" s="267"/>
      <c r="F972" s="87"/>
      <c r="G972" s="267"/>
      <c r="H972" s="267"/>
      <c r="I972" s="267"/>
      <c r="J972" s="267"/>
      <c r="K972" s="267"/>
      <c r="L972" s="267"/>
      <c r="M972" s="267"/>
      <c r="N972" s="267"/>
      <c r="O972" s="267"/>
      <c r="P972" s="267"/>
      <c r="Q972" s="267"/>
      <c r="R972" s="267"/>
      <c r="S972" s="267"/>
      <c r="T972" s="267"/>
      <c r="U972" s="267"/>
      <c r="V972" s="267"/>
      <c r="W972" s="267"/>
      <c r="X972" s="267"/>
    </row>
    <row r="973">
      <c r="A973" s="267"/>
      <c r="B973" s="87"/>
      <c r="C973" s="87"/>
      <c r="D973" s="87"/>
      <c r="E973" s="267"/>
      <c r="F973" s="87"/>
      <c r="G973" s="267"/>
      <c r="H973" s="267"/>
      <c r="I973" s="267"/>
      <c r="J973" s="267"/>
      <c r="K973" s="267"/>
      <c r="L973" s="267"/>
      <c r="M973" s="267"/>
      <c r="N973" s="267"/>
      <c r="O973" s="267"/>
      <c r="P973" s="267"/>
      <c r="Q973" s="267"/>
      <c r="R973" s="267"/>
      <c r="S973" s="267"/>
      <c r="T973" s="267"/>
      <c r="U973" s="267"/>
      <c r="V973" s="267"/>
      <c r="W973" s="267"/>
      <c r="X973" s="267"/>
    </row>
    <row r="974">
      <c r="A974" s="267"/>
      <c r="B974" s="87"/>
      <c r="C974" s="87"/>
      <c r="D974" s="87"/>
      <c r="E974" s="267"/>
      <c r="F974" s="87"/>
      <c r="G974" s="267"/>
      <c r="H974" s="267"/>
      <c r="I974" s="267"/>
      <c r="J974" s="267"/>
      <c r="K974" s="267"/>
      <c r="L974" s="267"/>
      <c r="M974" s="267"/>
      <c r="N974" s="267"/>
      <c r="O974" s="267"/>
      <c r="P974" s="267"/>
      <c r="Q974" s="267"/>
      <c r="R974" s="267"/>
      <c r="S974" s="267"/>
      <c r="T974" s="267"/>
      <c r="U974" s="267"/>
      <c r="V974" s="267"/>
      <c r="W974" s="267"/>
      <c r="X974" s="267"/>
    </row>
    <row r="975">
      <c r="A975" s="267"/>
      <c r="B975" s="87"/>
      <c r="C975" s="87"/>
      <c r="D975" s="87"/>
      <c r="E975" s="267"/>
      <c r="F975" s="87"/>
      <c r="G975" s="267"/>
      <c r="H975" s="267"/>
      <c r="I975" s="267"/>
      <c r="J975" s="267"/>
      <c r="K975" s="267"/>
      <c r="L975" s="267"/>
      <c r="M975" s="267"/>
      <c r="N975" s="267"/>
      <c r="O975" s="267"/>
      <c r="P975" s="267"/>
      <c r="Q975" s="267"/>
      <c r="R975" s="267"/>
      <c r="S975" s="267"/>
      <c r="T975" s="267"/>
      <c r="U975" s="267"/>
      <c r="V975" s="267"/>
      <c r="W975" s="267"/>
      <c r="X975" s="267"/>
    </row>
    <row r="976">
      <c r="A976" s="267"/>
      <c r="B976" s="87"/>
      <c r="C976" s="87"/>
      <c r="D976" s="87"/>
      <c r="E976" s="267"/>
      <c r="F976" s="87"/>
      <c r="G976" s="267"/>
      <c r="H976" s="267"/>
      <c r="I976" s="267"/>
      <c r="J976" s="267"/>
      <c r="K976" s="267"/>
      <c r="L976" s="267"/>
      <c r="M976" s="267"/>
      <c r="N976" s="267"/>
      <c r="O976" s="267"/>
      <c r="P976" s="267"/>
      <c r="Q976" s="267"/>
      <c r="R976" s="267"/>
      <c r="S976" s="267"/>
      <c r="T976" s="267"/>
      <c r="U976" s="267"/>
      <c r="V976" s="267"/>
      <c r="W976" s="267"/>
      <c r="X976" s="267"/>
    </row>
    <row r="977">
      <c r="A977" s="267"/>
      <c r="B977" s="87"/>
      <c r="C977" s="87"/>
      <c r="D977" s="87"/>
      <c r="E977" s="267"/>
      <c r="F977" s="87"/>
      <c r="G977" s="267"/>
      <c r="H977" s="267"/>
      <c r="I977" s="267"/>
      <c r="J977" s="267"/>
      <c r="K977" s="267"/>
      <c r="L977" s="267"/>
      <c r="M977" s="267"/>
      <c r="N977" s="267"/>
      <c r="O977" s="267"/>
      <c r="P977" s="267"/>
      <c r="Q977" s="267"/>
      <c r="R977" s="267"/>
      <c r="S977" s="267"/>
      <c r="T977" s="267"/>
      <c r="U977" s="267"/>
      <c r="V977" s="267"/>
      <c r="W977" s="267"/>
      <c r="X977" s="267"/>
    </row>
    <row r="978">
      <c r="A978" s="267"/>
      <c r="B978" s="87"/>
      <c r="C978" s="87"/>
      <c r="D978" s="87"/>
      <c r="E978" s="267"/>
      <c r="F978" s="87"/>
      <c r="G978" s="267"/>
      <c r="H978" s="267"/>
      <c r="I978" s="267"/>
      <c r="J978" s="267"/>
      <c r="K978" s="267"/>
      <c r="L978" s="267"/>
      <c r="M978" s="267"/>
      <c r="N978" s="267"/>
      <c r="O978" s="267"/>
      <c r="P978" s="267"/>
      <c r="Q978" s="267"/>
      <c r="R978" s="267"/>
      <c r="S978" s="267"/>
      <c r="T978" s="267"/>
      <c r="U978" s="267"/>
      <c r="V978" s="267"/>
      <c r="W978" s="267"/>
      <c r="X978" s="267"/>
    </row>
    <row r="979">
      <c r="A979" s="267"/>
      <c r="B979" s="87"/>
      <c r="C979" s="87"/>
      <c r="D979" s="87"/>
      <c r="E979" s="267"/>
      <c r="F979" s="87"/>
      <c r="G979" s="267"/>
      <c r="H979" s="267"/>
      <c r="I979" s="267"/>
      <c r="J979" s="267"/>
      <c r="K979" s="267"/>
      <c r="L979" s="267"/>
      <c r="M979" s="267"/>
      <c r="N979" s="267"/>
      <c r="O979" s="267"/>
      <c r="P979" s="267"/>
      <c r="Q979" s="267"/>
      <c r="R979" s="267"/>
      <c r="S979" s="267"/>
      <c r="T979" s="267"/>
      <c r="U979" s="267"/>
      <c r="V979" s="267"/>
      <c r="W979" s="267"/>
      <c r="X979" s="267"/>
    </row>
    <row r="980">
      <c r="A980" s="267"/>
      <c r="B980" s="87"/>
      <c r="C980" s="87"/>
      <c r="D980" s="87"/>
      <c r="E980" s="267"/>
      <c r="F980" s="87"/>
      <c r="G980" s="267"/>
      <c r="H980" s="267"/>
      <c r="I980" s="267"/>
      <c r="J980" s="267"/>
      <c r="K980" s="267"/>
      <c r="L980" s="267"/>
      <c r="M980" s="267"/>
      <c r="N980" s="267"/>
      <c r="O980" s="267"/>
      <c r="P980" s="267"/>
      <c r="Q980" s="267"/>
      <c r="R980" s="267"/>
      <c r="S980" s="267"/>
      <c r="T980" s="267"/>
      <c r="U980" s="267"/>
      <c r="V980" s="267"/>
      <c r="W980" s="267"/>
      <c r="X980" s="267"/>
    </row>
    <row r="981">
      <c r="A981" s="267"/>
      <c r="B981" s="87"/>
      <c r="C981" s="87"/>
      <c r="D981" s="87"/>
      <c r="E981" s="267"/>
      <c r="F981" s="87"/>
      <c r="G981" s="267"/>
      <c r="H981" s="267"/>
      <c r="I981" s="267"/>
      <c r="J981" s="267"/>
      <c r="K981" s="267"/>
      <c r="L981" s="267"/>
      <c r="M981" s="267"/>
      <c r="N981" s="267"/>
      <c r="O981" s="267"/>
      <c r="P981" s="267"/>
      <c r="Q981" s="267"/>
      <c r="R981" s="267"/>
      <c r="S981" s="267"/>
      <c r="T981" s="267"/>
      <c r="U981" s="267"/>
      <c r="V981" s="267"/>
      <c r="W981" s="267"/>
      <c r="X981" s="267"/>
    </row>
    <row r="982">
      <c r="A982" s="267"/>
      <c r="B982" s="87"/>
      <c r="C982" s="87"/>
      <c r="D982" s="87"/>
      <c r="E982" s="267"/>
      <c r="F982" s="87"/>
      <c r="G982" s="267"/>
      <c r="H982" s="267"/>
      <c r="I982" s="267"/>
      <c r="J982" s="267"/>
      <c r="K982" s="267"/>
      <c r="L982" s="267"/>
      <c r="M982" s="267"/>
      <c r="N982" s="267"/>
      <c r="O982" s="267"/>
      <c r="P982" s="267"/>
      <c r="Q982" s="267"/>
      <c r="R982" s="267"/>
      <c r="S982" s="267"/>
      <c r="T982" s="267"/>
      <c r="U982" s="267"/>
      <c r="V982" s="267"/>
      <c r="W982" s="267"/>
      <c r="X982" s="267"/>
    </row>
    <row r="983">
      <c r="A983" s="267"/>
      <c r="B983" s="87"/>
      <c r="C983" s="87"/>
      <c r="D983" s="87"/>
      <c r="E983" s="267"/>
      <c r="F983" s="87"/>
      <c r="G983" s="267"/>
      <c r="H983" s="267"/>
      <c r="I983" s="267"/>
      <c r="J983" s="267"/>
      <c r="K983" s="267"/>
      <c r="L983" s="267"/>
      <c r="M983" s="267"/>
      <c r="N983" s="267"/>
      <c r="O983" s="267"/>
      <c r="P983" s="267"/>
      <c r="Q983" s="267"/>
      <c r="R983" s="267"/>
      <c r="S983" s="267"/>
      <c r="T983" s="267"/>
      <c r="U983" s="267"/>
      <c r="V983" s="267"/>
      <c r="W983" s="267"/>
      <c r="X983" s="267"/>
    </row>
    <row r="984">
      <c r="A984" s="267"/>
      <c r="B984" s="87"/>
      <c r="C984" s="87"/>
      <c r="D984" s="87"/>
      <c r="E984" s="267"/>
      <c r="F984" s="87"/>
      <c r="G984" s="267"/>
      <c r="H984" s="267"/>
      <c r="I984" s="267"/>
      <c r="J984" s="267"/>
      <c r="K984" s="267"/>
      <c r="L984" s="267"/>
      <c r="M984" s="267"/>
      <c r="N984" s="267"/>
      <c r="O984" s="267"/>
      <c r="P984" s="267"/>
      <c r="Q984" s="267"/>
      <c r="R984" s="267"/>
      <c r="S984" s="267"/>
      <c r="T984" s="267"/>
      <c r="U984" s="267"/>
      <c r="V984" s="267"/>
      <c r="W984" s="267"/>
      <c r="X984" s="267"/>
    </row>
    <row r="985">
      <c r="A985" s="267"/>
      <c r="B985" s="87"/>
      <c r="C985" s="87"/>
      <c r="D985" s="87"/>
      <c r="E985" s="267"/>
      <c r="F985" s="87"/>
      <c r="G985" s="267"/>
      <c r="H985" s="267"/>
      <c r="I985" s="267"/>
      <c r="J985" s="267"/>
      <c r="K985" s="267"/>
      <c r="L985" s="267"/>
      <c r="M985" s="267"/>
      <c r="N985" s="267"/>
      <c r="O985" s="267"/>
      <c r="P985" s="267"/>
      <c r="Q985" s="267"/>
      <c r="R985" s="267"/>
      <c r="S985" s="267"/>
      <c r="T985" s="267"/>
      <c r="U985" s="267"/>
      <c r="V985" s="267"/>
      <c r="W985" s="267"/>
      <c r="X985" s="267"/>
    </row>
    <row r="986">
      <c r="A986" s="267"/>
      <c r="B986" s="87"/>
      <c r="C986" s="87"/>
      <c r="D986" s="87"/>
      <c r="E986" s="267"/>
      <c r="F986" s="87"/>
      <c r="G986" s="267"/>
      <c r="H986" s="267"/>
      <c r="I986" s="267"/>
      <c r="J986" s="267"/>
      <c r="K986" s="267"/>
      <c r="L986" s="267"/>
      <c r="M986" s="267"/>
      <c r="N986" s="267"/>
      <c r="O986" s="267"/>
      <c r="P986" s="267"/>
      <c r="Q986" s="267"/>
      <c r="R986" s="267"/>
      <c r="S986" s="267"/>
      <c r="T986" s="267"/>
      <c r="U986" s="267"/>
      <c r="V986" s="267"/>
      <c r="W986" s="267"/>
      <c r="X986" s="267"/>
    </row>
    <row r="987">
      <c r="A987" s="267"/>
      <c r="B987" s="87"/>
      <c r="C987" s="87"/>
      <c r="D987" s="87"/>
      <c r="E987" s="267"/>
      <c r="F987" s="87"/>
      <c r="G987" s="267"/>
      <c r="H987" s="267"/>
      <c r="I987" s="267"/>
      <c r="J987" s="267"/>
      <c r="K987" s="267"/>
      <c r="L987" s="267"/>
      <c r="M987" s="267"/>
      <c r="N987" s="267"/>
      <c r="O987" s="267"/>
      <c r="P987" s="267"/>
      <c r="Q987" s="267"/>
      <c r="R987" s="267"/>
      <c r="S987" s="267"/>
      <c r="T987" s="267"/>
      <c r="U987" s="267"/>
      <c r="V987" s="267"/>
      <c r="W987" s="267"/>
      <c r="X987" s="267"/>
    </row>
    <row r="988">
      <c r="A988" s="267"/>
      <c r="B988" s="87"/>
      <c r="C988" s="87"/>
      <c r="D988" s="87"/>
      <c r="E988" s="267"/>
      <c r="F988" s="87"/>
      <c r="G988" s="267"/>
      <c r="H988" s="267"/>
      <c r="I988" s="267"/>
      <c r="J988" s="267"/>
      <c r="K988" s="267"/>
      <c r="L988" s="267"/>
      <c r="M988" s="267"/>
      <c r="N988" s="267"/>
      <c r="O988" s="267"/>
      <c r="P988" s="267"/>
      <c r="Q988" s="267"/>
      <c r="R988" s="267"/>
      <c r="S988" s="267"/>
      <c r="T988" s="267"/>
      <c r="U988" s="267"/>
      <c r="V988" s="267"/>
      <c r="W988" s="267"/>
      <c r="X988" s="267"/>
    </row>
    <row r="989">
      <c r="A989" s="267"/>
      <c r="B989" s="87"/>
      <c r="C989" s="87"/>
      <c r="D989" s="87"/>
      <c r="E989" s="267"/>
      <c r="F989" s="87"/>
      <c r="G989" s="267"/>
      <c r="H989" s="267"/>
      <c r="I989" s="267"/>
      <c r="J989" s="267"/>
      <c r="K989" s="267"/>
      <c r="L989" s="267"/>
      <c r="M989" s="267"/>
      <c r="N989" s="267"/>
      <c r="O989" s="267"/>
      <c r="P989" s="267"/>
      <c r="Q989" s="267"/>
      <c r="R989" s="267"/>
      <c r="S989" s="267"/>
      <c r="T989" s="267"/>
      <c r="U989" s="267"/>
      <c r="V989" s="267"/>
      <c r="W989" s="267"/>
      <c r="X989" s="267"/>
    </row>
    <row r="990">
      <c r="A990" s="267"/>
      <c r="B990" s="87"/>
      <c r="C990" s="87"/>
      <c r="D990" s="87"/>
      <c r="E990" s="267"/>
      <c r="F990" s="87"/>
      <c r="G990" s="267"/>
      <c r="H990" s="267"/>
      <c r="I990" s="267"/>
      <c r="J990" s="267"/>
      <c r="K990" s="267"/>
      <c r="L990" s="267"/>
      <c r="M990" s="267"/>
      <c r="N990" s="267"/>
      <c r="O990" s="267"/>
      <c r="P990" s="267"/>
      <c r="Q990" s="267"/>
      <c r="R990" s="267"/>
      <c r="S990" s="267"/>
      <c r="T990" s="267"/>
      <c r="U990" s="267"/>
      <c r="V990" s="267"/>
      <c r="W990" s="267"/>
      <c r="X990" s="267"/>
    </row>
    <row r="991">
      <c r="A991" s="267"/>
      <c r="B991" s="87"/>
      <c r="C991" s="87"/>
      <c r="D991" s="87"/>
      <c r="E991" s="267"/>
      <c r="F991" s="87"/>
      <c r="G991" s="267"/>
      <c r="H991" s="267"/>
      <c r="I991" s="267"/>
      <c r="J991" s="267"/>
      <c r="K991" s="267"/>
      <c r="L991" s="267"/>
      <c r="M991" s="267"/>
      <c r="N991" s="267"/>
      <c r="O991" s="267"/>
      <c r="P991" s="267"/>
      <c r="Q991" s="267"/>
      <c r="R991" s="267"/>
      <c r="S991" s="267"/>
      <c r="T991" s="267"/>
      <c r="U991" s="267"/>
      <c r="V991" s="267"/>
      <c r="W991" s="267"/>
      <c r="X991" s="267"/>
    </row>
    <row r="992">
      <c r="A992" s="267"/>
      <c r="B992" s="87"/>
      <c r="C992" s="87"/>
      <c r="D992" s="87"/>
      <c r="E992" s="267"/>
      <c r="F992" s="87"/>
      <c r="G992" s="267"/>
      <c r="H992" s="267"/>
      <c r="I992" s="267"/>
      <c r="J992" s="267"/>
      <c r="K992" s="267"/>
      <c r="L992" s="267"/>
      <c r="M992" s="267"/>
      <c r="N992" s="267"/>
      <c r="O992" s="267"/>
      <c r="P992" s="267"/>
      <c r="Q992" s="267"/>
      <c r="R992" s="267"/>
      <c r="S992" s="267"/>
      <c r="T992" s="267"/>
      <c r="U992" s="267"/>
      <c r="V992" s="267"/>
      <c r="W992" s="267"/>
      <c r="X992" s="267"/>
    </row>
    <row r="993">
      <c r="A993" s="267"/>
      <c r="B993" s="87"/>
      <c r="C993" s="87"/>
      <c r="D993" s="87"/>
      <c r="E993" s="267"/>
      <c r="F993" s="87"/>
      <c r="G993" s="267"/>
      <c r="H993" s="267"/>
      <c r="I993" s="267"/>
      <c r="J993" s="267"/>
      <c r="K993" s="267"/>
      <c r="L993" s="267"/>
      <c r="M993" s="267"/>
      <c r="N993" s="267"/>
      <c r="O993" s="267"/>
      <c r="P993" s="267"/>
      <c r="Q993" s="267"/>
      <c r="R993" s="267"/>
      <c r="S993" s="267"/>
      <c r="T993" s="267"/>
      <c r="U993" s="267"/>
      <c r="V993" s="267"/>
      <c r="W993" s="267"/>
      <c r="X993" s="267"/>
    </row>
    <row r="994">
      <c r="A994" s="267"/>
      <c r="B994" s="87"/>
      <c r="C994" s="87"/>
      <c r="D994" s="87"/>
      <c r="E994" s="267"/>
      <c r="F994" s="87"/>
      <c r="G994" s="267"/>
      <c r="H994" s="267"/>
      <c r="I994" s="267"/>
      <c r="J994" s="267"/>
      <c r="K994" s="267"/>
      <c r="L994" s="267"/>
      <c r="M994" s="267"/>
      <c r="N994" s="267"/>
      <c r="O994" s="267"/>
      <c r="P994" s="267"/>
      <c r="Q994" s="267"/>
      <c r="R994" s="267"/>
      <c r="S994" s="267"/>
      <c r="T994" s="267"/>
      <c r="U994" s="267"/>
      <c r="V994" s="267"/>
      <c r="W994" s="267"/>
      <c r="X994" s="267"/>
    </row>
    <row r="995">
      <c r="A995" s="267"/>
      <c r="B995" s="87"/>
      <c r="C995" s="87"/>
      <c r="D995" s="87"/>
      <c r="E995" s="267"/>
      <c r="F995" s="87"/>
      <c r="G995" s="267"/>
      <c r="H995" s="267"/>
      <c r="I995" s="267"/>
      <c r="J995" s="267"/>
      <c r="K995" s="267"/>
      <c r="L995" s="267"/>
      <c r="M995" s="267"/>
      <c r="N995" s="267"/>
      <c r="O995" s="267"/>
      <c r="P995" s="267"/>
      <c r="Q995" s="267"/>
      <c r="R995" s="267"/>
      <c r="S995" s="267"/>
      <c r="T995" s="267"/>
      <c r="U995" s="267"/>
      <c r="V995" s="267"/>
      <c r="W995" s="267"/>
      <c r="X995" s="267"/>
    </row>
    <row r="996">
      <c r="A996" s="267"/>
      <c r="B996" s="87"/>
      <c r="C996" s="87"/>
      <c r="D996" s="87"/>
      <c r="E996" s="267"/>
      <c r="F996" s="87"/>
      <c r="G996" s="267"/>
      <c r="H996" s="267"/>
      <c r="I996" s="267"/>
      <c r="J996" s="267"/>
      <c r="K996" s="267"/>
      <c r="L996" s="267"/>
      <c r="M996" s="267"/>
      <c r="N996" s="267"/>
      <c r="O996" s="267"/>
      <c r="P996" s="267"/>
      <c r="Q996" s="267"/>
      <c r="R996" s="267"/>
      <c r="S996" s="267"/>
      <c r="T996" s="267"/>
      <c r="U996" s="267"/>
      <c r="V996" s="267"/>
      <c r="W996" s="267"/>
      <c r="X996" s="267"/>
    </row>
    <row r="997">
      <c r="A997" s="267"/>
      <c r="B997" s="87"/>
      <c r="C997" s="87"/>
      <c r="D997" s="87"/>
      <c r="E997" s="267"/>
      <c r="F997" s="87"/>
      <c r="G997" s="267"/>
      <c r="H997" s="267"/>
      <c r="I997" s="267"/>
      <c r="J997" s="267"/>
      <c r="K997" s="267"/>
      <c r="L997" s="267"/>
      <c r="M997" s="267"/>
      <c r="N997" s="267"/>
      <c r="O997" s="267"/>
      <c r="P997" s="267"/>
      <c r="Q997" s="267"/>
      <c r="R997" s="267"/>
      <c r="S997" s="267"/>
      <c r="T997" s="267"/>
      <c r="U997" s="267"/>
      <c r="V997" s="267"/>
      <c r="W997" s="267"/>
      <c r="X997" s="267"/>
    </row>
    <row r="998">
      <c r="A998" s="267"/>
      <c r="B998" s="87"/>
      <c r="C998" s="87"/>
      <c r="D998" s="87"/>
      <c r="E998" s="267"/>
      <c r="F998" s="87"/>
      <c r="G998" s="267"/>
      <c r="H998" s="267"/>
      <c r="I998" s="267"/>
      <c r="J998" s="267"/>
      <c r="K998" s="267"/>
      <c r="L998" s="267"/>
      <c r="M998" s="267"/>
      <c r="N998" s="267"/>
      <c r="O998" s="267"/>
      <c r="P998" s="267"/>
      <c r="Q998" s="267"/>
      <c r="R998" s="267"/>
      <c r="S998" s="267"/>
      <c r="T998" s="267"/>
      <c r="U998" s="267"/>
      <c r="V998" s="267"/>
      <c r="W998" s="267"/>
      <c r="X998" s="267"/>
    </row>
    <row r="999">
      <c r="A999" s="267"/>
      <c r="B999" s="87"/>
      <c r="C999" s="87"/>
      <c r="D999" s="87"/>
      <c r="E999" s="267"/>
      <c r="F999" s="87"/>
      <c r="G999" s="267"/>
      <c r="H999" s="267"/>
      <c r="I999" s="267"/>
      <c r="J999" s="267"/>
      <c r="K999" s="267"/>
      <c r="L999" s="267"/>
      <c r="M999" s="267"/>
      <c r="N999" s="267"/>
      <c r="O999" s="267"/>
      <c r="P999" s="267"/>
      <c r="Q999" s="267"/>
      <c r="R999" s="267"/>
      <c r="S999" s="267"/>
      <c r="T999" s="267"/>
      <c r="U999" s="267"/>
      <c r="V999" s="267"/>
      <c r="W999" s="267"/>
      <c r="X999" s="267"/>
    </row>
    <row r="1000">
      <c r="A1000" s="267"/>
      <c r="B1000" s="87"/>
      <c r="C1000" s="87"/>
      <c r="D1000" s="87"/>
      <c r="E1000" s="267"/>
      <c r="F1000" s="87"/>
      <c r="G1000" s="267"/>
      <c r="H1000" s="267"/>
      <c r="I1000" s="267"/>
      <c r="J1000" s="267"/>
      <c r="K1000" s="267"/>
      <c r="L1000" s="267"/>
      <c r="M1000" s="267"/>
      <c r="N1000" s="267"/>
      <c r="O1000" s="267"/>
      <c r="P1000" s="267"/>
      <c r="Q1000" s="267"/>
      <c r="R1000" s="267"/>
      <c r="S1000" s="267"/>
      <c r="T1000" s="267"/>
      <c r="U1000" s="267"/>
      <c r="V1000" s="267"/>
      <c r="W1000" s="267"/>
      <c r="X1000" s="267"/>
    </row>
  </sheetData>
  <mergeCells count="2">
    <mergeCell ref="B2:F2"/>
    <mergeCell ref="G2:I2"/>
  </mergeCells>
  <dataValidations>
    <dataValidation type="list" allowBlank="1" showErrorMessage="1" sqref="B4:B45">
      <formula1>"품질팀,디자인파트,기획파트"</formula1>
    </dataValidation>
  </dataValidations>
  <drawing r:id="rId1"/>
</worksheet>
</file>